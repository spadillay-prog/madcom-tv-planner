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ytgroupchile-my.sharepoint.com/personal/spadilla_gytmkt_com/Documents/Escritorio/2026/Planificador TV/"/>
    </mc:Choice>
  </mc:AlternateContent>
  <xr:revisionPtr revIDLastSave="303" documentId="8_{DA3EDE93-D40B-4F9A-A9BD-0CEDD3DB6447}" xr6:coauthVersionLast="47" xr6:coauthVersionMax="47" xr10:uidLastSave="{0F467BBA-C8F6-4979-865B-DA7CDC7BDDD1}"/>
  <bookViews>
    <workbookView xWindow="-110" yWindow="-110" windowWidth="19420" windowHeight="11500" xr2:uid="{4DEBD1ED-EE17-45D3-9342-49AF9B5CB97F}"/>
  </bookViews>
  <sheets>
    <sheet name="CHV" sheetId="3" r:id="rId1"/>
    <sheet name="Mega" sheetId="4" r:id="rId2"/>
    <sheet name="TVN" sheetId="5" r:id="rId3"/>
    <sheet name="Canal 13" sheetId="6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xlfn.IFERROR" hidden="1">#NAME?</definedName>
    <definedName name="_xlnm._FilterDatabase" localSheetId="3" hidden="1">'Canal 13'!$A$2:$S$41</definedName>
    <definedName name="_xlnm._FilterDatabase" localSheetId="2" hidden="1">TVN!$A$6:$Z$43</definedName>
    <definedName name="ABRILPLUS">'[3]TP ABRIL'!$A$8:$O$78</definedName>
    <definedName name="_xlnm.Print_Area" localSheetId="2">TVN!$B$1:$Z$44</definedName>
    <definedName name="canal24h">'[4]Tarifas Marzo 2009 v22'!$C$8:$N$105</definedName>
    <definedName name="CENTRAL2">[4]Rating!$K$12:$L$19</definedName>
    <definedName name="COL">[5]COL!$C$5:$D$16</definedName>
    <definedName name="colu2">[3]COL!$F$5:$G$17</definedName>
    <definedName name="colu24">[6]Hoja1!$B$11:$C$21</definedName>
    <definedName name="COLUMNAS">'[4]Tarifas Marzo 2009 v22'!$P$8:$Q$19</definedName>
    <definedName name="COLUMNASTARGET">[3]bases!$E$9:$F$30</definedName>
    <definedName name="DF">[7]COL!$C$5:$D$16</definedName>
    <definedName name="efinal">[8]RANGOS!$K$6:$K$11</definedName>
    <definedName name="einicial">[8]RANGOS!$J$6:$J$11</definedName>
    <definedName name="GRPSPAUTAS">'[3]Pautas 24 horas'!$R$13:$BF$32</definedName>
    <definedName name="GSEDDC">[5]DatosTP!$J$32:$K$41</definedName>
    <definedName name="HDM">[4]Rating!$K$35:$L$41</definedName>
    <definedName name="horasdia">[4]Rating!$K$5:$L$10</definedName>
    <definedName name="junio">[9]DatosRM!$A$7:$O$89</definedName>
    <definedName name="NIVELABRIL">'[3]Niveles ABRIL'!$A$7:$B$76</definedName>
    <definedName name="notcom">[5]Rating1!$J$12:$L$19</definedName>
    <definedName name="noviembr">[7]codigos!$A$7:$B$94</definedName>
    <definedName name="parrilla">#REF!</definedName>
    <definedName name="PARRILLA1">#REF!</definedName>
    <definedName name="PAUTA">[5]Pauta!$B$20:$AV$95</definedName>
    <definedName name="plus">'[10]Tarifa PLUS'!$A$8:$O$19</definedName>
    <definedName name="plusdic">'[5]Tarifa PLUS'!$A$7:$O$21</definedName>
    <definedName name="porcentaje">[6]bases!$E$9:$G$30</definedName>
    <definedName name="porcentajeprime">[3]bases!$E$9:$G$34</definedName>
    <definedName name="RATI2">[11]Rating1!$J$4:$K$117</definedName>
    <definedName name="rating1">'[8]Rat M25-64C2C3'!$H$3:$I$375</definedName>
    <definedName name="rating2">'[8]Rat H25-64ABCD'!$H$1:$I$288</definedName>
    <definedName name="rating3">'[8]Rat HM18-24ABC'!$H$2:$I$290</definedName>
    <definedName name="rating4">'[8]Rat HM25-49ABC1C2'!$H$3:$I$246</definedName>
    <definedName name="rating5">'[8]Rat HM25-64ABC'!$H$3:$I$309</definedName>
    <definedName name="rating6">'[8]Rat M25-64ABC'!$H$2:$I$333</definedName>
    <definedName name="rating7">'[8]Rat HM25-64ABCD'!$H$3:$I$210</definedName>
    <definedName name="ratings">[4]Rating!$H$3:$I$1175</definedName>
    <definedName name="ratingstarget">[8]RANGOS!$D$6:$F$18</definedName>
    <definedName name="regiones1">'[12]Tarifas Febrero 2013'!$B$3:$BD$58</definedName>
    <definedName name="regiones2">'[12]Tarifas Febrero 2013'!$B$70:$BL$128</definedName>
    <definedName name="regmet">[13]DatosTP!$C$5:$K$27</definedName>
    <definedName name="REGMETGSE">[13]DatosTP!$D$32:$E$41</definedName>
    <definedName name="resrat">'[8]res rat'!$C$2:$J$1348</definedName>
    <definedName name="RMDDC">[5]DatosRM!$C$4:$M$27</definedName>
    <definedName name="septiembre">'[7]2015 Netas'!$G$4:$T$60</definedName>
    <definedName name="tarifas24h">[3]bases!$C$37:$N$39</definedName>
    <definedName name="tarifas24horas">'[3]Tarifas Canal 24H'!$B$8:$M$9</definedName>
    <definedName name="trasnoche1">[14]Rating1!$J$22:$K$34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5" l="1"/>
  <c r="J42" i="5"/>
  <c r="J41" i="5"/>
  <c r="J40" i="5"/>
  <c r="J39" i="5"/>
  <c r="Z38" i="5"/>
  <c r="Y38" i="5"/>
  <c r="X38" i="5"/>
  <c r="W38" i="5"/>
  <c r="J38" i="5"/>
  <c r="J37" i="5"/>
  <c r="J36" i="5"/>
  <c r="J35" i="5"/>
  <c r="J34" i="5"/>
  <c r="J33" i="5"/>
  <c r="J32" i="5"/>
  <c r="J31" i="5"/>
  <c r="J30" i="5"/>
  <c r="R29" i="5"/>
  <c r="J29" i="5"/>
  <c r="J28" i="5"/>
  <c r="J27" i="5"/>
  <c r="Y26" i="5"/>
  <c r="J26" i="5"/>
  <c r="J25" i="5"/>
  <c r="J24" i="5"/>
  <c r="J23" i="5"/>
  <c r="J22" i="5"/>
  <c r="J21" i="5"/>
  <c r="J20" i="5"/>
  <c r="J19" i="5"/>
  <c r="J18" i="5"/>
  <c r="J17" i="5"/>
  <c r="J16" i="5"/>
  <c r="J15" i="5"/>
  <c r="P14" i="5"/>
  <c r="J14" i="5"/>
  <c r="J13" i="5"/>
  <c r="J12" i="5"/>
  <c r="J11" i="5"/>
  <c r="J10" i="5"/>
  <c r="J9" i="5"/>
  <c r="J8" i="5"/>
  <c r="J7" i="5"/>
  <c r="R42" i="4"/>
  <c r="Q42" i="4"/>
  <c r="P42" i="4"/>
  <c r="O42" i="4"/>
  <c r="N42" i="4"/>
  <c r="M42" i="4"/>
  <c r="K42" i="4"/>
  <c r="J42" i="4"/>
  <c r="I42" i="4"/>
  <c r="H42" i="4"/>
  <c r="G42" i="4"/>
  <c r="R41" i="4"/>
  <c r="Q41" i="4"/>
  <c r="P41" i="4"/>
  <c r="O41" i="4"/>
  <c r="N41" i="4"/>
  <c r="M41" i="4"/>
  <c r="K41" i="4"/>
  <c r="J41" i="4"/>
  <c r="I41" i="4"/>
  <c r="H41" i="4"/>
  <c r="G41" i="4"/>
  <c r="R40" i="4"/>
  <c r="Q40" i="4"/>
  <c r="P40" i="4"/>
  <c r="O40" i="4"/>
  <c r="N40" i="4"/>
  <c r="M40" i="4"/>
  <c r="K40" i="4"/>
  <c r="J40" i="4"/>
  <c r="I40" i="4"/>
  <c r="H40" i="4"/>
  <c r="G40" i="4"/>
  <c r="R39" i="4"/>
  <c r="Q39" i="4"/>
  <c r="P39" i="4"/>
  <c r="O39" i="4"/>
  <c r="N39" i="4"/>
  <c r="M39" i="4"/>
  <c r="K39" i="4"/>
  <c r="J39" i="4"/>
  <c r="I39" i="4"/>
  <c r="H39" i="4"/>
  <c r="G39" i="4"/>
  <c r="R38" i="4"/>
  <c r="Q38" i="4"/>
  <c r="P38" i="4"/>
  <c r="O38" i="4"/>
  <c r="N38" i="4"/>
  <c r="M38" i="4"/>
  <c r="K38" i="4"/>
  <c r="J38" i="4"/>
  <c r="I38" i="4"/>
  <c r="H38" i="4"/>
  <c r="G38" i="4"/>
  <c r="R37" i="4"/>
  <c r="Q37" i="4"/>
  <c r="P37" i="4"/>
  <c r="O37" i="4"/>
  <c r="N37" i="4"/>
  <c r="M37" i="4"/>
  <c r="K37" i="4"/>
  <c r="J37" i="4"/>
  <c r="I37" i="4"/>
  <c r="H37" i="4"/>
  <c r="G37" i="4"/>
  <c r="R36" i="4"/>
  <c r="Q36" i="4"/>
  <c r="P36" i="4"/>
  <c r="O36" i="4"/>
  <c r="N36" i="4"/>
  <c r="M36" i="4"/>
  <c r="K36" i="4"/>
  <c r="J36" i="4"/>
  <c r="I36" i="4"/>
  <c r="H36" i="4"/>
  <c r="G36" i="4"/>
  <c r="R35" i="4"/>
  <c r="Q35" i="4"/>
  <c r="P35" i="4"/>
  <c r="O35" i="4"/>
  <c r="N35" i="4"/>
  <c r="M35" i="4"/>
  <c r="K35" i="4"/>
  <c r="J35" i="4"/>
  <c r="I35" i="4"/>
  <c r="H35" i="4"/>
  <c r="G35" i="4"/>
  <c r="R34" i="4"/>
  <c r="Q34" i="4"/>
  <c r="P34" i="4"/>
  <c r="O34" i="4"/>
  <c r="N34" i="4"/>
  <c r="M34" i="4"/>
  <c r="K34" i="4"/>
  <c r="J34" i="4"/>
  <c r="I34" i="4"/>
  <c r="H34" i="4"/>
  <c r="G34" i="4"/>
  <c r="R33" i="4"/>
  <c r="Q33" i="4"/>
  <c r="P33" i="4"/>
  <c r="O33" i="4"/>
  <c r="N33" i="4"/>
  <c r="M33" i="4"/>
  <c r="K33" i="4"/>
  <c r="J33" i="4"/>
  <c r="I33" i="4"/>
  <c r="H33" i="4"/>
  <c r="G33" i="4"/>
  <c r="R32" i="4"/>
  <c r="Q32" i="4"/>
  <c r="P32" i="4"/>
  <c r="O32" i="4"/>
  <c r="N32" i="4"/>
  <c r="M32" i="4"/>
  <c r="K32" i="4"/>
  <c r="J32" i="4"/>
  <c r="I32" i="4"/>
  <c r="H32" i="4"/>
  <c r="G32" i="4"/>
  <c r="R31" i="4"/>
  <c r="Q31" i="4"/>
  <c r="P31" i="4"/>
  <c r="O31" i="4"/>
  <c r="N31" i="4"/>
  <c r="M31" i="4"/>
  <c r="K31" i="4"/>
  <c r="J31" i="4"/>
  <c r="I31" i="4"/>
  <c r="H31" i="4"/>
  <c r="G31" i="4"/>
  <c r="R30" i="4"/>
  <c r="Q30" i="4"/>
  <c r="P30" i="4"/>
  <c r="O30" i="4"/>
  <c r="N30" i="4"/>
  <c r="M30" i="4"/>
  <c r="K30" i="4"/>
  <c r="J30" i="4"/>
  <c r="I30" i="4"/>
  <c r="H30" i="4"/>
  <c r="G30" i="4"/>
  <c r="R29" i="4"/>
  <c r="Q29" i="4"/>
  <c r="P29" i="4"/>
  <c r="O29" i="4"/>
  <c r="N29" i="4"/>
  <c r="M29" i="4"/>
  <c r="K29" i="4"/>
  <c r="J29" i="4"/>
  <c r="I29" i="4"/>
  <c r="H29" i="4"/>
  <c r="G29" i="4"/>
  <c r="R28" i="4"/>
  <c r="Q28" i="4"/>
  <c r="P28" i="4"/>
  <c r="O28" i="4"/>
  <c r="N28" i="4"/>
  <c r="M28" i="4"/>
  <c r="K28" i="4"/>
  <c r="J28" i="4"/>
  <c r="I28" i="4"/>
  <c r="H28" i="4"/>
  <c r="G28" i="4"/>
  <c r="R27" i="4"/>
  <c r="Q27" i="4"/>
  <c r="P27" i="4"/>
  <c r="O27" i="4"/>
  <c r="N27" i="4"/>
  <c r="M27" i="4"/>
  <c r="K27" i="4"/>
  <c r="J27" i="4"/>
  <c r="I27" i="4"/>
  <c r="H27" i="4"/>
  <c r="G27" i="4"/>
  <c r="R26" i="4"/>
  <c r="Q26" i="4"/>
  <c r="P26" i="4"/>
  <c r="O26" i="4"/>
  <c r="N26" i="4"/>
  <c r="M26" i="4"/>
  <c r="K26" i="4"/>
  <c r="J26" i="4"/>
  <c r="I26" i="4"/>
  <c r="H26" i="4"/>
  <c r="G26" i="4"/>
  <c r="R25" i="4"/>
  <c r="Q25" i="4"/>
  <c r="P25" i="4"/>
  <c r="O25" i="4"/>
  <c r="N25" i="4"/>
  <c r="M25" i="4"/>
  <c r="K25" i="4"/>
  <c r="J25" i="4"/>
  <c r="I25" i="4"/>
  <c r="H25" i="4"/>
  <c r="G25" i="4"/>
  <c r="R24" i="4"/>
  <c r="Q24" i="4"/>
  <c r="P24" i="4"/>
  <c r="O24" i="4"/>
  <c r="N24" i="4"/>
  <c r="M24" i="4"/>
  <c r="K24" i="4"/>
  <c r="J24" i="4"/>
  <c r="I24" i="4"/>
  <c r="H24" i="4"/>
  <c r="G24" i="4"/>
  <c r="R23" i="4"/>
  <c r="Q23" i="4"/>
  <c r="P23" i="4"/>
  <c r="O23" i="4"/>
  <c r="N23" i="4"/>
  <c r="M23" i="4"/>
  <c r="K23" i="4"/>
  <c r="J23" i="4"/>
  <c r="I23" i="4"/>
  <c r="H23" i="4"/>
  <c r="G23" i="4"/>
  <c r="R22" i="4"/>
  <c r="Q22" i="4"/>
  <c r="P22" i="4"/>
  <c r="O22" i="4"/>
  <c r="N22" i="4"/>
  <c r="M22" i="4"/>
  <c r="K22" i="4"/>
  <c r="J22" i="4"/>
  <c r="I22" i="4"/>
  <c r="H22" i="4"/>
  <c r="G22" i="4"/>
  <c r="R21" i="4"/>
  <c r="Q21" i="4"/>
  <c r="P21" i="4"/>
  <c r="O21" i="4"/>
  <c r="N21" i="4"/>
  <c r="M21" i="4"/>
  <c r="K21" i="4"/>
  <c r="J21" i="4"/>
  <c r="I21" i="4"/>
  <c r="H21" i="4"/>
  <c r="G21" i="4"/>
  <c r="R20" i="4"/>
  <c r="Q20" i="4"/>
  <c r="P20" i="4"/>
  <c r="O20" i="4"/>
  <c r="N20" i="4"/>
  <c r="M20" i="4"/>
  <c r="K20" i="4"/>
  <c r="J20" i="4"/>
  <c r="I20" i="4"/>
  <c r="H20" i="4"/>
  <c r="G20" i="4"/>
  <c r="R19" i="4"/>
  <c r="Q19" i="4"/>
  <c r="P19" i="4"/>
  <c r="O19" i="4"/>
  <c r="N19" i="4"/>
  <c r="M19" i="4"/>
  <c r="K19" i="4"/>
  <c r="J19" i="4"/>
  <c r="I19" i="4"/>
  <c r="H19" i="4"/>
  <c r="G19" i="4"/>
  <c r="R18" i="4"/>
  <c r="Q18" i="4"/>
  <c r="P18" i="4"/>
  <c r="O18" i="4"/>
  <c r="N18" i="4"/>
  <c r="M18" i="4"/>
  <c r="K18" i="4"/>
  <c r="J18" i="4"/>
  <c r="I18" i="4"/>
  <c r="H18" i="4"/>
  <c r="G18" i="4"/>
  <c r="R17" i="4"/>
  <c r="Q17" i="4"/>
  <c r="P17" i="4"/>
  <c r="O17" i="4"/>
  <c r="N17" i="4"/>
  <c r="M17" i="4"/>
  <c r="K17" i="4"/>
  <c r="J17" i="4"/>
  <c r="I17" i="4"/>
  <c r="H17" i="4"/>
  <c r="G17" i="4"/>
  <c r="R16" i="4"/>
  <c r="Q16" i="4"/>
  <c r="P16" i="4"/>
  <c r="O16" i="4"/>
  <c r="N16" i="4"/>
  <c r="M16" i="4"/>
  <c r="K16" i="4"/>
  <c r="J16" i="4"/>
  <c r="I16" i="4"/>
  <c r="H16" i="4"/>
  <c r="G16" i="4"/>
  <c r="R15" i="4"/>
  <c r="Q15" i="4"/>
  <c r="P15" i="4"/>
  <c r="O15" i="4"/>
  <c r="N15" i="4"/>
  <c r="M15" i="4"/>
  <c r="K15" i="4"/>
  <c r="J15" i="4"/>
  <c r="I15" i="4"/>
  <c r="H15" i="4"/>
  <c r="G15" i="4"/>
  <c r="R14" i="4"/>
  <c r="Q14" i="4"/>
  <c r="P14" i="4"/>
  <c r="O14" i="4"/>
  <c r="N14" i="4"/>
  <c r="M14" i="4"/>
  <c r="K14" i="4"/>
  <c r="J14" i="4"/>
  <c r="I14" i="4"/>
  <c r="H14" i="4"/>
  <c r="G14" i="4"/>
  <c r="R13" i="4"/>
  <c r="Q13" i="4"/>
  <c r="P13" i="4"/>
  <c r="O13" i="4"/>
  <c r="N13" i="4"/>
  <c r="M13" i="4"/>
  <c r="K13" i="4"/>
  <c r="J13" i="4"/>
  <c r="I13" i="4"/>
  <c r="H13" i="4"/>
  <c r="G13" i="4"/>
  <c r="R12" i="4"/>
  <c r="Q12" i="4"/>
  <c r="P12" i="4"/>
  <c r="O12" i="4"/>
  <c r="N12" i="4"/>
  <c r="M12" i="4"/>
  <c r="K12" i="4"/>
  <c r="J12" i="4"/>
  <c r="I12" i="4"/>
  <c r="H12" i="4"/>
  <c r="G12" i="4"/>
  <c r="R16" i="3"/>
  <c r="Z43" i="5" l="1"/>
  <c r="Y43" i="5"/>
  <c r="X43" i="5"/>
  <c r="W43" i="5"/>
  <c r="V43" i="5"/>
  <c r="U43" i="5"/>
  <c r="T43" i="5"/>
  <c r="S43" i="5"/>
  <c r="R43" i="5"/>
  <c r="Q43" i="5"/>
  <c r="P43" i="5"/>
  <c r="O43" i="5"/>
  <c r="N43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S38" i="5"/>
  <c r="T38" i="5"/>
  <c r="U38" i="5"/>
  <c r="V38" i="5"/>
  <c r="N38" i="5"/>
  <c r="R38" i="5"/>
  <c r="Q38" i="5"/>
  <c r="P38" i="5"/>
  <c r="O38" i="5"/>
  <c r="S37" i="5"/>
  <c r="T37" i="5"/>
  <c r="N37" i="5"/>
  <c r="V37" i="5"/>
  <c r="W37" i="5"/>
  <c r="Z37" i="5"/>
  <c r="Y37" i="5"/>
  <c r="X37" i="5"/>
  <c r="O37" i="5"/>
  <c r="P37" i="5"/>
  <c r="Q37" i="5"/>
  <c r="R37" i="5"/>
  <c r="U37" i="5"/>
  <c r="U36" i="5"/>
  <c r="T36" i="5"/>
  <c r="S36" i="5"/>
  <c r="R36" i="5"/>
  <c r="Q36" i="5"/>
  <c r="P36" i="5"/>
  <c r="O36" i="5"/>
  <c r="N36" i="5"/>
  <c r="V36" i="5"/>
  <c r="Z36" i="5"/>
  <c r="Y36" i="5"/>
  <c r="X36" i="5"/>
  <c r="W36" i="5"/>
  <c r="V35" i="5"/>
  <c r="Z35" i="5"/>
  <c r="Y35" i="5"/>
  <c r="X35" i="5"/>
  <c r="W35" i="5"/>
  <c r="S35" i="5"/>
  <c r="U35" i="5"/>
  <c r="T35" i="5"/>
  <c r="R35" i="5"/>
  <c r="Q35" i="5"/>
  <c r="P35" i="5"/>
  <c r="O35" i="5"/>
  <c r="N35" i="5"/>
  <c r="N34" i="5"/>
  <c r="X34" i="5"/>
  <c r="O34" i="5"/>
  <c r="W34" i="5"/>
  <c r="V34" i="5"/>
  <c r="U34" i="5"/>
  <c r="T34" i="5"/>
  <c r="P34" i="5"/>
  <c r="R34" i="5"/>
  <c r="S34" i="5"/>
  <c r="Q34" i="5"/>
  <c r="Z34" i="5"/>
  <c r="Y34" i="5"/>
  <c r="T33" i="5"/>
  <c r="W33" i="5"/>
  <c r="S33" i="5"/>
  <c r="R33" i="5"/>
  <c r="P33" i="5"/>
  <c r="O33" i="5"/>
  <c r="Y33" i="5"/>
  <c r="U33" i="5"/>
  <c r="X33" i="5"/>
  <c r="Z33" i="5"/>
  <c r="N33" i="5"/>
  <c r="Q33" i="5"/>
  <c r="V33" i="5"/>
  <c r="T32" i="5"/>
  <c r="Z32" i="5"/>
  <c r="Q32" i="5"/>
  <c r="W32" i="5"/>
  <c r="Y32" i="5"/>
  <c r="X32" i="5"/>
  <c r="V32" i="5"/>
  <c r="U32" i="5"/>
  <c r="S32" i="5"/>
  <c r="R32" i="5"/>
  <c r="P32" i="5"/>
  <c r="O32" i="5"/>
  <c r="N32" i="5"/>
  <c r="N31" i="5"/>
  <c r="O31" i="5"/>
  <c r="P31" i="5"/>
  <c r="Q31" i="5"/>
  <c r="Z31" i="5"/>
  <c r="Y31" i="5"/>
  <c r="X31" i="5"/>
  <c r="W31" i="5"/>
  <c r="V31" i="5"/>
  <c r="U31" i="5"/>
  <c r="T31" i="5"/>
  <c r="S31" i="5"/>
  <c r="R31" i="5"/>
  <c r="N30" i="5"/>
  <c r="W30" i="5"/>
  <c r="U30" i="5"/>
  <c r="R30" i="5"/>
  <c r="Z30" i="5"/>
  <c r="Y30" i="5"/>
  <c r="X30" i="5"/>
  <c r="V30" i="5"/>
  <c r="T30" i="5"/>
  <c r="S30" i="5"/>
  <c r="Q30" i="5"/>
  <c r="P30" i="5"/>
  <c r="O30" i="5"/>
  <c r="S29" i="5"/>
  <c r="N29" i="5"/>
  <c r="O29" i="5"/>
  <c r="P29" i="5"/>
  <c r="Q29" i="5"/>
  <c r="T29" i="5"/>
  <c r="U29" i="5"/>
  <c r="X29" i="5"/>
  <c r="Z29" i="5"/>
  <c r="V29" i="5"/>
  <c r="W29" i="5"/>
  <c r="Y29" i="5"/>
  <c r="Y28" i="5"/>
  <c r="Z28" i="5"/>
  <c r="T28" i="5"/>
  <c r="S28" i="5"/>
  <c r="U28" i="5"/>
  <c r="V28" i="5"/>
  <c r="W28" i="5"/>
  <c r="X28" i="5"/>
  <c r="N28" i="5"/>
  <c r="O28" i="5"/>
  <c r="P28" i="5"/>
  <c r="Q28" i="5"/>
  <c r="R28" i="5"/>
  <c r="N27" i="5"/>
  <c r="Q27" i="5"/>
  <c r="U27" i="5"/>
  <c r="X27" i="5"/>
  <c r="Z27" i="5"/>
  <c r="O27" i="5"/>
  <c r="Y27" i="5"/>
  <c r="W27" i="5"/>
  <c r="V27" i="5"/>
  <c r="T27" i="5"/>
  <c r="S27" i="5"/>
  <c r="R27" i="5"/>
  <c r="P27" i="5"/>
  <c r="T26" i="5"/>
  <c r="U26" i="5"/>
  <c r="V26" i="5"/>
  <c r="W26" i="5"/>
  <c r="X26" i="5"/>
  <c r="Z26" i="5"/>
  <c r="S26" i="5"/>
  <c r="N26" i="5"/>
  <c r="O26" i="5"/>
  <c r="P26" i="5"/>
  <c r="Q26" i="5"/>
  <c r="R26" i="5"/>
  <c r="V25" i="5"/>
  <c r="X25" i="5"/>
  <c r="W25" i="5"/>
  <c r="U25" i="5"/>
  <c r="T25" i="5"/>
  <c r="S25" i="5"/>
  <c r="P25" i="5"/>
  <c r="O25" i="5"/>
  <c r="N25" i="5"/>
  <c r="R25" i="5"/>
  <c r="Q25" i="5"/>
  <c r="Z25" i="5"/>
  <c r="Y25" i="5"/>
  <c r="S24" i="5"/>
  <c r="U24" i="5"/>
  <c r="V24" i="5"/>
  <c r="W24" i="5"/>
  <c r="X24" i="5"/>
  <c r="Y24" i="5"/>
  <c r="Z24" i="5"/>
  <c r="T24" i="5"/>
  <c r="N24" i="5"/>
  <c r="O24" i="5"/>
  <c r="P24" i="5"/>
  <c r="Q24" i="5"/>
  <c r="R24" i="5"/>
  <c r="U23" i="5"/>
  <c r="Z23" i="5"/>
  <c r="Y23" i="5"/>
  <c r="N23" i="5"/>
  <c r="O23" i="5"/>
  <c r="P23" i="5"/>
  <c r="Q23" i="5"/>
  <c r="R23" i="5"/>
  <c r="S23" i="5"/>
  <c r="X23" i="5"/>
  <c r="V23" i="5"/>
  <c r="W23" i="5"/>
  <c r="T23" i="5"/>
  <c r="Z22" i="5"/>
  <c r="Q22" i="5"/>
  <c r="R22" i="5"/>
  <c r="S22" i="5"/>
  <c r="T22" i="5"/>
  <c r="U22" i="5"/>
  <c r="Y22" i="5"/>
  <c r="O22" i="5"/>
  <c r="N22" i="5"/>
  <c r="P22" i="5"/>
  <c r="V22" i="5"/>
  <c r="W22" i="5"/>
  <c r="X22" i="5"/>
  <c r="W21" i="5"/>
  <c r="V21" i="5"/>
  <c r="U21" i="5"/>
  <c r="T21" i="5"/>
  <c r="S21" i="5"/>
  <c r="R21" i="5"/>
  <c r="Q21" i="5"/>
  <c r="P21" i="5"/>
  <c r="O21" i="5"/>
  <c r="N21" i="5"/>
  <c r="Y21" i="5"/>
  <c r="Z21" i="5"/>
  <c r="X21" i="5"/>
  <c r="W20" i="5"/>
  <c r="V20" i="5"/>
  <c r="U20" i="5"/>
  <c r="T20" i="5"/>
  <c r="S20" i="5"/>
  <c r="R20" i="5"/>
  <c r="Q20" i="5"/>
  <c r="P20" i="5"/>
  <c r="N20" i="5"/>
  <c r="O20" i="5"/>
  <c r="Z20" i="5"/>
  <c r="Y20" i="5"/>
  <c r="X20" i="5"/>
  <c r="U19" i="5"/>
  <c r="V19" i="5"/>
  <c r="W19" i="5"/>
  <c r="X19" i="5"/>
  <c r="Y19" i="5"/>
  <c r="Z19" i="5"/>
  <c r="P19" i="5"/>
  <c r="N19" i="5"/>
  <c r="O19" i="5"/>
  <c r="Q19" i="5"/>
  <c r="R19" i="5"/>
  <c r="S19" i="5"/>
  <c r="T19" i="5"/>
  <c r="S18" i="5"/>
  <c r="T18" i="5"/>
  <c r="R18" i="5"/>
  <c r="Q18" i="5"/>
  <c r="O18" i="5"/>
  <c r="N18" i="5"/>
  <c r="P18" i="5"/>
  <c r="X18" i="5"/>
  <c r="Y18" i="5"/>
  <c r="Z18" i="5"/>
  <c r="W18" i="5"/>
  <c r="V18" i="5"/>
  <c r="U18" i="5"/>
  <c r="P17" i="5"/>
  <c r="N17" i="5"/>
  <c r="T17" i="5"/>
  <c r="V17" i="5"/>
  <c r="O17" i="5"/>
  <c r="U17" i="5"/>
  <c r="X17" i="5"/>
  <c r="Y17" i="5"/>
  <c r="Z17" i="5"/>
  <c r="S17" i="5"/>
  <c r="R17" i="5"/>
  <c r="Q17" i="5"/>
  <c r="W17" i="5"/>
  <c r="Y16" i="5"/>
  <c r="Z16" i="5"/>
  <c r="X16" i="5"/>
  <c r="N16" i="5"/>
  <c r="P16" i="5"/>
  <c r="Q16" i="5"/>
  <c r="R16" i="5"/>
  <c r="S16" i="5"/>
  <c r="T16" i="5"/>
  <c r="U16" i="5"/>
  <c r="V16" i="5"/>
  <c r="W16" i="5"/>
  <c r="O16" i="5"/>
  <c r="N15" i="5"/>
  <c r="O15" i="5"/>
  <c r="Q15" i="5"/>
  <c r="R15" i="5"/>
  <c r="S15" i="5"/>
  <c r="T15" i="5"/>
  <c r="Y15" i="5"/>
  <c r="X15" i="5"/>
  <c r="P15" i="5"/>
  <c r="W15" i="5"/>
  <c r="V15" i="5"/>
  <c r="Z15" i="5"/>
  <c r="U15" i="5"/>
  <c r="U14" i="5"/>
  <c r="V14" i="5"/>
  <c r="W14" i="5"/>
  <c r="X14" i="5"/>
  <c r="Y14" i="5"/>
  <c r="Z14" i="5"/>
  <c r="Q14" i="5"/>
  <c r="R14" i="5"/>
  <c r="S14" i="5"/>
  <c r="T14" i="5"/>
  <c r="O14" i="5"/>
  <c r="N14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Z9" i="5"/>
  <c r="Y9" i="5"/>
  <c r="X9" i="5"/>
  <c r="W9" i="5"/>
  <c r="V9" i="5"/>
  <c r="U9" i="5"/>
  <c r="T9" i="5"/>
  <c r="S9" i="5"/>
  <c r="R9" i="5"/>
  <c r="Q9" i="5"/>
  <c r="P9" i="5"/>
  <c r="O9" i="5"/>
  <c r="N9" i="5"/>
  <c r="Z8" i="5"/>
  <c r="Y8" i="5"/>
  <c r="X8" i="5"/>
  <c r="W8" i="5"/>
  <c r="V8" i="5"/>
  <c r="U8" i="5"/>
  <c r="T8" i="5"/>
  <c r="S8" i="5"/>
  <c r="R8" i="5"/>
  <c r="Q8" i="5"/>
  <c r="P8" i="5"/>
  <c r="O8" i="5"/>
  <c r="N8" i="5"/>
  <c r="Z7" i="5"/>
  <c r="Y7" i="5"/>
  <c r="X7" i="5"/>
  <c r="W7" i="5"/>
  <c r="V7" i="5"/>
  <c r="U7" i="5"/>
  <c r="T7" i="5"/>
  <c r="S7" i="5"/>
  <c r="R7" i="5"/>
  <c r="Q7" i="5"/>
  <c r="P7" i="5"/>
  <c r="O7" i="5"/>
  <c r="N7" i="5"/>
  <c r="R29" i="3"/>
  <c r="W29" i="3" s="1"/>
  <c r="R28" i="3"/>
  <c r="S28" i="3" s="1"/>
  <c r="R27" i="3"/>
  <c r="W27" i="3" s="1"/>
  <c r="R26" i="3"/>
  <c r="S26" i="3" s="1"/>
  <c r="R25" i="3"/>
  <c r="W25" i="3" s="1"/>
  <c r="R24" i="3"/>
  <c r="W24" i="3" s="1"/>
  <c r="R23" i="3"/>
  <c r="S23" i="3" s="1"/>
  <c r="R22" i="3"/>
  <c r="W22" i="3" s="1"/>
  <c r="R21" i="3"/>
  <c r="S21" i="3" s="1"/>
  <c r="R20" i="3"/>
  <c r="W20" i="3" s="1"/>
  <c r="R19" i="3"/>
  <c r="S19" i="3" s="1"/>
  <c r="R18" i="3"/>
  <c r="W18" i="3" s="1"/>
  <c r="R17" i="3"/>
  <c r="S17" i="3" s="1"/>
  <c r="W16" i="3"/>
  <c r="R15" i="3"/>
  <c r="S15" i="3" s="1"/>
  <c r="R14" i="3"/>
  <c r="W14" i="3" s="1"/>
  <c r="R13" i="3"/>
  <c r="S13" i="3" s="1"/>
  <c r="R12" i="3"/>
  <c r="W12" i="3" s="1"/>
  <c r="R11" i="3"/>
  <c r="S11" i="3" s="1"/>
  <c r="R10" i="3"/>
  <c r="W10" i="3" s="1"/>
  <c r="P28" i="3" l="1"/>
  <c r="N26" i="3"/>
  <c r="V28" i="3"/>
  <c r="U26" i="3"/>
  <c r="L28" i="3"/>
  <c r="P25" i="3"/>
  <c r="U21" i="3"/>
  <c r="V21" i="3"/>
  <c r="M21" i="3"/>
  <c r="Q12" i="3"/>
  <c r="P15" i="3"/>
  <c r="Q25" i="3"/>
  <c r="N21" i="3"/>
  <c r="P17" i="3"/>
  <c r="T21" i="3"/>
  <c r="P26" i="3"/>
  <c r="P29" i="3"/>
  <c r="Q29" i="3"/>
  <c r="P13" i="3"/>
  <c r="V17" i="3"/>
  <c r="P18" i="3"/>
  <c r="P20" i="3"/>
  <c r="L17" i="3"/>
  <c r="Q20" i="3"/>
  <c r="L11" i="3"/>
  <c r="V13" i="3"/>
  <c r="M11" i="3"/>
  <c r="Q14" i="3"/>
  <c r="M13" i="3"/>
  <c r="P10" i="3"/>
  <c r="Q10" i="3"/>
  <c r="U23" i="3"/>
  <c r="V23" i="3"/>
  <c r="M28" i="3"/>
  <c r="N13" i="3"/>
  <c r="N15" i="3"/>
  <c r="Q22" i="3"/>
  <c r="T26" i="3"/>
  <c r="N28" i="3"/>
  <c r="L23" i="3"/>
  <c r="V26" i="3"/>
  <c r="T13" i="3"/>
  <c r="U15" i="3"/>
  <c r="Q18" i="3"/>
  <c r="P21" i="3"/>
  <c r="N23" i="3"/>
  <c r="P27" i="3"/>
  <c r="T28" i="3"/>
  <c r="P12" i="3"/>
  <c r="U13" i="3"/>
  <c r="V15" i="3"/>
  <c r="P23" i="3"/>
  <c r="M26" i="3"/>
  <c r="Q27" i="3"/>
  <c r="U28" i="3"/>
  <c r="T19" i="3"/>
  <c r="N11" i="3"/>
  <c r="M17" i="3"/>
  <c r="U19" i="3"/>
  <c r="P24" i="3"/>
  <c r="P11" i="3"/>
  <c r="L13" i="3"/>
  <c r="P14" i="3"/>
  <c r="T15" i="3"/>
  <c r="N17" i="3"/>
  <c r="V19" i="3"/>
  <c r="M23" i="3"/>
  <c r="Q24" i="3"/>
  <c r="L26" i="3"/>
  <c r="L27" i="3"/>
  <c r="T29" i="3"/>
  <c r="L19" i="3"/>
  <c r="M19" i="3"/>
  <c r="T11" i="3"/>
  <c r="U11" i="3"/>
  <c r="L15" i="3"/>
  <c r="P16" i="3"/>
  <c r="T17" i="3"/>
  <c r="N19" i="3"/>
  <c r="V11" i="3"/>
  <c r="M15" i="3"/>
  <c r="Q16" i="3"/>
  <c r="U17" i="3"/>
  <c r="P19" i="3"/>
  <c r="L21" i="3"/>
  <c r="P22" i="3"/>
  <c r="T23" i="3"/>
  <c r="L29" i="3"/>
  <c r="S10" i="3"/>
  <c r="O11" i="3"/>
  <c r="W11" i="3"/>
  <c r="S12" i="3"/>
  <c r="O13" i="3"/>
  <c r="W13" i="3"/>
  <c r="S14" i="3"/>
  <c r="O15" i="3"/>
  <c r="W15" i="3"/>
  <c r="S16" i="3"/>
  <c r="O17" i="3"/>
  <c r="W17" i="3"/>
  <c r="S18" i="3"/>
  <c r="O19" i="3"/>
  <c r="W19" i="3"/>
  <c r="S20" i="3"/>
  <c r="O21" i="3"/>
  <c r="W21" i="3"/>
  <c r="S22" i="3"/>
  <c r="O23" i="3"/>
  <c r="W23" i="3"/>
  <c r="S24" i="3"/>
  <c r="S25" i="3"/>
  <c r="O26" i="3"/>
  <c r="W26" i="3"/>
  <c r="S27" i="3"/>
  <c r="O28" i="3"/>
  <c r="W28" i="3"/>
  <c r="S29" i="3"/>
  <c r="L10" i="3"/>
  <c r="L12" i="3"/>
  <c r="L14" i="3"/>
  <c r="L16" i="3"/>
  <c r="T18" i="3"/>
  <c r="L25" i="3"/>
  <c r="T27" i="3"/>
  <c r="M10" i="3"/>
  <c r="U10" i="3"/>
  <c r="Q11" i="3"/>
  <c r="M12" i="3"/>
  <c r="U12" i="3"/>
  <c r="Q13" i="3"/>
  <c r="M14" i="3"/>
  <c r="U14" i="3"/>
  <c r="Q15" i="3"/>
  <c r="M16" i="3"/>
  <c r="U16" i="3"/>
  <c r="Q17" i="3"/>
  <c r="M18" i="3"/>
  <c r="U18" i="3"/>
  <c r="Q19" i="3"/>
  <c r="M20" i="3"/>
  <c r="U20" i="3"/>
  <c r="Q21" i="3"/>
  <c r="M22" i="3"/>
  <c r="U22" i="3"/>
  <c r="Q23" i="3"/>
  <c r="M24" i="3"/>
  <c r="U24" i="3"/>
  <c r="M25" i="3"/>
  <c r="U25" i="3"/>
  <c r="Q26" i="3"/>
  <c r="M27" i="3"/>
  <c r="U27" i="3"/>
  <c r="Q28" i="3"/>
  <c r="M29" i="3"/>
  <c r="U29" i="3"/>
  <c r="T10" i="3"/>
  <c r="T12" i="3"/>
  <c r="T20" i="3"/>
  <c r="T22" i="3"/>
  <c r="T24" i="3"/>
  <c r="N10" i="3"/>
  <c r="N12" i="3"/>
  <c r="V12" i="3"/>
  <c r="N14" i="3"/>
  <c r="V14" i="3"/>
  <c r="N16" i="3"/>
  <c r="V16" i="3"/>
  <c r="N18" i="3"/>
  <c r="V18" i="3"/>
  <c r="N20" i="3"/>
  <c r="N22" i="3"/>
  <c r="V22" i="3"/>
  <c r="V24" i="3"/>
  <c r="N25" i="3"/>
  <c r="V25" i="3"/>
  <c r="N27" i="3"/>
  <c r="V27" i="3"/>
  <c r="N29" i="3"/>
  <c r="V29" i="3"/>
  <c r="T14" i="3"/>
  <c r="T16" i="3"/>
  <c r="L18" i="3"/>
  <c r="L20" i="3"/>
  <c r="L22" i="3"/>
  <c r="L24" i="3"/>
  <c r="T25" i="3"/>
  <c r="V10" i="3"/>
  <c r="V20" i="3"/>
  <c r="N24" i="3"/>
  <c r="O10" i="3"/>
  <c r="O12" i="3"/>
  <c r="O14" i="3"/>
  <c r="O16" i="3"/>
  <c r="O18" i="3"/>
  <c r="O20" i="3"/>
  <c r="O22" i="3"/>
  <c r="O24" i="3"/>
  <c r="O25" i="3"/>
  <c r="O27" i="3"/>
  <c r="O29" i="3"/>
</calcChain>
</file>

<file path=xl/sharedStrings.xml><?xml version="1.0" encoding="utf-8"?>
<sst xmlns="http://schemas.openxmlformats.org/spreadsheetml/2006/main" count="704" uniqueCount="312">
  <si>
    <t>BLOQUE</t>
  </si>
  <si>
    <t>PROGRAMA</t>
  </si>
  <si>
    <t>DIA</t>
  </si>
  <si>
    <t>HRA</t>
  </si>
  <si>
    <t>CLASIF</t>
  </si>
  <si>
    <t>TARIFA TI</t>
  </si>
  <si>
    <t>Off</t>
  </si>
  <si>
    <t>Chv Noticias AM Contigo</t>
  </si>
  <si>
    <t>LMWJV</t>
  </si>
  <si>
    <t>P78</t>
  </si>
  <si>
    <t>Contigo en La Mañana A</t>
  </si>
  <si>
    <t>08:00 a 11:30</t>
  </si>
  <si>
    <t>Contigo en La Mañana B</t>
  </si>
  <si>
    <t>11:30 a 13:00</t>
  </si>
  <si>
    <t>Chv Noticias Tarde</t>
  </si>
  <si>
    <t>Contigo en Directo</t>
  </si>
  <si>
    <t>Plan Perfecto</t>
  </si>
  <si>
    <t>Prime</t>
  </si>
  <si>
    <t>Chv Noticias Central</t>
  </si>
  <si>
    <t>S</t>
  </si>
  <si>
    <t>D</t>
  </si>
  <si>
    <t>LMW</t>
  </si>
  <si>
    <t>J</t>
  </si>
  <si>
    <t>V</t>
  </si>
  <si>
    <t>P99</t>
  </si>
  <si>
    <t>Primer Plano</t>
  </si>
  <si>
    <t>P73</t>
  </si>
  <si>
    <t>P54</t>
  </si>
  <si>
    <t>SD</t>
  </si>
  <si>
    <t>Sabingo AM</t>
  </si>
  <si>
    <t>Chv Noticias AM Fin de Semana</t>
  </si>
  <si>
    <t>Chv Noticias Tarde Sáb.Dgo.</t>
  </si>
  <si>
    <t>Sabingo A</t>
  </si>
  <si>
    <t>15:00 a 18:00</t>
  </si>
  <si>
    <t>P82</t>
  </si>
  <si>
    <t>Sabingo B</t>
  </si>
  <si>
    <t>18:30 a 20:30</t>
  </si>
  <si>
    <t>Unitario 70"</t>
  </si>
  <si>
    <t>VALORES CON DESCUENTO NETOS</t>
  </si>
  <si>
    <t>Cliente</t>
  </si>
  <si>
    <t>Agencia</t>
  </si>
  <si>
    <t>Fecha</t>
  </si>
  <si>
    <t>Contacto</t>
  </si>
  <si>
    <t>Validez</t>
  </si>
  <si>
    <t>P87</t>
  </si>
  <si>
    <t>COMPARA</t>
  </si>
  <si>
    <t>FORZA</t>
  </si>
  <si>
    <t>SEBA PADILLA</t>
  </si>
  <si>
    <t>P92</t>
  </si>
  <si>
    <t>P89</t>
  </si>
  <si>
    <t>El Club de la Comedia</t>
  </si>
  <si>
    <t>El Var, after del Baile</t>
  </si>
  <si>
    <t>P107</t>
  </si>
  <si>
    <t>P97</t>
  </si>
  <si>
    <t>La Divina Comida</t>
  </si>
  <si>
    <t>P77</t>
  </si>
  <si>
    <t>P103</t>
  </si>
  <si>
    <t>P109</t>
  </si>
  <si>
    <t xml:space="preserve">Fiebre de Canto </t>
  </si>
  <si>
    <t>P105</t>
  </si>
  <si>
    <t>P84</t>
  </si>
  <si>
    <t>21.09.2026</t>
  </si>
  <si>
    <t>OCTUBRE</t>
  </si>
  <si>
    <t>PRECIOS PAUTA OCTUBRE 2026</t>
  </si>
  <si>
    <t>Rating</t>
  </si>
  <si>
    <t>Valor 60 segundos</t>
  </si>
  <si>
    <t>Valor 55 segundos</t>
  </si>
  <si>
    <t>Valor 50 segundos</t>
  </si>
  <si>
    <t>Valor 45 segundos</t>
  </si>
  <si>
    <t>Valor 40 segundos</t>
  </si>
  <si>
    <t>Valor 35 segundos</t>
  </si>
  <si>
    <t>Valor 30 segundos</t>
  </si>
  <si>
    <t>Valor 25 segundos</t>
  </si>
  <si>
    <t>Valor 20 segundos</t>
  </si>
  <si>
    <t>Valor 15 segundos</t>
  </si>
  <si>
    <t>Valor 10 segundos</t>
  </si>
  <si>
    <t>Valor 5 segundos</t>
  </si>
  <si>
    <t>TARIFAS MEGA VALIDAS PARA OCTUBRE 2026</t>
  </si>
  <si>
    <t>DÍAS</t>
  </si>
  <si>
    <t>HORARIO</t>
  </si>
  <si>
    <t>Valor 5</t>
  </si>
  <si>
    <t>Valor 10</t>
  </si>
  <si>
    <t>Valor 15</t>
  </si>
  <si>
    <t>Valor 20</t>
  </si>
  <si>
    <t>Valor 25</t>
  </si>
  <si>
    <t>Valor 30</t>
  </si>
  <si>
    <t>Valor 35</t>
  </si>
  <si>
    <t>Valor 40</t>
  </si>
  <si>
    <t>Valor 45</t>
  </si>
  <si>
    <t>Valor 50</t>
  </si>
  <si>
    <t>Valor 55</t>
  </si>
  <si>
    <t>Valor 60</t>
  </si>
  <si>
    <t>MEGANOTICIAS AMANECE</t>
  </si>
  <si>
    <t>L-V</t>
  </si>
  <si>
    <t>05:45-08:00</t>
  </si>
  <si>
    <t>MUCHO GUSTO</t>
  </si>
  <si>
    <t>08:00-13:00</t>
  </si>
  <si>
    <t>MEGANOTICIAS ALERTA SEMANA</t>
  </si>
  <si>
    <t>13:00-15:00</t>
  </si>
  <si>
    <t>LA HORA DE JUGAR</t>
  </si>
  <si>
    <t>15:00-15:45</t>
  </si>
  <si>
    <t>CARMEN GLORIA FUERTE Y CLARO</t>
  </si>
  <si>
    <t>15:45-16:45</t>
  </si>
  <si>
    <t>EL TIEMPO TARDE</t>
  </si>
  <si>
    <t>16:00-16:15</t>
  </si>
  <si>
    <t>LA BARONESA A</t>
  </si>
  <si>
    <t>16:45-17:30</t>
  </si>
  <si>
    <t>LA BARONESA B</t>
  </si>
  <si>
    <t>17:30-18:15</t>
  </si>
  <si>
    <t>MEGANOTICIAS SIEMPRE JUNTOS</t>
  </si>
  <si>
    <t>S-D</t>
  </si>
  <si>
    <t>08:30-13:00</t>
  </si>
  <si>
    <t>MEGANOTICIAS ACTUALIZA FIN DE SEMANA</t>
  </si>
  <si>
    <t>ACCESO A LO NUESTRO</t>
  </si>
  <si>
    <t>16:00-17:00</t>
  </si>
  <si>
    <t>A QUE COSTO</t>
  </si>
  <si>
    <t>DE PASEO DOMINGO</t>
  </si>
  <si>
    <t>15:00-18:50</t>
  </si>
  <si>
    <t>TESOROS DE MI BARRIO</t>
  </si>
  <si>
    <t>17:00-18:00</t>
  </si>
  <si>
    <t>VIAJANDO ANDO</t>
  </si>
  <si>
    <t>18:00-19:00</t>
  </si>
  <si>
    <t>NUESTRAS FIESTAS B</t>
  </si>
  <si>
    <t>19:00-20:00</t>
  </si>
  <si>
    <t>DETRAS DEL MURO LO MEJOR</t>
  </si>
  <si>
    <t>18:50-20:00</t>
  </si>
  <si>
    <t>DALE PLAY</t>
  </si>
  <si>
    <t>18:15-20:00</t>
  </si>
  <si>
    <t>MEGANOTICIAS PRIME</t>
  </si>
  <si>
    <t>20:00-21.30</t>
  </si>
  <si>
    <t>REUNION DE SUPERADOS</t>
  </si>
  <si>
    <t>L-J</t>
  </si>
  <si>
    <t>21:30-22:15</t>
  </si>
  <si>
    <t>PROHIBIDA OBSESION</t>
  </si>
  <si>
    <t>VOLVERIAS CON TU EX 2</t>
  </si>
  <si>
    <t>LJ</t>
  </si>
  <si>
    <t>22:20-00:15</t>
  </si>
  <si>
    <t>MEGANOTICIAS PRIME SABADO</t>
  </si>
  <si>
    <t>20:00-22:10</t>
  </si>
  <si>
    <t>MEGANOTICIAS PRIME DOMINGO</t>
  </si>
  <si>
    <t>20:00-21:45</t>
  </si>
  <si>
    <t>DETRAS DEL MURO</t>
  </si>
  <si>
    <t>22:10-00:30</t>
  </si>
  <si>
    <t>133 ATRAPADOS POR LA REALIDAD</t>
  </si>
  <si>
    <t>21:45-22:30</t>
  </si>
  <si>
    <t>COLISEO ROMANO</t>
  </si>
  <si>
    <t>LA HORA DE JUGAR TRASNOCHE</t>
  </si>
  <si>
    <t>00:15-02:40</t>
  </si>
  <si>
    <t>DALE PLAY TRASNOCHE</t>
  </si>
  <si>
    <t>J-D</t>
  </si>
  <si>
    <t>01:00-02:40</t>
  </si>
  <si>
    <t>TRAVEL APP</t>
  </si>
  <si>
    <t>00:15-00:45</t>
  </si>
  <si>
    <t>NUESTRAS FIESTAS TRASNOCHE</t>
  </si>
  <si>
    <t>00:45-01:45</t>
  </si>
  <si>
    <t>Bloque</t>
  </si>
  <si>
    <t>Prime time</t>
  </si>
  <si>
    <t>RATING</t>
  </si>
  <si>
    <t>SUPERIOR</t>
  </si>
  <si>
    <t>ALTA</t>
  </si>
  <si>
    <t>OCTUBRE 2026</t>
  </si>
  <si>
    <t>MEDIA</t>
  </si>
  <si>
    <t>VIGENTE DESDE EL 1 AL 31 DE OCTUBRE DE 2026</t>
  </si>
  <si>
    <t>BAJA</t>
  </si>
  <si>
    <t>DIAS</t>
  </si>
  <si>
    <t>VIGENCIA TARIFA</t>
  </si>
  <si>
    <t>HORA INICIO</t>
  </si>
  <si>
    <t>HORA FIN</t>
  </si>
  <si>
    <t>ENLACE</t>
  </si>
  <si>
    <t>CODIGO</t>
  </si>
  <si>
    <t>NVL</t>
  </si>
  <si>
    <t>CLASIF.</t>
  </si>
  <si>
    <t>Valor 65</t>
  </si>
  <si>
    <t>AHORA CAIGO</t>
  </si>
  <si>
    <t>LMWJ</t>
  </si>
  <si>
    <t>01 - 31 Oct.</t>
  </si>
  <si>
    <t>AHORA CAIGO LMWJ 01 - 31 Oct.</t>
  </si>
  <si>
    <t>X32</t>
  </si>
  <si>
    <t>AHORA CAIGO KIDS</t>
  </si>
  <si>
    <t>AHORA CAIGO KIDS V 01 - 31 Oct.</t>
  </si>
  <si>
    <t>24 HORAS CENTRAL</t>
  </si>
  <si>
    <t>24 HORAS CENTRAL LMWJV 01 - 31 Oct.</t>
  </si>
  <si>
    <t>X37</t>
  </si>
  <si>
    <t>24 HORAS CENTRAL SABADO</t>
  </si>
  <si>
    <t>24 HORAS CENTRAL SABADO S 01 - 31 Oct.</t>
  </si>
  <si>
    <t>X31</t>
  </si>
  <si>
    <t>24 HORAS CENTRAL DOMINGO</t>
  </si>
  <si>
    <t>24 HORAS CENTRAL DOMINGO D 01 - 31 Oct.</t>
  </si>
  <si>
    <t>X34</t>
  </si>
  <si>
    <t>TV TIEMPO</t>
  </si>
  <si>
    <t>TV TIEMPO LMWJV 01 - 31 Oct.</t>
  </si>
  <si>
    <t>TV TIEMPO S 01 - 31 Oct.</t>
  </si>
  <si>
    <t>TV TIEMPO D 01 - 31 Oct.</t>
  </si>
  <si>
    <t>MASTERCHEF CHILE</t>
  </si>
  <si>
    <t>LMWJD</t>
  </si>
  <si>
    <t>MASTERCHEF CHILE LMWJD 01 - 31 Oct.</t>
  </si>
  <si>
    <t>AHORA CAIGO PRIME</t>
  </si>
  <si>
    <t>AHORA CAIGO PRIME V 01 - 31 Oct.</t>
  </si>
  <si>
    <t>X22</t>
  </si>
  <si>
    <t>BEST SELLER</t>
  </si>
  <si>
    <t>BEST SELLER S 01 - 31 Oct.</t>
  </si>
  <si>
    <t>X23</t>
  </si>
  <si>
    <t>AVENIDA BRASIL</t>
  </si>
  <si>
    <t>AVENIDA BRASIL LMWJD 01 - 31 Oct.</t>
  </si>
  <si>
    <t>X9</t>
  </si>
  <si>
    <t>24 HORAS AL CIERRE</t>
  </si>
  <si>
    <t>24 HORAS AL CIERRE LMWJ 01 - 31 Oct.</t>
  </si>
  <si>
    <t>X6</t>
  </si>
  <si>
    <t>24 HORAS TU MAÑANA (A)</t>
  </si>
  <si>
    <t>24 HORAS TU MAÑANA (A) LMWJV 01 - 31 Oct.</t>
  </si>
  <si>
    <t>X8</t>
  </si>
  <si>
    <t>24 HORAS TU MAÑANA (B)</t>
  </si>
  <si>
    <t>24 HORAS TU MAÑANA (B) LMWJV 01 - 31 Oct.</t>
  </si>
  <si>
    <t>X15</t>
  </si>
  <si>
    <t>BUENOS DIAS A TODOS</t>
  </si>
  <si>
    <t>BUENOS DIAS A TODOS LMWJV 01 - 31 Oct.</t>
  </si>
  <si>
    <t>X17</t>
  </si>
  <si>
    <t>EL MEDIO DIA</t>
  </si>
  <si>
    <t>EL MEDIO DIA LMWJV 01 - 31 Oct.</t>
  </si>
  <si>
    <t>X18</t>
  </si>
  <si>
    <t>24 HORAS AL DIA</t>
  </si>
  <si>
    <t>24 HORAS AL DIA LMWJV 01 - 31 Oct.</t>
  </si>
  <si>
    <t>X21</t>
  </si>
  <si>
    <t>PAMPA ILUSION</t>
  </si>
  <si>
    <t>PAMPA ILUSION LMWJV 01 - 31 Oct.</t>
  </si>
  <si>
    <t>X27</t>
  </si>
  <si>
    <t>LA PROMESA</t>
  </si>
  <si>
    <t>LA PROMESA LMWJV 01 - 31 Oct.</t>
  </si>
  <si>
    <t>CASO CERRADO</t>
  </si>
  <si>
    <t>CASO CERRADO LMWJV 01 - 31 Oct.</t>
  </si>
  <si>
    <t>EL CHAPULIN COLORADO</t>
  </si>
  <si>
    <t>EL CHAPULIN COLORADO S 01 - 31 Oct.</t>
  </si>
  <si>
    <t>X2</t>
  </si>
  <si>
    <t>CHILENOS DE NORTE A SUR</t>
  </si>
  <si>
    <t>CHILENOS DE NORTE A SUR S 01 - 31 Oct.</t>
  </si>
  <si>
    <t>X4</t>
  </si>
  <si>
    <t>EL CHAVO DEL OCHO SABADO</t>
  </si>
  <si>
    <t>EL CHAVO DEL OCHO SABADO S 01 - 31 Oct.</t>
  </si>
  <si>
    <t>X14</t>
  </si>
  <si>
    <t>24 HORAS AL DIA S 01 - 31 Oct.</t>
  </si>
  <si>
    <t>SUPER CINE PM (A)</t>
  </si>
  <si>
    <t>SUPER CINE PM (A) S 01 - 31 Oct.</t>
  </si>
  <si>
    <t>SUPER CINE PM (B)</t>
  </si>
  <si>
    <t>SUPER CINE PM (B) S 01 - 31 Oct.</t>
  </si>
  <si>
    <t>X19</t>
  </si>
  <si>
    <t>MASTERCHEF (LO MEJOR) SAB</t>
  </si>
  <si>
    <t>MASTERCHEF (LO MEJOR) SAB S 01 - 31 Oct.</t>
  </si>
  <si>
    <t>X24</t>
  </si>
  <si>
    <t>EL CHAPULIN COLORADO D 01 - 31 Oct.</t>
  </si>
  <si>
    <t>24 HORAS A LA HORA DOMINGO</t>
  </si>
  <si>
    <t>24 HORAS A LA HORA DOMINGO D 01 - 31 Oct.</t>
  </si>
  <si>
    <t>ESTADO NACIONAL</t>
  </si>
  <si>
    <t>ESTADO NACIONAL D 01 - 31 Oct.</t>
  </si>
  <si>
    <t>X11</t>
  </si>
  <si>
    <t>CANTINFLAS EN TVN</t>
  </si>
  <si>
    <t>CANTINFLAS EN TVN D 01 - 31 Oct.</t>
  </si>
  <si>
    <t>24 HORAS AL DIA D 01 - 31 Oct.</t>
  </si>
  <si>
    <t>CHILE CONECTADO (A)</t>
  </si>
  <si>
    <t>CHILE CONECTADO (A) D 01 - 31 Oct.</t>
  </si>
  <si>
    <t>CHILE CONECTADO (B)</t>
  </si>
  <si>
    <t>CHILE CONECTADO (B) D 01 - 31 Oct.</t>
  </si>
  <si>
    <t>X16</t>
  </si>
  <si>
    <t>MASTERCHEF (LO MEJOR) DOM</t>
  </si>
  <si>
    <t>MASTERCHEF (LO MEJOR) DOM D 01 - 31 Oct.</t>
  </si>
  <si>
    <t>MARATON DE VIÑA</t>
  </si>
  <si>
    <t>04 Oct.</t>
  </si>
  <si>
    <t>MARATON DE VIÑA D 04 Oct.</t>
  </si>
  <si>
    <t>PROGRAMAS L-V</t>
  </si>
  <si>
    <t>TRES POR TRES</t>
  </si>
  <si>
    <t>TELETRECE A.M.</t>
  </si>
  <si>
    <t>TU DÍA</t>
  </si>
  <si>
    <t>TELETRECE TARDE</t>
  </si>
  <si>
    <t>VALE TODO</t>
  </si>
  <si>
    <t>ALFOMBRA ROJA</t>
  </si>
  <si>
    <t>QUE DICE CHILE</t>
  </si>
  <si>
    <t>TELETRECE</t>
  </si>
  <si>
    <t>EL TIEMPO</t>
  </si>
  <si>
    <t>VECINOS AL LÍMITE</t>
  </si>
  <si>
    <t>VÉRTIGO EXTREMO</t>
  </si>
  <si>
    <t>L</t>
  </si>
  <si>
    <t>BIOGRAFÍAS</t>
  </si>
  <si>
    <t>M</t>
  </si>
  <si>
    <t>SIEMPRE HAY UN CHILENO</t>
  </si>
  <si>
    <t>MI</t>
  </si>
  <si>
    <t>VÉRTIGO</t>
  </si>
  <si>
    <t>QUE DICE CHILE PRIME</t>
  </si>
  <si>
    <t>QUÉ DICE CHILE, REPETICIÓN</t>
  </si>
  <si>
    <t>L-M;J-V</t>
  </si>
  <si>
    <t>TRAVESÍA 13C (S)</t>
  </si>
  <si>
    <t>T13 FINDE</t>
  </si>
  <si>
    <t>TELETRECE TARDE (S)</t>
  </si>
  <si>
    <t>SÁBADO DE PELÍCULAS</t>
  </si>
  <si>
    <t>CULTURA TARDE</t>
  </si>
  <si>
    <t>CULTURA ACCESS PRIME (S)</t>
  </si>
  <si>
    <t>TELETRECE (S)</t>
  </si>
  <si>
    <t>EL TIEMPO (S)</t>
  </si>
  <si>
    <t>CULTURA PRIME: LUGARES QUE HABLAN</t>
  </si>
  <si>
    <t>ONLY COMPARINI</t>
  </si>
  <si>
    <t>TRAVESÍA 13C (D)</t>
  </si>
  <si>
    <t>TELETRECE A LA HORA</t>
  </si>
  <si>
    <t>MESA CENTRAL</t>
  </si>
  <si>
    <t>TELETRECE TARDE (D)</t>
  </si>
  <si>
    <t>DOMINGO DE PELICULAS 1</t>
  </si>
  <si>
    <t>DOMINGO DE PELICULAS 2</t>
  </si>
  <si>
    <t>CULTURA ACCESS PRIME (D)</t>
  </si>
  <si>
    <t>TELETRECE (D)</t>
  </si>
  <si>
    <t>EL TIEMPO (D)</t>
  </si>
  <si>
    <t>SOCIOS POR CHILE</t>
  </si>
  <si>
    <t>SOCIOS POR EL MUNDO, REPETICIÓN</t>
  </si>
  <si>
    <t>VERTIGO ESTELAR, REPETICIÓN</t>
  </si>
  <si>
    <t>Valor 70</t>
  </si>
  <si>
    <t xml:space="preserve">Off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</si>
</sst>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5" formatCode="&quot;$&quot;#,##0;&quot;$&quot;\-#,##0"/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* #,##0_-;\-* #,##0_-;_-* &quot;-&quot;??_-;_-@_-"/>
    <numFmt numFmtId="165" formatCode="&quot;$&quot;#,##0"/>
    <numFmt numFmtId="166" formatCode="_-* #,##0.0_-;\-* #,##0.0_-;_-* &quot;-&quot;??_-;_-@_-"/>
    <numFmt numFmtId="167" formatCode="#,##0.0"/>
    <numFmt numFmtId="168" formatCode="hh:mm"/>
    <numFmt numFmtId="169" formatCode=";;;"/>
    <numFmt numFmtId="176" formatCode="[$-F400]h:mm:ss\ AM/PM"/>
    <numFmt numFmtId="177" formatCode="_-* #,##0.00\ _€_-;\-* #,##0.00\ _€_-;_-* &quot;-&quot;??\ _€_-;_-@_-"/>
    <numFmt numFmtId="178" formatCode="_-* #,##0\ _€_-;\-* #,##0\ _€_-;_-* &quot;-&quot;??\ _€_-;_-@_-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FF0066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24"/>
      <name val="Aptos Narrow"/>
      <family val="2"/>
      <scheme val="minor"/>
    </font>
    <font>
      <sz val="8"/>
      <name val="Aptos Narrow"/>
      <family val="2"/>
      <scheme val="minor"/>
    </font>
    <font>
      <u/>
      <sz val="10"/>
      <color indexed="12"/>
      <name val="Arial"/>
      <family val="2"/>
    </font>
    <font>
      <b/>
      <sz val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FFECAF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22"/>
      <name val="Aptos Narrow"/>
      <family val="2"/>
      <scheme val="minor"/>
    </font>
    <font>
      <b/>
      <sz val="26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sz val="20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9"/>
      <color theme="1"/>
      <name val="Calibri"/>
      <family val="2"/>
    </font>
    <font>
      <b/>
      <sz val="8"/>
      <color theme="1"/>
      <name val="Arial"/>
      <family val="2"/>
    </font>
    <font>
      <sz val="9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 tint="-4.9989318521683403E-2"/>
        <bgColor indexed="64"/>
      </patternFill>
    </fill>
    <fill>
      <gradientFill>
        <stop position="0">
          <color theme="0" tint="-5.0965910824915313E-2"/>
        </stop>
        <stop position="1">
          <color rgb="FF404F62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D4B4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41" fontId="1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5" fillId="0" borderId="0"/>
  </cellStyleXfs>
  <cellXfs count="240">
    <xf numFmtId="0" fontId="0" fillId="0" borderId="0" xfId="0"/>
    <xf numFmtId="164" fontId="6" fillId="0" borderId="0" xfId="1" applyNumberFormat="1" applyFont="1" applyFill="1" applyBorder="1" applyAlignment="1">
      <alignment horizontal="center"/>
    </xf>
    <xf numFmtId="0" fontId="7" fillId="0" borderId="0" xfId="5" applyFont="1" applyFill="1" applyBorder="1" applyAlignment="1">
      <alignment horizontal="center"/>
    </xf>
    <xf numFmtId="9" fontId="8" fillId="0" borderId="0" xfId="3" applyFont="1" applyFill="1" applyBorder="1" applyAlignment="1">
      <alignment horizontal="center"/>
    </xf>
    <xf numFmtId="0" fontId="9" fillId="0" borderId="0" xfId="5" applyFont="1" applyFill="1" applyBorder="1"/>
    <xf numFmtId="165" fontId="10" fillId="0" borderId="0" xfId="5" applyNumberFormat="1" applyFont="1" applyFill="1" applyBorder="1" applyAlignment="1">
      <alignment horizontal="center"/>
    </xf>
    <xf numFmtId="166" fontId="9" fillId="0" borderId="0" xfId="5" applyNumberFormat="1" applyFont="1" applyFill="1" applyBorder="1" applyAlignment="1">
      <alignment horizontal="left"/>
    </xf>
    <xf numFmtId="3" fontId="9" fillId="0" borderId="0" xfId="5" applyNumberFormat="1" applyFont="1" applyFill="1" applyBorder="1" applyAlignment="1">
      <alignment horizontal="left"/>
    </xf>
    <xf numFmtId="0" fontId="11" fillId="0" borderId="0" xfId="5" applyFont="1" applyFill="1" applyBorder="1" applyAlignment="1">
      <alignment vertical="top"/>
    </xf>
    <xf numFmtId="165" fontId="10" fillId="0" borderId="0" xfId="5" applyNumberFormat="1" applyFont="1" applyFill="1" applyBorder="1" applyAlignment="1">
      <alignment horizontal="center" vertical="top"/>
    </xf>
    <xf numFmtId="9" fontId="12" fillId="0" borderId="0" xfId="3" applyFont="1" applyFill="1" applyBorder="1" applyAlignment="1">
      <alignment vertical="top"/>
    </xf>
    <xf numFmtId="0" fontId="12" fillId="0" borderId="0" xfId="5" applyFont="1" applyFill="1" applyBorder="1"/>
    <xf numFmtId="0" fontId="2" fillId="2" borderId="1" xfId="5" applyFont="1" applyFill="1" applyBorder="1" applyAlignment="1">
      <alignment horizontal="center" vertical="center" wrapText="1"/>
    </xf>
    <xf numFmtId="0" fontId="2" fillId="2" borderId="2" xfId="5" applyFont="1" applyFill="1" applyBorder="1" applyAlignment="1">
      <alignment horizontal="center" vertical="center" wrapText="1"/>
    </xf>
    <xf numFmtId="49" fontId="2" fillId="2" borderId="2" xfId="5" quotePrefix="1" applyNumberFormat="1" applyFont="1" applyFill="1" applyBorder="1" applyAlignment="1">
      <alignment horizontal="center" vertical="center" wrapText="1"/>
    </xf>
    <xf numFmtId="0" fontId="15" fillId="0" borderId="0" xfId="5" applyFont="1" applyFill="1" applyBorder="1" applyAlignment="1">
      <alignment horizontal="center"/>
    </xf>
    <xf numFmtId="0" fontId="16" fillId="0" borderId="0" xfId="5" applyFont="1" applyFill="1" applyBorder="1"/>
    <xf numFmtId="167" fontId="10" fillId="0" borderId="5" xfId="5" applyNumberFormat="1" applyFont="1" applyFill="1" applyBorder="1" applyAlignment="1">
      <alignment horizontal="left"/>
    </xf>
    <xf numFmtId="0" fontId="10" fillId="0" borderId="0" xfId="6" applyFont="1" applyFill="1" applyBorder="1" applyAlignment="1" applyProtection="1">
      <alignment horizontal="left"/>
    </xf>
    <xf numFmtId="0" fontId="14" fillId="0" borderId="0" xfId="6" applyFont="1" applyFill="1" applyBorder="1" applyAlignment="1" applyProtection="1">
      <alignment horizontal="center"/>
    </xf>
    <xf numFmtId="3" fontId="15" fillId="0" borderId="0" xfId="5" applyNumberFormat="1" applyFont="1" applyFill="1" applyBorder="1" applyAlignment="1">
      <alignment horizontal="center"/>
    </xf>
    <xf numFmtId="0" fontId="16" fillId="3" borderId="0" xfId="5" applyFont="1" applyFill="1" applyBorder="1"/>
    <xf numFmtId="0" fontId="10" fillId="0" borderId="5" xfId="5" applyFont="1" applyFill="1" applyBorder="1" applyAlignment="1">
      <alignment horizontal="left" vertical="center" wrapText="1"/>
    </xf>
    <xf numFmtId="0" fontId="10" fillId="0" borderId="6" xfId="5" applyFont="1" applyFill="1" applyBorder="1" applyAlignment="1">
      <alignment horizontal="left" vertical="center" wrapText="1"/>
    </xf>
    <xf numFmtId="0" fontId="10" fillId="0" borderId="7" xfId="0" applyFont="1" applyBorder="1"/>
    <xf numFmtId="0" fontId="14" fillId="0" borderId="7" xfId="6" applyFont="1" applyFill="1" applyBorder="1" applyAlignment="1" applyProtection="1">
      <alignment horizontal="center"/>
    </xf>
    <xf numFmtId="0" fontId="10" fillId="0" borderId="7" xfId="5" applyFont="1" applyFill="1" applyBorder="1" applyAlignment="1">
      <alignment horizontal="center"/>
    </xf>
    <xf numFmtId="3" fontId="15" fillId="0" borderId="7" xfId="5" applyNumberFormat="1" applyFont="1" applyFill="1" applyBorder="1" applyAlignment="1">
      <alignment horizontal="center"/>
    </xf>
    <xf numFmtId="0" fontId="17" fillId="0" borderId="0" xfId="5" applyFont="1" applyFill="1" applyBorder="1" applyAlignment="1">
      <alignment horizontal="left"/>
    </xf>
    <xf numFmtId="0" fontId="17" fillId="0" borderId="0" xfId="5" applyFont="1" applyFill="1" applyBorder="1" applyAlignment="1">
      <alignment horizontal="center"/>
    </xf>
    <xf numFmtId="0" fontId="17" fillId="0" borderId="0" xfId="5" applyFont="1" applyFill="1" applyBorder="1"/>
    <xf numFmtId="49" fontId="2" fillId="2" borderId="3" xfId="5" quotePrefix="1" applyNumberFormat="1" applyFont="1" applyFill="1" applyBorder="1" applyAlignment="1">
      <alignment horizontal="center" vertical="center" wrapText="1"/>
    </xf>
    <xf numFmtId="3" fontId="3" fillId="4" borderId="9" xfId="0" applyNumberFormat="1" applyFont="1" applyFill="1" applyBorder="1" applyAlignment="1">
      <alignment horizontal="center" vertical="top" wrapText="1"/>
    </xf>
    <xf numFmtId="3" fontId="3" fillId="5" borderId="9" xfId="0" applyNumberFormat="1" applyFont="1" applyFill="1" applyBorder="1" applyAlignment="1">
      <alignment horizontal="center" vertical="top" wrapText="1"/>
    </xf>
    <xf numFmtId="0" fontId="7" fillId="6" borderId="0" xfId="5" applyFont="1" applyFill="1" applyBorder="1" applyAlignment="1">
      <alignment horizontal="center"/>
    </xf>
    <xf numFmtId="0" fontId="9" fillId="6" borderId="0" xfId="5" applyFont="1" applyFill="1" applyBorder="1"/>
    <xf numFmtId="0" fontId="12" fillId="6" borderId="0" xfId="5" applyFont="1" applyFill="1" applyBorder="1"/>
    <xf numFmtId="0" fontId="16" fillId="6" borderId="0" xfId="5" applyFont="1" applyFill="1" applyBorder="1"/>
    <xf numFmtId="0" fontId="17" fillId="6" borderId="0" xfId="5" applyFont="1" applyFill="1" applyBorder="1"/>
    <xf numFmtId="0" fontId="19" fillId="8" borderId="11" xfId="0" applyFont="1" applyFill="1" applyBorder="1" applyAlignment="1">
      <alignment vertical="center"/>
    </xf>
    <xf numFmtId="0" fontId="19" fillId="8" borderId="11" xfId="0" applyFont="1" applyFill="1" applyBorder="1" applyAlignment="1">
      <alignment horizontal="left" vertical="center"/>
    </xf>
    <xf numFmtId="16" fontId="19" fillId="8" borderId="11" xfId="0" applyNumberFormat="1" applyFont="1" applyFill="1" applyBorder="1" applyAlignment="1">
      <alignment horizontal="left" vertical="center"/>
    </xf>
    <xf numFmtId="17" fontId="19" fillId="8" borderId="11" xfId="0" applyNumberFormat="1" applyFont="1" applyFill="1" applyBorder="1" applyAlignment="1">
      <alignment vertical="center"/>
    </xf>
    <xf numFmtId="0" fontId="16" fillId="0" borderId="13" xfId="5" applyFont="1" applyFill="1" applyBorder="1"/>
    <xf numFmtId="167" fontId="10" fillId="0" borderId="15" xfId="5" applyNumberFormat="1" applyFont="1" applyFill="1" applyBorder="1" applyAlignment="1">
      <alignment horizontal="left"/>
    </xf>
    <xf numFmtId="0" fontId="10" fillId="0" borderId="16" xfId="6" applyFont="1" applyFill="1" applyBorder="1" applyAlignment="1" applyProtection="1">
      <alignment horizontal="left"/>
    </xf>
    <xf numFmtId="0" fontId="14" fillId="0" borderId="16" xfId="6" applyFont="1" applyFill="1" applyBorder="1" applyAlignment="1" applyProtection="1">
      <alignment horizontal="center"/>
    </xf>
    <xf numFmtId="3" fontId="15" fillId="0" borderId="17" xfId="5" applyNumberFormat="1" applyFont="1" applyFill="1" applyBorder="1" applyAlignment="1">
      <alignment horizontal="center"/>
    </xf>
    <xf numFmtId="0" fontId="10" fillId="0" borderId="0" xfId="0" applyFont="1"/>
    <xf numFmtId="169" fontId="7" fillId="0" borderId="0" xfId="3" applyNumberFormat="1" applyFont="1" applyFill="1" applyBorder="1" applyAlignment="1">
      <alignment horizontal="center"/>
    </xf>
    <xf numFmtId="169" fontId="9" fillId="0" borderId="0" xfId="3" applyNumberFormat="1" applyFont="1" applyFill="1" applyBorder="1"/>
    <xf numFmtId="169" fontId="16" fillId="0" borderId="13" xfId="3" applyNumberFormat="1" applyFont="1" applyFill="1" applyBorder="1"/>
    <xf numFmtId="169" fontId="17" fillId="0" borderId="0" xfId="3" applyNumberFormat="1" applyFont="1" applyFill="1" applyBorder="1"/>
    <xf numFmtId="168" fontId="6" fillId="0" borderId="4" xfId="6" applyNumberFormat="1" applyFont="1" applyFill="1" applyBorder="1" applyAlignment="1" applyProtection="1">
      <alignment horizontal="center"/>
    </xf>
    <xf numFmtId="20" fontId="6" fillId="0" borderId="4" xfId="6" applyNumberFormat="1" applyFont="1" applyFill="1" applyBorder="1" applyAlignment="1" applyProtection="1">
      <alignment horizontal="center"/>
    </xf>
    <xf numFmtId="20" fontId="6" fillId="0" borderId="8" xfId="6" applyNumberFormat="1" applyFont="1" applyFill="1" applyBorder="1" applyAlignment="1" applyProtection="1">
      <alignment horizontal="center"/>
    </xf>
    <xf numFmtId="167" fontId="10" fillId="10" borderId="5" xfId="5" applyNumberFormat="1" applyFont="1" applyFill="1" applyBorder="1" applyAlignment="1">
      <alignment horizontal="left"/>
    </xf>
    <xf numFmtId="0" fontId="10" fillId="10" borderId="0" xfId="0" applyFont="1" applyFill="1"/>
    <xf numFmtId="0" fontId="14" fillId="10" borderId="0" xfId="6" applyFont="1" applyFill="1" applyBorder="1" applyAlignment="1" applyProtection="1">
      <alignment horizontal="center"/>
    </xf>
    <xf numFmtId="20" fontId="6" fillId="10" borderId="4" xfId="6" applyNumberFormat="1" applyFont="1" applyFill="1" applyBorder="1" applyAlignment="1" applyProtection="1">
      <alignment horizontal="center"/>
    </xf>
    <xf numFmtId="0" fontId="15" fillId="10" borderId="0" xfId="5" applyFont="1" applyFill="1" applyBorder="1" applyAlignment="1">
      <alignment horizontal="center"/>
    </xf>
    <xf numFmtId="3" fontId="15" fillId="10" borderId="0" xfId="5" applyNumberFormat="1" applyFont="1" applyFill="1" applyBorder="1" applyAlignment="1">
      <alignment horizontal="center"/>
    </xf>
    <xf numFmtId="169" fontId="16" fillId="10" borderId="13" xfId="3" applyNumberFormat="1" applyFont="1" applyFill="1" applyBorder="1"/>
    <xf numFmtId="0" fontId="16" fillId="10" borderId="0" xfId="5" applyFont="1" applyFill="1" applyBorder="1"/>
    <xf numFmtId="167" fontId="10" fillId="6" borderId="5" xfId="5" applyNumberFormat="1" applyFont="1" applyFill="1" applyBorder="1" applyAlignment="1">
      <alignment horizontal="left"/>
    </xf>
    <xf numFmtId="0" fontId="10" fillId="6" borderId="0" xfId="0" applyFont="1" applyFill="1"/>
    <xf numFmtId="0" fontId="14" fillId="6" borderId="0" xfId="6" applyFont="1" applyFill="1" applyBorder="1" applyAlignment="1" applyProtection="1">
      <alignment horizontal="center"/>
    </xf>
    <xf numFmtId="168" fontId="6" fillId="6" borderId="4" xfId="6" applyNumberFormat="1" applyFont="1" applyFill="1" applyBorder="1" applyAlignment="1" applyProtection="1">
      <alignment horizontal="center"/>
    </xf>
    <xf numFmtId="0" fontId="15" fillId="6" borderId="0" xfId="5" applyFont="1" applyFill="1" applyBorder="1" applyAlignment="1">
      <alignment horizontal="center"/>
    </xf>
    <xf numFmtId="3" fontId="15" fillId="6" borderId="0" xfId="5" applyNumberFormat="1" applyFont="1" applyFill="1" applyBorder="1" applyAlignment="1">
      <alignment horizontal="center"/>
    </xf>
    <xf numFmtId="169" fontId="16" fillId="6" borderId="13" xfId="3" applyNumberFormat="1" applyFont="1" applyFill="1" applyBorder="1"/>
    <xf numFmtId="0" fontId="9" fillId="9" borderId="12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5" fontId="4" fillId="0" borderId="0" xfId="4" applyNumberFormat="1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16" fillId="0" borderId="13" xfId="5" applyFont="1" applyFill="1" applyBorder="1" applyAlignment="1">
      <alignment horizontal="center"/>
    </xf>
    <xf numFmtId="0" fontId="16" fillId="0" borderId="0" xfId="5" applyFont="1" applyFill="1" applyBorder="1" applyAlignment="1">
      <alignment horizontal="center"/>
    </xf>
    <xf numFmtId="2" fontId="16" fillId="0" borderId="0" xfId="5" applyNumberFormat="1" applyFont="1" applyFill="1" applyBorder="1" applyAlignment="1">
      <alignment horizontal="center"/>
    </xf>
    <xf numFmtId="0" fontId="16" fillId="10" borderId="0" xfId="5" applyFont="1" applyFill="1" applyBorder="1" applyAlignment="1">
      <alignment horizontal="center"/>
    </xf>
    <xf numFmtId="2" fontId="16" fillId="0" borderId="13" xfId="5" applyNumberFormat="1" applyFont="1" applyFill="1" applyBorder="1" applyAlignment="1">
      <alignment horizontal="center"/>
    </xf>
    <xf numFmtId="2" fontId="16" fillId="10" borderId="0" xfId="5" applyNumberFormat="1" applyFont="1" applyFill="1" applyBorder="1" applyAlignment="1">
      <alignment horizontal="center"/>
    </xf>
    <xf numFmtId="2" fontId="16" fillId="6" borderId="0" xfId="5" applyNumberFormat="1" applyFont="1" applyFill="1" applyBorder="1" applyAlignment="1">
      <alignment horizontal="center"/>
    </xf>
    <xf numFmtId="0" fontId="0" fillId="6" borderId="0" xfId="0" applyFill="1"/>
    <xf numFmtId="0" fontId="21" fillId="6" borderId="0" xfId="0" applyFont="1" applyFill="1" applyAlignment="1">
      <alignment horizontal="center" vertical="center"/>
    </xf>
    <xf numFmtId="0" fontId="20" fillId="6" borderId="0" xfId="0" applyFont="1" applyFill="1"/>
    <xf numFmtId="0" fontId="20" fillId="6" borderId="0" xfId="0" applyFont="1" applyFill="1" applyAlignment="1">
      <alignment horizontal="center"/>
    </xf>
    <xf numFmtId="176" fontId="20" fillId="6" borderId="0" xfId="0" applyNumberFormat="1" applyFont="1" applyFill="1" applyAlignment="1">
      <alignment horizontal="center"/>
    </xf>
    <xf numFmtId="0" fontId="22" fillId="6" borderId="0" xfId="0" applyFont="1" applyFill="1" applyAlignment="1">
      <alignment horizontal="center"/>
    </xf>
    <xf numFmtId="1" fontId="23" fillId="6" borderId="0" xfId="7" applyNumberFormat="1" applyFont="1" applyFill="1" applyAlignment="1">
      <alignment horizontal="right"/>
    </xf>
    <xf numFmtId="0" fontId="20" fillId="11" borderId="0" xfId="0" applyFont="1" applyFill="1"/>
    <xf numFmtId="0" fontId="20" fillId="11" borderId="0" xfId="0" applyFont="1" applyFill="1" applyAlignment="1">
      <alignment horizontal="center"/>
    </xf>
    <xf numFmtId="176" fontId="20" fillId="11" borderId="0" xfId="0" applyNumberFormat="1" applyFont="1" applyFill="1" applyAlignment="1">
      <alignment horizontal="center"/>
    </xf>
    <xf numFmtId="0" fontId="0" fillId="6" borderId="18" xfId="0" applyFill="1" applyBorder="1" applyAlignment="1">
      <alignment horizontal="center"/>
    </xf>
    <xf numFmtId="0" fontId="20" fillId="6" borderId="18" xfId="0" applyFont="1" applyFill="1" applyBorder="1" applyAlignment="1">
      <alignment horizontal="center"/>
    </xf>
    <xf numFmtId="0" fontId="20" fillId="6" borderId="19" xfId="8" applyFont="1" applyFill="1" applyBorder="1" applyAlignment="1">
      <alignment wrapText="1"/>
    </xf>
    <xf numFmtId="0" fontId="20" fillId="6" borderId="19" xfId="8" applyFont="1" applyFill="1" applyBorder="1" applyAlignment="1">
      <alignment horizontal="center" wrapText="1"/>
    </xf>
    <xf numFmtId="176" fontId="20" fillId="6" borderId="19" xfId="8" applyNumberFormat="1" applyFont="1" applyFill="1" applyBorder="1" applyAlignment="1">
      <alignment horizontal="center" wrapText="1"/>
    </xf>
    <xf numFmtId="0" fontId="20" fillId="6" borderId="18" xfId="0" applyFont="1" applyFill="1" applyBorder="1" applyAlignment="1">
      <alignment horizontal="center" vertical="center"/>
    </xf>
    <xf numFmtId="2" fontId="20" fillId="6" borderId="18" xfId="0" applyNumberFormat="1" applyFont="1" applyFill="1" applyBorder="1" applyAlignment="1">
      <alignment horizontal="center" vertical="center"/>
    </xf>
    <xf numFmtId="0" fontId="20" fillId="6" borderId="13" xfId="8" applyFont="1" applyFill="1" applyBorder="1" applyAlignment="1">
      <alignment wrapText="1"/>
    </xf>
    <xf numFmtId="0" fontId="20" fillId="6" borderId="13" xfId="8" applyFont="1" applyFill="1" applyBorder="1" applyAlignment="1">
      <alignment horizontal="center" wrapText="1"/>
    </xf>
    <xf numFmtId="176" fontId="20" fillId="6" borderId="13" xfId="8" applyNumberFormat="1" applyFont="1" applyFill="1" applyBorder="1" applyAlignment="1">
      <alignment horizontal="center" wrapText="1"/>
    </xf>
    <xf numFmtId="0" fontId="20" fillId="6" borderId="20" xfId="0" applyFont="1" applyFill="1" applyBorder="1" applyAlignment="1">
      <alignment horizontal="center" vertical="center"/>
    </xf>
    <xf numFmtId="0" fontId="20" fillId="6" borderId="21" xfId="0" applyFont="1" applyFill="1" applyBorder="1" applyAlignment="1">
      <alignment horizontal="center" vertical="center"/>
    </xf>
    <xf numFmtId="2" fontId="20" fillId="6" borderId="21" xfId="0" applyNumberFormat="1" applyFont="1" applyFill="1" applyBorder="1" applyAlignment="1">
      <alignment horizontal="center" vertical="center"/>
    </xf>
    <xf numFmtId="0" fontId="20" fillId="6" borderId="22" xfId="8" applyFont="1" applyFill="1" applyBorder="1" applyAlignment="1">
      <alignment wrapText="1"/>
    </xf>
    <xf numFmtId="176" fontId="20" fillId="6" borderId="23" xfId="8" applyNumberFormat="1" applyFont="1" applyFill="1" applyBorder="1" applyAlignment="1">
      <alignment horizontal="center" wrapText="1"/>
    </xf>
    <xf numFmtId="0" fontId="1" fillId="6" borderId="20" xfId="8" applyFont="1" applyFill="1" applyBorder="1" applyAlignment="1">
      <alignment horizontal="center"/>
    </xf>
    <xf numFmtId="0" fontId="9" fillId="6" borderId="21" xfId="8" applyFont="1" applyFill="1" applyBorder="1" applyAlignment="1">
      <alignment horizontal="center"/>
    </xf>
    <xf numFmtId="0" fontId="1" fillId="6" borderId="21" xfId="8" applyFont="1" applyFill="1" applyBorder="1" applyAlignment="1">
      <alignment horizontal="center"/>
    </xf>
    <xf numFmtId="0" fontId="2" fillId="4" borderId="18" xfId="0" applyFont="1" applyFill="1" applyBorder="1" applyAlignment="1">
      <alignment wrapText="1"/>
    </xf>
    <xf numFmtId="0" fontId="2" fillId="4" borderId="18" xfId="0" applyFont="1" applyFill="1" applyBorder="1" applyAlignment="1">
      <alignment horizontal="center" wrapText="1"/>
    </xf>
    <xf numFmtId="176" fontId="2" fillId="4" borderId="18" xfId="0" applyNumberFormat="1" applyFont="1" applyFill="1" applyBorder="1" applyAlignment="1">
      <alignment horizontal="center" wrapText="1"/>
    </xf>
    <xf numFmtId="0" fontId="2" fillId="4" borderId="21" xfId="0" applyFont="1" applyFill="1" applyBorder="1" applyAlignment="1">
      <alignment horizontal="center" wrapText="1"/>
    </xf>
    <xf numFmtId="0" fontId="24" fillId="12" borderId="18" xfId="9" applyFont="1" applyFill="1" applyBorder="1" applyAlignment="1">
      <alignment wrapText="1"/>
    </xf>
    <xf numFmtId="0" fontId="24" fillId="12" borderId="18" xfId="10" applyFont="1" applyFill="1" applyBorder="1" applyAlignment="1">
      <alignment horizontal="center" wrapText="1"/>
    </xf>
    <xf numFmtId="176" fontId="24" fillId="12" borderId="18" xfId="10" applyNumberFormat="1" applyFont="1" applyFill="1" applyBorder="1" applyAlignment="1">
      <alignment horizontal="center" wrapText="1"/>
    </xf>
    <xf numFmtId="4" fontId="24" fillId="12" borderId="18" xfId="10" applyNumberFormat="1" applyFont="1" applyFill="1" applyBorder="1" applyAlignment="1">
      <alignment horizontal="center" wrapText="1"/>
    </xf>
    <xf numFmtId="178" fontId="24" fillId="13" borderId="18" xfId="11" applyNumberFormat="1" applyFont="1" applyFill="1" applyBorder="1" applyAlignment="1"/>
    <xf numFmtId="178" fontId="24" fillId="13" borderId="18" xfId="12" applyNumberFormat="1" applyFont="1" applyFill="1" applyBorder="1" applyAlignment="1">
      <alignment horizontal="center"/>
    </xf>
    <xf numFmtId="176" fontId="24" fillId="13" borderId="18" xfId="12" applyNumberFormat="1" applyFont="1" applyFill="1" applyBorder="1" applyAlignment="1">
      <alignment horizontal="center"/>
    </xf>
    <xf numFmtId="4" fontId="24" fillId="13" borderId="18" xfId="12" applyNumberFormat="1" applyFont="1" applyFill="1" applyBorder="1" applyAlignment="1">
      <alignment horizontal="center"/>
    </xf>
    <xf numFmtId="178" fontId="24" fillId="14" borderId="18" xfId="11" applyNumberFormat="1" applyFont="1" applyFill="1" applyBorder="1" applyAlignment="1"/>
    <xf numFmtId="178" fontId="24" fillId="14" borderId="18" xfId="12" applyNumberFormat="1" applyFont="1" applyFill="1" applyBorder="1" applyAlignment="1">
      <alignment horizontal="center"/>
    </xf>
    <xf numFmtId="176" fontId="24" fillId="14" borderId="18" xfId="12" applyNumberFormat="1" applyFont="1" applyFill="1" applyBorder="1" applyAlignment="1">
      <alignment horizontal="center"/>
    </xf>
    <xf numFmtId="4" fontId="24" fillId="14" borderId="18" xfId="12" applyNumberFormat="1" applyFont="1" applyFill="1" applyBorder="1" applyAlignment="1">
      <alignment horizontal="center"/>
    </xf>
    <xf numFmtId="178" fontId="24" fillId="15" borderId="18" xfId="11" applyNumberFormat="1" applyFont="1" applyFill="1" applyBorder="1" applyAlignment="1"/>
    <xf numFmtId="178" fontId="24" fillId="15" borderId="18" xfId="12" applyNumberFormat="1" applyFont="1" applyFill="1" applyBorder="1" applyAlignment="1">
      <alignment horizontal="center"/>
    </xf>
    <xf numFmtId="176" fontId="24" fillId="15" borderId="18" xfId="12" applyNumberFormat="1" applyFont="1" applyFill="1" applyBorder="1" applyAlignment="1">
      <alignment horizontal="center"/>
    </xf>
    <xf numFmtId="4" fontId="24" fillId="15" borderId="18" xfId="12" applyNumberFormat="1" applyFont="1" applyFill="1" applyBorder="1" applyAlignment="1">
      <alignment horizontal="center"/>
    </xf>
    <xf numFmtId="178" fontId="14" fillId="16" borderId="18" xfId="11" applyNumberFormat="1" applyFont="1" applyFill="1" applyBorder="1" applyAlignment="1"/>
    <xf numFmtId="178" fontId="14" fillId="16" borderId="18" xfId="12" applyNumberFormat="1" applyFont="1" applyFill="1" applyBorder="1" applyAlignment="1">
      <alignment horizontal="center"/>
    </xf>
    <xf numFmtId="176" fontId="14" fillId="16" borderId="18" xfId="12" applyNumberFormat="1" applyFont="1" applyFill="1" applyBorder="1" applyAlignment="1">
      <alignment horizontal="center"/>
    </xf>
    <xf numFmtId="4" fontId="14" fillId="16" borderId="18" xfId="12" applyNumberFormat="1" applyFont="1" applyFill="1" applyBorder="1" applyAlignment="1">
      <alignment horizontal="center"/>
    </xf>
    <xf numFmtId="0" fontId="14" fillId="16" borderId="18" xfId="9" applyFont="1" applyFill="1" applyBorder="1" applyAlignment="1">
      <alignment wrapText="1"/>
    </xf>
    <xf numFmtId="0" fontId="14" fillId="16" borderId="18" xfId="10" applyFont="1" applyFill="1" applyBorder="1" applyAlignment="1">
      <alignment horizontal="center" wrapText="1"/>
    </xf>
    <xf numFmtId="176" fontId="14" fillId="16" borderId="18" xfId="10" applyNumberFormat="1" applyFont="1" applyFill="1" applyBorder="1" applyAlignment="1">
      <alignment horizontal="center" wrapText="1"/>
    </xf>
    <xf numFmtId="4" fontId="14" fillId="16" borderId="18" xfId="10" applyNumberFormat="1" applyFont="1" applyFill="1" applyBorder="1" applyAlignment="1">
      <alignment horizontal="center" wrapText="1"/>
    </xf>
    <xf numFmtId="0" fontId="24" fillId="15" borderId="18" xfId="9" applyFont="1" applyFill="1" applyBorder="1" applyAlignment="1">
      <alignment wrapText="1"/>
    </xf>
    <xf numFmtId="0" fontId="24" fillId="15" borderId="18" xfId="10" applyFont="1" applyFill="1" applyBorder="1" applyAlignment="1">
      <alignment horizontal="center" wrapText="1"/>
    </xf>
    <xf numFmtId="176" fontId="24" fillId="15" borderId="18" xfId="10" applyNumberFormat="1" applyFont="1" applyFill="1" applyBorder="1" applyAlignment="1">
      <alignment horizontal="center" wrapText="1"/>
    </xf>
    <xf numFmtId="4" fontId="24" fillId="15" borderId="18" xfId="10" applyNumberFormat="1" applyFont="1" applyFill="1" applyBorder="1" applyAlignment="1">
      <alignment horizontal="center" wrapText="1"/>
    </xf>
    <xf numFmtId="178" fontId="14" fillId="16" borderId="18" xfId="11" applyNumberFormat="1" applyFont="1" applyFill="1" applyBorder="1" applyAlignment="1">
      <alignment horizontal="center"/>
    </xf>
    <xf numFmtId="176" fontId="14" fillId="16" borderId="18" xfId="11" applyNumberFormat="1" applyFont="1" applyFill="1" applyBorder="1" applyAlignment="1">
      <alignment horizontal="center"/>
    </xf>
    <xf numFmtId="4" fontId="14" fillId="16" borderId="18" xfId="11" applyNumberFormat="1" applyFont="1" applyFill="1" applyBorder="1" applyAlignment="1">
      <alignment horizontal="center"/>
    </xf>
    <xf numFmtId="178" fontId="24" fillId="17" borderId="18" xfId="11" applyNumberFormat="1" applyFont="1" applyFill="1" applyBorder="1" applyAlignment="1"/>
    <xf numFmtId="178" fontId="24" fillId="17" borderId="18" xfId="11" applyNumberFormat="1" applyFont="1" applyFill="1" applyBorder="1" applyAlignment="1">
      <alignment horizontal="center"/>
    </xf>
    <xf numFmtId="176" fontId="24" fillId="17" borderId="18" xfId="11" applyNumberFormat="1" applyFont="1" applyFill="1" applyBorder="1" applyAlignment="1">
      <alignment horizontal="center"/>
    </xf>
    <xf numFmtId="4" fontId="24" fillId="17" borderId="18" xfId="11" applyNumberFormat="1" applyFont="1" applyFill="1" applyBorder="1" applyAlignment="1">
      <alignment horizontal="center"/>
    </xf>
    <xf numFmtId="178" fontId="14" fillId="18" borderId="18" xfId="11" applyNumberFormat="1" applyFont="1" applyFill="1" applyBorder="1" applyAlignment="1"/>
    <xf numFmtId="178" fontId="14" fillId="18" borderId="18" xfId="11" applyNumberFormat="1" applyFont="1" applyFill="1" applyBorder="1" applyAlignment="1">
      <alignment horizontal="center"/>
    </xf>
    <xf numFmtId="176" fontId="14" fillId="18" borderId="18" xfId="11" applyNumberFormat="1" applyFont="1" applyFill="1" applyBorder="1" applyAlignment="1">
      <alignment horizontal="center"/>
    </xf>
    <xf numFmtId="4" fontId="14" fillId="18" borderId="18" xfId="11" applyNumberFormat="1" applyFont="1" applyFill="1" applyBorder="1" applyAlignment="1">
      <alignment horizontal="center"/>
    </xf>
    <xf numFmtId="4" fontId="20" fillId="6" borderId="0" xfId="0" applyNumberFormat="1" applyFont="1" applyFill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176" fontId="20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16" fillId="0" borderId="7" xfId="5" applyFont="1" applyFill="1" applyBorder="1" applyAlignment="1">
      <alignment horizontal="center"/>
    </xf>
    <xf numFmtId="0" fontId="10" fillId="19" borderId="0" xfId="13" applyFont="1" applyFill="1" applyAlignment="1" applyProtection="1">
      <alignment vertical="center"/>
      <protection locked="0"/>
    </xf>
    <xf numFmtId="0" fontId="25" fillId="19" borderId="0" xfId="13" applyFont="1" applyFill="1" applyAlignment="1" applyProtection="1">
      <alignment vertical="center"/>
      <protection locked="0"/>
    </xf>
    <xf numFmtId="0" fontId="25" fillId="19" borderId="0" xfId="13" applyFont="1" applyFill="1" applyAlignment="1" applyProtection="1">
      <alignment horizontal="center" vertical="center"/>
      <protection locked="0"/>
    </xf>
    <xf numFmtId="0" fontId="26" fillId="19" borderId="0" xfId="13" applyFont="1" applyFill="1" applyAlignment="1" applyProtection="1">
      <alignment vertical="center"/>
      <protection locked="0"/>
    </xf>
    <xf numFmtId="0" fontId="16" fillId="19" borderId="0" xfId="13" applyFont="1" applyFill="1" applyAlignment="1" applyProtection="1">
      <alignment vertical="center"/>
      <protection locked="0"/>
    </xf>
    <xf numFmtId="0" fontId="16" fillId="19" borderId="0" xfId="13" applyFont="1" applyFill="1" applyAlignment="1" applyProtection="1">
      <alignment horizontal="center" vertical="center"/>
      <protection locked="0"/>
    </xf>
    <xf numFmtId="0" fontId="9" fillId="20" borderId="18" xfId="13" applyFont="1" applyFill="1" applyBorder="1" applyAlignment="1" applyProtection="1">
      <alignment horizontal="center" vertical="center"/>
      <protection locked="0"/>
    </xf>
    <xf numFmtId="9" fontId="9" fillId="20" borderId="18" xfId="3" applyFont="1" applyFill="1" applyBorder="1" applyAlignment="1" applyProtection="1">
      <alignment horizontal="center" vertical="center"/>
      <protection locked="0"/>
    </xf>
    <xf numFmtId="0" fontId="27" fillId="19" borderId="0" xfId="13" applyFont="1" applyFill="1" applyAlignment="1" applyProtection="1">
      <alignment vertical="center"/>
      <protection locked="0"/>
    </xf>
    <xf numFmtId="0" fontId="28" fillId="6" borderId="0" xfId="13" applyFont="1" applyFill="1" applyProtection="1">
      <protection locked="0"/>
    </xf>
    <xf numFmtId="0" fontId="28" fillId="6" borderId="0" xfId="13" applyFont="1" applyFill="1" applyAlignment="1" applyProtection="1">
      <alignment horizontal="center"/>
      <protection locked="0"/>
    </xf>
    <xf numFmtId="0" fontId="27" fillId="19" borderId="0" xfId="13" applyFont="1" applyFill="1" applyAlignment="1" applyProtection="1">
      <alignment horizontal="left" vertical="center"/>
      <protection locked="0"/>
    </xf>
    <xf numFmtId="49" fontId="29" fillId="19" borderId="0" xfId="13" applyNumberFormat="1" applyFont="1" applyFill="1" applyAlignment="1" applyProtection="1">
      <alignment vertical="center"/>
      <protection locked="0"/>
    </xf>
    <xf numFmtId="49" fontId="29" fillId="19" borderId="0" xfId="13" applyNumberFormat="1" applyFont="1" applyFill="1" applyAlignment="1" applyProtection="1">
      <alignment horizontal="center" vertical="center"/>
      <protection locked="0"/>
    </xf>
    <xf numFmtId="0" fontId="17" fillId="6" borderId="0" xfId="13" applyFont="1" applyFill="1" applyProtection="1">
      <protection locked="0"/>
    </xf>
    <xf numFmtId="0" fontId="10" fillId="6" borderId="0" xfId="13" applyFont="1" applyFill="1" applyAlignment="1" applyProtection="1">
      <alignment vertical="center"/>
      <protection locked="0"/>
    </xf>
    <xf numFmtId="49" fontId="30" fillId="19" borderId="0" xfId="13" applyNumberFormat="1" applyFont="1" applyFill="1" applyAlignment="1" applyProtection="1">
      <alignment vertical="top"/>
      <protection locked="0"/>
    </xf>
    <xf numFmtId="49" fontId="30" fillId="19" borderId="0" xfId="13" applyNumberFormat="1" applyFont="1" applyFill="1" applyAlignment="1" applyProtection="1">
      <alignment horizontal="center" vertical="top"/>
      <protection locked="0"/>
    </xf>
    <xf numFmtId="0" fontId="17" fillId="19" borderId="0" xfId="13" applyFont="1" applyFill="1" applyProtection="1">
      <protection locked="0"/>
    </xf>
    <xf numFmtId="0" fontId="17" fillId="19" borderId="0" xfId="13" applyFont="1" applyFill="1" applyAlignment="1" applyProtection="1">
      <alignment horizontal="center"/>
      <protection locked="0"/>
    </xf>
    <xf numFmtId="0" fontId="17" fillId="19" borderId="0" xfId="13" applyFont="1" applyFill="1" applyAlignment="1" applyProtection="1">
      <alignment horizontal="center" vertical="center"/>
      <protection locked="0"/>
    </xf>
    <xf numFmtId="0" fontId="6" fillId="6" borderId="24" xfId="13" applyFont="1" applyFill="1" applyBorder="1" applyAlignment="1" applyProtection="1">
      <alignment vertical="center"/>
      <protection locked="0"/>
    </xf>
    <xf numFmtId="0" fontId="6" fillId="6" borderId="25" xfId="13" applyFont="1" applyFill="1" applyBorder="1" applyAlignment="1" applyProtection="1">
      <alignment horizontal="center" vertical="center"/>
      <protection locked="0"/>
    </xf>
    <xf numFmtId="0" fontId="6" fillId="6" borderId="25" xfId="13" applyFont="1" applyFill="1" applyBorder="1" applyAlignment="1" applyProtection="1">
      <alignment horizontal="center" wrapText="1"/>
      <protection locked="0"/>
    </xf>
    <xf numFmtId="0" fontId="6" fillId="6" borderId="25" xfId="13" applyFont="1" applyFill="1" applyBorder="1" applyAlignment="1" applyProtection="1">
      <alignment horizontal="left" vertical="center"/>
      <protection locked="0"/>
    </xf>
    <xf numFmtId="0" fontId="6" fillId="6" borderId="26" xfId="13" applyFont="1" applyFill="1" applyBorder="1" applyAlignment="1" applyProtection="1">
      <alignment horizontal="center" vertical="center"/>
      <protection locked="0"/>
    </xf>
    <xf numFmtId="0" fontId="14" fillId="6" borderId="26" xfId="13" applyFont="1" applyFill="1" applyBorder="1" applyAlignment="1" applyProtection="1">
      <alignment horizontal="center" vertical="center"/>
      <protection locked="0"/>
    </xf>
    <xf numFmtId="0" fontId="14" fillId="6" borderId="27" xfId="13" applyFont="1" applyFill="1" applyBorder="1" applyAlignment="1" applyProtection="1">
      <alignment horizontal="center" vertical="center"/>
      <protection locked="0"/>
    </xf>
    <xf numFmtId="49" fontId="14" fillId="6" borderId="24" xfId="13" applyNumberFormat="1" applyFont="1" applyFill="1" applyBorder="1" applyAlignment="1" applyProtection="1">
      <alignment horizontal="center" vertical="center"/>
      <protection locked="0"/>
    </xf>
    <xf numFmtId="0" fontId="14" fillId="6" borderId="28" xfId="13" applyFont="1" applyFill="1" applyBorder="1" applyAlignment="1" applyProtection="1">
      <alignment horizontal="center" vertical="center"/>
      <protection locked="0"/>
    </xf>
    <xf numFmtId="0" fontId="17" fillId="19" borderId="0" xfId="13" applyFont="1" applyFill="1" applyAlignment="1" applyProtection="1">
      <alignment vertical="center"/>
      <protection locked="0"/>
    </xf>
    <xf numFmtId="3" fontId="17" fillId="19" borderId="29" xfId="13" applyNumberFormat="1" applyFont="1" applyFill="1" applyBorder="1" applyAlignment="1" applyProtection="1">
      <alignment vertical="center"/>
      <protection locked="0"/>
    </xf>
    <xf numFmtId="3" fontId="17" fillId="19" borderId="4" xfId="13" applyNumberFormat="1" applyFont="1" applyFill="1" applyBorder="1" applyAlignment="1" applyProtection="1">
      <alignment vertical="center"/>
      <protection locked="0"/>
    </xf>
    <xf numFmtId="168" fontId="17" fillId="19" borderId="4" xfId="13" applyNumberFormat="1" applyFont="1" applyFill="1" applyBorder="1" applyAlignment="1" applyProtection="1">
      <alignment horizontal="center" vertical="center"/>
      <protection locked="0"/>
    </xf>
    <xf numFmtId="1" fontId="17" fillId="19" borderId="30" xfId="13" applyNumberFormat="1" applyFont="1" applyFill="1" applyBorder="1" applyAlignment="1" applyProtection="1">
      <alignment horizontal="center" vertical="center"/>
      <protection locked="0"/>
    </xf>
    <xf numFmtId="9" fontId="17" fillId="19" borderId="30" xfId="3" applyFont="1" applyFill="1" applyBorder="1" applyAlignment="1" applyProtection="1">
      <alignment horizontal="center" vertical="center"/>
      <protection locked="0"/>
    </xf>
    <xf numFmtId="1" fontId="17" fillId="19" borderId="21" xfId="13" applyNumberFormat="1" applyFont="1" applyFill="1" applyBorder="1" applyAlignment="1" applyProtection="1">
      <alignment horizontal="center" vertical="center"/>
      <protection locked="0"/>
    </xf>
    <xf numFmtId="2" fontId="17" fillId="19" borderId="0" xfId="13" applyNumberFormat="1" applyFont="1" applyFill="1" applyAlignment="1" applyProtection="1">
      <alignment horizontal="center" vertical="center"/>
      <protection locked="0"/>
    </xf>
    <xf numFmtId="3" fontId="17" fillId="19" borderId="32" xfId="13" applyNumberFormat="1" applyFont="1" applyFill="1" applyBorder="1" applyAlignment="1" applyProtection="1">
      <alignment vertical="center"/>
      <protection locked="0"/>
    </xf>
    <xf numFmtId="3" fontId="17" fillId="19" borderId="33" xfId="13" applyNumberFormat="1" applyFont="1" applyFill="1" applyBorder="1" applyAlignment="1" applyProtection="1">
      <alignment vertical="center"/>
      <protection locked="0"/>
    </xf>
    <xf numFmtId="168" fontId="17" fillId="19" borderId="33" xfId="13" applyNumberFormat="1" applyFont="1" applyFill="1" applyBorder="1" applyAlignment="1" applyProtection="1">
      <alignment horizontal="center" vertical="center"/>
      <protection locked="0"/>
    </xf>
    <xf numFmtId="1" fontId="17" fillId="19" borderId="34" xfId="13" applyNumberFormat="1" applyFont="1" applyFill="1" applyBorder="1" applyAlignment="1" applyProtection="1">
      <alignment horizontal="center" vertical="center"/>
      <protection locked="0"/>
    </xf>
    <xf numFmtId="2" fontId="17" fillId="19" borderId="35" xfId="13" applyNumberFormat="1" applyFont="1" applyFill="1" applyBorder="1" applyAlignment="1" applyProtection="1">
      <alignment horizontal="center" vertical="center"/>
      <protection locked="0"/>
    </xf>
    <xf numFmtId="3" fontId="17" fillId="19" borderId="32" xfId="13" applyNumberFormat="1" applyFont="1" applyFill="1" applyBorder="1" applyAlignment="1" applyProtection="1">
      <alignment horizontal="center" vertical="center"/>
      <protection locked="0"/>
    </xf>
    <xf numFmtId="3" fontId="17" fillId="19" borderId="34" xfId="13" applyNumberFormat="1" applyFont="1" applyFill="1" applyBorder="1" applyAlignment="1" applyProtection="1">
      <alignment horizontal="center" vertical="center"/>
      <protection locked="0"/>
    </xf>
    <xf numFmtId="3" fontId="14" fillId="19" borderId="34" xfId="13" applyNumberFormat="1" applyFont="1" applyFill="1" applyBorder="1" applyAlignment="1" applyProtection="1">
      <alignment horizontal="center" vertical="center"/>
      <protection locked="0"/>
    </xf>
    <xf numFmtId="3" fontId="17" fillId="19" borderId="36" xfId="13" applyNumberFormat="1" applyFont="1" applyFill="1" applyBorder="1" applyAlignment="1" applyProtection="1">
      <alignment horizontal="center" vertical="center"/>
      <protection locked="0"/>
    </xf>
    <xf numFmtId="2" fontId="17" fillId="19" borderId="0" xfId="13" applyNumberFormat="1" applyFont="1" applyFill="1" applyAlignment="1" applyProtection="1">
      <alignment vertical="center"/>
      <protection locked="0"/>
    </xf>
    <xf numFmtId="49" fontId="17" fillId="19" borderId="0" xfId="13" applyNumberFormat="1" applyFont="1" applyFill="1" applyAlignment="1" applyProtection="1">
      <alignment horizontal="center" vertical="center"/>
      <protection locked="0"/>
    </xf>
    <xf numFmtId="0" fontId="31" fillId="0" borderId="37" xfId="0" applyFont="1" applyBorder="1" applyAlignment="1">
      <alignment horizontal="center" wrapText="1"/>
    </xf>
    <xf numFmtId="0" fontId="32" fillId="0" borderId="38" xfId="0" applyFont="1" applyBorder="1" applyAlignment="1">
      <alignment horizontal="center" wrapText="1"/>
    </xf>
    <xf numFmtId="0" fontId="32" fillId="21" borderId="37" xfId="0" applyFont="1" applyFill="1" applyBorder="1" applyAlignment="1">
      <alignment horizontal="center" wrapText="1"/>
    </xf>
    <xf numFmtId="0" fontId="32" fillId="21" borderId="38" xfId="0" applyFont="1" applyFill="1" applyBorder="1" applyAlignment="1">
      <alignment horizontal="center" wrapText="1"/>
    </xf>
    <xf numFmtId="6" fontId="17" fillId="19" borderId="29" xfId="13" applyNumberFormat="1" applyFont="1" applyFill="1" applyBorder="1" applyAlignment="1" applyProtection="1">
      <alignment horizontal="center" vertical="center"/>
      <protection locked="0"/>
    </xf>
    <xf numFmtId="6" fontId="17" fillId="19" borderId="30" xfId="13" applyNumberFormat="1" applyFont="1" applyFill="1" applyBorder="1" applyAlignment="1" applyProtection="1">
      <alignment horizontal="center" vertical="center"/>
      <protection locked="0"/>
    </xf>
    <xf numFmtId="6" fontId="14" fillId="19" borderId="30" xfId="13" applyNumberFormat="1" applyFont="1" applyFill="1" applyBorder="1" applyAlignment="1" applyProtection="1">
      <alignment horizontal="center" vertical="center"/>
      <protection locked="0"/>
    </xf>
    <xf numFmtId="6" fontId="17" fillId="19" borderId="31" xfId="13" applyNumberFormat="1" applyFont="1" applyFill="1" applyBorder="1" applyAlignment="1" applyProtection="1">
      <alignment horizontal="center" vertical="center"/>
      <protection locked="0"/>
    </xf>
    <xf numFmtId="6" fontId="14" fillId="0" borderId="30" xfId="13" applyNumberFormat="1" applyFont="1" applyBorder="1" applyAlignment="1" applyProtection="1">
      <alignment horizontal="center" vertical="center"/>
      <protection locked="0"/>
    </xf>
    <xf numFmtId="6" fontId="0" fillId="0" borderId="18" xfId="0" applyNumberFormat="1" applyBorder="1" applyAlignment="1">
      <alignment horizontal="right"/>
    </xf>
    <xf numFmtId="6" fontId="0" fillId="0" borderId="23" xfId="0" applyNumberFormat="1" applyBorder="1" applyAlignment="1">
      <alignment horizontal="right"/>
    </xf>
    <xf numFmtId="6" fontId="2" fillId="4" borderId="18" xfId="0" applyNumberFormat="1" applyFont="1" applyFill="1" applyBorder="1" applyAlignment="1">
      <alignment horizontal="right"/>
    </xf>
    <xf numFmtId="6" fontId="0" fillId="6" borderId="23" xfId="0" applyNumberFormat="1" applyFill="1" applyBorder="1" applyAlignment="1">
      <alignment horizontal="right"/>
    </xf>
    <xf numFmtId="6" fontId="0" fillId="6" borderId="18" xfId="0" applyNumberFormat="1" applyFill="1" applyBorder="1" applyAlignment="1">
      <alignment horizontal="right"/>
    </xf>
    <xf numFmtId="6" fontId="2" fillId="4" borderId="18" xfId="0" applyNumberFormat="1" applyFont="1" applyFill="1" applyBorder="1"/>
    <xf numFmtId="6" fontId="16" fillId="0" borderId="13" xfId="2" applyNumberFormat="1" applyFont="1" applyFill="1" applyBorder="1"/>
    <xf numFmtId="6" fontId="16" fillId="0" borderId="13" xfId="5" applyNumberFormat="1" applyFont="1" applyFill="1" applyBorder="1"/>
    <xf numFmtId="6" fontId="16" fillId="0" borderId="14" xfId="5" applyNumberFormat="1" applyFont="1" applyFill="1" applyBorder="1"/>
    <xf numFmtId="6" fontId="16" fillId="0" borderId="0" xfId="2" applyNumberFormat="1" applyFont="1" applyFill="1" applyBorder="1"/>
    <xf numFmtId="6" fontId="16" fillId="0" borderId="0" xfId="5" applyNumberFormat="1" applyFont="1" applyFill="1" applyBorder="1"/>
    <xf numFmtId="6" fontId="16" fillId="0" borderId="4" xfId="5" applyNumberFormat="1" applyFont="1" applyFill="1" applyBorder="1"/>
    <xf numFmtId="6" fontId="16" fillId="10" borderId="0" xfId="2" applyNumberFormat="1" applyFont="1" applyFill="1" applyBorder="1"/>
    <xf numFmtId="6" fontId="16" fillId="10" borderId="0" xfId="5" applyNumberFormat="1" applyFont="1" applyFill="1" applyBorder="1"/>
    <xf numFmtId="6" fontId="16" fillId="10" borderId="4" xfId="5" applyNumberFormat="1" applyFont="1" applyFill="1" applyBorder="1"/>
    <xf numFmtId="6" fontId="16" fillId="6" borderId="0" xfId="2" applyNumberFormat="1" applyFont="1" applyFill="1" applyBorder="1"/>
    <xf numFmtId="6" fontId="16" fillId="6" borderId="0" xfId="5" applyNumberFormat="1" applyFont="1" applyFill="1" applyBorder="1"/>
    <xf numFmtId="6" fontId="16" fillId="6" borderId="4" xfId="5" applyNumberFormat="1" applyFont="1" applyFill="1" applyBorder="1"/>
    <xf numFmtId="0" fontId="0" fillId="20" borderId="0" xfId="0" applyFill="1"/>
    <xf numFmtId="0" fontId="33" fillId="0" borderId="39" xfId="0" applyFont="1" applyFill="1" applyBorder="1" applyAlignment="1">
      <alignment horizontal="center" wrapText="1"/>
    </xf>
    <xf numFmtId="0" fontId="33" fillId="0" borderId="40" xfId="0" applyFont="1" applyFill="1" applyBorder="1" applyAlignment="1">
      <alignment horizontal="center" wrapText="1"/>
    </xf>
    <xf numFmtId="6" fontId="0" fillId="0" borderId="37" xfId="0" applyNumberFormat="1" applyFill="1" applyBorder="1"/>
    <xf numFmtId="0" fontId="0" fillId="0" borderId="0" xfId="0" applyFill="1"/>
  </cellXfs>
  <cellStyles count="14">
    <cellStyle name="Hipervínculo" xfId="6" builtinId="8"/>
    <cellStyle name="Millares" xfId="1" builtinId="3"/>
    <cellStyle name="Millares [0]" xfId="7" builtinId="6"/>
    <cellStyle name="Millares 2 2 3" xfId="11" xr:uid="{F2CDCF4B-0AED-473B-85CE-518E896DF651}"/>
    <cellStyle name="Millares 2 2 3 4" xfId="12" xr:uid="{8B93D7C2-1975-4D98-9C41-F0870E329779}"/>
    <cellStyle name="Moneda [0]" xfId="2" builtinId="7"/>
    <cellStyle name="Moneda [0] 8" xfId="4" xr:uid="{CD125D6B-8A43-43C5-ADDC-E4DDE27BB398}"/>
    <cellStyle name="Normal" xfId="0" builtinId="0"/>
    <cellStyle name="Normal 10 2" xfId="9" xr:uid="{420B5F1B-0877-475D-8E91-11C5AC2E975C}"/>
    <cellStyle name="Normal 10 2 5" xfId="10" xr:uid="{A13FCA4D-B91F-4FC6-A510-090A7D4AC584}"/>
    <cellStyle name="Normal 13" xfId="13" xr:uid="{649EBE0A-2C1B-48FE-A023-C27C9D31DAF5}"/>
    <cellStyle name="Normal 2" xfId="5" xr:uid="{675F2E5A-BC73-4B2F-BFF1-039417B89525}"/>
    <cellStyle name="Normal 2 2" xfId="8" xr:uid="{5CAEF042-8D75-48E1-B319-392EECF28932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customXml" Target="../customXml/item1.xml"/><Relationship Id="rId10" Type="http://schemas.openxmlformats.org/officeDocument/2006/relationships/externalLink" Target="externalLinks/externalLink6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43543</xdr:colOff>
      <xdr:row>5</xdr:row>
      <xdr:rowOff>0</xdr:rowOff>
    </xdr:from>
    <xdr:to>
      <xdr:col>2</xdr:col>
      <xdr:colOff>838146</xdr:colOff>
      <xdr:row>7</xdr:row>
      <xdr:rowOff>74501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2C58E13-A3C4-4729-A46C-BD3B6FB24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43" y="920750"/>
          <a:ext cx="2629753" cy="544401"/>
        </a:xfrm>
        <a:prstGeom prst="rect">
          <a:avLst/>
        </a:prstGeom>
      </xdr:spPr>
    </xdr:pic>
    <xdr:clientData/>
  </xdr:twoCellAnchor>
  <xdr:twoCellAnchor editAs="oneCell">
    <xdr:from>
      <xdr:col>20</xdr:col>
      <xdr:colOff>717550</xdr:colOff>
      <xdr:row>0</xdr:row>
      <xdr:rowOff>139700</xdr:rowOff>
    </xdr:from>
    <xdr:to>
      <xdr:col>22</xdr:col>
      <xdr:colOff>445942</xdr:colOff>
      <xdr:row>4</xdr:row>
      <xdr:rowOff>66675</xdr:rowOff>
    </xdr:to>
    <xdr:pic>
      <xdr:nvPicPr>
        <xdr:cNvPr id="3" name="Imagen 2" descr="&lt;p&gt;Logo de CHV Comercial&lt;/p&gt;">
          <a:extLst>
            <a:ext uri="{FF2B5EF4-FFF2-40B4-BE49-F238E27FC236}">
              <a16:creationId xmlns:a16="http://schemas.microsoft.com/office/drawing/2014/main" id="{E8ED7AC4-3C03-4261-9371-4341F287B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139700"/>
          <a:ext cx="20637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366486</xdr:colOff>
      <xdr:row>0</xdr:row>
      <xdr:rowOff>315032</xdr:rowOff>
    </xdr:from>
    <xdr:to>
      <xdr:col>17</xdr:col>
      <xdr:colOff>549412</xdr:colOff>
      <xdr:row>4</xdr:row>
      <xdr:rowOff>59055</xdr:rowOff>
    </xdr:to>
    <xdr:pic>
      <xdr:nvPicPr>
        <xdr:cNvPr id="2" name="Imagen 1" descr="Megamedia - Wikipedia, la enciclopedia libre">
          <a:extLst>
            <a:ext uri="{FF2B5EF4-FFF2-40B4-BE49-F238E27FC236}">
              <a16:creationId xmlns:a16="http://schemas.microsoft.com/office/drawing/2014/main" id="{7538DA5D-48EB-41DF-A312-7F8F5A8C3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12936" y="315032"/>
          <a:ext cx="1052876" cy="791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161191</xdr:colOff>
      <xdr:row>0</xdr:row>
      <xdr:rowOff>131885</xdr:rowOff>
    </xdr:from>
    <xdr:to>
      <xdr:col>1</xdr:col>
      <xdr:colOff>1231619</xdr:colOff>
      <xdr:row>2</xdr:row>
      <xdr:rowOff>216668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8CF6BC-30AA-46C0-BF3D-D20890AB4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691" y="131885"/>
          <a:ext cx="1070428" cy="802333"/>
        </a:xfrm>
        <a:prstGeom prst="rect">
          <a:avLst/>
        </a:prstGeom>
      </xdr:spPr>
    </xdr:pic>
    <xdr:clientData/>
  </xdr:twoCellAnchor>
  <xdr:twoCellAnchor>
    <xdr:from>
      <xdr:col>1</xdr:col>
      <xdr:colOff>1377461</xdr:colOff>
      <xdr:row>0</xdr:row>
      <xdr:rowOff>337039</xdr:rowOff>
    </xdr:from>
    <xdr:to>
      <xdr:col>15</xdr:col>
      <xdr:colOff>542193</xdr:colOff>
      <xdr:row>2</xdr:row>
      <xdr:rowOff>95251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5D17B9F-39E4-4C84-9201-DE70CB022242}"/>
            </a:ext>
          </a:extLst>
        </xdr:cNvPr>
        <xdr:cNvSpPr txBox="1"/>
      </xdr:nvSpPr>
      <xdr:spPr>
        <a:xfrm>
          <a:off x="1694961" y="337039"/>
          <a:ext cx="9096132" cy="475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/>
            <a:t>VALOR PREFERENCIAL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i&#225;nPadilla-Med\AppData\Local\Microsoft\Windows\INetCache\Content.Outlook\AACKDZH0\TARIFAS%20OCTUBRE%20MEGAMEDIA%20COMPARA.xlsx" TargetMode="External"/><Relationship Id="rId1" Type="http://schemas.openxmlformats.org/officeDocument/2006/relationships/externalLinkPath" Target="file:///C:\Users\Sebasti&#225;nPadilla-Med\AppData\Local\Microsoft\Windows\INetCache\Content.Outlook\AACKDZH0\TARIFAS%20OCTUBRE%20MEGAMEDIA%20COMPAR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i&#225;nPadilla-Med\AppData\Local\Microsoft\Windows\INetCache\Content.Outlook\AACKDZH0\Valores%20Desctos%20(OCT%2026)%20compara.xlsx" TargetMode="External"/><Relationship Id="rId1" Type="http://schemas.openxmlformats.org/officeDocument/2006/relationships/externalLinkPath" Target="file:///C:\Users\Sebasti&#225;nPadilla-Med\AppData\Local\Microsoft\Windows\INetCache\Content.Outlook\AACKDZH0\Valores%20Desctos%20(OCT%2026)%20compar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rancisco.giadalah\Downloads\JJOO%20c&#225;psulas%20previas%20al%20event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pauta%2024%20H%20-%20Marzo%202009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y%202015-Pref1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scoT\Medios\TV%20PAGO\TARIFAS%20Y%20PARRILLAS\Propuesta%20de%20pauta%20Preferencial%20+%20Canal%2024%20horas%20V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scoT\Medios\TELEVISION\MATRICES%20DE%20PAUTA\Pautas%20Mensuales%20a&#241;o%202015\11.Noviembre\Nov%202015-Red.xlt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bril%202016-%20Regiones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scoT\Medios\TELEVISION\MATRICES%20DE%20PAUTA\Pautas%20Mensuales%20a&#241;o%202015\6.Junio\Jun%202015-Pref.xlt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scoT\Medios\TELEVISION\MATRICES%20DE%20PAUTA\Pautas%20Mensuales%20a&#241;o%202015\9.Septiembre\Sep%202015-Pref.xlt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bril%202016%20-%20Tarifas%20X1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rancisco.giadalah\Downloads\Planilla%20de%20pre%20evaluaci&#243;n%20JJOO%20Rio%202016%20(1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obos\departamento\Mis%20documentos\Departamento%20de%20Medios\Estudios\Cuantificador%20Total%20pa&#237;s.xlt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scoT\Medios\TELEVISION\MATRICES%20DE%20PAUTA\Pautas%20Mensuales%20a&#241;o%202015\6.Junio\May%202015-Pref%20desde%2019%20de%20Mayo.xlt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UBRE"/>
      <sheetName val="octubre 2 (4)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RILLA OCTUBRE"/>
      <sheetName val="VALOR PREFERENCIAL"/>
      <sheetName val="VALOR PREFERENCIAL (2)"/>
      <sheetName val="SPOT GARANTIZADO"/>
    </sheetNames>
    <sheetDataSet>
      <sheetData sheetId="0" refreshError="1"/>
      <sheetData sheetId="1"/>
      <sheetData sheetId="2">
        <row r="7">
          <cell r="L7">
            <v>950000</v>
          </cell>
          <cell r="M7">
            <v>1900000</v>
          </cell>
          <cell r="N7">
            <v>2175000</v>
          </cell>
          <cell r="O7">
            <v>2600000</v>
          </cell>
          <cell r="P7">
            <v>2800000</v>
          </cell>
          <cell r="Q7">
            <v>3000000</v>
          </cell>
          <cell r="R7">
            <v>3500000</v>
          </cell>
          <cell r="S7">
            <v>4000000</v>
          </cell>
          <cell r="T7">
            <v>4500000</v>
          </cell>
          <cell r="U7">
            <v>5250000</v>
          </cell>
          <cell r="V7">
            <v>6050000</v>
          </cell>
          <cell r="W7">
            <v>6900000</v>
          </cell>
          <cell r="X7">
            <v>7475000</v>
          </cell>
        </row>
        <row r="8">
          <cell r="L8">
            <v>950000</v>
          </cell>
          <cell r="M8">
            <v>1900000</v>
          </cell>
          <cell r="N8">
            <v>2175000</v>
          </cell>
          <cell r="O8">
            <v>2600000</v>
          </cell>
          <cell r="P8">
            <v>2800000</v>
          </cell>
          <cell r="Q8">
            <v>3000000</v>
          </cell>
          <cell r="R8">
            <v>3500000</v>
          </cell>
          <cell r="S8">
            <v>4000000</v>
          </cell>
          <cell r="T8">
            <v>4500000</v>
          </cell>
          <cell r="U8">
            <v>5250000</v>
          </cell>
          <cell r="V8">
            <v>6050000</v>
          </cell>
          <cell r="W8">
            <v>6900000</v>
          </cell>
          <cell r="X8">
            <v>7475000</v>
          </cell>
        </row>
        <row r="9">
          <cell r="L9">
            <v>1457000</v>
          </cell>
          <cell r="M9">
            <v>2913000</v>
          </cell>
          <cell r="N9">
            <v>3335000</v>
          </cell>
          <cell r="O9">
            <v>3987000</v>
          </cell>
          <cell r="P9">
            <v>4293000</v>
          </cell>
          <cell r="Q9">
            <v>4600000</v>
          </cell>
          <cell r="R9">
            <v>5367000</v>
          </cell>
          <cell r="S9">
            <v>6133000</v>
          </cell>
          <cell r="T9">
            <v>6900000</v>
          </cell>
          <cell r="U9">
            <v>8050000</v>
          </cell>
          <cell r="V9">
            <v>9277000</v>
          </cell>
          <cell r="W9">
            <v>10580000</v>
          </cell>
          <cell r="X9">
            <v>11462000</v>
          </cell>
        </row>
        <row r="10">
          <cell r="L10">
            <v>823000</v>
          </cell>
          <cell r="M10">
            <v>1647000</v>
          </cell>
          <cell r="N10">
            <v>1885000</v>
          </cell>
          <cell r="O10">
            <v>2253000</v>
          </cell>
          <cell r="P10">
            <v>2427000</v>
          </cell>
          <cell r="Q10">
            <v>2600000</v>
          </cell>
          <cell r="R10">
            <v>3033000</v>
          </cell>
          <cell r="S10">
            <v>3467000</v>
          </cell>
          <cell r="T10">
            <v>3900000</v>
          </cell>
          <cell r="U10">
            <v>4550000</v>
          </cell>
          <cell r="V10">
            <v>5243000</v>
          </cell>
          <cell r="W10">
            <v>5980000</v>
          </cell>
          <cell r="X10">
            <v>6478000</v>
          </cell>
        </row>
        <row r="11">
          <cell r="L11">
            <v>1108000</v>
          </cell>
          <cell r="M11">
            <v>2217000</v>
          </cell>
          <cell r="N11">
            <v>2538000</v>
          </cell>
          <cell r="O11">
            <v>3033000</v>
          </cell>
          <cell r="P11">
            <v>3267000</v>
          </cell>
          <cell r="Q11">
            <v>3500000</v>
          </cell>
          <cell r="R11">
            <v>4083000</v>
          </cell>
          <cell r="S11">
            <v>4667000</v>
          </cell>
          <cell r="T11">
            <v>5250000</v>
          </cell>
          <cell r="U11">
            <v>6125000</v>
          </cell>
          <cell r="V11">
            <v>7058000</v>
          </cell>
          <cell r="W11">
            <v>8050000</v>
          </cell>
          <cell r="X11">
            <v>8721000</v>
          </cell>
        </row>
        <row r="12">
          <cell r="L12">
            <v>1488000</v>
          </cell>
          <cell r="M12">
            <v>2977000</v>
          </cell>
          <cell r="N12">
            <v>3408000</v>
          </cell>
          <cell r="O12">
            <v>4073000</v>
          </cell>
          <cell r="P12">
            <v>4387000</v>
          </cell>
          <cell r="Q12">
            <v>4700000</v>
          </cell>
          <cell r="R12">
            <v>5483000</v>
          </cell>
          <cell r="S12">
            <v>6267000</v>
          </cell>
          <cell r="T12">
            <v>7050000</v>
          </cell>
          <cell r="U12">
            <v>8225000</v>
          </cell>
          <cell r="V12">
            <v>9478000</v>
          </cell>
          <cell r="W12">
            <v>10810000</v>
          </cell>
          <cell r="X12">
            <v>11711000</v>
          </cell>
        </row>
        <row r="13">
          <cell r="L13">
            <v>855000</v>
          </cell>
          <cell r="M13">
            <v>1710000</v>
          </cell>
          <cell r="N13">
            <v>1958000</v>
          </cell>
          <cell r="O13">
            <v>2340000</v>
          </cell>
          <cell r="P13">
            <v>2520000</v>
          </cell>
          <cell r="Q13">
            <v>2700000</v>
          </cell>
          <cell r="R13">
            <v>3150000</v>
          </cell>
          <cell r="S13">
            <v>3600000</v>
          </cell>
          <cell r="T13">
            <v>4050000</v>
          </cell>
          <cell r="U13">
            <v>4725000</v>
          </cell>
          <cell r="V13">
            <v>5445000</v>
          </cell>
          <cell r="W13">
            <v>6210000</v>
          </cell>
          <cell r="X13">
            <v>6728000</v>
          </cell>
        </row>
        <row r="14">
          <cell r="L14">
            <v>1140000</v>
          </cell>
          <cell r="M14">
            <v>2280000</v>
          </cell>
          <cell r="N14">
            <v>2610000</v>
          </cell>
          <cell r="O14">
            <v>3120000</v>
          </cell>
          <cell r="P14">
            <v>3360000</v>
          </cell>
          <cell r="Q14">
            <v>3600000</v>
          </cell>
          <cell r="R14">
            <v>4200000</v>
          </cell>
          <cell r="S14">
            <v>4800000</v>
          </cell>
          <cell r="T14">
            <v>5400000</v>
          </cell>
          <cell r="U14">
            <v>6300000</v>
          </cell>
          <cell r="V14">
            <v>7260000</v>
          </cell>
          <cell r="W14">
            <v>8280000</v>
          </cell>
          <cell r="X14">
            <v>8970000</v>
          </cell>
        </row>
        <row r="15">
          <cell r="L15">
            <v>1488000</v>
          </cell>
          <cell r="M15">
            <v>2977000</v>
          </cell>
          <cell r="N15">
            <v>3408000</v>
          </cell>
          <cell r="O15">
            <v>4073000</v>
          </cell>
          <cell r="P15">
            <v>4387000</v>
          </cell>
          <cell r="Q15">
            <v>4700000</v>
          </cell>
          <cell r="R15">
            <v>5483000</v>
          </cell>
          <cell r="S15">
            <v>6267000</v>
          </cell>
          <cell r="T15">
            <v>7050000</v>
          </cell>
          <cell r="U15">
            <v>8225000</v>
          </cell>
          <cell r="V15">
            <v>9478000</v>
          </cell>
          <cell r="W15">
            <v>10810000</v>
          </cell>
          <cell r="X15">
            <v>11711000</v>
          </cell>
        </row>
        <row r="16">
          <cell r="L16">
            <v>364000</v>
          </cell>
          <cell r="M16">
            <v>728000</v>
          </cell>
          <cell r="N16">
            <v>834000</v>
          </cell>
          <cell r="O16">
            <v>997000</v>
          </cell>
          <cell r="P16">
            <v>1073000</v>
          </cell>
          <cell r="Q16">
            <v>1150000</v>
          </cell>
          <cell r="R16">
            <v>1342000</v>
          </cell>
          <cell r="S16">
            <v>1533000</v>
          </cell>
          <cell r="T16">
            <v>1725000</v>
          </cell>
          <cell r="U16">
            <v>2013000</v>
          </cell>
          <cell r="V16">
            <v>2319000</v>
          </cell>
          <cell r="W16">
            <v>2645000</v>
          </cell>
          <cell r="X16">
            <v>2865000</v>
          </cell>
        </row>
        <row r="17">
          <cell r="L17">
            <v>380000</v>
          </cell>
          <cell r="M17">
            <v>760000</v>
          </cell>
          <cell r="N17">
            <v>870000</v>
          </cell>
          <cell r="O17">
            <v>1040000</v>
          </cell>
          <cell r="P17">
            <v>1120000</v>
          </cell>
          <cell r="Q17">
            <v>1200000</v>
          </cell>
          <cell r="R17">
            <v>1400000</v>
          </cell>
          <cell r="S17">
            <v>1600000</v>
          </cell>
          <cell r="T17">
            <v>1800000</v>
          </cell>
          <cell r="U17">
            <v>2100000</v>
          </cell>
          <cell r="V17">
            <v>2420000</v>
          </cell>
          <cell r="W17">
            <v>2760000</v>
          </cell>
          <cell r="X17">
            <v>2990000</v>
          </cell>
        </row>
        <row r="18">
          <cell r="L18">
            <v>103000</v>
          </cell>
          <cell r="M18">
            <v>206000</v>
          </cell>
          <cell r="N18">
            <v>236000</v>
          </cell>
          <cell r="O18">
            <v>282000</v>
          </cell>
          <cell r="P18">
            <v>303000</v>
          </cell>
          <cell r="Q18">
            <v>325000</v>
          </cell>
          <cell r="R18">
            <v>379000</v>
          </cell>
          <cell r="S18">
            <v>433000</v>
          </cell>
          <cell r="T18">
            <v>488000</v>
          </cell>
          <cell r="U18">
            <v>569000</v>
          </cell>
          <cell r="V18">
            <v>655000</v>
          </cell>
          <cell r="W18">
            <v>748000</v>
          </cell>
          <cell r="X18">
            <v>810000</v>
          </cell>
        </row>
        <row r="19">
          <cell r="L19">
            <v>79000</v>
          </cell>
          <cell r="M19">
            <v>158000</v>
          </cell>
          <cell r="N19">
            <v>181000</v>
          </cell>
          <cell r="O19">
            <v>217000</v>
          </cell>
          <cell r="P19">
            <v>233000</v>
          </cell>
          <cell r="Q19">
            <v>250000</v>
          </cell>
          <cell r="R19">
            <v>292000</v>
          </cell>
          <cell r="S19">
            <v>333000</v>
          </cell>
          <cell r="T19">
            <v>375000</v>
          </cell>
          <cell r="U19">
            <v>438000</v>
          </cell>
          <cell r="V19">
            <v>504000</v>
          </cell>
          <cell r="W19">
            <v>575000</v>
          </cell>
          <cell r="X19">
            <v>623000</v>
          </cell>
        </row>
        <row r="33">
          <cell r="L33">
            <v>95000</v>
          </cell>
          <cell r="M33">
            <v>190000</v>
          </cell>
          <cell r="N33">
            <v>218000</v>
          </cell>
          <cell r="O33">
            <v>260000</v>
          </cell>
          <cell r="P33">
            <v>280000</v>
          </cell>
          <cell r="Q33">
            <v>300000</v>
          </cell>
          <cell r="R33">
            <v>350000</v>
          </cell>
          <cell r="S33">
            <v>400000</v>
          </cell>
          <cell r="T33">
            <v>450000</v>
          </cell>
          <cell r="U33">
            <v>525000</v>
          </cell>
          <cell r="V33">
            <v>605000</v>
          </cell>
          <cell r="W33">
            <v>690000</v>
          </cell>
          <cell r="X33">
            <v>748000</v>
          </cell>
        </row>
        <row r="34">
          <cell r="L34">
            <v>190000</v>
          </cell>
          <cell r="M34">
            <v>380000</v>
          </cell>
          <cell r="N34">
            <v>435000</v>
          </cell>
          <cell r="O34">
            <v>520000</v>
          </cell>
          <cell r="P34">
            <v>560000</v>
          </cell>
          <cell r="Q34">
            <v>600000</v>
          </cell>
          <cell r="R34">
            <v>700000</v>
          </cell>
          <cell r="S34">
            <v>800000</v>
          </cell>
          <cell r="T34">
            <v>900000</v>
          </cell>
          <cell r="U34">
            <v>1050000</v>
          </cell>
          <cell r="V34">
            <v>1210000</v>
          </cell>
          <cell r="W34">
            <v>1380000</v>
          </cell>
          <cell r="X34">
            <v>1495000</v>
          </cell>
        </row>
        <row r="35">
          <cell r="L35">
            <v>222000</v>
          </cell>
          <cell r="M35">
            <v>443000</v>
          </cell>
          <cell r="N35">
            <v>508000</v>
          </cell>
          <cell r="O35">
            <v>607000</v>
          </cell>
          <cell r="P35">
            <v>653000</v>
          </cell>
          <cell r="Q35">
            <v>700000</v>
          </cell>
          <cell r="R35">
            <v>817000</v>
          </cell>
          <cell r="S35">
            <v>933000</v>
          </cell>
          <cell r="T35">
            <v>1050000</v>
          </cell>
          <cell r="U35">
            <v>1225000</v>
          </cell>
          <cell r="V35">
            <v>1412000</v>
          </cell>
          <cell r="W35">
            <v>1610000</v>
          </cell>
          <cell r="X35">
            <v>1744000</v>
          </cell>
        </row>
        <row r="36">
          <cell r="L36">
            <v>253000</v>
          </cell>
          <cell r="M36">
            <v>507000</v>
          </cell>
          <cell r="N36">
            <v>580000</v>
          </cell>
          <cell r="O36">
            <v>693000</v>
          </cell>
          <cell r="P36">
            <v>747000</v>
          </cell>
          <cell r="Q36">
            <v>800000</v>
          </cell>
          <cell r="R36">
            <v>933000</v>
          </cell>
          <cell r="S36">
            <v>1067000</v>
          </cell>
          <cell r="T36">
            <v>1200000</v>
          </cell>
          <cell r="U36">
            <v>1400000</v>
          </cell>
          <cell r="V36">
            <v>1613000</v>
          </cell>
          <cell r="W36">
            <v>1840000</v>
          </cell>
          <cell r="X36">
            <v>1993000</v>
          </cell>
        </row>
        <row r="37">
          <cell r="L37">
            <v>317000</v>
          </cell>
          <cell r="M37">
            <v>633000</v>
          </cell>
          <cell r="N37">
            <v>725000</v>
          </cell>
          <cell r="O37">
            <v>867000</v>
          </cell>
          <cell r="P37">
            <v>933000</v>
          </cell>
          <cell r="Q37">
            <v>1000000</v>
          </cell>
          <cell r="R37">
            <v>1167000</v>
          </cell>
          <cell r="S37">
            <v>1333000</v>
          </cell>
          <cell r="T37">
            <v>1500000</v>
          </cell>
          <cell r="U37">
            <v>1750000</v>
          </cell>
          <cell r="V37">
            <v>2017000</v>
          </cell>
          <cell r="W37">
            <v>2300000</v>
          </cell>
          <cell r="X37">
            <v>2492000</v>
          </cell>
        </row>
        <row r="38">
          <cell r="L38">
            <v>586000</v>
          </cell>
          <cell r="M38">
            <v>1172000</v>
          </cell>
          <cell r="N38">
            <v>1341000</v>
          </cell>
          <cell r="O38">
            <v>1603000</v>
          </cell>
          <cell r="P38">
            <v>1727000</v>
          </cell>
          <cell r="Q38">
            <v>1850000</v>
          </cell>
          <cell r="R38">
            <v>2158000</v>
          </cell>
          <cell r="S38">
            <v>2467000</v>
          </cell>
          <cell r="T38">
            <v>2775000</v>
          </cell>
          <cell r="U38">
            <v>3238000</v>
          </cell>
          <cell r="V38">
            <v>3731000</v>
          </cell>
          <cell r="W38">
            <v>4255000</v>
          </cell>
          <cell r="X38">
            <v>4610000</v>
          </cell>
        </row>
        <row r="39">
          <cell r="L39">
            <v>317000</v>
          </cell>
          <cell r="M39">
            <v>633000</v>
          </cell>
          <cell r="N39">
            <v>725000</v>
          </cell>
          <cell r="O39">
            <v>867000</v>
          </cell>
          <cell r="P39">
            <v>933000</v>
          </cell>
          <cell r="Q39">
            <v>1000000</v>
          </cell>
          <cell r="R39">
            <v>1167000</v>
          </cell>
          <cell r="S39">
            <v>1333000</v>
          </cell>
          <cell r="T39">
            <v>1500000</v>
          </cell>
          <cell r="U39">
            <v>1750000</v>
          </cell>
          <cell r="V39">
            <v>2017000</v>
          </cell>
          <cell r="W39">
            <v>2300000</v>
          </cell>
          <cell r="X39">
            <v>2492000</v>
          </cell>
        </row>
        <row r="40">
          <cell r="L40">
            <v>380000</v>
          </cell>
          <cell r="M40">
            <v>760000</v>
          </cell>
          <cell r="N40">
            <v>870000</v>
          </cell>
          <cell r="O40">
            <v>1040000</v>
          </cell>
          <cell r="P40">
            <v>1120000</v>
          </cell>
          <cell r="Q40">
            <v>1200000</v>
          </cell>
          <cell r="R40">
            <v>1400000</v>
          </cell>
          <cell r="S40">
            <v>1600000</v>
          </cell>
          <cell r="T40">
            <v>1800000</v>
          </cell>
          <cell r="U40">
            <v>2100000</v>
          </cell>
          <cell r="V40">
            <v>2420000</v>
          </cell>
          <cell r="W40">
            <v>2760000</v>
          </cell>
          <cell r="X40">
            <v>2990000</v>
          </cell>
        </row>
        <row r="42">
          <cell r="L42">
            <v>48000</v>
          </cell>
          <cell r="M42">
            <v>95000</v>
          </cell>
          <cell r="N42">
            <v>109000</v>
          </cell>
          <cell r="O42">
            <v>130000</v>
          </cell>
          <cell r="P42">
            <v>140000</v>
          </cell>
          <cell r="Q42">
            <v>150000</v>
          </cell>
          <cell r="R42">
            <v>175000</v>
          </cell>
          <cell r="S42">
            <v>200000</v>
          </cell>
          <cell r="T42">
            <v>225000</v>
          </cell>
          <cell r="U42">
            <v>263000</v>
          </cell>
          <cell r="V42">
            <v>303000</v>
          </cell>
          <cell r="W42">
            <v>345000</v>
          </cell>
          <cell r="X42">
            <v>374000</v>
          </cell>
        </row>
        <row r="43">
          <cell r="L43">
            <v>63000</v>
          </cell>
          <cell r="M43">
            <v>127000</v>
          </cell>
          <cell r="N43">
            <v>145000</v>
          </cell>
          <cell r="O43">
            <v>173000</v>
          </cell>
          <cell r="P43">
            <v>187000</v>
          </cell>
          <cell r="Q43">
            <v>200000</v>
          </cell>
          <cell r="R43">
            <v>233000</v>
          </cell>
          <cell r="S43">
            <v>267000</v>
          </cell>
          <cell r="T43">
            <v>300000</v>
          </cell>
          <cell r="U43">
            <v>350000</v>
          </cell>
          <cell r="V43">
            <v>403000</v>
          </cell>
          <cell r="W43">
            <v>460000</v>
          </cell>
          <cell r="X43">
            <v>498000</v>
          </cell>
        </row>
        <row r="44">
          <cell r="L44">
            <v>158000</v>
          </cell>
          <cell r="M44">
            <v>317000</v>
          </cell>
          <cell r="N44">
            <v>363000</v>
          </cell>
          <cell r="O44">
            <v>433000</v>
          </cell>
          <cell r="P44">
            <v>467000</v>
          </cell>
          <cell r="Q44">
            <v>500000</v>
          </cell>
          <cell r="R44">
            <v>583000</v>
          </cell>
          <cell r="S44">
            <v>667000</v>
          </cell>
          <cell r="T44">
            <v>750000</v>
          </cell>
          <cell r="U44">
            <v>875000</v>
          </cell>
          <cell r="V44">
            <v>1008000</v>
          </cell>
          <cell r="W44">
            <v>1150000</v>
          </cell>
          <cell r="X44">
            <v>1246000</v>
          </cell>
        </row>
        <row r="45">
          <cell r="L45">
            <v>253000</v>
          </cell>
          <cell r="M45">
            <v>507000</v>
          </cell>
          <cell r="N45">
            <v>580000</v>
          </cell>
          <cell r="O45">
            <v>693000</v>
          </cell>
          <cell r="P45">
            <v>747000</v>
          </cell>
          <cell r="Q45">
            <v>800000</v>
          </cell>
          <cell r="R45">
            <v>933000</v>
          </cell>
          <cell r="S45">
            <v>1067000</v>
          </cell>
          <cell r="T45">
            <v>1200000</v>
          </cell>
          <cell r="U45">
            <v>1400000</v>
          </cell>
          <cell r="V45">
            <v>1613000</v>
          </cell>
          <cell r="W45">
            <v>1840000</v>
          </cell>
          <cell r="X45">
            <v>1993000</v>
          </cell>
        </row>
        <row r="46">
          <cell r="L46">
            <v>238000</v>
          </cell>
          <cell r="M46">
            <v>475000</v>
          </cell>
          <cell r="N46">
            <v>544000</v>
          </cell>
          <cell r="O46">
            <v>650000</v>
          </cell>
          <cell r="P46">
            <v>700000</v>
          </cell>
          <cell r="Q46">
            <v>750000</v>
          </cell>
          <cell r="R46">
            <v>875000</v>
          </cell>
          <cell r="S46">
            <v>1000000</v>
          </cell>
          <cell r="T46">
            <v>1125000</v>
          </cell>
          <cell r="U46">
            <v>1313000</v>
          </cell>
          <cell r="V46">
            <v>1513000</v>
          </cell>
          <cell r="W46">
            <v>1725000</v>
          </cell>
          <cell r="X46">
            <v>1869000</v>
          </cell>
        </row>
        <row r="47">
          <cell r="L47">
            <v>269000</v>
          </cell>
          <cell r="M47">
            <v>538000</v>
          </cell>
          <cell r="N47">
            <v>616000</v>
          </cell>
          <cell r="O47">
            <v>737000</v>
          </cell>
          <cell r="P47">
            <v>793000</v>
          </cell>
          <cell r="Q47">
            <v>850000</v>
          </cell>
          <cell r="R47">
            <v>992000</v>
          </cell>
          <cell r="S47">
            <v>1133000</v>
          </cell>
          <cell r="T47">
            <v>1275000</v>
          </cell>
          <cell r="U47">
            <v>1488000</v>
          </cell>
          <cell r="V47">
            <v>1714000</v>
          </cell>
          <cell r="W47">
            <v>1955000</v>
          </cell>
          <cell r="X47">
            <v>2118000</v>
          </cell>
        </row>
        <row r="48">
          <cell r="L48">
            <v>412000</v>
          </cell>
          <cell r="M48">
            <v>823000</v>
          </cell>
          <cell r="N48">
            <v>943000</v>
          </cell>
          <cell r="O48">
            <v>1127000</v>
          </cell>
          <cell r="P48">
            <v>1213000</v>
          </cell>
          <cell r="Q48">
            <v>1300000</v>
          </cell>
          <cell r="R48">
            <v>1517000</v>
          </cell>
          <cell r="S48">
            <v>1733000</v>
          </cell>
          <cell r="T48">
            <v>1950000</v>
          </cell>
          <cell r="U48">
            <v>2275000</v>
          </cell>
          <cell r="V48">
            <v>2622000</v>
          </cell>
          <cell r="W48">
            <v>2990000</v>
          </cell>
          <cell r="X48">
            <v>3239000</v>
          </cell>
        </row>
        <row r="50">
          <cell r="L50">
            <v>48000</v>
          </cell>
          <cell r="M50">
            <v>95000</v>
          </cell>
          <cell r="N50">
            <v>109000</v>
          </cell>
          <cell r="O50">
            <v>130000</v>
          </cell>
          <cell r="P50">
            <v>140000</v>
          </cell>
          <cell r="Q50">
            <v>150000</v>
          </cell>
          <cell r="R50">
            <v>175000</v>
          </cell>
          <cell r="S50">
            <v>200000</v>
          </cell>
          <cell r="T50">
            <v>225000</v>
          </cell>
          <cell r="U50">
            <v>263000</v>
          </cell>
          <cell r="V50">
            <v>303000</v>
          </cell>
          <cell r="W50">
            <v>345000</v>
          </cell>
          <cell r="X50">
            <v>374000</v>
          </cell>
        </row>
        <row r="52">
          <cell r="L52">
            <v>79000</v>
          </cell>
          <cell r="M52">
            <v>158000</v>
          </cell>
          <cell r="N52">
            <v>181000</v>
          </cell>
          <cell r="O52">
            <v>217000</v>
          </cell>
          <cell r="P52">
            <v>233000</v>
          </cell>
          <cell r="Q52">
            <v>250000</v>
          </cell>
          <cell r="R52">
            <v>292000</v>
          </cell>
          <cell r="S52">
            <v>333000</v>
          </cell>
          <cell r="T52">
            <v>375000</v>
          </cell>
          <cell r="U52">
            <v>438000</v>
          </cell>
          <cell r="V52">
            <v>504000</v>
          </cell>
          <cell r="W52">
            <v>575000</v>
          </cell>
          <cell r="X52">
            <v>623000</v>
          </cell>
        </row>
        <row r="53">
          <cell r="L53">
            <v>127000</v>
          </cell>
          <cell r="M53">
            <v>253000</v>
          </cell>
          <cell r="N53">
            <v>290000</v>
          </cell>
          <cell r="O53">
            <v>347000</v>
          </cell>
          <cell r="P53">
            <v>373000</v>
          </cell>
          <cell r="Q53">
            <v>400000</v>
          </cell>
          <cell r="R53">
            <v>467000</v>
          </cell>
          <cell r="S53">
            <v>533000</v>
          </cell>
          <cell r="T53">
            <v>600000</v>
          </cell>
          <cell r="U53">
            <v>700000</v>
          </cell>
          <cell r="V53">
            <v>807000</v>
          </cell>
          <cell r="W53">
            <v>920000</v>
          </cell>
          <cell r="X53">
            <v>997000</v>
          </cell>
        </row>
        <row r="54">
          <cell r="L54">
            <v>174000</v>
          </cell>
          <cell r="M54">
            <v>348000</v>
          </cell>
          <cell r="N54">
            <v>399000</v>
          </cell>
          <cell r="O54">
            <v>477000</v>
          </cell>
          <cell r="P54">
            <v>513000</v>
          </cell>
          <cell r="Q54">
            <v>550000</v>
          </cell>
          <cell r="R54">
            <v>642000</v>
          </cell>
          <cell r="S54">
            <v>733000</v>
          </cell>
          <cell r="T54">
            <v>825000</v>
          </cell>
          <cell r="U54">
            <v>963000</v>
          </cell>
          <cell r="V54">
            <v>1109000</v>
          </cell>
          <cell r="W54">
            <v>1265000</v>
          </cell>
          <cell r="X54">
            <v>1370000</v>
          </cell>
        </row>
        <row r="55">
          <cell r="L55">
            <v>222000</v>
          </cell>
          <cell r="M55">
            <v>443000</v>
          </cell>
          <cell r="N55">
            <v>508000</v>
          </cell>
          <cell r="O55">
            <v>607000</v>
          </cell>
          <cell r="P55">
            <v>653000</v>
          </cell>
          <cell r="Q55">
            <v>700000</v>
          </cell>
          <cell r="R55">
            <v>817000</v>
          </cell>
          <cell r="S55">
            <v>933000</v>
          </cell>
          <cell r="T55">
            <v>1050000</v>
          </cell>
          <cell r="U55">
            <v>1225000</v>
          </cell>
          <cell r="V55">
            <v>1412000</v>
          </cell>
          <cell r="W55">
            <v>1610000</v>
          </cell>
          <cell r="X55">
            <v>1744000</v>
          </cell>
        </row>
        <row r="56">
          <cell r="L56">
            <v>174000</v>
          </cell>
          <cell r="M56">
            <v>348000</v>
          </cell>
          <cell r="N56">
            <v>399000</v>
          </cell>
          <cell r="O56">
            <v>477000</v>
          </cell>
          <cell r="P56">
            <v>513000</v>
          </cell>
          <cell r="Q56">
            <v>550000</v>
          </cell>
          <cell r="R56">
            <v>642000</v>
          </cell>
          <cell r="S56">
            <v>733000</v>
          </cell>
          <cell r="T56">
            <v>825000</v>
          </cell>
          <cell r="U56">
            <v>963000</v>
          </cell>
          <cell r="V56">
            <v>1109000</v>
          </cell>
          <cell r="W56">
            <v>1265000</v>
          </cell>
          <cell r="X56">
            <v>1370000</v>
          </cell>
        </row>
        <row r="57">
          <cell r="L57">
            <v>206000</v>
          </cell>
          <cell r="M57">
            <v>412000</v>
          </cell>
          <cell r="N57">
            <v>471000</v>
          </cell>
          <cell r="O57">
            <v>563000</v>
          </cell>
          <cell r="P57">
            <v>607000</v>
          </cell>
          <cell r="Q57">
            <v>650000</v>
          </cell>
          <cell r="R57">
            <v>758000</v>
          </cell>
          <cell r="S57">
            <v>867000</v>
          </cell>
          <cell r="T57">
            <v>975000</v>
          </cell>
          <cell r="U57">
            <v>1138000</v>
          </cell>
          <cell r="V57">
            <v>1311000</v>
          </cell>
          <cell r="W57">
            <v>1495000</v>
          </cell>
          <cell r="X57">
            <v>1620000</v>
          </cell>
        </row>
        <row r="58">
          <cell r="L58">
            <v>412000</v>
          </cell>
          <cell r="M58">
            <v>823000</v>
          </cell>
          <cell r="N58">
            <v>943000</v>
          </cell>
          <cell r="O58">
            <v>1127000</v>
          </cell>
          <cell r="P58">
            <v>1213000</v>
          </cell>
          <cell r="Q58">
            <v>1300000</v>
          </cell>
          <cell r="R58">
            <v>1517000</v>
          </cell>
          <cell r="S58">
            <v>1733000</v>
          </cell>
          <cell r="T58">
            <v>1950000</v>
          </cell>
          <cell r="U58">
            <v>2275000</v>
          </cell>
          <cell r="V58">
            <v>2622000</v>
          </cell>
          <cell r="W58">
            <v>2990000</v>
          </cell>
          <cell r="X58">
            <v>3239000</v>
          </cell>
        </row>
        <row r="59">
          <cell r="L59">
            <v>317000</v>
          </cell>
          <cell r="M59">
            <v>633000</v>
          </cell>
          <cell r="N59">
            <v>725000</v>
          </cell>
          <cell r="O59">
            <v>867000</v>
          </cell>
          <cell r="P59">
            <v>933000</v>
          </cell>
          <cell r="Q59">
            <v>1000000</v>
          </cell>
          <cell r="R59">
            <v>1167000</v>
          </cell>
          <cell r="S59">
            <v>1333000</v>
          </cell>
          <cell r="T59">
            <v>1500000</v>
          </cell>
          <cell r="U59">
            <v>1750000</v>
          </cell>
          <cell r="V59">
            <v>2017000</v>
          </cell>
          <cell r="W59">
            <v>2300000</v>
          </cell>
          <cell r="X59">
            <v>2492000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Tarifa Preferencial"/>
      <sheetName val="Pref Marzo 2016"/>
      <sheetName val="Niveles ABRIL"/>
      <sheetName val="TP ABRIL"/>
      <sheetName val="Tarifas Canal 24H"/>
      <sheetName val="Pauta TVN"/>
      <sheetName val="Rating TVN"/>
      <sheetName val="Pautas 24 horas"/>
      <sheetName val="rating 24 horas"/>
      <sheetName val="bases"/>
      <sheetName val="COL"/>
      <sheetName val="Hoja1"/>
      <sheetName val="Hoja3"/>
      <sheetName val="Cuantificador_RM"/>
      <sheetName val="Cuantificador_TP"/>
      <sheetName val="Tarifa_Preferencial"/>
      <sheetName val="Pref_Marzo_2016"/>
      <sheetName val="Niveles_ABRIL"/>
      <sheetName val="TP_ABRIL"/>
      <sheetName val="Tarifas_Canal_24H"/>
      <sheetName val="Pauta_TVN"/>
      <sheetName val="Rating_TVN"/>
      <sheetName val="Pautas_24_horas"/>
      <sheetName val="rating_24_horas"/>
      <sheetName val="Cuantificador_RM2"/>
      <sheetName val="Cuantificador_TP2"/>
      <sheetName val="Tarifa_Preferencial2"/>
      <sheetName val="Pref_Marzo_20162"/>
      <sheetName val="Niveles_ABRIL2"/>
      <sheetName val="TP_ABRIL2"/>
      <sheetName val="Tarifas_Canal_24H2"/>
      <sheetName val="Pauta_TVN2"/>
      <sheetName val="Rating_TVN2"/>
      <sheetName val="Pautas_24_horas2"/>
      <sheetName val="rating_24_horas2"/>
      <sheetName val="Cuantificador_RM1"/>
      <sheetName val="Cuantificador_TP1"/>
      <sheetName val="Tarifa_Preferencial1"/>
      <sheetName val="Pref_Marzo_20161"/>
      <sheetName val="Niveles_ABRIL1"/>
      <sheetName val="TP_ABRIL1"/>
      <sheetName val="Tarifas_Canal_24H1"/>
      <sheetName val="Pauta_TVN1"/>
      <sheetName val="Rating_TVN1"/>
      <sheetName val="Pautas_24_horas1"/>
      <sheetName val="rating_24_horas1"/>
      <sheetName val="Cuantificador_RM3"/>
      <sheetName val="Cuantificador_TP3"/>
      <sheetName val="Tarifa_Preferencial3"/>
      <sheetName val="Pref_Marzo_20163"/>
      <sheetName val="Niveles_ABRIL3"/>
      <sheetName val="TP_ABRIL3"/>
      <sheetName val="Tarifas_Canal_24H3"/>
      <sheetName val="Pauta_TVN3"/>
      <sheetName val="Rating_TVN3"/>
      <sheetName val="Pautas_24_horas3"/>
      <sheetName val="rating_24_horas3"/>
      <sheetName val="Cuantificador_RM4"/>
      <sheetName val="Cuantificador_TP4"/>
      <sheetName val="Tarifa_Preferencial4"/>
      <sheetName val="Pref_Marzo_20164"/>
      <sheetName val="Niveles_ABRIL4"/>
      <sheetName val="TP_ABRIL4"/>
      <sheetName val="Tarifas_Canal_24H4"/>
      <sheetName val="Pauta_TVN4"/>
      <sheetName val="Rating_TVN4"/>
      <sheetName val="Pautas_24_horas4"/>
      <sheetName val="rating_24_horas4"/>
      <sheetName val="Cuantificador_RM5"/>
      <sheetName val="Cuantificador_TP5"/>
      <sheetName val="Tarifa_Preferencial5"/>
      <sheetName val="Pref_Marzo_20165"/>
      <sheetName val="Niveles_ABRIL5"/>
      <sheetName val="TP_ABRIL5"/>
      <sheetName val="Tarifas_Canal_24H5"/>
      <sheetName val="Pauta_TVN5"/>
      <sheetName val="Rating_TVN5"/>
      <sheetName val="Pautas_24_horas5"/>
      <sheetName val="rating_24_horas5"/>
      <sheetName val="Cuantificador_RM6"/>
      <sheetName val="Cuantificador_TP6"/>
      <sheetName val="Tarifa_Preferencial6"/>
      <sheetName val="Pref_Marzo_20166"/>
      <sheetName val="Niveles_ABRIL6"/>
      <sheetName val="TP_ABRIL6"/>
      <sheetName val="Tarifas_Canal_24H6"/>
      <sheetName val="Pauta_TVN6"/>
      <sheetName val="Rating_TVN6"/>
      <sheetName val="Pautas_24_horas6"/>
      <sheetName val="rating_24_horas6"/>
      <sheetName val="Cuantificador_RM8"/>
      <sheetName val="Cuantificador_TP8"/>
      <sheetName val="Tarifa_Preferencial8"/>
      <sheetName val="Pref_Marzo_20168"/>
      <sheetName val="Niveles_ABRIL8"/>
      <sheetName val="TP_ABRIL8"/>
      <sheetName val="Tarifas_Canal_24H8"/>
      <sheetName val="Pauta_TVN8"/>
      <sheetName val="Rating_TVN8"/>
      <sheetName val="Pautas_24_horas8"/>
      <sheetName val="rating_24_horas8"/>
      <sheetName val="Cuantificador_RM7"/>
      <sheetName val="Cuantificador_TP7"/>
      <sheetName val="Tarifa_Preferencial7"/>
      <sheetName val="Pref_Marzo_20167"/>
      <sheetName val="Niveles_ABRIL7"/>
      <sheetName val="TP_ABRIL7"/>
      <sheetName val="Tarifas_Canal_24H7"/>
      <sheetName val="Pauta_TVN7"/>
      <sheetName val="Rating_TVN7"/>
      <sheetName val="Pautas_24_horas7"/>
      <sheetName val="rating_24_horas7"/>
      <sheetName val="Cuantificador_RM9"/>
      <sheetName val="Cuantificador_TP9"/>
      <sheetName val="Tarifa_Preferencial9"/>
      <sheetName val="Pref_Marzo_20169"/>
      <sheetName val="Niveles_ABRIL9"/>
      <sheetName val="TP_ABRIL9"/>
      <sheetName val="Tarifas_Canal_24H9"/>
      <sheetName val="Pauta_TVN9"/>
      <sheetName val="Rating_TVN9"/>
      <sheetName val="Pautas_24_horas9"/>
      <sheetName val="rating_24_horas9"/>
      <sheetName val="Cuantificador_RM10"/>
      <sheetName val="Cuantificador_TP10"/>
      <sheetName val="Tarifa_Preferencial10"/>
      <sheetName val="Pref_Marzo_201610"/>
      <sheetName val="Niveles_ABRIL10"/>
      <sheetName val="TP_ABRIL10"/>
      <sheetName val="Tarifas_Canal_24H10"/>
      <sheetName val="Pauta_TVN10"/>
      <sheetName val="Rating_TVN10"/>
      <sheetName val="Pautas_24_horas10"/>
      <sheetName val="rating_24_horas10"/>
    </sheetNames>
    <sheetDataSet>
      <sheetData sheetId="0">
        <row r="4">
          <cell r="C4" t="str">
            <v>Zona</v>
          </cell>
        </row>
      </sheetData>
      <sheetData sheetId="1">
        <row r="26">
          <cell r="F26">
            <v>1772512.1496339198</v>
          </cell>
        </row>
      </sheetData>
      <sheetData sheetId="2">
        <row r="4">
          <cell r="C4" t="str">
            <v>Zona</v>
          </cell>
        </row>
      </sheetData>
      <sheetData sheetId="3">
        <row r="26">
          <cell r="F26">
            <v>3611696.9636797803</v>
          </cell>
        </row>
      </sheetData>
      <sheetData sheetId="4"/>
      <sheetData sheetId="5"/>
      <sheetData sheetId="6">
        <row r="7">
          <cell r="A7" t="str">
            <v>Once Comida</v>
          </cell>
          <cell r="B7">
            <v>78366</v>
          </cell>
        </row>
        <row r="8">
          <cell r="A8" t="str">
            <v/>
          </cell>
          <cell r="B8" t="str">
            <v/>
          </cell>
        </row>
        <row r="9">
          <cell r="A9" t="str">
            <v>24 Horas Central Lu-Vi</v>
          </cell>
          <cell r="B9">
            <v>70960</v>
          </cell>
        </row>
        <row r="10">
          <cell r="A10" t="str">
            <v>24 Horas Central Lu-Vi Plus</v>
          </cell>
          <cell r="B10">
            <v>0</v>
          </cell>
        </row>
        <row r="11">
          <cell r="A11" t="str">
            <v>24 Horas Sábado</v>
          </cell>
          <cell r="B11">
            <v>65780</v>
          </cell>
        </row>
        <row r="12">
          <cell r="A12" t="str">
            <v>24 Horas Sábado Plus</v>
          </cell>
          <cell r="B12">
            <v>0</v>
          </cell>
        </row>
        <row r="13">
          <cell r="A13" t="str">
            <v>24 Horas Domingo</v>
          </cell>
          <cell r="B13">
            <v>65781</v>
          </cell>
        </row>
        <row r="14">
          <cell r="A14" t="str">
            <v>24 Horas Domingo Plus</v>
          </cell>
          <cell r="B14">
            <v>0</v>
          </cell>
        </row>
        <row r="15">
          <cell r="A15" t="str">
            <v/>
          </cell>
          <cell r="B15" t="str">
            <v/>
          </cell>
        </row>
        <row r="16">
          <cell r="A16" t="str">
            <v>Moisés, Los Diez Mandamientos</v>
          </cell>
          <cell r="B16">
            <v>78012</v>
          </cell>
        </row>
        <row r="17">
          <cell r="A17" t="str">
            <v/>
          </cell>
          <cell r="B17" t="str">
            <v/>
          </cell>
        </row>
        <row r="18">
          <cell r="A18" t="str">
            <v>Por Fin Solos</v>
          </cell>
          <cell r="B18">
            <v>78249</v>
          </cell>
        </row>
        <row r="19">
          <cell r="A19" t="str">
            <v>Viral</v>
          </cell>
          <cell r="B19">
            <v>78252</v>
          </cell>
        </row>
        <row r="20">
          <cell r="A20" t="str">
            <v>IV Medio</v>
          </cell>
          <cell r="B20">
            <v>76194</v>
          </cell>
        </row>
        <row r="21">
          <cell r="A21" t="str">
            <v>Humor</v>
          </cell>
          <cell r="B21">
            <v>76639</v>
          </cell>
        </row>
        <row r="22">
          <cell r="A22" t="str">
            <v>Best Seller viernes</v>
          </cell>
          <cell r="B22">
            <v>76630</v>
          </cell>
        </row>
        <row r="23">
          <cell r="A23" t="str">
            <v>Best Seller sabado</v>
          </cell>
          <cell r="B23">
            <v>76631</v>
          </cell>
        </row>
        <row r="24">
          <cell r="A24" t="str">
            <v>Cultura Prime / Lleve de lo Bueno</v>
          </cell>
          <cell r="B24">
            <v>78250</v>
          </cell>
        </row>
        <row r="25">
          <cell r="A25" t="str">
            <v/>
          </cell>
          <cell r="B25" t="str">
            <v/>
          </cell>
        </row>
        <row r="26">
          <cell r="A26" t="str">
            <v>Medianoche</v>
          </cell>
          <cell r="B26">
            <v>70981</v>
          </cell>
        </row>
        <row r="27">
          <cell r="A27" t="str">
            <v>Doctor House</v>
          </cell>
          <cell r="B27">
            <v>71041</v>
          </cell>
        </row>
        <row r="28">
          <cell r="A28" t="str">
            <v>Tv Tiempo Final</v>
          </cell>
          <cell r="B28">
            <v>70982</v>
          </cell>
        </row>
        <row r="29">
          <cell r="A29" t="str">
            <v>Grandes Peliculas</v>
          </cell>
          <cell r="B29">
            <v>74509</v>
          </cell>
        </row>
        <row r="30">
          <cell r="A30" t="str">
            <v>Doctor House A</v>
          </cell>
          <cell r="B30">
            <v>78205</v>
          </cell>
        </row>
        <row r="31">
          <cell r="A31" t="str">
            <v>Doctor House B</v>
          </cell>
          <cell r="B31">
            <v>78204</v>
          </cell>
        </row>
        <row r="32">
          <cell r="A32" t="str">
            <v/>
          </cell>
          <cell r="B32" t="str">
            <v/>
          </cell>
        </row>
        <row r="33">
          <cell r="A33" t="str">
            <v>5:50</v>
          </cell>
          <cell r="B33">
            <v>75832</v>
          </cell>
        </row>
        <row r="34">
          <cell r="A34" t="str">
            <v>Tu Mañana A</v>
          </cell>
          <cell r="B34">
            <v>76305</v>
          </cell>
        </row>
        <row r="35">
          <cell r="A35" t="str">
            <v>Tu Mañana Plus A</v>
          </cell>
          <cell r="B35">
            <v>0</v>
          </cell>
        </row>
        <row r="36">
          <cell r="A36" t="str">
            <v>Tu Mañana B</v>
          </cell>
          <cell r="B36">
            <v>76306</v>
          </cell>
        </row>
        <row r="37">
          <cell r="A37" t="str">
            <v>Tu Mañana Plus B</v>
          </cell>
          <cell r="B37">
            <v>0</v>
          </cell>
        </row>
        <row r="38">
          <cell r="A38" t="str">
            <v>Buenos Días a Todos A</v>
          </cell>
          <cell r="B38">
            <v>70967</v>
          </cell>
        </row>
        <row r="39">
          <cell r="A39" t="str">
            <v>Buenos Días a Todos B</v>
          </cell>
          <cell r="B39">
            <v>70968</v>
          </cell>
        </row>
        <row r="40">
          <cell r="A40" t="str">
            <v>Romané</v>
          </cell>
          <cell r="B40">
            <v>63726</v>
          </cell>
        </row>
        <row r="41">
          <cell r="A41" t="str">
            <v>La Fiera</v>
          </cell>
          <cell r="B41">
            <v>62928</v>
          </cell>
        </row>
        <row r="42">
          <cell r="A42" t="str">
            <v/>
          </cell>
          <cell r="B42" t="str">
            <v/>
          </cell>
        </row>
        <row r="43">
          <cell r="A43" t="str">
            <v>24 Horas al día</v>
          </cell>
          <cell r="B43">
            <v>70955</v>
          </cell>
        </row>
        <row r="44">
          <cell r="A44" t="str">
            <v>24 Horas al día Plus</v>
          </cell>
          <cell r="B44">
            <v>0</v>
          </cell>
        </row>
        <row r="45">
          <cell r="A45" t="str">
            <v>Esa No Soy Yo</v>
          </cell>
          <cell r="B45">
            <v>77338</v>
          </cell>
        </row>
        <row r="46">
          <cell r="A46" t="str">
            <v>Brusko</v>
          </cell>
          <cell r="B46">
            <v>78367</v>
          </cell>
        </row>
        <row r="47">
          <cell r="A47" t="str">
            <v>Destilando Amor</v>
          </cell>
          <cell r="B47">
            <v>78203</v>
          </cell>
        </row>
        <row r="48">
          <cell r="A48" t="str">
            <v>El Secreto de Puente Viejo</v>
          </cell>
          <cell r="B48">
            <v>76495</v>
          </cell>
        </row>
        <row r="49">
          <cell r="A49" t="str">
            <v/>
          </cell>
          <cell r="B49" t="str">
            <v/>
          </cell>
        </row>
        <row r="50">
          <cell r="A50" t="str">
            <v>Horacio y los Plasticines</v>
          </cell>
          <cell r="B50">
            <v>76173</v>
          </cell>
        </row>
        <row r="51">
          <cell r="A51" t="str">
            <v>Peppa Pig</v>
          </cell>
          <cell r="B51">
            <v>77273</v>
          </cell>
        </row>
        <row r="52">
          <cell r="A52" t="str">
            <v>Película Infantil</v>
          </cell>
          <cell r="B52">
            <v>78251</v>
          </cell>
        </row>
        <row r="53">
          <cell r="A53" t="str">
            <v>Noticreo</v>
          </cell>
          <cell r="B53">
            <v>77737</v>
          </cell>
        </row>
        <row r="54">
          <cell r="A54" t="str">
            <v>Super Cine Mañana</v>
          </cell>
          <cell r="B54">
            <v>75234</v>
          </cell>
        </row>
        <row r="55">
          <cell r="A55" t="str">
            <v>24 horas Día Sá</v>
          </cell>
          <cell r="B55">
            <v>72883</v>
          </cell>
        </row>
        <row r="56">
          <cell r="A56" t="str">
            <v>24 horas Día Sá Plus</v>
          </cell>
          <cell r="B56">
            <v>0</v>
          </cell>
        </row>
        <row r="57">
          <cell r="A57" t="str">
            <v>Nuestro Siglo</v>
          </cell>
          <cell r="B57">
            <v>78346</v>
          </cell>
        </row>
        <row r="58">
          <cell r="A58" t="str">
            <v>Tu Historia es Mi Historia</v>
          </cell>
          <cell r="B58">
            <v>74149</v>
          </cell>
        </row>
        <row r="59">
          <cell r="A59" t="str">
            <v>Los Tesoros de la Ruta</v>
          </cell>
          <cell r="B59">
            <v>77623</v>
          </cell>
        </row>
        <row r="60">
          <cell r="A60" t="str">
            <v>Camioneros</v>
          </cell>
          <cell r="B60">
            <v>71781</v>
          </cell>
        </row>
        <row r="61">
          <cell r="A61" t="str">
            <v>La Sangre Tira</v>
          </cell>
          <cell r="B61">
            <v>76578</v>
          </cell>
        </row>
        <row r="62">
          <cell r="A62" t="str">
            <v>Los Telas</v>
          </cell>
          <cell r="B62">
            <v>78394</v>
          </cell>
        </row>
        <row r="63">
          <cell r="A63" t="str">
            <v>Ce-Hache-i</v>
          </cell>
          <cell r="B63">
            <v>78396</v>
          </cell>
        </row>
        <row r="64">
          <cell r="A64" t="str">
            <v>Moisés Resumen Sab.</v>
          </cell>
          <cell r="B64">
            <v>78016</v>
          </cell>
        </row>
        <row r="65">
          <cell r="A65" t="str">
            <v/>
          </cell>
          <cell r="B65" t="str">
            <v/>
          </cell>
        </row>
        <row r="66">
          <cell r="A66" t="str">
            <v>Sesiones 24</v>
          </cell>
          <cell r="B66">
            <v>77518</v>
          </cell>
        </row>
        <row r="67">
          <cell r="A67" t="str">
            <v>Mirada Economica</v>
          </cell>
          <cell r="B67">
            <v>77517</v>
          </cell>
        </row>
        <row r="68">
          <cell r="A68" t="str">
            <v>24 Horas a la Hora</v>
          </cell>
          <cell r="B68">
            <v>76107</v>
          </cell>
        </row>
        <row r="69">
          <cell r="A69" t="str">
            <v>Estado Nacional</v>
          </cell>
          <cell r="B69">
            <v>69474</v>
          </cell>
        </row>
        <row r="70">
          <cell r="A70" t="str">
            <v>Podio</v>
          </cell>
          <cell r="B70">
            <v>78169</v>
          </cell>
        </row>
        <row r="71">
          <cell r="A71" t="str">
            <v>24 horas Día Do</v>
          </cell>
          <cell r="B71">
            <v>72582</v>
          </cell>
        </row>
        <row r="72">
          <cell r="A72" t="str">
            <v>24 horas Día Do Plus</v>
          </cell>
          <cell r="B72">
            <v>0</v>
          </cell>
        </row>
        <row r="73">
          <cell r="A73" t="str">
            <v>Chile Conectado</v>
          </cell>
          <cell r="B73">
            <v>72199</v>
          </cell>
        </row>
        <row r="74">
          <cell r="A74" t="str">
            <v>Frutos del País</v>
          </cell>
          <cell r="B74">
            <v>67312</v>
          </cell>
        </row>
        <row r="75">
          <cell r="A75" t="str">
            <v>Cultura Entretenida: Diarios de Tricicleta</v>
          </cell>
          <cell r="B75">
            <v>78395</v>
          </cell>
        </row>
        <row r="76">
          <cell r="A76" t="str">
            <v>Cultura Entretenida: Habitantes del Pacífico</v>
          </cell>
          <cell r="B76">
            <v>78351</v>
          </cell>
        </row>
      </sheetData>
      <sheetData sheetId="7">
        <row r="8">
          <cell r="A8" t="str">
            <v>Once Comida</v>
          </cell>
          <cell r="B8">
            <v>78366</v>
          </cell>
          <cell r="C8">
            <v>443000</v>
          </cell>
          <cell r="D8">
            <v>887000</v>
          </cell>
          <cell r="E8">
            <v>1015000</v>
          </cell>
          <cell r="F8">
            <v>1213000</v>
          </cell>
          <cell r="G8">
            <v>1307000</v>
          </cell>
          <cell r="H8">
            <v>1400000</v>
          </cell>
          <cell r="I8">
            <v>1633000</v>
          </cell>
          <cell r="J8">
            <v>1867000</v>
          </cell>
          <cell r="K8">
            <v>2100000</v>
          </cell>
          <cell r="L8">
            <v>2450000</v>
          </cell>
          <cell r="M8">
            <v>2823000</v>
          </cell>
          <cell r="N8">
            <v>3220000</v>
          </cell>
          <cell r="O8">
            <v>3488000</v>
          </cell>
        </row>
        <row r="9">
          <cell r="A9">
            <v>0</v>
          </cell>
          <cell r="B9" t="str">
            <v/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24 Horas Central Lu-Vi</v>
          </cell>
          <cell r="B10">
            <v>70960</v>
          </cell>
          <cell r="C10">
            <v>633000</v>
          </cell>
          <cell r="D10">
            <v>1267000</v>
          </cell>
          <cell r="E10">
            <v>1450000</v>
          </cell>
          <cell r="F10">
            <v>1733000</v>
          </cell>
          <cell r="G10">
            <v>1867000</v>
          </cell>
          <cell r="H10">
            <v>2000000</v>
          </cell>
          <cell r="I10">
            <v>2333000</v>
          </cell>
          <cell r="J10">
            <v>2667000</v>
          </cell>
          <cell r="K10">
            <v>3000000</v>
          </cell>
          <cell r="L10">
            <v>3500000</v>
          </cell>
          <cell r="M10">
            <v>4033000</v>
          </cell>
          <cell r="N10">
            <v>4600000</v>
          </cell>
          <cell r="O10">
            <v>4983000</v>
          </cell>
        </row>
        <row r="11">
          <cell r="A11" t="str">
            <v>24 Horas Central Lu-Vi Plus</v>
          </cell>
          <cell r="B11">
            <v>0</v>
          </cell>
          <cell r="C11">
            <v>646000</v>
          </cell>
          <cell r="D11">
            <v>1292000</v>
          </cell>
          <cell r="E11">
            <v>1479000</v>
          </cell>
          <cell r="F11">
            <v>1768000</v>
          </cell>
          <cell r="G11">
            <v>1904000</v>
          </cell>
          <cell r="H11">
            <v>2040000</v>
          </cell>
          <cell r="I11">
            <v>2380000</v>
          </cell>
          <cell r="J11">
            <v>2720000</v>
          </cell>
          <cell r="K11">
            <v>3060000</v>
          </cell>
          <cell r="L11">
            <v>3570000</v>
          </cell>
          <cell r="M11">
            <v>4114000</v>
          </cell>
          <cell r="N11">
            <v>4692000</v>
          </cell>
          <cell r="O11">
            <v>5083000</v>
          </cell>
        </row>
        <row r="12">
          <cell r="A12" t="str">
            <v>24 Horas Sábado</v>
          </cell>
          <cell r="B12">
            <v>65780</v>
          </cell>
          <cell r="C12">
            <v>412000</v>
          </cell>
          <cell r="D12">
            <v>823000</v>
          </cell>
          <cell r="E12">
            <v>943000</v>
          </cell>
          <cell r="F12">
            <v>1127000</v>
          </cell>
          <cell r="G12">
            <v>1213000</v>
          </cell>
          <cell r="H12">
            <v>1300000</v>
          </cell>
          <cell r="I12">
            <v>1517000</v>
          </cell>
          <cell r="J12">
            <v>1733000</v>
          </cell>
          <cell r="K12">
            <v>1950000</v>
          </cell>
          <cell r="L12">
            <v>2275000</v>
          </cell>
          <cell r="M12">
            <v>2622000</v>
          </cell>
          <cell r="N12">
            <v>2990000</v>
          </cell>
          <cell r="O12">
            <v>3239000</v>
          </cell>
        </row>
        <row r="13">
          <cell r="A13" t="str">
            <v>24 Horas Sábado Plus</v>
          </cell>
          <cell r="B13">
            <v>0</v>
          </cell>
          <cell r="C13">
            <v>424000</v>
          </cell>
          <cell r="D13">
            <v>849000</v>
          </cell>
          <cell r="E13">
            <v>972000</v>
          </cell>
          <cell r="F13">
            <v>1161000</v>
          </cell>
          <cell r="G13">
            <v>1251000</v>
          </cell>
          <cell r="H13">
            <v>1340000</v>
          </cell>
          <cell r="I13">
            <v>1563000</v>
          </cell>
          <cell r="J13">
            <v>1787000</v>
          </cell>
          <cell r="K13">
            <v>2010000</v>
          </cell>
          <cell r="L13">
            <v>2345000</v>
          </cell>
          <cell r="M13">
            <v>2702000</v>
          </cell>
          <cell r="N13">
            <v>3082000</v>
          </cell>
          <cell r="O13">
            <v>3339000</v>
          </cell>
        </row>
        <row r="14">
          <cell r="A14" t="str">
            <v>24 Horas Domingo</v>
          </cell>
          <cell r="B14">
            <v>65781</v>
          </cell>
          <cell r="C14">
            <v>633000</v>
          </cell>
          <cell r="D14">
            <v>1267000</v>
          </cell>
          <cell r="E14">
            <v>1450000</v>
          </cell>
          <cell r="F14">
            <v>1733000</v>
          </cell>
          <cell r="G14">
            <v>1867000</v>
          </cell>
          <cell r="H14">
            <v>2000000</v>
          </cell>
          <cell r="I14">
            <v>2333000</v>
          </cell>
          <cell r="J14">
            <v>2667000</v>
          </cell>
          <cell r="K14">
            <v>3000000</v>
          </cell>
          <cell r="L14">
            <v>3500000</v>
          </cell>
          <cell r="M14">
            <v>4033000</v>
          </cell>
          <cell r="N14">
            <v>4600000</v>
          </cell>
          <cell r="O14">
            <v>4983000</v>
          </cell>
        </row>
        <row r="15">
          <cell r="A15" t="str">
            <v>24 Horas Domingo Plus</v>
          </cell>
          <cell r="B15">
            <v>0</v>
          </cell>
          <cell r="C15">
            <v>646000</v>
          </cell>
          <cell r="D15">
            <v>1292000</v>
          </cell>
          <cell r="E15">
            <v>1479000</v>
          </cell>
          <cell r="F15">
            <v>1768000</v>
          </cell>
          <cell r="G15">
            <v>1904000</v>
          </cell>
          <cell r="H15">
            <v>2040000</v>
          </cell>
          <cell r="I15">
            <v>2380000</v>
          </cell>
          <cell r="J15">
            <v>2720000</v>
          </cell>
          <cell r="K15">
            <v>3060000</v>
          </cell>
          <cell r="L15">
            <v>3570000</v>
          </cell>
          <cell r="M15">
            <v>4114000</v>
          </cell>
          <cell r="N15">
            <v>4692000</v>
          </cell>
          <cell r="O15">
            <v>5083000</v>
          </cell>
        </row>
        <row r="16">
          <cell r="A16">
            <v>0</v>
          </cell>
          <cell r="B16" t="str">
            <v/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A17" t="str">
            <v>Moisés, Los Diez Mandamientos</v>
          </cell>
          <cell r="B17">
            <v>78012</v>
          </cell>
          <cell r="C17">
            <v>1172000</v>
          </cell>
          <cell r="D17">
            <v>2343000</v>
          </cell>
          <cell r="E17">
            <v>2683000</v>
          </cell>
          <cell r="F17">
            <v>3207000</v>
          </cell>
          <cell r="G17">
            <v>3453000</v>
          </cell>
          <cell r="H17">
            <v>3700000</v>
          </cell>
          <cell r="I17">
            <v>4317000</v>
          </cell>
          <cell r="J17">
            <v>4933000</v>
          </cell>
          <cell r="K17">
            <v>5550000</v>
          </cell>
          <cell r="L17">
            <v>6475000</v>
          </cell>
          <cell r="M17">
            <v>7462000</v>
          </cell>
          <cell r="N17">
            <v>8510000</v>
          </cell>
          <cell r="O17">
            <v>9219000</v>
          </cell>
        </row>
        <row r="18">
          <cell r="A18">
            <v>0</v>
          </cell>
          <cell r="B18" t="str">
            <v/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A19" t="str">
            <v>Por Fin Solos</v>
          </cell>
          <cell r="B19">
            <v>78249</v>
          </cell>
          <cell r="C19">
            <v>507000</v>
          </cell>
          <cell r="D19">
            <v>1013000</v>
          </cell>
          <cell r="E19">
            <v>1160000</v>
          </cell>
          <cell r="F19">
            <v>1387000</v>
          </cell>
          <cell r="G19">
            <v>1493000</v>
          </cell>
          <cell r="H19">
            <v>1600000</v>
          </cell>
          <cell r="I19">
            <v>1867000</v>
          </cell>
          <cell r="J19">
            <v>2133000</v>
          </cell>
          <cell r="K19">
            <v>2400000</v>
          </cell>
          <cell r="L19">
            <v>2800000</v>
          </cell>
          <cell r="M19">
            <v>3227000</v>
          </cell>
          <cell r="N19">
            <v>3680000</v>
          </cell>
          <cell r="O19">
            <v>3987000</v>
          </cell>
        </row>
        <row r="20">
          <cell r="A20" t="str">
            <v>Viral</v>
          </cell>
          <cell r="B20">
            <v>78252</v>
          </cell>
          <cell r="C20">
            <v>633000</v>
          </cell>
          <cell r="D20">
            <v>1267000</v>
          </cell>
          <cell r="E20">
            <v>1450000</v>
          </cell>
          <cell r="F20">
            <v>1733000</v>
          </cell>
          <cell r="G20">
            <v>1867000</v>
          </cell>
          <cell r="H20">
            <v>2000000</v>
          </cell>
          <cell r="I20">
            <v>2333000</v>
          </cell>
          <cell r="J20">
            <v>2667000</v>
          </cell>
          <cell r="K20">
            <v>3000000</v>
          </cell>
          <cell r="L20">
            <v>3500000</v>
          </cell>
          <cell r="M20">
            <v>4033000</v>
          </cell>
          <cell r="N20">
            <v>4600000</v>
          </cell>
          <cell r="O20">
            <v>4983000</v>
          </cell>
        </row>
        <row r="21">
          <cell r="A21" t="str">
            <v>IV Medio</v>
          </cell>
          <cell r="B21">
            <v>76194</v>
          </cell>
          <cell r="C21">
            <v>443000</v>
          </cell>
          <cell r="D21">
            <v>887000</v>
          </cell>
          <cell r="E21">
            <v>1015000</v>
          </cell>
          <cell r="F21">
            <v>1213000</v>
          </cell>
          <cell r="G21">
            <v>1307000</v>
          </cell>
          <cell r="H21">
            <v>1400000</v>
          </cell>
          <cell r="I21">
            <v>1633000</v>
          </cell>
          <cell r="J21">
            <v>1867000</v>
          </cell>
          <cell r="K21">
            <v>2100000</v>
          </cell>
          <cell r="L21">
            <v>2450000</v>
          </cell>
          <cell r="M21">
            <v>2823000</v>
          </cell>
          <cell r="N21">
            <v>3220000</v>
          </cell>
          <cell r="O21">
            <v>3488000</v>
          </cell>
        </row>
        <row r="22">
          <cell r="A22" t="str">
            <v>Humor</v>
          </cell>
          <cell r="B22">
            <v>76639</v>
          </cell>
          <cell r="C22">
            <v>633000</v>
          </cell>
          <cell r="D22">
            <v>1267000</v>
          </cell>
          <cell r="E22">
            <v>1450000</v>
          </cell>
          <cell r="F22">
            <v>1733000</v>
          </cell>
          <cell r="G22">
            <v>1867000</v>
          </cell>
          <cell r="H22">
            <v>2000000</v>
          </cell>
          <cell r="I22">
            <v>2333000</v>
          </cell>
          <cell r="J22">
            <v>2667000</v>
          </cell>
          <cell r="K22">
            <v>3000000</v>
          </cell>
          <cell r="L22">
            <v>3500000</v>
          </cell>
          <cell r="M22">
            <v>4033000</v>
          </cell>
          <cell r="N22">
            <v>4600000</v>
          </cell>
          <cell r="O22">
            <v>4983000</v>
          </cell>
        </row>
        <row r="23">
          <cell r="A23" t="str">
            <v>Best Seller viernes</v>
          </cell>
          <cell r="B23">
            <v>76630</v>
          </cell>
          <cell r="C23">
            <v>443000</v>
          </cell>
          <cell r="D23">
            <v>887000</v>
          </cell>
          <cell r="E23">
            <v>1015000</v>
          </cell>
          <cell r="F23">
            <v>1213000</v>
          </cell>
          <cell r="G23">
            <v>1307000</v>
          </cell>
          <cell r="H23">
            <v>1400000</v>
          </cell>
          <cell r="I23">
            <v>1633000</v>
          </cell>
          <cell r="J23">
            <v>1867000</v>
          </cell>
          <cell r="K23">
            <v>2100000</v>
          </cell>
          <cell r="L23">
            <v>2450000</v>
          </cell>
          <cell r="M23">
            <v>2823000</v>
          </cell>
          <cell r="N23">
            <v>3220000</v>
          </cell>
          <cell r="O23">
            <v>3488000</v>
          </cell>
        </row>
        <row r="24">
          <cell r="A24" t="str">
            <v>Best Seller sabado</v>
          </cell>
          <cell r="B24">
            <v>76631</v>
          </cell>
          <cell r="C24">
            <v>475000</v>
          </cell>
          <cell r="D24">
            <v>950000</v>
          </cell>
          <cell r="E24">
            <v>1088000</v>
          </cell>
          <cell r="F24">
            <v>1300000</v>
          </cell>
          <cell r="G24">
            <v>1400000</v>
          </cell>
          <cell r="H24">
            <v>1500000</v>
          </cell>
          <cell r="I24">
            <v>1750000</v>
          </cell>
          <cell r="J24">
            <v>2000000</v>
          </cell>
          <cell r="K24">
            <v>2250000</v>
          </cell>
          <cell r="L24">
            <v>2625000</v>
          </cell>
          <cell r="M24">
            <v>3025000</v>
          </cell>
          <cell r="N24">
            <v>3450000</v>
          </cell>
          <cell r="O24">
            <v>3738000</v>
          </cell>
        </row>
        <row r="25">
          <cell r="A25" t="str">
            <v>Cultura Prime / Lleve de lo Bueno</v>
          </cell>
          <cell r="B25">
            <v>78250</v>
          </cell>
          <cell r="C25">
            <v>475000</v>
          </cell>
          <cell r="D25">
            <v>950000</v>
          </cell>
          <cell r="E25">
            <v>1088000</v>
          </cell>
          <cell r="F25">
            <v>1300000</v>
          </cell>
          <cell r="G25">
            <v>1400000</v>
          </cell>
          <cell r="H25">
            <v>1500000</v>
          </cell>
          <cell r="I25">
            <v>1750000</v>
          </cell>
          <cell r="J25">
            <v>2000000</v>
          </cell>
          <cell r="K25">
            <v>2250000</v>
          </cell>
          <cell r="L25">
            <v>2625000</v>
          </cell>
          <cell r="M25">
            <v>3025000</v>
          </cell>
          <cell r="N25">
            <v>3450000</v>
          </cell>
          <cell r="O25">
            <v>3738000</v>
          </cell>
        </row>
        <row r="26">
          <cell r="A26">
            <v>0</v>
          </cell>
          <cell r="B26" t="str">
            <v/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 t="str">
            <v>Medianoche</v>
          </cell>
          <cell r="B27">
            <v>70981</v>
          </cell>
          <cell r="C27">
            <v>222000</v>
          </cell>
          <cell r="D27">
            <v>443000</v>
          </cell>
          <cell r="E27">
            <v>508000</v>
          </cell>
          <cell r="F27">
            <v>607000</v>
          </cell>
          <cell r="G27">
            <v>653000</v>
          </cell>
          <cell r="H27">
            <v>700000</v>
          </cell>
          <cell r="I27">
            <v>817000</v>
          </cell>
          <cell r="J27">
            <v>933000</v>
          </cell>
          <cell r="K27">
            <v>1050000</v>
          </cell>
          <cell r="L27">
            <v>1225000</v>
          </cell>
          <cell r="M27">
            <v>1412000</v>
          </cell>
          <cell r="N27">
            <v>1610000</v>
          </cell>
          <cell r="O27">
            <v>1744000</v>
          </cell>
        </row>
        <row r="28">
          <cell r="A28" t="str">
            <v>Doctor House</v>
          </cell>
          <cell r="B28">
            <v>71041</v>
          </cell>
          <cell r="C28">
            <v>143000</v>
          </cell>
          <cell r="D28">
            <v>285000</v>
          </cell>
          <cell r="E28">
            <v>326000</v>
          </cell>
          <cell r="F28">
            <v>390000</v>
          </cell>
          <cell r="G28">
            <v>420000</v>
          </cell>
          <cell r="H28">
            <v>450000</v>
          </cell>
          <cell r="I28">
            <v>525000</v>
          </cell>
          <cell r="J28">
            <v>600000</v>
          </cell>
          <cell r="K28">
            <v>675000</v>
          </cell>
          <cell r="L28">
            <v>788000</v>
          </cell>
          <cell r="M28">
            <v>908000</v>
          </cell>
          <cell r="N28">
            <v>1035000</v>
          </cell>
          <cell r="O28">
            <v>1121000</v>
          </cell>
        </row>
        <row r="29">
          <cell r="A29" t="str">
            <v>Tv Tiempo Final</v>
          </cell>
          <cell r="B29">
            <v>70982</v>
          </cell>
          <cell r="C29">
            <v>79000</v>
          </cell>
          <cell r="D29">
            <v>158000</v>
          </cell>
          <cell r="E29">
            <v>181000</v>
          </cell>
          <cell r="F29">
            <v>217000</v>
          </cell>
          <cell r="G29">
            <v>233000</v>
          </cell>
          <cell r="H29">
            <v>250000</v>
          </cell>
          <cell r="I29">
            <v>292000</v>
          </cell>
          <cell r="J29">
            <v>333000</v>
          </cell>
          <cell r="K29">
            <v>375000</v>
          </cell>
          <cell r="L29">
            <v>438000</v>
          </cell>
          <cell r="M29">
            <v>504000</v>
          </cell>
          <cell r="N29">
            <v>575000</v>
          </cell>
          <cell r="O29">
            <v>623000</v>
          </cell>
        </row>
        <row r="30">
          <cell r="A30" t="str">
            <v>Grandes Peliculas</v>
          </cell>
          <cell r="B30">
            <v>74509</v>
          </cell>
          <cell r="C30">
            <v>158000</v>
          </cell>
          <cell r="D30">
            <v>317000</v>
          </cell>
          <cell r="E30">
            <v>363000</v>
          </cell>
          <cell r="F30">
            <v>433000</v>
          </cell>
          <cell r="G30">
            <v>467000</v>
          </cell>
          <cell r="H30">
            <v>500000</v>
          </cell>
          <cell r="I30">
            <v>583000</v>
          </cell>
          <cell r="J30">
            <v>667000</v>
          </cell>
          <cell r="K30">
            <v>750000</v>
          </cell>
          <cell r="L30">
            <v>875000</v>
          </cell>
          <cell r="M30">
            <v>1008000</v>
          </cell>
          <cell r="N30">
            <v>1150000</v>
          </cell>
          <cell r="O30">
            <v>1246000</v>
          </cell>
        </row>
        <row r="31">
          <cell r="A31" t="str">
            <v>Doctor House A</v>
          </cell>
          <cell r="B31">
            <v>78205</v>
          </cell>
          <cell r="C31">
            <v>222000</v>
          </cell>
          <cell r="D31">
            <v>443000</v>
          </cell>
          <cell r="E31">
            <v>508000</v>
          </cell>
          <cell r="F31">
            <v>607000</v>
          </cell>
          <cell r="G31">
            <v>653000</v>
          </cell>
          <cell r="H31">
            <v>700000</v>
          </cell>
          <cell r="I31">
            <v>817000</v>
          </cell>
          <cell r="J31">
            <v>933000</v>
          </cell>
          <cell r="K31">
            <v>1050000</v>
          </cell>
          <cell r="L31">
            <v>1225000</v>
          </cell>
          <cell r="M31">
            <v>1412000</v>
          </cell>
          <cell r="N31">
            <v>1610000</v>
          </cell>
          <cell r="O31">
            <v>1744000</v>
          </cell>
        </row>
        <row r="32">
          <cell r="A32" t="str">
            <v>Doctor House B</v>
          </cell>
          <cell r="B32">
            <v>78204</v>
          </cell>
          <cell r="C32">
            <v>190000</v>
          </cell>
          <cell r="D32">
            <v>380000</v>
          </cell>
          <cell r="E32">
            <v>435000</v>
          </cell>
          <cell r="F32">
            <v>520000</v>
          </cell>
          <cell r="G32">
            <v>560000</v>
          </cell>
          <cell r="H32">
            <v>600000</v>
          </cell>
          <cell r="I32">
            <v>700000</v>
          </cell>
          <cell r="J32">
            <v>800000</v>
          </cell>
          <cell r="K32">
            <v>900000</v>
          </cell>
          <cell r="L32">
            <v>1050000</v>
          </cell>
          <cell r="M32">
            <v>1210000</v>
          </cell>
          <cell r="N32">
            <v>1380000</v>
          </cell>
          <cell r="O32">
            <v>1495000</v>
          </cell>
        </row>
        <row r="33">
          <cell r="A33">
            <v>0</v>
          </cell>
          <cell r="B33" t="str">
            <v/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>5:50</v>
          </cell>
          <cell r="B34">
            <v>75832</v>
          </cell>
          <cell r="C34">
            <v>63000</v>
          </cell>
          <cell r="D34">
            <v>127000</v>
          </cell>
          <cell r="E34">
            <v>145000</v>
          </cell>
          <cell r="F34">
            <v>173000</v>
          </cell>
          <cell r="G34">
            <v>187000</v>
          </cell>
          <cell r="H34">
            <v>200000</v>
          </cell>
          <cell r="I34">
            <v>233000</v>
          </cell>
          <cell r="J34">
            <v>267000</v>
          </cell>
          <cell r="K34">
            <v>300000</v>
          </cell>
          <cell r="L34">
            <v>350000</v>
          </cell>
          <cell r="M34">
            <v>403000</v>
          </cell>
          <cell r="N34">
            <v>460000</v>
          </cell>
          <cell r="O34">
            <v>498000</v>
          </cell>
        </row>
        <row r="35">
          <cell r="A35" t="str">
            <v>Tu Mañana A</v>
          </cell>
          <cell r="B35">
            <v>76305</v>
          </cell>
          <cell r="C35">
            <v>190000</v>
          </cell>
          <cell r="D35">
            <v>380000</v>
          </cell>
          <cell r="E35">
            <v>435000</v>
          </cell>
          <cell r="F35">
            <v>520000</v>
          </cell>
          <cell r="G35">
            <v>560000</v>
          </cell>
          <cell r="H35">
            <v>600000</v>
          </cell>
          <cell r="I35">
            <v>700000</v>
          </cell>
          <cell r="J35">
            <v>800000</v>
          </cell>
          <cell r="K35">
            <v>900000</v>
          </cell>
          <cell r="L35">
            <v>1050000</v>
          </cell>
          <cell r="M35">
            <v>1210000</v>
          </cell>
          <cell r="N35">
            <v>1380000</v>
          </cell>
          <cell r="O35">
            <v>1495000</v>
          </cell>
        </row>
        <row r="36">
          <cell r="A36" t="str">
            <v>TU MAÑANA PLUS A</v>
          </cell>
          <cell r="B36">
            <v>0</v>
          </cell>
          <cell r="C36">
            <v>196000</v>
          </cell>
          <cell r="D36">
            <v>393000</v>
          </cell>
          <cell r="E36">
            <v>450000</v>
          </cell>
          <cell r="F36">
            <v>537000</v>
          </cell>
          <cell r="G36">
            <v>579000</v>
          </cell>
          <cell r="H36">
            <v>620000</v>
          </cell>
          <cell r="I36">
            <v>723000</v>
          </cell>
          <cell r="J36">
            <v>827000</v>
          </cell>
          <cell r="K36">
            <v>930000</v>
          </cell>
          <cell r="L36">
            <v>1085000</v>
          </cell>
          <cell r="M36">
            <v>1250000</v>
          </cell>
          <cell r="N36">
            <v>1426000</v>
          </cell>
          <cell r="O36">
            <v>1545000</v>
          </cell>
        </row>
        <row r="37">
          <cell r="A37" t="str">
            <v>Tu Mañana B</v>
          </cell>
          <cell r="B37">
            <v>76306</v>
          </cell>
          <cell r="C37">
            <v>206000</v>
          </cell>
          <cell r="D37">
            <v>412000</v>
          </cell>
          <cell r="E37">
            <v>471000</v>
          </cell>
          <cell r="F37">
            <v>563000</v>
          </cell>
          <cell r="G37">
            <v>607000</v>
          </cell>
          <cell r="H37">
            <v>650000</v>
          </cell>
          <cell r="I37">
            <v>758000</v>
          </cell>
          <cell r="J37">
            <v>867000</v>
          </cell>
          <cell r="K37">
            <v>975000</v>
          </cell>
          <cell r="L37">
            <v>1138000</v>
          </cell>
          <cell r="M37">
            <v>1311000</v>
          </cell>
          <cell r="N37">
            <v>1495000</v>
          </cell>
          <cell r="O37">
            <v>1620000</v>
          </cell>
        </row>
        <row r="38">
          <cell r="A38" t="str">
            <v>Tu Mañana Plus B</v>
          </cell>
          <cell r="B38">
            <v>0</v>
          </cell>
          <cell r="C38">
            <v>212000</v>
          </cell>
          <cell r="D38">
            <v>424000</v>
          </cell>
          <cell r="E38">
            <v>486000</v>
          </cell>
          <cell r="F38">
            <v>581000</v>
          </cell>
          <cell r="G38">
            <v>625000</v>
          </cell>
          <cell r="H38">
            <v>670000</v>
          </cell>
          <cell r="I38">
            <v>782000</v>
          </cell>
          <cell r="J38">
            <v>893000</v>
          </cell>
          <cell r="K38">
            <v>1005000</v>
          </cell>
          <cell r="L38">
            <v>1173000</v>
          </cell>
          <cell r="M38">
            <v>1351000</v>
          </cell>
          <cell r="N38">
            <v>1541000</v>
          </cell>
          <cell r="O38">
            <v>1669000</v>
          </cell>
        </row>
        <row r="39">
          <cell r="A39" t="str">
            <v>Buenos Días a Todos A</v>
          </cell>
          <cell r="B39">
            <v>70967</v>
          </cell>
          <cell r="C39">
            <v>143000</v>
          </cell>
          <cell r="D39">
            <v>285000</v>
          </cell>
          <cell r="E39">
            <v>326000</v>
          </cell>
          <cell r="F39">
            <v>390000</v>
          </cell>
          <cell r="G39">
            <v>420000</v>
          </cell>
          <cell r="H39">
            <v>450000</v>
          </cell>
          <cell r="I39">
            <v>525000</v>
          </cell>
          <cell r="J39">
            <v>600000</v>
          </cell>
          <cell r="K39">
            <v>675000</v>
          </cell>
          <cell r="L39">
            <v>788000</v>
          </cell>
          <cell r="M39">
            <v>908000</v>
          </cell>
          <cell r="N39">
            <v>1035000</v>
          </cell>
          <cell r="O39">
            <v>1121000</v>
          </cell>
        </row>
        <row r="40">
          <cell r="A40" t="str">
            <v>Buenos Días a Todos B</v>
          </cell>
          <cell r="B40">
            <v>70968</v>
          </cell>
          <cell r="C40">
            <v>111000</v>
          </cell>
          <cell r="D40">
            <v>222000</v>
          </cell>
          <cell r="E40">
            <v>254000</v>
          </cell>
          <cell r="F40">
            <v>303000</v>
          </cell>
          <cell r="G40">
            <v>327000</v>
          </cell>
          <cell r="H40">
            <v>350000</v>
          </cell>
          <cell r="I40">
            <v>408000</v>
          </cell>
          <cell r="J40">
            <v>467000</v>
          </cell>
          <cell r="K40">
            <v>525000</v>
          </cell>
          <cell r="L40">
            <v>613000</v>
          </cell>
          <cell r="M40">
            <v>706000</v>
          </cell>
          <cell r="N40">
            <v>805000</v>
          </cell>
          <cell r="O40">
            <v>872000</v>
          </cell>
        </row>
        <row r="41">
          <cell r="A41" t="str">
            <v>Romané</v>
          </cell>
          <cell r="B41">
            <v>63726</v>
          </cell>
          <cell r="C41">
            <v>143000</v>
          </cell>
          <cell r="D41">
            <v>285000</v>
          </cell>
          <cell r="E41">
            <v>326000</v>
          </cell>
          <cell r="F41">
            <v>390000</v>
          </cell>
          <cell r="G41">
            <v>420000</v>
          </cell>
          <cell r="H41">
            <v>450000</v>
          </cell>
          <cell r="I41">
            <v>525000</v>
          </cell>
          <cell r="J41">
            <v>600000</v>
          </cell>
          <cell r="K41">
            <v>675000</v>
          </cell>
          <cell r="L41">
            <v>788000</v>
          </cell>
          <cell r="M41">
            <v>908000</v>
          </cell>
          <cell r="N41">
            <v>1035000</v>
          </cell>
          <cell r="O41">
            <v>1121000</v>
          </cell>
        </row>
        <row r="42">
          <cell r="A42" t="str">
            <v>La Fiera</v>
          </cell>
          <cell r="B42">
            <v>62928</v>
          </cell>
          <cell r="C42">
            <v>143000</v>
          </cell>
          <cell r="D42">
            <v>285000</v>
          </cell>
          <cell r="E42">
            <v>326000</v>
          </cell>
          <cell r="F42">
            <v>390000</v>
          </cell>
          <cell r="G42">
            <v>420000</v>
          </cell>
          <cell r="H42">
            <v>450000</v>
          </cell>
          <cell r="I42">
            <v>525000</v>
          </cell>
          <cell r="J42">
            <v>600000</v>
          </cell>
          <cell r="K42">
            <v>675000</v>
          </cell>
          <cell r="L42">
            <v>788000</v>
          </cell>
          <cell r="M42">
            <v>908000</v>
          </cell>
          <cell r="N42">
            <v>1035000</v>
          </cell>
          <cell r="O42">
            <v>1121000</v>
          </cell>
        </row>
        <row r="43">
          <cell r="A43">
            <v>0</v>
          </cell>
          <cell r="B43" t="str">
            <v/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 t="str">
            <v>24 Horas al día</v>
          </cell>
          <cell r="B44">
            <v>70955</v>
          </cell>
          <cell r="C44">
            <v>222000</v>
          </cell>
          <cell r="D44">
            <v>443000</v>
          </cell>
          <cell r="E44">
            <v>508000</v>
          </cell>
          <cell r="F44">
            <v>607000</v>
          </cell>
          <cell r="G44">
            <v>653000</v>
          </cell>
          <cell r="H44">
            <v>700000</v>
          </cell>
          <cell r="I44">
            <v>817000</v>
          </cell>
          <cell r="J44">
            <v>933000</v>
          </cell>
          <cell r="K44">
            <v>1050000</v>
          </cell>
          <cell r="L44">
            <v>1225000</v>
          </cell>
          <cell r="M44">
            <v>1412000</v>
          </cell>
          <cell r="N44">
            <v>1610000</v>
          </cell>
          <cell r="O44">
            <v>1744000</v>
          </cell>
        </row>
        <row r="45">
          <cell r="A45" t="str">
            <v>24 Horas al día Plus</v>
          </cell>
          <cell r="B45">
            <v>0</v>
          </cell>
          <cell r="C45">
            <v>247000</v>
          </cell>
          <cell r="D45">
            <v>494000</v>
          </cell>
          <cell r="E45">
            <v>566000</v>
          </cell>
          <cell r="F45">
            <v>676000</v>
          </cell>
          <cell r="G45">
            <v>728000</v>
          </cell>
          <cell r="H45">
            <v>780000</v>
          </cell>
          <cell r="I45">
            <v>910000</v>
          </cell>
          <cell r="J45">
            <v>1040000</v>
          </cell>
          <cell r="K45">
            <v>1170000</v>
          </cell>
          <cell r="L45">
            <v>1365000</v>
          </cell>
          <cell r="M45">
            <v>1573000</v>
          </cell>
          <cell r="N45">
            <v>1794000</v>
          </cell>
          <cell r="O45">
            <v>1944000</v>
          </cell>
        </row>
        <row r="46">
          <cell r="A46" t="str">
            <v>Esa No Soy Yo</v>
          </cell>
          <cell r="B46">
            <v>77338</v>
          </cell>
          <cell r="C46">
            <v>222000</v>
          </cell>
          <cell r="D46">
            <v>443000</v>
          </cell>
          <cell r="E46">
            <v>508000</v>
          </cell>
          <cell r="F46">
            <v>607000</v>
          </cell>
          <cell r="G46">
            <v>653000</v>
          </cell>
          <cell r="H46">
            <v>700000</v>
          </cell>
          <cell r="I46">
            <v>817000</v>
          </cell>
          <cell r="J46">
            <v>933000</v>
          </cell>
          <cell r="K46">
            <v>1050000</v>
          </cell>
          <cell r="L46">
            <v>1225000</v>
          </cell>
          <cell r="M46">
            <v>1412000</v>
          </cell>
          <cell r="N46">
            <v>1610000</v>
          </cell>
          <cell r="O46">
            <v>1744000</v>
          </cell>
        </row>
        <row r="47">
          <cell r="A47" t="str">
            <v>Brusko</v>
          </cell>
          <cell r="B47">
            <v>78367</v>
          </cell>
          <cell r="C47">
            <v>253000</v>
          </cell>
          <cell r="D47">
            <v>507000</v>
          </cell>
          <cell r="E47">
            <v>580000</v>
          </cell>
          <cell r="F47">
            <v>693000</v>
          </cell>
          <cell r="G47">
            <v>747000</v>
          </cell>
          <cell r="H47">
            <v>800000</v>
          </cell>
          <cell r="I47">
            <v>933000</v>
          </cell>
          <cell r="J47">
            <v>1067000</v>
          </cell>
          <cell r="K47">
            <v>1200000</v>
          </cell>
          <cell r="L47">
            <v>1400000</v>
          </cell>
          <cell r="M47">
            <v>1613000</v>
          </cell>
          <cell r="N47">
            <v>1840000</v>
          </cell>
          <cell r="O47">
            <v>1993000</v>
          </cell>
        </row>
        <row r="48">
          <cell r="A48" t="str">
            <v>Destilando Amor</v>
          </cell>
          <cell r="B48">
            <v>78203</v>
          </cell>
          <cell r="C48">
            <v>174000</v>
          </cell>
          <cell r="D48">
            <v>348000</v>
          </cell>
          <cell r="E48">
            <v>399000</v>
          </cell>
          <cell r="F48">
            <v>477000</v>
          </cell>
          <cell r="G48">
            <v>513000</v>
          </cell>
          <cell r="H48">
            <v>550000</v>
          </cell>
          <cell r="I48">
            <v>642000</v>
          </cell>
          <cell r="J48">
            <v>733000</v>
          </cell>
          <cell r="K48">
            <v>825000</v>
          </cell>
          <cell r="L48">
            <v>963000</v>
          </cell>
          <cell r="M48">
            <v>1109000</v>
          </cell>
          <cell r="N48">
            <v>1265000</v>
          </cell>
          <cell r="O48">
            <v>1370000</v>
          </cell>
        </row>
        <row r="49">
          <cell r="A49" t="str">
            <v>El Secreto de Puente Viejo</v>
          </cell>
          <cell r="B49">
            <v>76495</v>
          </cell>
          <cell r="C49">
            <v>174000</v>
          </cell>
          <cell r="D49">
            <v>348000</v>
          </cell>
          <cell r="E49">
            <v>399000</v>
          </cell>
          <cell r="F49">
            <v>477000</v>
          </cell>
          <cell r="G49">
            <v>513000</v>
          </cell>
          <cell r="H49">
            <v>550000</v>
          </cell>
          <cell r="I49">
            <v>642000</v>
          </cell>
          <cell r="J49">
            <v>733000</v>
          </cell>
          <cell r="K49">
            <v>825000</v>
          </cell>
          <cell r="L49">
            <v>963000</v>
          </cell>
          <cell r="M49">
            <v>1109000</v>
          </cell>
          <cell r="N49">
            <v>1265000</v>
          </cell>
          <cell r="O49">
            <v>1370000</v>
          </cell>
        </row>
        <row r="50">
          <cell r="A50">
            <v>0</v>
          </cell>
          <cell r="B50" t="str">
            <v/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A51" t="str">
            <v>Horacio y los Plasticines</v>
          </cell>
          <cell r="B51">
            <v>76173</v>
          </cell>
          <cell r="C51">
            <v>32000</v>
          </cell>
          <cell r="D51">
            <v>63000</v>
          </cell>
          <cell r="E51">
            <v>73000</v>
          </cell>
          <cell r="F51">
            <v>87000</v>
          </cell>
          <cell r="G51">
            <v>93000</v>
          </cell>
          <cell r="H51">
            <v>100000</v>
          </cell>
          <cell r="I51">
            <v>117000</v>
          </cell>
          <cell r="J51">
            <v>133000</v>
          </cell>
          <cell r="K51">
            <v>150000</v>
          </cell>
          <cell r="L51">
            <v>175000</v>
          </cell>
          <cell r="M51">
            <v>202000</v>
          </cell>
          <cell r="N51">
            <v>230000</v>
          </cell>
          <cell r="O51">
            <v>249000</v>
          </cell>
        </row>
        <row r="52">
          <cell r="A52" t="str">
            <v>Peppa Pig</v>
          </cell>
          <cell r="B52">
            <v>77273</v>
          </cell>
          <cell r="C52">
            <v>32000</v>
          </cell>
          <cell r="D52">
            <v>63000</v>
          </cell>
          <cell r="E52">
            <v>73000</v>
          </cell>
          <cell r="F52">
            <v>87000</v>
          </cell>
          <cell r="G52">
            <v>93000</v>
          </cell>
          <cell r="H52">
            <v>100000</v>
          </cell>
          <cell r="I52">
            <v>117000</v>
          </cell>
          <cell r="J52">
            <v>133000</v>
          </cell>
          <cell r="K52">
            <v>150000</v>
          </cell>
          <cell r="L52">
            <v>175000</v>
          </cell>
          <cell r="M52">
            <v>202000</v>
          </cell>
          <cell r="N52">
            <v>230000</v>
          </cell>
          <cell r="O52">
            <v>249000</v>
          </cell>
        </row>
        <row r="53">
          <cell r="A53" t="str">
            <v>Película Infantil</v>
          </cell>
          <cell r="B53">
            <v>78251</v>
          </cell>
          <cell r="C53">
            <v>48000</v>
          </cell>
          <cell r="D53">
            <v>95000</v>
          </cell>
          <cell r="E53">
            <v>109000</v>
          </cell>
          <cell r="F53">
            <v>130000</v>
          </cell>
          <cell r="G53">
            <v>140000</v>
          </cell>
          <cell r="H53">
            <v>150000</v>
          </cell>
          <cell r="I53">
            <v>175000</v>
          </cell>
          <cell r="J53">
            <v>200000</v>
          </cell>
          <cell r="K53">
            <v>225000</v>
          </cell>
          <cell r="L53">
            <v>263000</v>
          </cell>
          <cell r="M53">
            <v>303000</v>
          </cell>
          <cell r="N53">
            <v>345000</v>
          </cell>
          <cell r="O53">
            <v>374000</v>
          </cell>
        </row>
        <row r="54">
          <cell r="A54" t="str">
            <v>Noticreo</v>
          </cell>
          <cell r="B54">
            <v>77737</v>
          </cell>
          <cell r="C54">
            <v>63000</v>
          </cell>
          <cell r="D54">
            <v>127000</v>
          </cell>
          <cell r="E54">
            <v>145000</v>
          </cell>
          <cell r="F54">
            <v>173000</v>
          </cell>
          <cell r="G54">
            <v>187000</v>
          </cell>
          <cell r="H54">
            <v>200000</v>
          </cell>
          <cell r="I54">
            <v>233000</v>
          </cell>
          <cell r="J54">
            <v>267000</v>
          </cell>
          <cell r="K54">
            <v>300000</v>
          </cell>
          <cell r="L54">
            <v>350000</v>
          </cell>
          <cell r="M54">
            <v>403000</v>
          </cell>
          <cell r="N54">
            <v>460000</v>
          </cell>
          <cell r="O54">
            <v>498000</v>
          </cell>
        </row>
        <row r="55">
          <cell r="A55" t="str">
            <v>Super Cine Mañana</v>
          </cell>
          <cell r="B55">
            <v>75234</v>
          </cell>
          <cell r="C55">
            <v>111000</v>
          </cell>
          <cell r="D55">
            <v>222000</v>
          </cell>
          <cell r="E55">
            <v>254000</v>
          </cell>
          <cell r="F55">
            <v>303000</v>
          </cell>
          <cell r="G55">
            <v>327000</v>
          </cell>
          <cell r="H55">
            <v>350000</v>
          </cell>
          <cell r="I55">
            <v>408000</v>
          </cell>
          <cell r="J55">
            <v>467000</v>
          </cell>
          <cell r="K55">
            <v>525000</v>
          </cell>
          <cell r="L55">
            <v>613000</v>
          </cell>
          <cell r="M55">
            <v>706000</v>
          </cell>
          <cell r="N55">
            <v>805000</v>
          </cell>
          <cell r="O55">
            <v>872000</v>
          </cell>
        </row>
        <row r="56">
          <cell r="A56" t="str">
            <v>24 horas Día Sá</v>
          </cell>
          <cell r="B56">
            <v>72883</v>
          </cell>
          <cell r="C56">
            <v>174000</v>
          </cell>
          <cell r="D56">
            <v>348000</v>
          </cell>
          <cell r="E56">
            <v>399000</v>
          </cell>
          <cell r="F56">
            <v>477000</v>
          </cell>
          <cell r="G56">
            <v>513000</v>
          </cell>
          <cell r="H56">
            <v>550000</v>
          </cell>
          <cell r="I56">
            <v>642000</v>
          </cell>
          <cell r="J56">
            <v>733000</v>
          </cell>
          <cell r="K56">
            <v>825000</v>
          </cell>
          <cell r="L56">
            <v>963000</v>
          </cell>
          <cell r="M56">
            <v>1109000</v>
          </cell>
          <cell r="N56">
            <v>1265000</v>
          </cell>
          <cell r="O56">
            <v>1370000</v>
          </cell>
        </row>
        <row r="57">
          <cell r="A57" t="str">
            <v>24 horas Día Sá Plus</v>
          </cell>
          <cell r="B57">
            <v>0</v>
          </cell>
          <cell r="C57">
            <v>184000</v>
          </cell>
          <cell r="D57">
            <v>367000</v>
          </cell>
          <cell r="E57">
            <v>421000</v>
          </cell>
          <cell r="F57">
            <v>503000</v>
          </cell>
          <cell r="G57">
            <v>541000</v>
          </cell>
          <cell r="H57">
            <v>580000</v>
          </cell>
          <cell r="I57">
            <v>677000</v>
          </cell>
          <cell r="J57">
            <v>773000</v>
          </cell>
          <cell r="K57">
            <v>870000</v>
          </cell>
          <cell r="L57">
            <v>1015000</v>
          </cell>
          <cell r="M57">
            <v>1170000</v>
          </cell>
          <cell r="N57">
            <v>1334000</v>
          </cell>
          <cell r="O57">
            <v>1445000</v>
          </cell>
        </row>
        <row r="58">
          <cell r="A58" t="str">
            <v>Nuestro Siglo</v>
          </cell>
          <cell r="B58">
            <v>78346</v>
          </cell>
          <cell r="C58">
            <v>174000</v>
          </cell>
          <cell r="D58">
            <v>348000</v>
          </cell>
          <cell r="E58">
            <v>399000</v>
          </cell>
          <cell r="F58">
            <v>477000</v>
          </cell>
          <cell r="G58">
            <v>513000</v>
          </cell>
          <cell r="H58">
            <v>550000</v>
          </cell>
          <cell r="I58">
            <v>642000</v>
          </cell>
          <cell r="J58">
            <v>733000</v>
          </cell>
          <cell r="K58">
            <v>825000</v>
          </cell>
          <cell r="L58">
            <v>963000</v>
          </cell>
          <cell r="M58">
            <v>1109000</v>
          </cell>
          <cell r="N58">
            <v>1265000</v>
          </cell>
          <cell r="O58">
            <v>1370000</v>
          </cell>
        </row>
        <row r="59">
          <cell r="A59" t="str">
            <v>Tu Historia es Mi Historia</v>
          </cell>
          <cell r="B59">
            <v>74149</v>
          </cell>
          <cell r="C59">
            <v>174000</v>
          </cell>
          <cell r="D59">
            <v>348000</v>
          </cell>
          <cell r="E59">
            <v>399000</v>
          </cell>
          <cell r="F59">
            <v>477000</v>
          </cell>
          <cell r="G59">
            <v>513000</v>
          </cell>
          <cell r="H59">
            <v>550000</v>
          </cell>
          <cell r="I59">
            <v>642000</v>
          </cell>
          <cell r="J59">
            <v>733000</v>
          </cell>
          <cell r="K59">
            <v>825000</v>
          </cell>
          <cell r="L59">
            <v>963000</v>
          </cell>
          <cell r="M59">
            <v>1109000</v>
          </cell>
          <cell r="N59">
            <v>1265000</v>
          </cell>
          <cell r="O59">
            <v>1370000</v>
          </cell>
        </row>
        <row r="60">
          <cell r="A60" t="str">
            <v>Los Tesoros de la Ruta</v>
          </cell>
          <cell r="B60">
            <v>77623</v>
          </cell>
          <cell r="C60">
            <v>174000</v>
          </cell>
          <cell r="D60">
            <v>348000</v>
          </cell>
          <cell r="E60">
            <v>399000</v>
          </cell>
          <cell r="F60">
            <v>477000</v>
          </cell>
          <cell r="G60">
            <v>513000</v>
          </cell>
          <cell r="H60">
            <v>550000</v>
          </cell>
          <cell r="I60">
            <v>642000</v>
          </cell>
          <cell r="J60">
            <v>733000</v>
          </cell>
          <cell r="K60">
            <v>825000</v>
          </cell>
          <cell r="L60">
            <v>963000</v>
          </cell>
          <cell r="M60">
            <v>1109000</v>
          </cell>
          <cell r="N60">
            <v>1265000</v>
          </cell>
          <cell r="O60">
            <v>1370000</v>
          </cell>
        </row>
        <row r="61">
          <cell r="A61" t="str">
            <v>Camioneros</v>
          </cell>
          <cell r="B61">
            <v>71781</v>
          </cell>
          <cell r="C61">
            <v>174000</v>
          </cell>
          <cell r="D61">
            <v>348000</v>
          </cell>
          <cell r="E61">
            <v>399000</v>
          </cell>
          <cell r="F61">
            <v>477000</v>
          </cell>
          <cell r="G61">
            <v>513000</v>
          </cell>
          <cell r="H61">
            <v>550000</v>
          </cell>
          <cell r="I61">
            <v>642000</v>
          </cell>
          <cell r="J61">
            <v>733000</v>
          </cell>
          <cell r="K61">
            <v>825000</v>
          </cell>
          <cell r="L61">
            <v>963000</v>
          </cell>
          <cell r="M61">
            <v>1109000</v>
          </cell>
          <cell r="N61">
            <v>1265000</v>
          </cell>
          <cell r="O61">
            <v>1370000</v>
          </cell>
        </row>
        <row r="62">
          <cell r="A62" t="str">
            <v>La Sangre Tira</v>
          </cell>
          <cell r="B62">
            <v>76578</v>
          </cell>
          <cell r="C62">
            <v>174000</v>
          </cell>
          <cell r="D62">
            <v>348000</v>
          </cell>
          <cell r="E62">
            <v>399000</v>
          </cell>
          <cell r="F62">
            <v>477000</v>
          </cell>
          <cell r="G62">
            <v>513000</v>
          </cell>
          <cell r="H62">
            <v>550000</v>
          </cell>
          <cell r="I62">
            <v>642000</v>
          </cell>
          <cell r="J62">
            <v>733000</v>
          </cell>
          <cell r="K62">
            <v>825000</v>
          </cell>
          <cell r="L62">
            <v>963000</v>
          </cell>
          <cell r="M62">
            <v>1109000</v>
          </cell>
          <cell r="N62">
            <v>1265000</v>
          </cell>
          <cell r="O62">
            <v>1370000</v>
          </cell>
        </row>
        <row r="63">
          <cell r="A63" t="str">
            <v>Los Telas</v>
          </cell>
          <cell r="B63">
            <v>78394</v>
          </cell>
          <cell r="C63">
            <v>174000</v>
          </cell>
          <cell r="D63">
            <v>348000</v>
          </cell>
          <cell r="E63">
            <v>399000</v>
          </cell>
          <cell r="F63">
            <v>477000</v>
          </cell>
          <cell r="G63">
            <v>513000</v>
          </cell>
          <cell r="H63">
            <v>550000</v>
          </cell>
          <cell r="I63">
            <v>642000</v>
          </cell>
          <cell r="J63">
            <v>733000</v>
          </cell>
          <cell r="K63">
            <v>825000</v>
          </cell>
          <cell r="L63">
            <v>963000</v>
          </cell>
          <cell r="M63">
            <v>1109000</v>
          </cell>
          <cell r="N63">
            <v>1265000</v>
          </cell>
          <cell r="O63">
            <v>1370000</v>
          </cell>
        </row>
        <row r="64">
          <cell r="A64" t="str">
            <v>Ce-Hache-i</v>
          </cell>
          <cell r="B64">
            <v>78396</v>
          </cell>
          <cell r="C64">
            <v>174000</v>
          </cell>
          <cell r="D64">
            <v>348000</v>
          </cell>
          <cell r="E64">
            <v>399000</v>
          </cell>
          <cell r="F64">
            <v>477000</v>
          </cell>
          <cell r="G64">
            <v>513000</v>
          </cell>
          <cell r="H64">
            <v>550000</v>
          </cell>
          <cell r="I64">
            <v>642000</v>
          </cell>
          <cell r="J64">
            <v>733000</v>
          </cell>
          <cell r="K64">
            <v>825000</v>
          </cell>
          <cell r="L64">
            <v>963000</v>
          </cell>
          <cell r="M64">
            <v>1109000</v>
          </cell>
          <cell r="N64">
            <v>1265000</v>
          </cell>
          <cell r="O64">
            <v>1370000</v>
          </cell>
        </row>
        <row r="65">
          <cell r="A65" t="str">
            <v>Moisés Resumen Sab.</v>
          </cell>
          <cell r="B65">
            <v>78016</v>
          </cell>
          <cell r="C65">
            <v>158000</v>
          </cell>
          <cell r="D65">
            <v>317000</v>
          </cell>
          <cell r="E65">
            <v>363000</v>
          </cell>
          <cell r="F65">
            <v>433000</v>
          </cell>
          <cell r="G65">
            <v>467000</v>
          </cell>
          <cell r="H65">
            <v>500000</v>
          </cell>
          <cell r="I65">
            <v>583000</v>
          </cell>
          <cell r="J65">
            <v>667000</v>
          </cell>
          <cell r="K65">
            <v>750000</v>
          </cell>
          <cell r="L65">
            <v>875000</v>
          </cell>
          <cell r="M65">
            <v>1008000</v>
          </cell>
          <cell r="N65">
            <v>1150000</v>
          </cell>
          <cell r="O65">
            <v>1246000</v>
          </cell>
        </row>
        <row r="66">
          <cell r="A66">
            <v>0</v>
          </cell>
          <cell r="B66" t="str">
            <v/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A67" t="str">
            <v>Sesiones 24</v>
          </cell>
          <cell r="B67">
            <v>77518</v>
          </cell>
          <cell r="C67">
            <v>79000</v>
          </cell>
          <cell r="D67">
            <v>158000</v>
          </cell>
          <cell r="E67">
            <v>181000</v>
          </cell>
          <cell r="F67">
            <v>217000</v>
          </cell>
          <cell r="G67">
            <v>233000</v>
          </cell>
          <cell r="H67">
            <v>250000</v>
          </cell>
          <cell r="I67">
            <v>292000</v>
          </cell>
          <cell r="J67">
            <v>333000</v>
          </cell>
          <cell r="K67">
            <v>375000</v>
          </cell>
          <cell r="L67">
            <v>438000</v>
          </cell>
          <cell r="M67">
            <v>504000</v>
          </cell>
          <cell r="N67">
            <v>575000</v>
          </cell>
          <cell r="O67">
            <v>623000</v>
          </cell>
        </row>
        <row r="68">
          <cell r="A68" t="str">
            <v>Mirada Economica</v>
          </cell>
          <cell r="B68">
            <v>77517</v>
          </cell>
          <cell r="C68">
            <v>79000</v>
          </cell>
          <cell r="D68">
            <v>158000</v>
          </cell>
          <cell r="E68">
            <v>181000</v>
          </cell>
          <cell r="F68">
            <v>217000</v>
          </cell>
          <cell r="G68">
            <v>233000</v>
          </cell>
          <cell r="H68">
            <v>250000</v>
          </cell>
          <cell r="I68">
            <v>292000</v>
          </cell>
          <cell r="J68">
            <v>333000</v>
          </cell>
          <cell r="K68">
            <v>375000</v>
          </cell>
          <cell r="L68">
            <v>438000</v>
          </cell>
          <cell r="M68">
            <v>504000</v>
          </cell>
          <cell r="N68">
            <v>575000</v>
          </cell>
          <cell r="O68">
            <v>623000</v>
          </cell>
        </row>
        <row r="69">
          <cell r="A69" t="str">
            <v>24 Horas a la Hora</v>
          </cell>
          <cell r="B69">
            <v>76107</v>
          </cell>
          <cell r="C69">
            <v>111000</v>
          </cell>
          <cell r="D69">
            <v>222000</v>
          </cell>
          <cell r="E69">
            <v>254000</v>
          </cell>
          <cell r="F69">
            <v>303000</v>
          </cell>
          <cell r="G69">
            <v>327000</v>
          </cell>
          <cell r="H69">
            <v>350000</v>
          </cell>
          <cell r="I69">
            <v>408000</v>
          </cell>
          <cell r="J69">
            <v>467000</v>
          </cell>
          <cell r="K69">
            <v>525000</v>
          </cell>
          <cell r="L69">
            <v>613000</v>
          </cell>
          <cell r="M69">
            <v>706000</v>
          </cell>
          <cell r="N69">
            <v>805000</v>
          </cell>
          <cell r="O69">
            <v>872000</v>
          </cell>
        </row>
        <row r="70">
          <cell r="A70" t="str">
            <v>Estado Nacional</v>
          </cell>
          <cell r="B70">
            <v>69474</v>
          </cell>
          <cell r="C70">
            <v>143000</v>
          </cell>
          <cell r="D70">
            <v>285000</v>
          </cell>
          <cell r="E70">
            <v>326000</v>
          </cell>
          <cell r="F70">
            <v>390000</v>
          </cell>
          <cell r="G70">
            <v>420000</v>
          </cell>
          <cell r="H70">
            <v>450000</v>
          </cell>
          <cell r="I70">
            <v>525000</v>
          </cell>
          <cell r="J70">
            <v>600000</v>
          </cell>
          <cell r="K70">
            <v>675000</v>
          </cell>
          <cell r="L70">
            <v>788000</v>
          </cell>
          <cell r="M70">
            <v>908000</v>
          </cell>
          <cell r="N70">
            <v>1035000</v>
          </cell>
          <cell r="O70">
            <v>1121000</v>
          </cell>
        </row>
        <row r="71">
          <cell r="A71" t="str">
            <v>Podio</v>
          </cell>
          <cell r="B71">
            <v>78169</v>
          </cell>
          <cell r="C71">
            <v>127000</v>
          </cell>
          <cell r="D71">
            <v>253000</v>
          </cell>
          <cell r="E71">
            <v>290000</v>
          </cell>
          <cell r="F71">
            <v>347000</v>
          </cell>
          <cell r="G71">
            <v>373000</v>
          </cell>
          <cell r="H71">
            <v>400000</v>
          </cell>
          <cell r="I71">
            <v>467000</v>
          </cell>
          <cell r="J71">
            <v>533000</v>
          </cell>
          <cell r="K71">
            <v>600000</v>
          </cell>
          <cell r="L71">
            <v>700000</v>
          </cell>
          <cell r="M71">
            <v>807000</v>
          </cell>
          <cell r="N71">
            <v>920000</v>
          </cell>
          <cell r="O71">
            <v>997000</v>
          </cell>
        </row>
        <row r="72">
          <cell r="A72" t="str">
            <v>24 horas Día Do</v>
          </cell>
          <cell r="B72">
            <v>72582</v>
          </cell>
          <cell r="C72">
            <v>206000</v>
          </cell>
          <cell r="D72">
            <v>412000</v>
          </cell>
          <cell r="E72">
            <v>471000</v>
          </cell>
          <cell r="F72">
            <v>563000</v>
          </cell>
          <cell r="G72">
            <v>607000</v>
          </cell>
          <cell r="H72">
            <v>650000</v>
          </cell>
          <cell r="I72">
            <v>758000</v>
          </cell>
          <cell r="J72">
            <v>867000</v>
          </cell>
          <cell r="K72">
            <v>975000</v>
          </cell>
          <cell r="L72">
            <v>1138000</v>
          </cell>
          <cell r="M72">
            <v>1311000</v>
          </cell>
          <cell r="N72">
            <v>1495000</v>
          </cell>
          <cell r="O72">
            <v>1620000</v>
          </cell>
        </row>
        <row r="73">
          <cell r="A73" t="str">
            <v>24 horas Día Do Plus</v>
          </cell>
          <cell r="B73">
            <v>0</v>
          </cell>
          <cell r="C73">
            <v>215000</v>
          </cell>
          <cell r="D73">
            <v>431000</v>
          </cell>
          <cell r="E73">
            <v>493000</v>
          </cell>
          <cell r="F73">
            <v>589000</v>
          </cell>
          <cell r="G73">
            <v>635000</v>
          </cell>
          <cell r="H73">
            <v>680000</v>
          </cell>
          <cell r="I73">
            <v>793000</v>
          </cell>
          <cell r="J73">
            <v>907000</v>
          </cell>
          <cell r="K73">
            <v>1020000</v>
          </cell>
          <cell r="L73">
            <v>1190000</v>
          </cell>
          <cell r="M73">
            <v>1371000</v>
          </cell>
          <cell r="N73">
            <v>1564000</v>
          </cell>
          <cell r="O73">
            <v>1694000</v>
          </cell>
        </row>
        <row r="74">
          <cell r="A74" t="str">
            <v>Chile Conectado</v>
          </cell>
          <cell r="B74">
            <v>72199</v>
          </cell>
          <cell r="C74">
            <v>206000</v>
          </cell>
          <cell r="D74">
            <v>412000</v>
          </cell>
          <cell r="E74">
            <v>471000</v>
          </cell>
          <cell r="F74">
            <v>563000</v>
          </cell>
          <cell r="G74">
            <v>607000</v>
          </cell>
          <cell r="H74">
            <v>650000</v>
          </cell>
          <cell r="I74">
            <v>758000</v>
          </cell>
          <cell r="J74">
            <v>867000</v>
          </cell>
          <cell r="K74">
            <v>975000</v>
          </cell>
          <cell r="L74">
            <v>1138000</v>
          </cell>
          <cell r="M74">
            <v>1311000</v>
          </cell>
          <cell r="N74">
            <v>1495000</v>
          </cell>
          <cell r="O74">
            <v>1620000</v>
          </cell>
        </row>
        <row r="75">
          <cell r="A75" t="str">
            <v>Frutos del País</v>
          </cell>
          <cell r="B75">
            <v>67312</v>
          </cell>
          <cell r="C75">
            <v>222000</v>
          </cell>
          <cell r="D75">
            <v>443000</v>
          </cell>
          <cell r="E75">
            <v>508000</v>
          </cell>
          <cell r="F75">
            <v>607000</v>
          </cell>
          <cell r="G75">
            <v>653000</v>
          </cell>
          <cell r="H75">
            <v>700000</v>
          </cell>
          <cell r="I75">
            <v>817000</v>
          </cell>
          <cell r="J75">
            <v>933000</v>
          </cell>
          <cell r="K75">
            <v>1050000</v>
          </cell>
          <cell r="L75">
            <v>1225000</v>
          </cell>
          <cell r="M75">
            <v>1412000</v>
          </cell>
          <cell r="N75">
            <v>1610000</v>
          </cell>
          <cell r="O75">
            <v>1744000</v>
          </cell>
        </row>
        <row r="76">
          <cell r="A76" t="str">
            <v>Cultura Entretenida: Diarios de Tricicleta</v>
          </cell>
          <cell r="B76">
            <v>78395</v>
          </cell>
          <cell r="C76">
            <v>206000</v>
          </cell>
          <cell r="D76">
            <v>412000</v>
          </cell>
          <cell r="E76">
            <v>471000</v>
          </cell>
          <cell r="F76">
            <v>563000</v>
          </cell>
          <cell r="G76">
            <v>607000</v>
          </cell>
          <cell r="H76">
            <v>650000</v>
          </cell>
          <cell r="I76">
            <v>758000</v>
          </cell>
          <cell r="J76">
            <v>867000</v>
          </cell>
          <cell r="K76">
            <v>975000</v>
          </cell>
          <cell r="L76">
            <v>1138000</v>
          </cell>
          <cell r="M76">
            <v>1311000</v>
          </cell>
          <cell r="N76">
            <v>1495000</v>
          </cell>
          <cell r="O76">
            <v>1620000</v>
          </cell>
        </row>
        <row r="77">
          <cell r="A77" t="str">
            <v>Cultura Entretenida: Habitantes del Pacífico</v>
          </cell>
          <cell r="B77">
            <v>78351</v>
          </cell>
          <cell r="C77">
            <v>206000</v>
          </cell>
          <cell r="D77">
            <v>412000</v>
          </cell>
          <cell r="E77">
            <v>471000</v>
          </cell>
          <cell r="F77">
            <v>563000</v>
          </cell>
          <cell r="G77">
            <v>607000</v>
          </cell>
          <cell r="H77">
            <v>650000</v>
          </cell>
          <cell r="I77">
            <v>758000</v>
          </cell>
          <cell r="J77">
            <v>867000</v>
          </cell>
          <cell r="K77">
            <v>975000</v>
          </cell>
          <cell r="L77">
            <v>1138000</v>
          </cell>
          <cell r="M77">
            <v>1311000</v>
          </cell>
          <cell r="N77">
            <v>1495000</v>
          </cell>
          <cell r="O77">
            <v>1620000</v>
          </cell>
        </row>
        <row r="78">
          <cell r="A78">
            <v>0</v>
          </cell>
          <cell r="B78" t="str">
            <v/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</sheetData>
      <sheetData sheetId="8">
        <row r="8">
          <cell r="B8" t="str">
            <v>Prime</v>
          </cell>
          <cell r="C8">
            <v>57000</v>
          </cell>
          <cell r="D8">
            <v>65000</v>
          </cell>
          <cell r="E8">
            <v>78000</v>
          </cell>
          <cell r="F8">
            <v>84000</v>
          </cell>
          <cell r="G8">
            <v>90000</v>
          </cell>
          <cell r="H8">
            <v>105000</v>
          </cell>
          <cell r="I8">
            <v>120000</v>
          </cell>
          <cell r="J8">
            <v>135000</v>
          </cell>
          <cell r="K8">
            <v>158000</v>
          </cell>
          <cell r="L8">
            <v>182000</v>
          </cell>
          <cell r="M8">
            <v>207000</v>
          </cell>
        </row>
        <row r="9">
          <cell r="B9" t="str">
            <v>Off Prime</v>
          </cell>
          <cell r="C9">
            <v>25000</v>
          </cell>
          <cell r="D9">
            <v>29000</v>
          </cell>
          <cell r="E9">
            <v>35000</v>
          </cell>
          <cell r="F9">
            <v>37000</v>
          </cell>
          <cell r="G9">
            <v>40000</v>
          </cell>
          <cell r="H9">
            <v>47000</v>
          </cell>
          <cell r="I9">
            <v>53000</v>
          </cell>
          <cell r="J9">
            <v>60000</v>
          </cell>
          <cell r="K9">
            <v>70000</v>
          </cell>
          <cell r="L9">
            <v>81000</v>
          </cell>
          <cell r="M9">
            <v>92000</v>
          </cell>
        </row>
      </sheetData>
      <sheetData sheetId="9"/>
      <sheetData sheetId="10">
        <row r="3">
          <cell r="H3" t="str">
            <v>0,243055555555556LMWJD</v>
          </cell>
        </row>
      </sheetData>
      <sheetData sheetId="11">
        <row r="13">
          <cell r="R13" t="str">
            <v>CANAL 24 / PAUTA MIX</v>
          </cell>
          <cell r="T13">
            <v>11.02</v>
          </cell>
          <cell r="V13">
            <v>11.108333333333336</v>
          </cell>
          <cell r="X13">
            <v>8.7866666666666671</v>
          </cell>
          <cell r="Z13">
            <v>6.9174999999999995</v>
          </cell>
          <cell r="AB13">
            <v>8.7550000000000008</v>
          </cell>
          <cell r="AD13">
            <v>6.67</v>
          </cell>
          <cell r="AF13">
            <v>9.3333333333333321</v>
          </cell>
          <cell r="AH13">
            <v>9.43</v>
          </cell>
          <cell r="AJ13">
            <v>14.121666666666664</v>
          </cell>
          <cell r="AL13">
            <v>10.509166666666665</v>
          </cell>
          <cell r="AN13">
            <v>2.6191666666666666</v>
          </cell>
          <cell r="AP13">
            <v>8.1016666666666666</v>
          </cell>
          <cell r="AR13">
            <v>9.0258333333333312</v>
          </cell>
          <cell r="AT13">
            <v>7.865000000000002</v>
          </cell>
          <cell r="AV13">
            <v>5.4975000000000005</v>
          </cell>
          <cell r="AX13">
            <v>7.4658333333333333</v>
          </cell>
          <cell r="AZ13">
            <v>5.7141666666666673</v>
          </cell>
          <cell r="BB13">
            <v>4.8675000000000015</v>
          </cell>
          <cell r="BD13">
            <v>14.06</v>
          </cell>
          <cell r="BF13">
            <v>10.808333333333334</v>
          </cell>
        </row>
        <row r="14">
          <cell r="T14">
            <v>2.8899999999999997</v>
          </cell>
          <cell r="V14">
            <v>2.8333333333333335</v>
          </cell>
          <cell r="X14">
            <v>2.5066666666666659</v>
          </cell>
          <cell r="Z14">
            <v>1.8800000000000003</v>
          </cell>
          <cell r="AB14">
            <v>2.36</v>
          </cell>
          <cell r="AD14">
            <v>2.1100000000000003</v>
          </cell>
          <cell r="AF14">
            <v>2.4533333333333331</v>
          </cell>
          <cell r="AH14">
            <v>2.0499999999999998</v>
          </cell>
          <cell r="AJ14">
            <v>2.6466666666666665</v>
          </cell>
          <cell r="AL14">
            <v>1.9266666666666667</v>
          </cell>
          <cell r="AN14">
            <v>1.3166666666666664</v>
          </cell>
          <cell r="AP14">
            <v>1.5566666666666666</v>
          </cell>
          <cell r="AR14">
            <v>1.5933333333333333</v>
          </cell>
          <cell r="AT14">
            <v>3.16</v>
          </cell>
          <cell r="AV14">
            <v>2.2600000000000007</v>
          </cell>
          <cell r="AX14">
            <v>2.2133333333333329</v>
          </cell>
          <cell r="AZ14">
            <v>2.496666666666667</v>
          </cell>
          <cell r="BB14">
            <v>2.1500000000000004</v>
          </cell>
          <cell r="BD14">
            <v>2.4900000000000002</v>
          </cell>
          <cell r="BF14">
            <v>2.2933333333333334</v>
          </cell>
        </row>
        <row r="15">
          <cell r="R15" t="str">
            <v>% prime</v>
          </cell>
          <cell r="T15">
            <v>0.26225045372050815</v>
          </cell>
          <cell r="V15">
            <v>0.25506376594148533</v>
          </cell>
          <cell r="X15">
            <v>0.28528072837632767</v>
          </cell>
          <cell r="Z15">
            <v>0.27177448500180706</v>
          </cell>
          <cell r="AB15">
            <v>0.26956025128497996</v>
          </cell>
          <cell r="AD15">
            <v>0.31634182908545733</v>
          </cell>
          <cell r="AF15">
            <v>0.26285714285714284</v>
          </cell>
          <cell r="AH15">
            <v>0.21739130434782608</v>
          </cell>
          <cell r="AJ15">
            <v>0.18741885990794291</v>
          </cell>
          <cell r="AL15">
            <v>0.18333201173578625</v>
          </cell>
          <cell r="AN15">
            <v>0.5027044225262487</v>
          </cell>
          <cell r="AP15">
            <v>0.19214153466364944</v>
          </cell>
          <cell r="AR15">
            <v>0.17653032960945439</v>
          </cell>
          <cell r="AT15">
            <v>0.40178003814367441</v>
          </cell>
          <cell r="AV15">
            <v>0.41109595270577542</v>
          </cell>
          <cell r="AX15">
            <v>0.29646165866726193</v>
          </cell>
          <cell r="AZ15">
            <v>0.43692576928686017</v>
          </cell>
          <cell r="BB15">
            <v>0.44170518746789927</v>
          </cell>
          <cell r="BD15">
            <v>0.17709815078236132</v>
          </cell>
          <cell r="BF15">
            <v>0.21218195836545875</v>
          </cell>
        </row>
        <row r="17">
          <cell r="S17" t="str">
            <v>HM 25-64 ABC</v>
          </cell>
          <cell r="U17" t="str">
            <v>HM 25-64 ABC1C2</v>
          </cell>
          <cell r="W17" t="str">
            <v>HM 25-99 ABCD</v>
          </cell>
          <cell r="Y17" t="str">
            <v>HM 25-49 ABC1C2</v>
          </cell>
          <cell r="AA17" t="str">
            <v>HM 13-64 ABC</v>
          </cell>
          <cell r="AC17" t="str">
            <v>HM 18-49 ABC</v>
          </cell>
          <cell r="AE17" t="str">
            <v>HM 18-64 ABC</v>
          </cell>
          <cell r="AG17" t="str">
            <v>M 25-49 ABC</v>
          </cell>
          <cell r="AI17" t="str">
            <v>M 25-64 ABC</v>
          </cell>
          <cell r="AK17" t="str">
            <v>M 25-64 ABCD</v>
          </cell>
          <cell r="AM17" t="str">
            <v>M 25-34 ABC</v>
          </cell>
          <cell r="AO17" t="str">
            <v>M 25-99 C3D</v>
          </cell>
          <cell r="AQ17" t="str">
            <v>M 18-64 C2C3D</v>
          </cell>
          <cell r="AS17" t="str">
            <v>H 25-64 ABC</v>
          </cell>
          <cell r="AU17" t="str">
            <v>H 25-64 ABCD</v>
          </cell>
          <cell r="AW17" t="str">
            <v>H 25-64 ABC1C2</v>
          </cell>
          <cell r="AY17" t="str">
            <v>H 18-49 ABC</v>
          </cell>
          <cell r="BA17" t="str">
            <v>H 25-64 C2C3D</v>
          </cell>
          <cell r="BC17" t="str">
            <v>DDC ABC</v>
          </cell>
          <cell r="BE17" t="str">
            <v>DDC ABCD</v>
          </cell>
        </row>
        <row r="18">
          <cell r="S18" t="str">
            <v>Rat</v>
          </cell>
          <cell r="T18" t="str">
            <v>GRP's</v>
          </cell>
          <cell r="U18" t="str">
            <v>Rat</v>
          </cell>
          <cell r="V18" t="str">
            <v>GRP's</v>
          </cell>
          <cell r="W18" t="str">
            <v>Rat</v>
          </cell>
          <cell r="X18" t="str">
            <v>GRP's</v>
          </cell>
          <cell r="Y18" t="str">
            <v>Rat</v>
          </cell>
          <cell r="Z18" t="str">
            <v>GRP's</v>
          </cell>
          <cell r="AA18" t="str">
            <v>Rat</v>
          </cell>
          <cell r="AB18" t="str">
            <v>GRP's</v>
          </cell>
          <cell r="AC18" t="str">
            <v>Rat</v>
          </cell>
          <cell r="AD18" t="str">
            <v>GRP's</v>
          </cell>
          <cell r="AE18" t="str">
            <v>Rat</v>
          </cell>
          <cell r="AF18" t="str">
            <v>GRP's</v>
          </cell>
          <cell r="AG18" t="str">
            <v>Rat</v>
          </cell>
          <cell r="AH18" t="str">
            <v>GRP's</v>
          </cell>
          <cell r="AI18" t="str">
            <v>Rat</v>
          </cell>
          <cell r="AJ18" t="str">
            <v>GRP's</v>
          </cell>
          <cell r="AK18" t="str">
            <v>Rat</v>
          </cell>
          <cell r="AL18" t="str">
            <v>GRP's</v>
          </cell>
          <cell r="AM18" t="str">
            <v>Rat</v>
          </cell>
          <cell r="AN18" t="str">
            <v>GRP's</v>
          </cell>
          <cell r="AO18" t="str">
            <v>Rat</v>
          </cell>
          <cell r="AP18" t="str">
            <v>GRP's</v>
          </cell>
          <cell r="AQ18" t="str">
            <v>Rat</v>
          </cell>
          <cell r="AR18" t="str">
            <v>GRP's</v>
          </cell>
          <cell r="AS18" t="str">
            <v>Rat</v>
          </cell>
          <cell r="AT18" t="str">
            <v>GRP's</v>
          </cell>
          <cell r="AU18" t="str">
            <v>Rat</v>
          </cell>
          <cell r="AV18" t="str">
            <v>GRP's</v>
          </cell>
          <cell r="AW18" t="str">
            <v>Rat</v>
          </cell>
          <cell r="AX18" t="str">
            <v>GRP's</v>
          </cell>
          <cell r="AY18" t="str">
            <v>Rat</v>
          </cell>
          <cell r="AZ18" t="str">
            <v>GRP's</v>
          </cell>
          <cell r="BA18" t="str">
            <v>Rat</v>
          </cell>
          <cell r="BB18" t="str">
            <v>GRP's</v>
          </cell>
          <cell r="BC18" t="str">
            <v>Rat</v>
          </cell>
          <cell r="BD18" t="str">
            <v>GRP's</v>
          </cell>
          <cell r="BE18" t="str">
            <v>Rat</v>
          </cell>
          <cell r="BF18" t="str">
            <v>GRP's</v>
          </cell>
        </row>
        <row r="20">
          <cell r="S20">
            <v>0.20800000000000002</v>
          </cell>
          <cell r="T20">
            <v>3.3280000000000003</v>
          </cell>
          <cell r="U20">
            <v>0.21900000000000003</v>
          </cell>
          <cell r="V20">
            <v>3.5040000000000004</v>
          </cell>
          <cell r="W20">
            <v>0.151</v>
          </cell>
          <cell r="X20">
            <v>2.4159999999999999</v>
          </cell>
          <cell r="Y20">
            <v>0.10800000000000001</v>
          </cell>
          <cell r="Z20">
            <v>1.7280000000000002</v>
          </cell>
          <cell r="AA20">
            <v>0.16999999999999998</v>
          </cell>
          <cell r="AB20">
            <v>2.7199999999999998</v>
          </cell>
          <cell r="AC20">
            <v>0.14150000000000001</v>
          </cell>
          <cell r="AD20">
            <v>2.2640000000000002</v>
          </cell>
          <cell r="AE20">
            <v>0.17749999999999996</v>
          </cell>
          <cell r="AF20">
            <v>2.8399999999999994</v>
          </cell>
          <cell r="AG20">
            <v>0.26000000000000006</v>
          </cell>
          <cell r="AH20">
            <v>4.160000000000001</v>
          </cell>
          <cell r="AI20">
            <v>0.31599999999999995</v>
          </cell>
          <cell r="AJ20">
            <v>5.0559999999999992</v>
          </cell>
          <cell r="AK20">
            <v>0.2475</v>
          </cell>
          <cell r="AL20">
            <v>3.96</v>
          </cell>
          <cell r="AM20">
            <v>3.5000000000000003E-2</v>
          </cell>
          <cell r="AN20">
            <v>0.56000000000000005</v>
          </cell>
          <cell r="AO20">
            <v>0</v>
          </cell>
          <cell r="AP20">
            <v>0</v>
          </cell>
          <cell r="AQ20">
            <v>0.21399999999999997</v>
          </cell>
          <cell r="AR20">
            <v>3.4239999999999995</v>
          </cell>
          <cell r="AS20">
            <v>9.9500000000000019E-2</v>
          </cell>
          <cell r="AT20">
            <v>1.5920000000000003</v>
          </cell>
          <cell r="AU20">
            <v>6.5000000000000002E-2</v>
          </cell>
          <cell r="AV20">
            <v>1.04</v>
          </cell>
          <cell r="AW20">
            <v>7.8500000000000014E-2</v>
          </cell>
          <cell r="AX20">
            <v>1.2560000000000002</v>
          </cell>
          <cell r="AY20">
            <v>7.2500000000000009E-2</v>
          </cell>
          <cell r="AZ20">
            <v>1.1600000000000001</v>
          </cell>
          <cell r="BA20">
            <v>5.7000000000000016E-2</v>
          </cell>
          <cell r="BB20">
            <v>0.91200000000000025</v>
          </cell>
          <cell r="BC20">
            <v>0.316</v>
          </cell>
          <cell r="BD20">
            <v>5.056</v>
          </cell>
          <cell r="BE20">
            <v>0.23549999999999999</v>
          </cell>
          <cell r="BF20">
            <v>3.7679999999999998</v>
          </cell>
        </row>
        <row r="21">
          <cell r="S21">
            <v>0.20399999999999996</v>
          </cell>
          <cell r="T21">
            <v>2.4479999999999995</v>
          </cell>
          <cell r="U21">
            <v>0.19600000000000004</v>
          </cell>
          <cell r="V21">
            <v>2.3520000000000003</v>
          </cell>
          <cell r="W21">
            <v>0.19</v>
          </cell>
          <cell r="X21">
            <v>2.2800000000000002</v>
          </cell>
          <cell r="Y21">
            <v>0.185</v>
          </cell>
          <cell r="Z21">
            <v>2.2199999999999998</v>
          </cell>
          <cell r="AA21">
            <v>0.15650000000000003</v>
          </cell>
          <cell r="AB21">
            <v>1.8780000000000003</v>
          </cell>
          <cell r="AC21">
            <v>0.11849999999999998</v>
          </cell>
          <cell r="AD21">
            <v>1.4219999999999997</v>
          </cell>
          <cell r="AE21">
            <v>0.17349999999999999</v>
          </cell>
          <cell r="AF21">
            <v>2.0819999999999999</v>
          </cell>
          <cell r="AG21">
            <v>0.13950000000000001</v>
          </cell>
          <cell r="AH21">
            <v>1.6740000000000002</v>
          </cell>
          <cell r="AI21">
            <v>0.24899999999999997</v>
          </cell>
          <cell r="AJ21">
            <v>2.9879999999999995</v>
          </cell>
          <cell r="AK21">
            <v>0.17950000000000002</v>
          </cell>
          <cell r="AL21">
            <v>2.1540000000000004</v>
          </cell>
          <cell r="AM21">
            <v>4.7E-2</v>
          </cell>
          <cell r="AN21">
            <v>0.56400000000000006</v>
          </cell>
          <cell r="AO21">
            <v>0</v>
          </cell>
          <cell r="AP21">
            <v>0</v>
          </cell>
          <cell r="AQ21">
            <v>0.1545</v>
          </cell>
          <cell r="AR21">
            <v>1.8540000000000001</v>
          </cell>
          <cell r="AS21">
            <v>0.15550000000000005</v>
          </cell>
          <cell r="AT21">
            <v>1.8660000000000005</v>
          </cell>
          <cell r="AU21">
            <v>0.1145</v>
          </cell>
          <cell r="AV21">
            <v>1.3740000000000001</v>
          </cell>
          <cell r="AW21">
            <v>0.17650000000000002</v>
          </cell>
          <cell r="AX21">
            <v>2.1180000000000003</v>
          </cell>
          <cell r="AY21">
            <v>0.12600000000000003</v>
          </cell>
          <cell r="AZ21">
            <v>1.5120000000000005</v>
          </cell>
          <cell r="BA21">
            <v>0.10450000000000001</v>
          </cell>
          <cell r="BB21">
            <v>1.254</v>
          </cell>
          <cell r="BC21">
            <v>0.30500000000000005</v>
          </cell>
          <cell r="BD21">
            <v>3.6600000000000006</v>
          </cell>
          <cell r="BE21">
            <v>0.22750000000000004</v>
          </cell>
          <cell r="BF21">
            <v>2.7300000000000004</v>
          </cell>
        </row>
        <row r="22">
          <cell r="S22">
            <v>0.495</v>
          </cell>
          <cell r="T22">
            <v>3.96</v>
          </cell>
          <cell r="U22">
            <v>0.505</v>
          </cell>
          <cell r="V22">
            <v>4.04</v>
          </cell>
          <cell r="W22">
            <v>0.35250000000000004</v>
          </cell>
          <cell r="X22">
            <v>2.8200000000000003</v>
          </cell>
          <cell r="Y22">
            <v>0.26124999999999998</v>
          </cell>
          <cell r="Z22">
            <v>2.09</v>
          </cell>
          <cell r="AA22">
            <v>0.38000000000000006</v>
          </cell>
          <cell r="AB22">
            <v>3.0400000000000005</v>
          </cell>
          <cell r="AC22">
            <v>0.20875000000000002</v>
          </cell>
          <cell r="AD22">
            <v>1.6700000000000002</v>
          </cell>
          <cell r="AE22">
            <v>0.41374999999999995</v>
          </cell>
          <cell r="AF22">
            <v>3.3099999999999996</v>
          </cell>
          <cell r="AG22">
            <v>0.34750000000000003</v>
          </cell>
          <cell r="AH22">
            <v>2.7800000000000002</v>
          </cell>
          <cell r="AI22">
            <v>0.70750000000000002</v>
          </cell>
          <cell r="AJ22">
            <v>5.66</v>
          </cell>
          <cell r="AK22">
            <v>0.51250000000000007</v>
          </cell>
          <cell r="AL22">
            <v>4.1000000000000005</v>
          </cell>
          <cell r="AM22">
            <v>5.1250000000000004E-2</v>
          </cell>
          <cell r="AN22">
            <v>0.41000000000000003</v>
          </cell>
          <cell r="AO22">
            <v>0</v>
          </cell>
          <cell r="AP22">
            <v>0</v>
          </cell>
          <cell r="AQ22">
            <v>0.44624999999999998</v>
          </cell>
          <cell r="AR22">
            <v>3.57</v>
          </cell>
          <cell r="AS22">
            <v>0.27625</v>
          </cell>
          <cell r="AT22">
            <v>2.21</v>
          </cell>
          <cell r="AU22">
            <v>0.18625</v>
          </cell>
          <cell r="AV22">
            <v>1.49</v>
          </cell>
          <cell r="AW22">
            <v>0.38500000000000001</v>
          </cell>
          <cell r="AX22">
            <v>3.08</v>
          </cell>
          <cell r="AY22">
            <v>0.14500000000000002</v>
          </cell>
          <cell r="AZ22">
            <v>1.1600000000000001</v>
          </cell>
          <cell r="BA22">
            <v>0.13625000000000004</v>
          </cell>
          <cell r="BB22">
            <v>1.0900000000000003</v>
          </cell>
          <cell r="BC22">
            <v>0.63</v>
          </cell>
          <cell r="BD22">
            <v>5.04</v>
          </cell>
          <cell r="BE22">
            <v>0.45124999999999998</v>
          </cell>
          <cell r="BF22">
            <v>3.61</v>
          </cell>
        </row>
        <row r="23">
          <cell r="R23" t="str">
            <v>CANAL 24 / PAUTA OFF PRIME</v>
          </cell>
          <cell r="T23">
            <v>9.7360000000000007</v>
          </cell>
          <cell r="V23">
            <v>9.8960000000000008</v>
          </cell>
          <cell r="X23">
            <v>7.516</v>
          </cell>
          <cell r="Z23">
            <v>6.0380000000000003</v>
          </cell>
          <cell r="AB23">
            <v>7.6379999999999999</v>
          </cell>
          <cell r="AD23">
            <v>5.3559999999999999</v>
          </cell>
          <cell r="AF23">
            <v>8.2319999999999993</v>
          </cell>
          <cell r="AH23">
            <v>8.6140000000000008</v>
          </cell>
          <cell r="AJ23">
            <v>13.703999999999999</v>
          </cell>
          <cell r="AL23">
            <v>10.214000000000002</v>
          </cell>
          <cell r="AN23">
            <v>1.5340000000000003</v>
          </cell>
          <cell r="AP23">
            <v>0</v>
          </cell>
          <cell r="AR23">
            <v>8.847999999999999</v>
          </cell>
          <cell r="AT23">
            <v>5.668000000000001</v>
          </cell>
          <cell r="AV23">
            <v>3.9039999999999999</v>
          </cell>
          <cell r="AX23">
            <v>6.4540000000000006</v>
          </cell>
          <cell r="AZ23">
            <v>3.8320000000000007</v>
          </cell>
          <cell r="BB23">
            <v>3.2560000000000007</v>
          </cell>
          <cell r="BD23">
            <v>13.756</v>
          </cell>
          <cell r="BF23">
            <v>10.108000000000001</v>
          </cell>
        </row>
        <row r="27">
          <cell r="S27" t="str">
            <v>HM 25-64 ABC</v>
          </cell>
          <cell r="U27" t="str">
            <v>HM 25-64 ABC1C2</v>
          </cell>
          <cell r="W27" t="str">
            <v>HM 25-99 ABCD</v>
          </cell>
          <cell r="Y27" t="str">
            <v>HM 25-49 ABC1C2</v>
          </cell>
          <cell r="AA27" t="str">
            <v>HM 13-64 ABC</v>
          </cell>
          <cell r="AC27" t="str">
            <v>HM 18-49 ABC</v>
          </cell>
          <cell r="AE27" t="str">
            <v>HM 18-64 ABC</v>
          </cell>
          <cell r="AG27" t="str">
            <v>M 25-49 ABC</v>
          </cell>
          <cell r="AI27" t="str">
            <v>M 25-64 ABC</v>
          </cell>
          <cell r="AK27" t="str">
            <v>M 25-64 ABCD</v>
          </cell>
          <cell r="AM27" t="str">
            <v>M 25-34 ABC</v>
          </cell>
          <cell r="AO27" t="str">
            <v>M 25-99 C3D</v>
          </cell>
          <cell r="AQ27" t="str">
            <v>M 18-64 C2C3D</v>
          </cell>
          <cell r="AS27" t="str">
            <v>H 25-64 ABC</v>
          </cell>
          <cell r="AU27" t="str">
            <v>H 25-64 ABCD</v>
          </cell>
          <cell r="AW27" t="str">
            <v>H 25-64 ABC1C2</v>
          </cell>
          <cell r="AY27" t="str">
            <v>H 18-49 ABC</v>
          </cell>
          <cell r="BA27" t="str">
            <v>H 25-64 C2C3D</v>
          </cell>
          <cell r="BC27" t="str">
            <v>DDC ABC</v>
          </cell>
          <cell r="BE27" t="str">
            <v>DDC ABCD</v>
          </cell>
        </row>
        <row r="28">
          <cell r="S28" t="str">
            <v>Rat</v>
          </cell>
          <cell r="T28" t="str">
            <v>GRP's</v>
          </cell>
          <cell r="U28" t="str">
            <v>Rat</v>
          </cell>
          <cell r="V28" t="str">
            <v>GRP's</v>
          </cell>
          <cell r="W28" t="str">
            <v>Rat</v>
          </cell>
          <cell r="X28" t="str">
            <v>GRP's</v>
          </cell>
          <cell r="Y28" t="str">
            <v>Rat</v>
          </cell>
          <cell r="Z28" t="str">
            <v>GRP's</v>
          </cell>
          <cell r="AA28" t="str">
            <v>Rat</v>
          </cell>
          <cell r="AB28" t="str">
            <v>GRP's</v>
          </cell>
          <cell r="AC28" t="str">
            <v>Rat</v>
          </cell>
          <cell r="AD28" t="str">
            <v>GRP's</v>
          </cell>
          <cell r="AE28" t="str">
            <v>Rat</v>
          </cell>
          <cell r="AF28" t="str">
            <v>GRP's</v>
          </cell>
          <cell r="AG28" t="str">
            <v>Rat</v>
          </cell>
          <cell r="AH28" t="str">
            <v>GRP's</v>
          </cell>
          <cell r="AI28" t="str">
            <v>Rat</v>
          </cell>
          <cell r="AJ28" t="str">
            <v>GRP's</v>
          </cell>
          <cell r="AK28" t="str">
            <v>Rat</v>
          </cell>
          <cell r="AL28" t="str">
            <v>GRP's</v>
          </cell>
          <cell r="AM28" t="str">
            <v>Rat</v>
          </cell>
          <cell r="AN28" t="str">
            <v>GRP's</v>
          </cell>
          <cell r="AO28" t="str">
            <v>Rat</v>
          </cell>
          <cell r="AP28" t="str">
            <v>GRP's</v>
          </cell>
          <cell r="AQ28" t="str">
            <v>Rat</v>
          </cell>
          <cell r="AR28" t="str">
            <v>GRP's</v>
          </cell>
          <cell r="AS28" t="str">
            <v>Rat</v>
          </cell>
          <cell r="AT28" t="str">
            <v>GRP's</v>
          </cell>
          <cell r="AU28" t="str">
            <v>Rat</v>
          </cell>
          <cell r="AV28" t="str">
            <v>GRP's</v>
          </cell>
          <cell r="AW28" t="str">
            <v>Rat</v>
          </cell>
          <cell r="AX28" t="str">
            <v>GRP's</v>
          </cell>
          <cell r="AY28" t="str">
            <v>Rat</v>
          </cell>
          <cell r="AZ28" t="str">
            <v>GRP's</v>
          </cell>
          <cell r="BA28" t="str">
            <v>Rat</v>
          </cell>
          <cell r="BB28" t="str">
            <v>GRP's</v>
          </cell>
          <cell r="BC28" t="str">
            <v>Rat</v>
          </cell>
          <cell r="BD28" t="str">
            <v>GRP's</v>
          </cell>
          <cell r="BE28" t="str">
            <v>Rat</v>
          </cell>
          <cell r="BF28" t="str">
            <v>GRP's</v>
          </cell>
        </row>
        <row r="30">
          <cell r="S30">
            <v>0.32333333333333331</v>
          </cell>
          <cell r="T30">
            <v>2.5866666666666664</v>
          </cell>
          <cell r="U30">
            <v>0.28999999999999998</v>
          </cell>
          <cell r="V30">
            <v>2.3199999999999998</v>
          </cell>
          <cell r="W30">
            <v>0.24</v>
          </cell>
          <cell r="X30">
            <v>1.92</v>
          </cell>
          <cell r="Y30">
            <v>0.17</v>
          </cell>
          <cell r="Z30">
            <v>1.36</v>
          </cell>
          <cell r="AA30">
            <v>0.26666666666666666</v>
          </cell>
          <cell r="AB30">
            <v>2.1333333333333333</v>
          </cell>
          <cell r="AC30">
            <v>0.25666666666666665</v>
          </cell>
          <cell r="AD30">
            <v>2.0533333333333332</v>
          </cell>
          <cell r="AE30">
            <v>0.26999999999999996</v>
          </cell>
          <cell r="AF30">
            <v>2.1599999999999997</v>
          </cell>
          <cell r="AG30">
            <v>0.26666666666666666</v>
          </cell>
          <cell r="AH30">
            <v>2.1333333333333333</v>
          </cell>
          <cell r="AI30">
            <v>0.27333333333333337</v>
          </cell>
          <cell r="AJ30">
            <v>2.186666666666667</v>
          </cell>
          <cell r="AK30">
            <v>0.18666666666666668</v>
          </cell>
          <cell r="AL30">
            <v>1.4933333333333334</v>
          </cell>
          <cell r="AM30">
            <v>0.01</v>
          </cell>
          <cell r="AN30">
            <v>0.08</v>
          </cell>
          <cell r="AO30">
            <v>0.10999999999999999</v>
          </cell>
          <cell r="AP30">
            <v>0.87999999999999989</v>
          </cell>
          <cell r="AQ30">
            <v>0.14666666666666667</v>
          </cell>
          <cell r="AR30">
            <v>1.1733333333333333</v>
          </cell>
          <cell r="AS30">
            <v>0.38000000000000006</v>
          </cell>
          <cell r="AT30">
            <v>3.0400000000000005</v>
          </cell>
          <cell r="AU30">
            <v>0.29000000000000004</v>
          </cell>
          <cell r="AV30">
            <v>2.3200000000000003</v>
          </cell>
          <cell r="AW30">
            <v>0.21999999999999997</v>
          </cell>
          <cell r="AX30">
            <v>1.7599999999999998</v>
          </cell>
          <cell r="AY30">
            <v>0.3066666666666667</v>
          </cell>
          <cell r="AZ30">
            <v>2.4533333333333336</v>
          </cell>
          <cell r="BA30">
            <v>0.28666666666666668</v>
          </cell>
          <cell r="BB30">
            <v>2.2933333333333334</v>
          </cell>
          <cell r="BC30">
            <v>0.21</v>
          </cell>
          <cell r="BD30">
            <v>1.68</v>
          </cell>
          <cell r="BE30">
            <v>0.13999999999999999</v>
          </cell>
          <cell r="BF30">
            <v>1.1199999999999999</v>
          </cell>
        </row>
        <row r="31">
          <cell r="S31">
            <v>0.31933333333333336</v>
          </cell>
          <cell r="T31">
            <v>6.3866666666666667</v>
          </cell>
          <cell r="U31">
            <v>0.33466666666666672</v>
          </cell>
          <cell r="V31">
            <v>6.6933333333333342</v>
          </cell>
          <cell r="W31">
            <v>0.30933333333333324</v>
          </cell>
          <cell r="X31">
            <v>6.1866666666666648</v>
          </cell>
          <cell r="Y31">
            <v>0.24000000000000002</v>
          </cell>
          <cell r="Z31">
            <v>4.8000000000000007</v>
          </cell>
          <cell r="AA31">
            <v>0.25866666666666666</v>
          </cell>
          <cell r="AB31">
            <v>5.1733333333333329</v>
          </cell>
          <cell r="AC31">
            <v>0.2166666666666667</v>
          </cell>
          <cell r="AD31">
            <v>4.3333333333333339</v>
          </cell>
          <cell r="AE31">
            <v>0.27466666666666661</v>
          </cell>
          <cell r="AF31">
            <v>5.4933333333333323</v>
          </cell>
          <cell r="AG31">
            <v>0.19666666666666666</v>
          </cell>
          <cell r="AH31">
            <v>3.9333333333333331</v>
          </cell>
          <cell r="AI31">
            <v>0.31066666666666659</v>
          </cell>
          <cell r="AJ31">
            <v>6.213333333333332</v>
          </cell>
          <cell r="AK31">
            <v>0.23600000000000002</v>
          </cell>
          <cell r="AL31">
            <v>4.7200000000000006</v>
          </cell>
          <cell r="AM31">
            <v>0.2553333333333333</v>
          </cell>
          <cell r="AN31">
            <v>5.1066666666666656</v>
          </cell>
          <cell r="AO31">
            <v>0.22333333333333333</v>
          </cell>
          <cell r="AP31">
            <v>4.4666666666666668</v>
          </cell>
          <cell r="AQ31">
            <v>0.20133333333333331</v>
          </cell>
          <cell r="AR31">
            <v>4.0266666666666664</v>
          </cell>
          <cell r="AS31">
            <v>0.32800000000000001</v>
          </cell>
          <cell r="AT31">
            <v>6.5600000000000005</v>
          </cell>
          <cell r="AU31">
            <v>0.22000000000000006</v>
          </cell>
          <cell r="AV31">
            <v>4.4000000000000012</v>
          </cell>
          <cell r="AW31">
            <v>0.26666666666666666</v>
          </cell>
          <cell r="AX31">
            <v>5.333333333333333</v>
          </cell>
          <cell r="AY31">
            <v>0.25400000000000006</v>
          </cell>
          <cell r="AZ31">
            <v>5.080000000000001</v>
          </cell>
          <cell r="BA31">
            <v>0.20066666666666672</v>
          </cell>
          <cell r="BB31">
            <v>4.0133333333333345</v>
          </cell>
          <cell r="BC31">
            <v>0.33</v>
          </cell>
          <cell r="BD31">
            <v>6.6000000000000005</v>
          </cell>
          <cell r="BE31">
            <v>0.34666666666666668</v>
          </cell>
          <cell r="BF31">
            <v>6.9333333333333336</v>
          </cell>
        </row>
        <row r="32">
          <cell r="R32" t="str">
            <v>CANAL 24 / PAUTA PRIME</v>
          </cell>
          <cell r="T32">
            <v>8.9733333333333327</v>
          </cell>
          <cell r="V32">
            <v>9.0133333333333336</v>
          </cell>
          <cell r="X32">
            <v>8.1066666666666656</v>
          </cell>
          <cell r="Z32">
            <v>6.160000000000001</v>
          </cell>
          <cell r="AB32">
            <v>7.3066666666666666</v>
          </cell>
          <cell r="AD32">
            <v>6.3866666666666667</v>
          </cell>
          <cell r="AF32">
            <v>7.6533333333333324</v>
          </cell>
          <cell r="AH32">
            <v>6.0666666666666664</v>
          </cell>
          <cell r="AJ32">
            <v>8.3999999999999986</v>
          </cell>
          <cell r="AL32">
            <v>6.2133333333333338</v>
          </cell>
          <cell r="AN32">
            <v>5.1866666666666656</v>
          </cell>
          <cell r="AP32">
            <v>5.3466666666666667</v>
          </cell>
          <cell r="AR32">
            <v>5.1999999999999993</v>
          </cell>
          <cell r="AT32">
            <v>9.6000000000000014</v>
          </cell>
          <cell r="AV32">
            <v>6.7200000000000015</v>
          </cell>
          <cell r="AX32">
            <v>7.0933333333333328</v>
          </cell>
          <cell r="AZ32">
            <v>7.533333333333335</v>
          </cell>
          <cell r="BB32">
            <v>6.3066666666666684</v>
          </cell>
          <cell r="BD32">
            <v>8.2800000000000011</v>
          </cell>
          <cell r="BF32">
            <v>8.0533333333333328</v>
          </cell>
        </row>
      </sheetData>
      <sheetData sheetId="12"/>
      <sheetData sheetId="13">
        <row r="9">
          <cell r="E9" t="str">
            <v>HM 25-64 ABC</v>
          </cell>
          <cell r="F9">
            <v>3</v>
          </cell>
          <cell r="G9">
            <v>0.26225045372050815</v>
          </cell>
        </row>
        <row r="10">
          <cell r="E10" t="str">
            <v>HM 25-64 ABC1C2</v>
          </cell>
          <cell r="F10">
            <v>5</v>
          </cell>
          <cell r="G10">
            <v>0.25506376594148533</v>
          </cell>
        </row>
        <row r="11">
          <cell r="E11" t="str">
            <v>HM 25-99 ABCD</v>
          </cell>
          <cell r="F11">
            <v>7</v>
          </cell>
          <cell r="G11">
            <v>0.28528072837632767</v>
          </cell>
        </row>
        <row r="12">
          <cell r="E12" t="str">
            <v>HM 25-49 ABC1C2</v>
          </cell>
          <cell r="F12">
            <v>9</v>
          </cell>
          <cell r="G12">
            <v>0.27177448500180706</v>
          </cell>
        </row>
        <row r="13">
          <cell r="E13" t="str">
            <v>HM 13-64 ABC</v>
          </cell>
          <cell r="F13">
            <v>11</v>
          </cell>
          <cell r="G13">
            <v>0.26956025128497996</v>
          </cell>
        </row>
        <row r="14">
          <cell r="E14" t="str">
            <v>HM 18-49 ABC</v>
          </cell>
          <cell r="F14">
            <v>13</v>
          </cell>
          <cell r="G14">
            <v>0.31634182908545733</v>
          </cell>
        </row>
        <row r="15">
          <cell r="E15" t="str">
            <v>HM 18-64 ABC</v>
          </cell>
          <cell r="F15">
            <v>15</v>
          </cell>
          <cell r="G15">
            <v>0.26285714285714284</v>
          </cell>
        </row>
        <row r="16">
          <cell r="E16" t="str">
            <v>M 25-49 ABC</v>
          </cell>
          <cell r="F16">
            <v>17</v>
          </cell>
          <cell r="G16">
            <v>0.21739130434782608</v>
          </cell>
        </row>
        <row r="17">
          <cell r="E17" t="str">
            <v>M 25-64 ABC</v>
          </cell>
          <cell r="F17">
            <v>19</v>
          </cell>
          <cell r="G17">
            <v>0.18741885990794291</v>
          </cell>
        </row>
        <row r="18">
          <cell r="E18" t="str">
            <v>M 25-64 ABCD</v>
          </cell>
          <cell r="F18">
            <v>21</v>
          </cell>
          <cell r="G18">
            <v>0.18333201173578625</v>
          </cell>
        </row>
        <row r="19">
          <cell r="E19" t="str">
            <v>M 25-34 ABC</v>
          </cell>
          <cell r="F19">
            <v>23</v>
          </cell>
          <cell r="G19">
            <v>0.5027044225262487</v>
          </cell>
        </row>
        <row r="20">
          <cell r="E20" t="str">
            <v>M 25-99 C3D</v>
          </cell>
          <cell r="F20">
            <v>25</v>
          </cell>
          <cell r="G20">
            <v>0.19214153466364944</v>
          </cell>
        </row>
        <row r="21">
          <cell r="E21" t="str">
            <v>M 18-64 C2C3D</v>
          </cell>
          <cell r="F21">
            <v>27</v>
          </cell>
          <cell r="G21">
            <v>0.17653032960945439</v>
          </cell>
        </row>
        <row r="22">
          <cell r="E22" t="str">
            <v>H 25-64 ABC</v>
          </cell>
          <cell r="F22">
            <v>29</v>
          </cell>
          <cell r="G22">
            <v>0.40178003814367441</v>
          </cell>
        </row>
        <row r="23">
          <cell r="E23" t="str">
            <v>H 25-64 ABCD</v>
          </cell>
          <cell r="F23">
            <v>31</v>
          </cell>
          <cell r="G23">
            <v>0.41109595270577542</v>
          </cell>
        </row>
        <row r="24">
          <cell r="E24" t="str">
            <v>H 25-64 ABC1C2</v>
          </cell>
          <cell r="F24">
            <v>33</v>
          </cell>
          <cell r="G24">
            <v>0.29646165866726193</v>
          </cell>
        </row>
        <row r="25">
          <cell r="E25" t="str">
            <v>H 18-49 ABC</v>
          </cell>
          <cell r="F25">
            <v>35</v>
          </cell>
          <cell r="G25">
            <v>0.43692576928686017</v>
          </cell>
        </row>
        <row r="26">
          <cell r="E26" t="str">
            <v>H 25-64 C2C3D</v>
          </cell>
          <cell r="F26">
            <v>37</v>
          </cell>
          <cell r="G26">
            <v>0.44170518746789927</v>
          </cell>
        </row>
        <row r="27">
          <cell r="E27" t="str">
            <v>DDC ABC</v>
          </cell>
          <cell r="F27">
            <v>39</v>
          </cell>
          <cell r="G27">
            <v>0.17709815078236132</v>
          </cell>
        </row>
        <row r="28">
          <cell r="E28" t="str">
            <v>DDC ABCD</v>
          </cell>
          <cell r="F28">
            <v>41</v>
          </cell>
          <cell r="G28">
            <v>0.21218195836545875</v>
          </cell>
        </row>
        <row r="29">
          <cell r="E29" t="str">
            <v>-</v>
          </cell>
        </row>
        <row r="37">
          <cell r="C37" t="str">
            <v>Programas</v>
          </cell>
          <cell r="D37" t="str">
            <v>10"</v>
          </cell>
          <cell r="E37" t="str">
            <v>15"</v>
          </cell>
          <cell r="F37" t="str">
            <v>20"</v>
          </cell>
          <cell r="G37" t="str">
            <v>25"</v>
          </cell>
          <cell r="H37" t="str">
            <v>30"</v>
          </cell>
          <cell r="I37" t="str">
            <v>35"</v>
          </cell>
          <cell r="J37" t="str">
            <v>40"</v>
          </cell>
          <cell r="K37" t="str">
            <v>45"</v>
          </cell>
          <cell r="L37" t="str">
            <v>50"</v>
          </cell>
          <cell r="M37" t="str">
            <v>55"</v>
          </cell>
          <cell r="N37" t="str">
            <v>60"</v>
          </cell>
        </row>
        <row r="38">
          <cell r="C38" t="str">
            <v>Prime</v>
          </cell>
          <cell r="D38">
            <v>57000</v>
          </cell>
          <cell r="E38">
            <v>65000</v>
          </cell>
          <cell r="F38">
            <v>78000</v>
          </cell>
          <cell r="G38">
            <v>84000</v>
          </cell>
          <cell r="H38">
            <v>90000</v>
          </cell>
          <cell r="I38">
            <v>105000</v>
          </cell>
          <cell r="J38">
            <v>120000</v>
          </cell>
          <cell r="K38">
            <v>135000</v>
          </cell>
          <cell r="L38">
            <v>158000</v>
          </cell>
          <cell r="M38">
            <v>182000</v>
          </cell>
          <cell r="N38">
            <v>207000</v>
          </cell>
        </row>
        <row r="39">
          <cell r="C39" t="str">
            <v>Off Prime</v>
          </cell>
          <cell r="D39">
            <v>25000</v>
          </cell>
          <cell r="E39">
            <v>29000</v>
          </cell>
          <cell r="F39">
            <v>35000</v>
          </cell>
          <cell r="G39">
            <v>37000</v>
          </cell>
          <cell r="H39">
            <v>40000</v>
          </cell>
          <cell r="I39">
            <v>47000</v>
          </cell>
          <cell r="J39">
            <v>53000</v>
          </cell>
          <cell r="K39">
            <v>60000</v>
          </cell>
          <cell r="L39">
            <v>70000</v>
          </cell>
          <cell r="M39">
            <v>81000</v>
          </cell>
          <cell r="N39">
            <v>92000</v>
          </cell>
        </row>
      </sheetData>
      <sheetData sheetId="14">
        <row r="5">
          <cell r="C5">
            <v>5</v>
          </cell>
          <cell r="F5">
            <v>5</v>
          </cell>
          <cell r="G5">
            <v>3</v>
          </cell>
        </row>
        <row r="6">
          <cell r="F6">
            <v>10</v>
          </cell>
          <cell r="G6">
            <v>4</v>
          </cell>
        </row>
        <row r="7">
          <cell r="F7">
            <v>15</v>
          </cell>
          <cell r="G7">
            <v>5</v>
          </cell>
        </row>
        <row r="8">
          <cell r="F8">
            <v>20</v>
          </cell>
          <cell r="G8">
            <v>6</v>
          </cell>
        </row>
        <row r="9">
          <cell r="F9">
            <v>25</v>
          </cell>
          <cell r="G9">
            <v>7</v>
          </cell>
        </row>
        <row r="10">
          <cell r="F10">
            <v>30</v>
          </cell>
          <cell r="G10">
            <v>8</v>
          </cell>
        </row>
        <row r="11">
          <cell r="F11">
            <v>35</v>
          </cell>
          <cell r="G11">
            <v>9</v>
          </cell>
        </row>
        <row r="12">
          <cell r="F12">
            <v>40</v>
          </cell>
          <cell r="G12">
            <v>10</v>
          </cell>
        </row>
        <row r="13">
          <cell r="F13">
            <v>45</v>
          </cell>
          <cell r="G13">
            <v>11</v>
          </cell>
        </row>
        <row r="14">
          <cell r="F14">
            <v>50</v>
          </cell>
          <cell r="G14">
            <v>12</v>
          </cell>
        </row>
        <row r="15">
          <cell r="F15">
            <v>55</v>
          </cell>
          <cell r="G15">
            <v>13</v>
          </cell>
        </row>
        <row r="16">
          <cell r="F16">
            <v>60</v>
          </cell>
          <cell r="G16">
            <v>14</v>
          </cell>
        </row>
      </sheetData>
      <sheetData sheetId="15"/>
      <sheetData sheetId="16"/>
      <sheetData sheetId="17">
        <row r="26">
          <cell r="F26">
            <v>1772512.1496339198</v>
          </cell>
        </row>
      </sheetData>
      <sheetData sheetId="18">
        <row r="26">
          <cell r="F26">
            <v>3611696.9636797803</v>
          </cell>
        </row>
      </sheetData>
      <sheetData sheetId="19"/>
      <sheetData sheetId="20"/>
      <sheetData sheetId="21">
        <row r="7">
          <cell r="A7" t="str">
            <v>Once Comida</v>
          </cell>
        </row>
      </sheetData>
      <sheetData sheetId="22">
        <row r="8">
          <cell r="A8" t="str">
            <v>Once Comida</v>
          </cell>
        </row>
      </sheetData>
      <sheetData sheetId="23">
        <row r="8">
          <cell r="B8" t="str">
            <v>Prime</v>
          </cell>
        </row>
      </sheetData>
      <sheetData sheetId="24"/>
      <sheetData sheetId="25">
        <row r="3">
          <cell r="H3" t="str">
            <v>0,243055555555556LMWJD</v>
          </cell>
        </row>
      </sheetData>
      <sheetData sheetId="26">
        <row r="13">
          <cell r="R13" t="str">
            <v>CANAL 24 / PAUTA MIX</v>
          </cell>
        </row>
      </sheetData>
      <sheetData sheetId="27"/>
      <sheetData sheetId="28">
        <row r="26">
          <cell r="F26">
            <v>1772512.1496339198</v>
          </cell>
        </row>
      </sheetData>
      <sheetData sheetId="29">
        <row r="26">
          <cell r="F26">
            <v>3611696.9636797803</v>
          </cell>
        </row>
      </sheetData>
      <sheetData sheetId="30"/>
      <sheetData sheetId="31"/>
      <sheetData sheetId="32">
        <row r="7">
          <cell r="A7" t="str">
            <v>Once Comida</v>
          </cell>
        </row>
      </sheetData>
      <sheetData sheetId="33">
        <row r="8">
          <cell r="A8" t="str">
            <v>Once Comida</v>
          </cell>
        </row>
      </sheetData>
      <sheetData sheetId="34">
        <row r="8">
          <cell r="B8" t="str">
            <v>Prime</v>
          </cell>
        </row>
      </sheetData>
      <sheetData sheetId="35"/>
      <sheetData sheetId="36">
        <row r="3">
          <cell r="H3" t="str">
            <v>0,243055555555556LMWJD</v>
          </cell>
        </row>
      </sheetData>
      <sheetData sheetId="37">
        <row r="13">
          <cell r="R13" t="str">
            <v>CANAL 24 / PAUTA MIX</v>
          </cell>
        </row>
      </sheetData>
      <sheetData sheetId="38"/>
      <sheetData sheetId="39">
        <row r="26">
          <cell r="F26">
            <v>1772512.1496339198</v>
          </cell>
        </row>
      </sheetData>
      <sheetData sheetId="40">
        <row r="26">
          <cell r="F26">
            <v>3611696.9636797803</v>
          </cell>
        </row>
      </sheetData>
      <sheetData sheetId="41"/>
      <sheetData sheetId="42"/>
      <sheetData sheetId="43">
        <row r="7">
          <cell r="A7" t="str">
            <v>Once Comida</v>
          </cell>
        </row>
      </sheetData>
      <sheetData sheetId="44">
        <row r="8">
          <cell r="A8" t="str">
            <v>Once Comida</v>
          </cell>
        </row>
      </sheetData>
      <sheetData sheetId="45">
        <row r="8">
          <cell r="B8" t="str">
            <v>Prime</v>
          </cell>
        </row>
      </sheetData>
      <sheetData sheetId="46"/>
      <sheetData sheetId="47">
        <row r="3">
          <cell r="H3" t="str">
            <v>0,243055555555556LMWJD</v>
          </cell>
        </row>
      </sheetData>
      <sheetData sheetId="48">
        <row r="13">
          <cell r="R13" t="str">
            <v>CANAL 24 / PAUTA MIX</v>
          </cell>
        </row>
      </sheetData>
      <sheetData sheetId="49"/>
      <sheetData sheetId="50">
        <row r="26">
          <cell r="F26">
            <v>1772512.1496339198</v>
          </cell>
        </row>
      </sheetData>
      <sheetData sheetId="51">
        <row r="26">
          <cell r="F26">
            <v>3611696.9636797803</v>
          </cell>
        </row>
      </sheetData>
      <sheetData sheetId="52"/>
      <sheetData sheetId="53"/>
      <sheetData sheetId="54">
        <row r="7">
          <cell r="A7" t="str">
            <v>Once Comida</v>
          </cell>
        </row>
      </sheetData>
      <sheetData sheetId="55">
        <row r="8">
          <cell r="A8" t="str">
            <v>Once Comida</v>
          </cell>
        </row>
      </sheetData>
      <sheetData sheetId="56">
        <row r="8">
          <cell r="B8" t="str">
            <v>Prime</v>
          </cell>
        </row>
      </sheetData>
      <sheetData sheetId="57"/>
      <sheetData sheetId="58">
        <row r="3">
          <cell r="H3" t="str">
            <v>0,243055555555556LMWJD</v>
          </cell>
        </row>
      </sheetData>
      <sheetData sheetId="59">
        <row r="13">
          <cell r="R13" t="str">
            <v>CANAL 24 / PAUTA MIX</v>
          </cell>
        </row>
      </sheetData>
      <sheetData sheetId="60"/>
      <sheetData sheetId="61">
        <row r="26">
          <cell r="F26">
            <v>1772512.1496339198</v>
          </cell>
        </row>
      </sheetData>
      <sheetData sheetId="62">
        <row r="26">
          <cell r="F26">
            <v>3611696.9636797803</v>
          </cell>
        </row>
      </sheetData>
      <sheetData sheetId="63"/>
      <sheetData sheetId="64"/>
      <sheetData sheetId="65">
        <row r="7">
          <cell r="A7" t="str">
            <v>Once Comida</v>
          </cell>
        </row>
      </sheetData>
      <sheetData sheetId="66">
        <row r="8">
          <cell r="A8" t="str">
            <v>Once Comida</v>
          </cell>
        </row>
      </sheetData>
      <sheetData sheetId="67">
        <row r="8">
          <cell r="B8" t="str">
            <v>Prime</v>
          </cell>
        </row>
      </sheetData>
      <sheetData sheetId="68"/>
      <sheetData sheetId="69">
        <row r="3">
          <cell r="H3" t="str">
            <v>0,243055555555556LMWJD</v>
          </cell>
        </row>
      </sheetData>
      <sheetData sheetId="70">
        <row r="13">
          <cell r="R13" t="str">
            <v>CANAL 24 / PAUTA MIX</v>
          </cell>
        </row>
      </sheetData>
      <sheetData sheetId="71"/>
      <sheetData sheetId="72">
        <row r="26">
          <cell r="F26">
            <v>1772512.1496339198</v>
          </cell>
        </row>
      </sheetData>
      <sheetData sheetId="73">
        <row r="26">
          <cell r="F26">
            <v>3611696.9636797803</v>
          </cell>
        </row>
      </sheetData>
      <sheetData sheetId="74"/>
      <sheetData sheetId="75"/>
      <sheetData sheetId="76">
        <row r="7">
          <cell r="A7" t="str">
            <v>Once Comida</v>
          </cell>
        </row>
      </sheetData>
      <sheetData sheetId="77">
        <row r="8">
          <cell r="A8" t="str">
            <v>Once Comida</v>
          </cell>
        </row>
      </sheetData>
      <sheetData sheetId="78">
        <row r="8">
          <cell r="B8" t="str">
            <v>Prime</v>
          </cell>
        </row>
      </sheetData>
      <sheetData sheetId="79"/>
      <sheetData sheetId="80">
        <row r="3">
          <cell r="H3" t="str">
            <v>0,243055555555556LMWJD</v>
          </cell>
        </row>
      </sheetData>
      <sheetData sheetId="81">
        <row r="13">
          <cell r="R13" t="str">
            <v>CANAL 24 / PAUTA MIX</v>
          </cell>
        </row>
      </sheetData>
      <sheetData sheetId="82"/>
      <sheetData sheetId="83">
        <row r="26">
          <cell r="F26">
            <v>1772512.1496339198</v>
          </cell>
        </row>
      </sheetData>
      <sheetData sheetId="84">
        <row r="26">
          <cell r="F26">
            <v>3611696.9636797803</v>
          </cell>
        </row>
      </sheetData>
      <sheetData sheetId="85"/>
      <sheetData sheetId="86"/>
      <sheetData sheetId="87">
        <row r="7">
          <cell r="A7" t="str">
            <v>Once Comida</v>
          </cell>
        </row>
      </sheetData>
      <sheetData sheetId="88">
        <row r="8">
          <cell r="A8" t="str">
            <v>Once Comida</v>
          </cell>
        </row>
      </sheetData>
      <sheetData sheetId="89">
        <row r="8">
          <cell r="B8" t="str">
            <v>Prime</v>
          </cell>
        </row>
      </sheetData>
      <sheetData sheetId="90"/>
      <sheetData sheetId="91">
        <row r="3">
          <cell r="H3" t="str">
            <v>0,243055555555556LMWJD</v>
          </cell>
        </row>
      </sheetData>
      <sheetData sheetId="92">
        <row r="13">
          <cell r="R13" t="str">
            <v>CANAL 24 / PAUTA MIX</v>
          </cell>
        </row>
      </sheetData>
      <sheetData sheetId="93"/>
      <sheetData sheetId="94">
        <row r="26">
          <cell r="F26">
            <v>1772512.1496339198</v>
          </cell>
        </row>
      </sheetData>
      <sheetData sheetId="95">
        <row r="26">
          <cell r="F26">
            <v>3611696.9636797803</v>
          </cell>
        </row>
      </sheetData>
      <sheetData sheetId="96"/>
      <sheetData sheetId="97"/>
      <sheetData sheetId="98">
        <row r="7">
          <cell r="A7" t="str">
            <v>Once Comida</v>
          </cell>
        </row>
      </sheetData>
      <sheetData sheetId="99">
        <row r="8">
          <cell r="A8" t="str">
            <v>Once Comida</v>
          </cell>
        </row>
      </sheetData>
      <sheetData sheetId="100">
        <row r="8">
          <cell r="B8" t="str">
            <v>Prime</v>
          </cell>
        </row>
      </sheetData>
      <sheetData sheetId="101"/>
      <sheetData sheetId="102">
        <row r="3">
          <cell r="H3" t="str">
            <v>0,243055555555556LMWJD</v>
          </cell>
        </row>
      </sheetData>
      <sheetData sheetId="103">
        <row r="13">
          <cell r="R13" t="str">
            <v>CANAL 24 / PAUTA MIX</v>
          </cell>
        </row>
      </sheetData>
      <sheetData sheetId="104"/>
      <sheetData sheetId="105">
        <row r="26">
          <cell r="F26">
            <v>1772512.1496339198</v>
          </cell>
        </row>
      </sheetData>
      <sheetData sheetId="106">
        <row r="26">
          <cell r="F26">
            <v>3611696.9636797803</v>
          </cell>
        </row>
      </sheetData>
      <sheetData sheetId="107"/>
      <sheetData sheetId="108"/>
      <sheetData sheetId="109">
        <row r="7">
          <cell r="A7" t="str">
            <v>Once Comida</v>
          </cell>
        </row>
      </sheetData>
      <sheetData sheetId="110">
        <row r="8">
          <cell r="A8" t="str">
            <v>Once Comida</v>
          </cell>
        </row>
      </sheetData>
      <sheetData sheetId="111">
        <row r="8">
          <cell r="B8" t="str">
            <v>Prime</v>
          </cell>
        </row>
      </sheetData>
      <sheetData sheetId="112"/>
      <sheetData sheetId="113">
        <row r="3">
          <cell r="H3" t="str">
            <v>0,243055555555556LMWJD</v>
          </cell>
        </row>
      </sheetData>
      <sheetData sheetId="114">
        <row r="13">
          <cell r="R13" t="str">
            <v>CANAL 24 / PAUTA MIX</v>
          </cell>
        </row>
      </sheetData>
      <sheetData sheetId="115"/>
      <sheetData sheetId="116">
        <row r="26">
          <cell r="F26">
            <v>1772512.1496339198</v>
          </cell>
        </row>
      </sheetData>
      <sheetData sheetId="117">
        <row r="26">
          <cell r="F26">
            <v>3611696.9636797803</v>
          </cell>
        </row>
      </sheetData>
      <sheetData sheetId="118"/>
      <sheetData sheetId="119"/>
      <sheetData sheetId="120">
        <row r="7">
          <cell r="A7" t="str">
            <v>Once Comida</v>
          </cell>
        </row>
      </sheetData>
      <sheetData sheetId="121">
        <row r="8">
          <cell r="A8" t="str">
            <v>Once Comida</v>
          </cell>
        </row>
      </sheetData>
      <sheetData sheetId="122">
        <row r="8">
          <cell r="B8" t="str">
            <v>Prime</v>
          </cell>
        </row>
      </sheetData>
      <sheetData sheetId="123"/>
      <sheetData sheetId="124">
        <row r="3">
          <cell r="H3" t="str">
            <v>0,243055555555556LMWJD</v>
          </cell>
        </row>
      </sheetData>
      <sheetData sheetId="125">
        <row r="13">
          <cell r="R13" t="str">
            <v>CANAL 24 / PAUTA MIX</v>
          </cell>
        </row>
      </sheetData>
      <sheetData sheetId="126"/>
      <sheetData sheetId="127">
        <row r="26">
          <cell r="F26">
            <v>1772512.1496339198</v>
          </cell>
        </row>
      </sheetData>
      <sheetData sheetId="128">
        <row r="26">
          <cell r="F26">
            <v>3611696.9636797803</v>
          </cell>
        </row>
      </sheetData>
      <sheetData sheetId="129"/>
      <sheetData sheetId="130"/>
      <sheetData sheetId="131">
        <row r="7">
          <cell r="A7" t="str">
            <v>Once Comida</v>
          </cell>
        </row>
      </sheetData>
      <sheetData sheetId="132">
        <row r="8">
          <cell r="A8" t="str">
            <v>Once Comida</v>
          </cell>
        </row>
      </sheetData>
      <sheetData sheetId="133">
        <row r="8">
          <cell r="B8" t="str">
            <v>Prime</v>
          </cell>
        </row>
      </sheetData>
      <sheetData sheetId="134"/>
      <sheetData sheetId="135">
        <row r="3">
          <cell r="H3" t="str">
            <v>0,243055555555556LMWJD</v>
          </cell>
        </row>
      </sheetData>
      <sheetData sheetId="136">
        <row r="13">
          <cell r="R13" t="str">
            <v>CANAL 24 / PAUTA MIX</v>
          </cell>
        </row>
      </sheetData>
      <sheetData sheetId="13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Cómo se hace"/>
      <sheetName val="Tarifa Especial (2)"/>
      <sheetName val="Rating"/>
      <sheetName val="ANEXOS"/>
      <sheetName val="Tarifas Marzo 2009 v22"/>
      <sheetName val="MARZO"/>
      <sheetName val="Canal 02"/>
      <sheetName val="Matriz de pauta 24 H - Marzo 20"/>
      <sheetName val="Canal 05"/>
      <sheetName val="Plan"/>
      <sheetName val="Tarifas_Marzo_2009_v22"/>
      <sheetName val="Cuantificador_RM"/>
      <sheetName val="Cuantificador_TP"/>
      <sheetName val="Cómo_se_hace"/>
      <sheetName val="Tarifa_Especial_(2)"/>
      <sheetName val="Tarifas_Marzo_2009_v222"/>
      <sheetName val="Canal_02"/>
      <sheetName val="Matriz_de_pauta_24_H_-_Marzo_20"/>
      <sheetName val="Canal_05"/>
      <sheetName val="Tarifas_Marzo_2009_v221"/>
      <sheetName val="Tarifas_Marzo_2009_v223"/>
      <sheetName val="Tarifas_Marzo_2009_v224"/>
      <sheetName val="Tarifas_Marzo_2009_v225"/>
      <sheetName val="Cuantificador_RM1"/>
      <sheetName val="Cuantificador_TP1"/>
      <sheetName val="Cómo_se_hace1"/>
      <sheetName val="Tarifa_Especial_(2)1"/>
      <sheetName val="Tarifas_Marzo_2009_v226"/>
      <sheetName val="Canal_021"/>
      <sheetName val="Matriz_de_pauta_24_H_-_Marzo_21"/>
      <sheetName val="Canal_051"/>
      <sheetName val="Tarifas_Marzo_2009_v227"/>
    </sheetNames>
    <sheetDataSet>
      <sheetData sheetId="0">
        <row r="8">
          <cell r="C8" t="str">
            <v>Programas</v>
          </cell>
        </row>
      </sheetData>
      <sheetData sheetId="1">
        <row r="3">
          <cell r="H3" t="str">
            <v>24 HORAS AL DIALMWJVSD</v>
          </cell>
        </row>
      </sheetData>
      <sheetData sheetId="2">
        <row r="3">
          <cell r="H3" t="str">
            <v>24 HORAS AL DIALMWJVSD</v>
          </cell>
        </row>
      </sheetData>
      <sheetData sheetId="3"/>
      <sheetData sheetId="4">
        <row r="3">
          <cell r="H3" t="str">
            <v>24 HORAS AL DIALMWJVSD</v>
          </cell>
        </row>
      </sheetData>
      <sheetData sheetId="5"/>
      <sheetData sheetId="6" refreshError="1">
        <row r="3">
          <cell r="H3" t="str">
            <v>24 HORAS AL DIALMWJVSD</v>
          </cell>
          <cell r="I3">
            <v>2.2999999999999998</v>
          </cell>
        </row>
        <row r="4">
          <cell r="H4" t="str">
            <v>24 HORAS AL DIAJ</v>
          </cell>
          <cell r="I4">
            <v>2.9</v>
          </cell>
        </row>
        <row r="5">
          <cell r="H5" t="str">
            <v>24 HORAS AL DIAM</v>
          </cell>
          <cell r="I5">
            <v>2.5</v>
          </cell>
          <cell r="K5" t="str">
            <v>24 HORAS AL DIALMWJV</v>
          </cell>
          <cell r="L5">
            <v>2.5</v>
          </cell>
        </row>
        <row r="6">
          <cell r="H6" t="str">
            <v>24 HORAS AL DIAL</v>
          </cell>
          <cell r="I6">
            <v>2.4</v>
          </cell>
          <cell r="K6" t="str">
            <v>24 HORAS AL DIAL</v>
          </cell>
          <cell r="L6">
            <v>2.4</v>
          </cell>
        </row>
        <row r="7">
          <cell r="H7" t="str">
            <v>24 HORAS AL DIAW</v>
          </cell>
          <cell r="I7">
            <v>2.4</v>
          </cell>
          <cell r="K7" t="str">
            <v>24 HORAS AL DIAM</v>
          </cell>
          <cell r="L7">
            <v>2.5</v>
          </cell>
        </row>
        <row r="8">
          <cell r="H8" t="str">
            <v>24 HORAS AL DIAV</v>
          </cell>
          <cell r="I8">
            <v>2.2999999999999998</v>
          </cell>
          <cell r="K8" t="str">
            <v>24 HORAS AL DIAW</v>
          </cell>
          <cell r="L8">
            <v>2.4</v>
          </cell>
        </row>
        <row r="9">
          <cell r="H9" t="str">
            <v>24 HORAS AL DIAS</v>
          </cell>
          <cell r="I9">
            <v>1.5</v>
          </cell>
          <cell r="K9" t="str">
            <v>24 HORAS AL DIAJ</v>
          </cell>
          <cell r="L9">
            <v>2.9</v>
          </cell>
        </row>
        <row r="10">
          <cell r="H10" t="str">
            <v>24 HORAS AL DIAD</v>
          </cell>
          <cell r="I10">
            <v>1.5</v>
          </cell>
          <cell r="K10" t="str">
            <v>24 HORAS AL DIAV</v>
          </cell>
          <cell r="L10">
            <v>2.2999999999999998</v>
          </cell>
        </row>
        <row r="11">
          <cell r="H11" t="str">
            <v>24 HORAS CENTRALLMWJVS</v>
          </cell>
          <cell r="I11">
            <v>5</v>
          </cell>
        </row>
        <row r="12">
          <cell r="H12" t="str">
            <v>24 HORAS CENTRALL</v>
          </cell>
          <cell r="I12">
            <v>5.6</v>
          </cell>
          <cell r="K12" t="str">
            <v>24 HORAS CENTRALMW</v>
          </cell>
          <cell r="L12">
            <v>5.3666666666666663</v>
          </cell>
        </row>
        <row r="13">
          <cell r="H13" t="str">
            <v>24 HORAS CENTRALJ</v>
          </cell>
          <cell r="I13">
            <v>5.6</v>
          </cell>
          <cell r="K13" t="str">
            <v>24 HORAS CENTRAJV</v>
          </cell>
          <cell r="L13">
            <v>5</v>
          </cell>
        </row>
        <row r="14">
          <cell r="H14" t="str">
            <v>24 HORAS CENTRALM</v>
          </cell>
          <cell r="I14">
            <v>5.3</v>
          </cell>
          <cell r="K14" t="str">
            <v>24 HORAS CENTRALL</v>
          </cell>
          <cell r="L14">
            <v>5.6</v>
          </cell>
        </row>
        <row r="15">
          <cell r="H15" t="str">
            <v>24 HORAS CENTRALW</v>
          </cell>
          <cell r="I15">
            <v>5.2</v>
          </cell>
          <cell r="K15" t="str">
            <v>24 HORAS CENTRALM</v>
          </cell>
          <cell r="L15">
            <v>5.3</v>
          </cell>
        </row>
        <row r="16">
          <cell r="H16" t="str">
            <v>24 HORAS CENTRALV</v>
          </cell>
          <cell r="I16">
            <v>4.4000000000000004</v>
          </cell>
          <cell r="K16" t="str">
            <v>24 HORAS CENTRALW</v>
          </cell>
          <cell r="L16">
            <v>5.2</v>
          </cell>
        </row>
        <row r="17">
          <cell r="H17" t="str">
            <v>24 HORAS CENTRALS</v>
          </cell>
          <cell r="I17">
            <v>3.1</v>
          </cell>
          <cell r="K17" t="str">
            <v>24 HORAS CENTRALJ</v>
          </cell>
          <cell r="L17">
            <v>5.6</v>
          </cell>
        </row>
        <row r="18">
          <cell r="H18" t="str">
            <v>24 HORAS DOMINGOD</v>
          </cell>
          <cell r="I18">
            <v>3.6</v>
          </cell>
          <cell r="K18" t="str">
            <v>24 HORAS CENTRALV</v>
          </cell>
          <cell r="L18">
            <v>4.4000000000000004</v>
          </cell>
        </row>
        <row r="19">
          <cell r="H19" t="str">
            <v>24 HORAS DOMINGOD</v>
          </cell>
          <cell r="I19">
            <v>3.6</v>
          </cell>
          <cell r="K19" t="str">
            <v>24 HORAS CENTRALLV</v>
          </cell>
          <cell r="L19">
            <v>5.2199999999999989</v>
          </cell>
        </row>
        <row r="20">
          <cell r="H20" t="str">
            <v>24 HORAS EN LA MANANALMWJV</v>
          </cell>
          <cell r="I20">
            <v>1.2</v>
          </cell>
        </row>
        <row r="21">
          <cell r="H21" t="str">
            <v>24 HORAS EN LA MANANAJ</v>
          </cell>
          <cell r="I21">
            <v>1.4</v>
          </cell>
        </row>
        <row r="22">
          <cell r="H22" t="str">
            <v>24 HORAS EN LA MANANAL</v>
          </cell>
          <cell r="I22">
            <v>1.4</v>
          </cell>
        </row>
        <row r="23">
          <cell r="H23" t="str">
            <v>24 HORAS EN LA MANANAW</v>
          </cell>
          <cell r="I23">
            <v>1.3</v>
          </cell>
        </row>
        <row r="24">
          <cell r="H24" t="str">
            <v>24 HORAS EN LA MANANAV</v>
          </cell>
          <cell r="I24">
            <v>1.2</v>
          </cell>
        </row>
        <row r="25">
          <cell r="H25" t="str">
            <v>24 HORAS EN LA MANANAM</v>
          </cell>
          <cell r="I25">
            <v>0.9</v>
          </cell>
        </row>
        <row r="26">
          <cell r="H26" t="str">
            <v>BEN 10S</v>
          </cell>
          <cell r="I26">
            <v>0.7</v>
          </cell>
        </row>
        <row r="27">
          <cell r="H27" t="str">
            <v>BEN 10S</v>
          </cell>
          <cell r="I27">
            <v>0.7</v>
          </cell>
        </row>
        <row r="28">
          <cell r="H28" t="str">
            <v>BEST SELLERD</v>
          </cell>
          <cell r="I28">
            <v>3.9</v>
          </cell>
        </row>
        <row r="29">
          <cell r="H29" t="str">
            <v>BEST SELLERD</v>
          </cell>
          <cell r="I29">
            <v>3.9</v>
          </cell>
        </row>
        <row r="30">
          <cell r="H30" t="str">
            <v>BUENOS DIAS A TODOS (A)LMWJV</v>
          </cell>
          <cell r="I30">
            <v>1.7</v>
          </cell>
        </row>
        <row r="31">
          <cell r="H31" t="str">
            <v>BUENOS DIAS A TODOS (A)J</v>
          </cell>
          <cell r="I31">
            <v>1.9</v>
          </cell>
        </row>
        <row r="32">
          <cell r="H32" t="str">
            <v>BUENOS DIAS A TODOS (A)W</v>
          </cell>
          <cell r="I32">
            <v>1.9</v>
          </cell>
        </row>
        <row r="33">
          <cell r="H33" t="str">
            <v>BUENOS DIAS A TODOS (A)L</v>
          </cell>
          <cell r="I33">
            <v>1.8</v>
          </cell>
        </row>
        <row r="34">
          <cell r="H34" t="str">
            <v>BUENOS DIAS A TODOS (A)V</v>
          </cell>
          <cell r="I34">
            <v>1.6</v>
          </cell>
        </row>
        <row r="35">
          <cell r="H35" t="str">
            <v>BUENOS DIAS A TODOS (A)M</v>
          </cell>
          <cell r="I35">
            <v>1.5</v>
          </cell>
        </row>
        <row r="36">
          <cell r="H36" t="str">
            <v>BUENOS DIAS A TODOS (B)LMWJV</v>
          </cell>
          <cell r="I36">
            <v>2.5</v>
          </cell>
          <cell r="K36" t="str">
            <v>HIJOS DEL MONTE (RESUMEN)LMWJV</v>
          </cell>
          <cell r="L36">
            <v>3.44</v>
          </cell>
        </row>
        <row r="37">
          <cell r="H37" t="str">
            <v>BUENOS DIAS A TODOS (B)V</v>
          </cell>
          <cell r="I37">
            <v>2.6</v>
          </cell>
          <cell r="K37" t="str">
            <v>HIJOS DEL MONTE (RESUMEN)L</v>
          </cell>
          <cell r="L37">
            <v>3.9</v>
          </cell>
        </row>
        <row r="38">
          <cell r="H38" t="str">
            <v>BUENOS DIAS A TODOS (B)L</v>
          </cell>
          <cell r="I38">
            <v>2.6</v>
          </cell>
          <cell r="K38" t="str">
            <v>HIJOS DEL MONTE (RESUMEN)M</v>
          </cell>
          <cell r="L38">
            <v>3.5</v>
          </cell>
        </row>
        <row r="39">
          <cell r="H39" t="str">
            <v>BUENOS DIAS A TODOS (B)J</v>
          </cell>
          <cell r="I39">
            <v>2.5</v>
          </cell>
          <cell r="K39" t="str">
            <v>HIJOS DEL MONTE (RESUMEN)W</v>
          </cell>
          <cell r="L39">
            <v>3.5</v>
          </cell>
        </row>
        <row r="40">
          <cell r="H40" t="str">
            <v>BUENOS DIAS A TODOS (B)M</v>
          </cell>
          <cell r="I40">
            <v>2.4</v>
          </cell>
          <cell r="K40" t="str">
            <v>HIJOS DEL MONTE (RESUMEN)J</v>
          </cell>
          <cell r="L40">
            <v>3.6</v>
          </cell>
        </row>
        <row r="41">
          <cell r="H41" t="str">
            <v>BUENOS DIAS A TODOS (B)W</v>
          </cell>
          <cell r="I41">
            <v>2.4</v>
          </cell>
          <cell r="K41" t="str">
            <v>HIJOS DEL MONTE (RESUMEN)V</v>
          </cell>
          <cell r="L41">
            <v>2.7</v>
          </cell>
        </row>
        <row r="42">
          <cell r="H42" t="str">
            <v>BUENOS DIAS A TODOS (C)LMWJV</v>
          </cell>
          <cell r="I42">
            <v>2.5</v>
          </cell>
        </row>
        <row r="43">
          <cell r="H43" t="str">
            <v>BUENOS DIAS A TODOS (C)L</v>
          </cell>
          <cell r="I43">
            <v>2.7</v>
          </cell>
        </row>
        <row r="44">
          <cell r="H44" t="str">
            <v>BUENOS DIAS A TODOS (C)W</v>
          </cell>
          <cell r="I44">
            <v>2.6</v>
          </cell>
        </row>
        <row r="45">
          <cell r="H45" t="str">
            <v>BUENOS DIAS A TODOS (C)J</v>
          </cell>
          <cell r="I45">
            <v>2.6</v>
          </cell>
        </row>
        <row r="46">
          <cell r="H46" t="str">
            <v>BUENOS DIAS A TODOS (C)M</v>
          </cell>
          <cell r="I46">
            <v>2.5</v>
          </cell>
        </row>
        <row r="47">
          <cell r="H47" t="str">
            <v>BUENOS DIAS A TODOS (C)V</v>
          </cell>
          <cell r="I47">
            <v>2.2999999999999998</v>
          </cell>
        </row>
        <row r="48">
          <cell r="H48" t="str">
            <v>BUENOS DIAS A TODOS (D)LMWJV</v>
          </cell>
          <cell r="I48">
            <v>1.9</v>
          </cell>
        </row>
        <row r="49">
          <cell r="H49" t="str">
            <v>BUENOS DIAS A TODOS (D)V</v>
          </cell>
          <cell r="I49">
            <v>2</v>
          </cell>
        </row>
        <row r="50">
          <cell r="H50" t="str">
            <v>BUENOS DIAS A TODOS (D)J</v>
          </cell>
          <cell r="I50">
            <v>2</v>
          </cell>
        </row>
        <row r="51">
          <cell r="H51" t="str">
            <v>BUENOS DIAS A TODOS (D)L</v>
          </cell>
          <cell r="I51">
            <v>2</v>
          </cell>
        </row>
        <row r="52">
          <cell r="H52" t="str">
            <v>BUENOS DIAS A TODOS (D)W</v>
          </cell>
          <cell r="I52">
            <v>1.9</v>
          </cell>
        </row>
        <row r="53">
          <cell r="H53" t="str">
            <v>BUENOS DIAS A TODOS (D)M</v>
          </cell>
          <cell r="I53">
            <v>1.9</v>
          </cell>
        </row>
        <row r="54">
          <cell r="H54" t="str">
            <v>CALLE 7LMWJV</v>
          </cell>
          <cell r="I54">
            <v>1.6</v>
          </cell>
        </row>
        <row r="55">
          <cell r="H55" t="str">
            <v>CALLE 7J</v>
          </cell>
          <cell r="I55">
            <v>1.8</v>
          </cell>
        </row>
        <row r="56">
          <cell r="H56" t="str">
            <v>CALLE 7M</v>
          </cell>
          <cell r="I56">
            <v>1.7</v>
          </cell>
        </row>
        <row r="57">
          <cell r="H57" t="str">
            <v>CALLE 7L</v>
          </cell>
          <cell r="I57">
            <v>1.4</v>
          </cell>
        </row>
        <row r="58">
          <cell r="H58" t="str">
            <v>CALLE 7V</v>
          </cell>
          <cell r="I58">
            <v>1.4</v>
          </cell>
        </row>
        <row r="59">
          <cell r="H59" t="str">
            <v>CALLE 7W</v>
          </cell>
          <cell r="I59">
            <v>1.3</v>
          </cell>
        </row>
        <row r="60">
          <cell r="H60" t="str">
            <v>CALLE 7 (R)LMWJ</v>
          </cell>
          <cell r="I60">
            <v>0.9</v>
          </cell>
        </row>
        <row r="61">
          <cell r="H61" t="str">
            <v>CALLE 7 (R)J</v>
          </cell>
          <cell r="I61">
            <v>1.3</v>
          </cell>
        </row>
        <row r="62">
          <cell r="H62" t="str">
            <v>CALLE 7 (R)L</v>
          </cell>
          <cell r="I62">
            <v>0.9</v>
          </cell>
        </row>
        <row r="63">
          <cell r="H63" t="str">
            <v>CALLE 7 (R)M</v>
          </cell>
          <cell r="I63">
            <v>0.9</v>
          </cell>
        </row>
        <row r="64">
          <cell r="H64" t="str">
            <v>CALLE 7 (R)W</v>
          </cell>
          <cell r="I64">
            <v>0.5</v>
          </cell>
        </row>
        <row r="65">
          <cell r="H65" t="str">
            <v>CINE TOTALV</v>
          </cell>
          <cell r="I65">
            <v>1.8</v>
          </cell>
        </row>
        <row r="66">
          <cell r="H66" t="str">
            <v>CINE TOTALV</v>
          </cell>
          <cell r="I66">
            <v>1.8</v>
          </cell>
        </row>
        <row r="67">
          <cell r="H67" t="str">
            <v>CUMBRES DEL MUNDOD</v>
          </cell>
          <cell r="I67">
            <v>1.7</v>
          </cell>
        </row>
        <row r="68">
          <cell r="H68" t="str">
            <v>CUMBRES DEL MUNDOD</v>
          </cell>
          <cell r="I68">
            <v>1.7</v>
          </cell>
        </row>
        <row r="69">
          <cell r="H69" t="str">
            <v>DOCTOR HOUSEM</v>
          </cell>
          <cell r="I69">
            <v>3.9</v>
          </cell>
        </row>
        <row r="70">
          <cell r="H70" t="str">
            <v>DOCTOR HOUSEM</v>
          </cell>
          <cell r="I70">
            <v>3.9</v>
          </cell>
        </row>
        <row r="71">
          <cell r="H71" t="str">
            <v>DOCTOR HOUSE (R)LMWJVD</v>
          </cell>
          <cell r="I71">
            <v>2.9</v>
          </cell>
        </row>
        <row r="72">
          <cell r="H72" t="str">
            <v>DOCTOR HOUSE (R)L</v>
          </cell>
          <cell r="I72">
            <v>3.3</v>
          </cell>
        </row>
        <row r="73">
          <cell r="H73" t="str">
            <v>DOCTOR HOUSE (R)W</v>
          </cell>
          <cell r="I73">
            <v>3.1</v>
          </cell>
        </row>
        <row r="74">
          <cell r="H74" t="str">
            <v>DOCTOR HOUSE (R)V</v>
          </cell>
          <cell r="I74">
            <v>3</v>
          </cell>
        </row>
        <row r="75">
          <cell r="H75" t="str">
            <v>DOCTOR HOUSE (R)J</v>
          </cell>
          <cell r="I75">
            <v>2.9</v>
          </cell>
        </row>
        <row r="76">
          <cell r="H76" t="str">
            <v>DOCTOR HOUSE (R)D</v>
          </cell>
          <cell r="I76">
            <v>2.5</v>
          </cell>
        </row>
        <row r="77">
          <cell r="H77" t="str">
            <v>DOCTOR HOUSE (R)M</v>
          </cell>
          <cell r="I77">
            <v>2.4</v>
          </cell>
        </row>
        <row r="78">
          <cell r="H78" t="str">
            <v>ENTRE PROGRAMASLMWJVSD</v>
          </cell>
          <cell r="I78">
            <v>1.3</v>
          </cell>
        </row>
        <row r="79">
          <cell r="H79" t="str">
            <v>ENTRE PROGRAMASD</v>
          </cell>
          <cell r="I79">
            <v>1.8</v>
          </cell>
        </row>
        <row r="80">
          <cell r="H80" t="str">
            <v>ENTRE PROGRAMASL</v>
          </cell>
          <cell r="I80">
            <v>1.8</v>
          </cell>
        </row>
        <row r="81">
          <cell r="H81" t="str">
            <v>ENTRE PROGRAMASV</v>
          </cell>
          <cell r="I81">
            <v>1.8</v>
          </cell>
        </row>
        <row r="82">
          <cell r="H82" t="str">
            <v>ENTRE PROGRAMASW</v>
          </cell>
          <cell r="I82">
            <v>1.3</v>
          </cell>
        </row>
        <row r="83">
          <cell r="H83" t="str">
            <v>ENTRE PROGRAMASJ</v>
          </cell>
          <cell r="I83">
            <v>1</v>
          </cell>
        </row>
        <row r="84">
          <cell r="H84" t="str">
            <v>ENTRE PROGRAMASM</v>
          </cell>
          <cell r="I84">
            <v>0.9</v>
          </cell>
        </row>
        <row r="85">
          <cell r="H85" t="str">
            <v>ENTRE PROGRAMASS</v>
          </cell>
          <cell r="I85">
            <v>0.3</v>
          </cell>
        </row>
        <row r="86">
          <cell r="H86" t="str">
            <v>EXIJO UNA EXPLICACIOND</v>
          </cell>
          <cell r="I86">
            <v>2</v>
          </cell>
        </row>
        <row r="87">
          <cell r="H87" t="str">
            <v>EXIJO UNA EXPLICACIOND</v>
          </cell>
          <cell r="I87">
            <v>2</v>
          </cell>
        </row>
        <row r="88">
          <cell r="H88" t="str">
            <v>EXIJO UNA EXPLICACION (R)D</v>
          </cell>
          <cell r="I88">
            <v>1.3</v>
          </cell>
        </row>
        <row r="89">
          <cell r="H89" t="str">
            <v>EXIJO UNA EXPLICACION (R)D</v>
          </cell>
          <cell r="I89">
            <v>1.3</v>
          </cell>
        </row>
        <row r="90">
          <cell r="H90" t="str">
            <v>EXPEDIENTV (R)S</v>
          </cell>
          <cell r="I90">
            <v>2.1</v>
          </cell>
        </row>
        <row r="91">
          <cell r="H91" t="str">
            <v>EXPEDIENTV (R)S</v>
          </cell>
          <cell r="I91">
            <v>2.1</v>
          </cell>
        </row>
        <row r="92">
          <cell r="H92" t="str">
            <v>FESTIVAL DE VINA DEL MARLMWJ</v>
          </cell>
          <cell r="I92">
            <v>6.4</v>
          </cell>
        </row>
        <row r="93">
          <cell r="H93" t="str">
            <v>FESTIVAL DE VINA DEL MARL</v>
          </cell>
          <cell r="I93">
            <v>7.2</v>
          </cell>
        </row>
        <row r="94">
          <cell r="H94" t="str">
            <v>FESTIVAL DE VINA DEL MARW</v>
          </cell>
          <cell r="I94">
            <v>7</v>
          </cell>
        </row>
        <row r="95">
          <cell r="H95" t="str">
            <v>FESTIVAL DE VINA DEL MARJ</v>
          </cell>
          <cell r="I95">
            <v>5.8</v>
          </cell>
        </row>
        <row r="96">
          <cell r="H96" t="str">
            <v>FESTIVAL DE VINA DEL MARM</v>
          </cell>
          <cell r="I96">
            <v>5.6</v>
          </cell>
        </row>
        <row r="97">
          <cell r="H97" t="str">
            <v>FRUTOS DEL PAISD</v>
          </cell>
          <cell r="I97">
            <v>2.2999999999999998</v>
          </cell>
        </row>
        <row r="98">
          <cell r="H98" t="str">
            <v>FRUTOS DEL PAISD</v>
          </cell>
          <cell r="I98">
            <v>2.2999999999999998</v>
          </cell>
        </row>
        <row r="99">
          <cell r="H99" t="str">
            <v>FRUTOS DEL PAIS (R)D</v>
          </cell>
          <cell r="I99">
            <v>2.2000000000000002</v>
          </cell>
        </row>
        <row r="100">
          <cell r="H100" t="str">
            <v>FRUTOS DEL PAIS (R)D</v>
          </cell>
          <cell r="I100">
            <v>2.2000000000000002</v>
          </cell>
        </row>
        <row r="101">
          <cell r="H101" t="str">
            <v>HABIA UNA VEZ PARA NO OLVIDARS</v>
          </cell>
          <cell r="I101">
            <v>1.4</v>
          </cell>
        </row>
        <row r="102">
          <cell r="H102" t="str">
            <v>HABIA UNA VEZ PARA NO OLVIDARS</v>
          </cell>
          <cell r="I102">
            <v>1.4</v>
          </cell>
        </row>
        <row r="103">
          <cell r="H103" t="str">
            <v>HABIA UNA VEZ,EL ARCHIVO DEL DS</v>
          </cell>
          <cell r="I103">
            <v>1.3</v>
          </cell>
        </row>
        <row r="104">
          <cell r="H104" t="str">
            <v>HABIA UNA VEZ,EL ARCHIVO DEL DS</v>
          </cell>
          <cell r="I104">
            <v>1.3</v>
          </cell>
        </row>
        <row r="105">
          <cell r="H105" t="str">
            <v>HIJOS DEL MONTELMWJV</v>
          </cell>
          <cell r="I105">
            <v>5.2</v>
          </cell>
        </row>
        <row r="106">
          <cell r="H106" t="str">
            <v>HIJOS DEL MONTEL</v>
          </cell>
          <cell r="I106">
            <v>5.7</v>
          </cell>
        </row>
        <row r="107">
          <cell r="H107" t="str">
            <v>HIJOS DEL MONTEJ</v>
          </cell>
          <cell r="I107">
            <v>5.5</v>
          </cell>
        </row>
        <row r="108">
          <cell r="H108" t="str">
            <v>HIJOS DEL MONTEM</v>
          </cell>
          <cell r="I108">
            <v>5.2</v>
          </cell>
        </row>
        <row r="109">
          <cell r="H109" t="str">
            <v>HIJOS DEL MONTEW</v>
          </cell>
          <cell r="I109">
            <v>5.0999999999999996</v>
          </cell>
        </row>
        <row r="110">
          <cell r="H110" t="str">
            <v>HIJOS DEL MONTEV</v>
          </cell>
          <cell r="I110">
            <v>4.3</v>
          </cell>
        </row>
        <row r="111">
          <cell r="H111" t="str">
            <v>HIJOS DEL MONTE (LO MEJOR)D</v>
          </cell>
          <cell r="I111">
            <v>1.5</v>
          </cell>
        </row>
        <row r="112">
          <cell r="H112" t="str">
            <v>HIJOS DEL MONTE (LO MEJOR)D</v>
          </cell>
          <cell r="I112">
            <v>1.5</v>
          </cell>
        </row>
        <row r="113">
          <cell r="H113" t="str">
            <v>HIJOS DEL MONTE (R)LMWJV</v>
          </cell>
          <cell r="I113">
            <v>2.2000000000000002</v>
          </cell>
        </row>
        <row r="114">
          <cell r="H114" t="str">
            <v>HIJOS DEL MONTE (R)L</v>
          </cell>
          <cell r="I114">
            <v>2.4</v>
          </cell>
        </row>
        <row r="115">
          <cell r="H115" t="str">
            <v>HIJOS DEL MONTE (R)M</v>
          </cell>
          <cell r="I115">
            <v>2.4</v>
          </cell>
        </row>
        <row r="116">
          <cell r="H116" t="str">
            <v>HIJOS DEL MONTE (R)J</v>
          </cell>
          <cell r="I116">
            <v>2.2999999999999998</v>
          </cell>
        </row>
        <row r="117">
          <cell r="H117" t="str">
            <v>HIJOS DEL MONTE (R)W</v>
          </cell>
          <cell r="I117">
            <v>2.2000000000000002</v>
          </cell>
        </row>
        <row r="118">
          <cell r="H118" t="str">
            <v>HIJOS DEL MONTE (R)V</v>
          </cell>
          <cell r="I118">
            <v>1.9</v>
          </cell>
        </row>
        <row r="119">
          <cell r="H119" t="str">
            <v>HIJOS DEL MONTE (RESUMEN)LMWJVD</v>
          </cell>
          <cell r="I119">
            <v>3.3</v>
          </cell>
        </row>
        <row r="120">
          <cell r="H120" t="str">
            <v>HIJOS DEL MONTE (RESUMEN)L</v>
          </cell>
          <cell r="I120">
            <v>3.9</v>
          </cell>
        </row>
        <row r="121">
          <cell r="H121" t="str">
            <v>HIJOS DEL MONTE (RESUMEN)J</v>
          </cell>
          <cell r="I121">
            <v>3.6</v>
          </cell>
        </row>
        <row r="122">
          <cell r="H122" t="str">
            <v>HIJOS DEL MONTE (RESUMEN)M</v>
          </cell>
          <cell r="I122">
            <v>3.5</v>
          </cell>
        </row>
        <row r="123">
          <cell r="H123" t="str">
            <v>HIJOS DEL MONTE (RESUMEN)W</v>
          </cell>
          <cell r="I123">
            <v>3.5</v>
          </cell>
        </row>
        <row r="124">
          <cell r="H124" t="str">
            <v>HIJOS DEL MONTE (RESUMEN)V</v>
          </cell>
          <cell r="I124">
            <v>2.7</v>
          </cell>
        </row>
        <row r="125">
          <cell r="H125" t="str">
            <v>HIJOS DEL MONTE (RESUMEN)D</v>
          </cell>
          <cell r="I125">
            <v>1.4</v>
          </cell>
        </row>
        <row r="126">
          <cell r="H126" t="str">
            <v>IORANA (R)LMWJV</v>
          </cell>
          <cell r="I126">
            <v>1.7</v>
          </cell>
        </row>
        <row r="127">
          <cell r="H127" t="str">
            <v>IORANA (R)M</v>
          </cell>
          <cell r="I127">
            <v>2</v>
          </cell>
        </row>
        <row r="128">
          <cell r="H128" t="str">
            <v>IORANA (R)W</v>
          </cell>
          <cell r="I128">
            <v>1.9</v>
          </cell>
        </row>
        <row r="129">
          <cell r="H129" t="str">
            <v>IORANA (R)L</v>
          </cell>
          <cell r="I129">
            <v>1.7</v>
          </cell>
        </row>
        <row r="130">
          <cell r="H130" t="str">
            <v>IORANA (R)V</v>
          </cell>
          <cell r="I130">
            <v>1.4</v>
          </cell>
        </row>
        <row r="131">
          <cell r="H131" t="str">
            <v>IORANA (R)J</v>
          </cell>
          <cell r="I131">
            <v>1.3</v>
          </cell>
        </row>
        <row r="132">
          <cell r="H132" t="str">
            <v>LA CULTURA ENTRETENIDAD</v>
          </cell>
          <cell r="I132">
            <v>2.1</v>
          </cell>
        </row>
        <row r="133">
          <cell r="H133" t="str">
            <v>LA CULTURA ENTRETENIDAD</v>
          </cell>
          <cell r="I133">
            <v>2.1</v>
          </cell>
        </row>
        <row r="134">
          <cell r="H134" t="str">
            <v>LA GATA SALVAJELMWJV</v>
          </cell>
          <cell r="I134">
            <v>1.5</v>
          </cell>
        </row>
        <row r="135">
          <cell r="H135" t="str">
            <v>LA GATA SALVAJEJ</v>
          </cell>
          <cell r="I135">
            <v>1.8</v>
          </cell>
        </row>
        <row r="136">
          <cell r="H136" t="str">
            <v>LA GATA SALVAJEW</v>
          </cell>
          <cell r="I136">
            <v>1.6</v>
          </cell>
        </row>
        <row r="137">
          <cell r="H137" t="str">
            <v>LA GATA SALVAJEM</v>
          </cell>
          <cell r="I137">
            <v>1.4</v>
          </cell>
        </row>
        <row r="138">
          <cell r="H138" t="str">
            <v>LA GATA SALVAJEL</v>
          </cell>
          <cell r="I138">
            <v>1.4</v>
          </cell>
        </row>
        <row r="139">
          <cell r="H139" t="str">
            <v>LA GATA SALVAJEV</v>
          </cell>
          <cell r="I139">
            <v>1.4</v>
          </cell>
        </row>
        <row r="140">
          <cell r="H140" t="str">
            <v>LA LIGA DE LA JUSTICIASD</v>
          </cell>
          <cell r="I140">
            <v>0.8</v>
          </cell>
        </row>
        <row r="141">
          <cell r="H141" t="str">
            <v>LA LIGA DE LA JUSTICIAD</v>
          </cell>
          <cell r="I141">
            <v>0.9</v>
          </cell>
        </row>
        <row r="142">
          <cell r="H142" t="str">
            <v>LA LIGA DE LA JUSTICIAS</v>
          </cell>
          <cell r="I142">
            <v>0.7</v>
          </cell>
        </row>
        <row r="143">
          <cell r="H143" t="str">
            <v>LOS PADRINOS MAGICOSD</v>
          </cell>
          <cell r="I143">
            <v>0.6</v>
          </cell>
        </row>
        <row r="144">
          <cell r="H144" t="str">
            <v>LOS PADRINOS MAGICOSD</v>
          </cell>
          <cell r="I144">
            <v>0.6</v>
          </cell>
        </row>
        <row r="145">
          <cell r="H145" t="str">
            <v>LOS THONBERRYSS</v>
          </cell>
          <cell r="I145">
            <v>0.3</v>
          </cell>
        </row>
        <row r="146">
          <cell r="H146" t="str">
            <v>LOS THONBERRYSS</v>
          </cell>
          <cell r="I146">
            <v>0.3</v>
          </cell>
        </row>
        <row r="147">
          <cell r="H147" t="str">
            <v>LOS VENEGASLMWJ</v>
          </cell>
          <cell r="I147">
            <v>2.7</v>
          </cell>
        </row>
        <row r="148">
          <cell r="H148" t="str">
            <v>LOS VENEGASJ</v>
          </cell>
          <cell r="I148">
            <v>3.5</v>
          </cell>
        </row>
        <row r="149">
          <cell r="H149" t="str">
            <v>LOS VENEGASM</v>
          </cell>
          <cell r="I149">
            <v>3.2</v>
          </cell>
        </row>
        <row r="150">
          <cell r="H150" t="str">
            <v>LOS VENEGASL</v>
          </cell>
          <cell r="I150">
            <v>2.2000000000000002</v>
          </cell>
        </row>
        <row r="151">
          <cell r="H151" t="str">
            <v>LOS VENEGASW</v>
          </cell>
          <cell r="I151">
            <v>2</v>
          </cell>
        </row>
        <row r="152">
          <cell r="H152" t="str">
            <v>MAGIA AL LIMITES</v>
          </cell>
          <cell r="I152">
            <v>1.8</v>
          </cell>
        </row>
        <row r="153">
          <cell r="H153" t="str">
            <v>MAGIA AL LIMITES</v>
          </cell>
          <cell r="I153">
            <v>1.8</v>
          </cell>
        </row>
        <row r="154">
          <cell r="H154" t="str">
            <v>MEA CULPA (R)L</v>
          </cell>
          <cell r="I154">
            <v>3.7</v>
          </cell>
        </row>
        <row r="155">
          <cell r="H155" t="str">
            <v>MEA CULPA (R)L</v>
          </cell>
          <cell r="I155">
            <v>3.7</v>
          </cell>
        </row>
        <row r="156">
          <cell r="H156" t="str">
            <v>MEDIA NOCHELMWJV</v>
          </cell>
          <cell r="I156">
            <v>2.9</v>
          </cell>
        </row>
        <row r="157">
          <cell r="H157" t="str">
            <v>MEDIA NOCHEJ</v>
          </cell>
          <cell r="I157">
            <v>3.6</v>
          </cell>
        </row>
        <row r="158">
          <cell r="H158" t="str">
            <v>MEDIA NOCHEM</v>
          </cell>
          <cell r="I158">
            <v>3.3</v>
          </cell>
        </row>
        <row r="159">
          <cell r="H159" t="str">
            <v>MEDIA NOCHEL</v>
          </cell>
          <cell r="I159">
            <v>2.7</v>
          </cell>
        </row>
        <row r="160">
          <cell r="H160" t="str">
            <v>MEDIA NOCHEW</v>
          </cell>
          <cell r="I160">
            <v>2.5</v>
          </cell>
        </row>
        <row r="161">
          <cell r="H161" t="str">
            <v>MEDIA NOCHEV</v>
          </cell>
          <cell r="I161">
            <v>2.4</v>
          </cell>
        </row>
        <row r="162">
          <cell r="H162" t="str">
            <v>MI PRIMERA VEZW</v>
          </cell>
          <cell r="I162">
            <v>3</v>
          </cell>
        </row>
        <row r="163">
          <cell r="H163" t="str">
            <v>MI PRIMERA VEZW</v>
          </cell>
          <cell r="I163">
            <v>3</v>
          </cell>
        </row>
        <row r="164">
          <cell r="H164" t="str">
            <v>PA LA RISAMJ</v>
          </cell>
          <cell r="I164">
            <v>4.5999999999999996</v>
          </cell>
        </row>
        <row r="165">
          <cell r="H165" t="str">
            <v>PA LA RISAM</v>
          </cell>
          <cell r="I165">
            <v>4.9000000000000004</v>
          </cell>
        </row>
        <row r="166">
          <cell r="H166" t="str">
            <v>PA LA RISAJ</v>
          </cell>
          <cell r="I166">
            <v>4.4000000000000004</v>
          </cell>
        </row>
        <row r="167">
          <cell r="H167" t="str">
            <v>PINKY Y CEREBROD</v>
          </cell>
          <cell r="I167">
            <v>0.5</v>
          </cell>
        </row>
        <row r="168">
          <cell r="H168" t="str">
            <v>PINKY Y CEREBROD</v>
          </cell>
          <cell r="I168">
            <v>0.5</v>
          </cell>
        </row>
        <row r="169">
          <cell r="H169" t="str">
            <v>SUPER CINES</v>
          </cell>
          <cell r="I169">
            <v>1.5</v>
          </cell>
        </row>
        <row r="170">
          <cell r="H170" t="str">
            <v>SUPER CINES</v>
          </cell>
          <cell r="I170">
            <v>1.5</v>
          </cell>
        </row>
        <row r="171">
          <cell r="H171" t="str">
            <v>TENIS FUTUROD</v>
          </cell>
          <cell r="I171">
            <v>1.1000000000000001</v>
          </cell>
        </row>
        <row r="172">
          <cell r="H172" t="str">
            <v>TENIS FUTUROD</v>
          </cell>
          <cell r="I172">
            <v>1.1000000000000001</v>
          </cell>
        </row>
        <row r="173">
          <cell r="H173" t="str">
            <v>TERMINATOR LAS CRONICAS DE SARS</v>
          </cell>
          <cell r="I173">
            <v>1.7</v>
          </cell>
        </row>
        <row r="174">
          <cell r="H174" t="str">
            <v>TERMINATOR LAS CRONICAS DE SARS</v>
          </cell>
          <cell r="I174">
            <v>1.7</v>
          </cell>
        </row>
        <row r="175">
          <cell r="H175" t="str">
            <v>TOM Y JERRYSD</v>
          </cell>
          <cell r="I175">
            <v>0.9</v>
          </cell>
        </row>
        <row r="176">
          <cell r="H176" t="str">
            <v>TOM Y JERRYD</v>
          </cell>
          <cell r="I176">
            <v>1.1000000000000001</v>
          </cell>
        </row>
        <row r="177">
          <cell r="H177" t="str">
            <v>TOM Y JERRYS</v>
          </cell>
          <cell r="I177">
            <v>0.7</v>
          </cell>
        </row>
        <row r="178">
          <cell r="H178" t="str">
            <v>TRONIASD</v>
          </cell>
          <cell r="I178">
            <v>0.5</v>
          </cell>
        </row>
        <row r="179">
          <cell r="H179" t="str">
            <v>TRONIAS</v>
          </cell>
          <cell r="I179">
            <v>0.6</v>
          </cell>
        </row>
        <row r="180">
          <cell r="H180" t="str">
            <v>TRONIAD</v>
          </cell>
          <cell r="I180">
            <v>0.5</v>
          </cell>
        </row>
        <row r="181">
          <cell r="H181" t="str">
            <v>TV TIEMPOLMWJVSD</v>
          </cell>
          <cell r="I181">
            <v>4</v>
          </cell>
        </row>
        <row r="182">
          <cell r="H182" t="str">
            <v>TV TIEMPOJ</v>
          </cell>
          <cell r="I182">
            <v>4.8</v>
          </cell>
        </row>
        <row r="183">
          <cell r="H183" t="str">
            <v>TV TIEMPOL</v>
          </cell>
          <cell r="I183">
            <v>4.8</v>
          </cell>
        </row>
        <row r="184">
          <cell r="H184" t="str">
            <v>TV TIEMPOM</v>
          </cell>
          <cell r="I184">
            <v>4.5</v>
          </cell>
        </row>
        <row r="185">
          <cell r="H185" t="str">
            <v>TV TIEMPOW</v>
          </cell>
          <cell r="I185">
            <v>3.9</v>
          </cell>
        </row>
        <row r="186">
          <cell r="H186" t="str">
            <v>TV TIEMPOV</v>
          </cell>
          <cell r="I186">
            <v>3.8</v>
          </cell>
        </row>
        <row r="187">
          <cell r="H187" t="str">
            <v>TV TIEMPOD</v>
          </cell>
          <cell r="I187">
            <v>3.6</v>
          </cell>
        </row>
        <row r="188">
          <cell r="H188" t="str">
            <v>TV TIEMPOS</v>
          </cell>
          <cell r="I188">
            <v>2.8</v>
          </cell>
        </row>
        <row r="189">
          <cell r="H189" t="str">
            <v>TVN AL DESPERTARLMWJV</v>
          </cell>
          <cell r="I189">
            <v>0.3</v>
          </cell>
        </row>
        <row r="190">
          <cell r="H190" t="str">
            <v>TVN AL DESPERTARJ</v>
          </cell>
          <cell r="I190">
            <v>0.4</v>
          </cell>
        </row>
        <row r="191">
          <cell r="H191" t="str">
            <v>TVN AL DESPERTARM</v>
          </cell>
          <cell r="I191">
            <v>0.4</v>
          </cell>
        </row>
        <row r="192">
          <cell r="H192" t="str">
            <v>TVN AL DESPERTARV</v>
          </cell>
          <cell r="I192">
            <v>0.3</v>
          </cell>
        </row>
        <row r="193">
          <cell r="H193" t="str">
            <v>TVN AL DESPERTARW</v>
          </cell>
          <cell r="I193">
            <v>0.3</v>
          </cell>
        </row>
        <row r="194">
          <cell r="H194" t="str">
            <v>TVN AL DESPERTARL</v>
          </cell>
          <cell r="I194">
            <v>0.3</v>
          </cell>
        </row>
        <row r="195">
          <cell r="H195" t="str">
            <v>UNA BELLEZA NUEVAD</v>
          </cell>
          <cell r="I195">
            <v>0.4</v>
          </cell>
        </row>
        <row r="196">
          <cell r="H196" t="str">
            <v>UNA BELLEZA NUEVAD</v>
          </cell>
          <cell r="I196">
            <v>0.4</v>
          </cell>
        </row>
        <row r="197">
          <cell r="H197" t="str">
            <v>UNA BELLEZA NUEVA (R)S</v>
          </cell>
          <cell r="I197">
            <v>0.6</v>
          </cell>
        </row>
        <row r="198">
          <cell r="H198" t="str">
            <v>UNA BELLEZA NUEVA (R)S</v>
          </cell>
          <cell r="I198">
            <v>0.6</v>
          </cell>
        </row>
        <row r="199">
          <cell r="H199" t="str">
            <v>UNA PAREJA DISPAREJALJ</v>
          </cell>
          <cell r="I199">
            <v>4.4000000000000004</v>
          </cell>
        </row>
        <row r="200">
          <cell r="H200" t="str">
            <v>UNA PAREJA DISPAREJAJ</v>
          </cell>
          <cell r="I200">
            <v>4.5</v>
          </cell>
        </row>
        <row r="201">
          <cell r="H201" t="str">
            <v>UNA PAREJA DISPAREJAL</v>
          </cell>
          <cell r="I201">
            <v>4.3</v>
          </cell>
        </row>
        <row r="202">
          <cell r="H202" t="str">
            <v>UNA PAREJA DISPAREJA (R)S</v>
          </cell>
          <cell r="I202">
            <v>3.1</v>
          </cell>
        </row>
        <row r="203">
          <cell r="H203" t="str">
            <v>UNA PAREJA DISPAREJA (R)S</v>
          </cell>
          <cell r="I203">
            <v>3.1</v>
          </cell>
        </row>
        <row r="204">
          <cell r="H204" t="str">
            <v>VICTORIALMWJV</v>
          </cell>
          <cell r="I204">
            <v>2.2999999999999998</v>
          </cell>
        </row>
        <row r="205">
          <cell r="H205" t="str">
            <v>VICTORIAM</v>
          </cell>
          <cell r="I205">
            <v>2.7</v>
          </cell>
        </row>
        <row r="206">
          <cell r="H206" t="str">
            <v>VICTORIAW</v>
          </cell>
          <cell r="I206">
            <v>2.5</v>
          </cell>
        </row>
        <row r="207">
          <cell r="H207" t="str">
            <v>VICTORIAJ</v>
          </cell>
          <cell r="I207">
            <v>2.2000000000000002</v>
          </cell>
        </row>
        <row r="208">
          <cell r="H208" t="str">
            <v>VICTORIAL</v>
          </cell>
          <cell r="I208">
            <v>2.2000000000000002</v>
          </cell>
        </row>
        <row r="209">
          <cell r="H209" t="str">
            <v>VICTORIAV</v>
          </cell>
          <cell r="I209">
            <v>2.1</v>
          </cell>
        </row>
        <row r="210">
          <cell r="H210" t="str">
            <v>VIDA (R)W</v>
          </cell>
          <cell r="I210">
            <v>2.7</v>
          </cell>
        </row>
        <row r="211">
          <cell r="H211" t="str">
            <v>VIDA (R)W</v>
          </cell>
          <cell r="I211">
            <v>2.7</v>
          </cell>
        </row>
        <row r="212">
          <cell r="H212" t="str">
            <v>VIDEOS MAS SORPRENDENTESLMWJVS</v>
          </cell>
          <cell r="I212">
            <v>1.4</v>
          </cell>
        </row>
        <row r="213">
          <cell r="H213" t="str">
            <v>VIDEOS MAS SORPRENDENTESS</v>
          </cell>
          <cell r="I213">
            <v>2.1</v>
          </cell>
        </row>
        <row r="214">
          <cell r="H214" t="str">
            <v>VIDEOS MAS SORPRENDENTESW</v>
          </cell>
          <cell r="I214">
            <v>1.5</v>
          </cell>
        </row>
        <row r="215">
          <cell r="H215" t="str">
            <v>VIDEOS MAS SORPRENDENTESV</v>
          </cell>
          <cell r="I215">
            <v>1.4</v>
          </cell>
        </row>
        <row r="216">
          <cell r="H216" t="str">
            <v>VIDEOS MAS SORPRENDENTESM</v>
          </cell>
          <cell r="I216">
            <v>1.2</v>
          </cell>
        </row>
        <row r="217">
          <cell r="H217" t="str">
            <v>VIDEOS MAS SORPRENDENTESJ</v>
          </cell>
          <cell r="I217">
            <v>1.2</v>
          </cell>
        </row>
        <row r="218">
          <cell r="H218" t="str">
            <v>VIDEOS MAS SORPRENDENTESL</v>
          </cell>
          <cell r="I218">
            <v>0.9</v>
          </cell>
        </row>
        <row r="219">
          <cell r="H219" t="str">
            <v>VINA TIENE FESTIVALS</v>
          </cell>
          <cell r="I219">
            <v>3</v>
          </cell>
        </row>
        <row r="220">
          <cell r="H220" t="str">
            <v>VINA TIENE FESTIVALS</v>
          </cell>
          <cell r="I220">
            <v>3</v>
          </cell>
        </row>
        <row r="221">
          <cell r="H221" t="str">
            <v>VINA TIENE FESTIVAL (R)S</v>
          </cell>
          <cell r="I221">
            <v>3</v>
          </cell>
        </row>
        <row r="222">
          <cell r="H222" t="str">
            <v>VINA TIENE FESTIVAL (R)S</v>
          </cell>
          <cell r="I222">
            <v>3</v>
          </cell>
        </row>
      </sheetData>
      <sheetData sheetId="7" refreshError="1"/>
      <sheetData sheetId="8" refreshError="1">
        <row r="8">
          <cell r="C8" t="str">
            <v>Programas</v>
          </cell>
          <cell r="D8" t="str">
            <v>10"</v>
          </cell>
          <cell r="E8" t="str">
            <v>15"</v>
          </cell>
          <cell r="F8" t="str">
            <v>20"</v>
          </cell>
          <cell r="G8" t="str">
            <v>25"</v>
          </cell>
          <cell r="H8" t="str">
            <v>30"</v>
          </cell>
          <cell r="I8" t="str">
            <v>35"</v>
          </cell>
          <cell r="J8" t="str">
            <v>40"</v>
          </cell>
          <cell r="K8" t="str">
            <v>45"</v>
          </cell>
          <cell r="L8" t="str">
            <v>50"</v>
          </cell>
          <cell r="M8" t="str">
            <v>55"</v>
          </cell>
          <cell r="N8" t="str">
            <v>60"</v>
          </cell>
        </row>
        <row r="9">
          <cell r="P9">
            <v>10</v>
          </cell>
          <cell r="Q9">
            <v>2</v>
          </cell>
        </row>
        <row r="10">
          <cell r="C10" t="str">
            <v>24 Horas a la Hora 06:00 hrs</v>
          </cell>
          <cell r="D10">
            <v>95000</v>
          </cell>
          <cell r="E10">
            <v>109000</v>
          </cell>
          <cell r="F10">
            <v>130000</v>
          </cell>
          <cell r="G10">
            <v>140000</v>
          </cell>
          <cell r="H10">
            <v>150000</v>
          </cell>
          <cell r="I10">
            <v>175000</v>
          </cell>
          <cell r="J10">
            <v>200000</v>
          </cell>
          <cell r="K10">
            <v>225000</v>
          </cell>
          <cell r="L10">
            <v>263000</v>
          </cell>
          <cell r="M10">
            <v>303000</v>
          </cell>
          <cell r="N10">
            <v>345000</v>
          </cell>
          <cell r="P10">
            <v>15</v>
          </cell>
          <cell r="Q10">
            <v>3</v>
          </cell>
        </row>
        <row r="11">
          <cell r="C11" t="str">
            <v>24 horas en la mañana</v>
          </cell>
          <cell r="D11">
            <v>253000</v>
          </cell>
          <cell r="E11">
            <v>290000</v>
          </cell>
          <cell r="F11">
            <v>347000</v>
          </cell>
          <cell r="G11">
            <v>373000</v>
          </cell>
          <cell r="H11">
            <v>400000</v>
          </cell>
          <cell r="I11">
            <v>467000</v>
          </cell>
          <cell r="J11">
            <v>533000</v>
          </cell>
          <cell r="K11">
            <v>600000</v>
          </cell>
          <cell r="L11">
            <v>700000</v>
          </cell>
          <cell r="M11">
            <v>807000</v>
          </cell>
          <cell r="N11">
            <v>920000</v>
          </cell>
          <cell r="P11">
            <v>20</v>
          </cell>
          <cell r="Q11">
            <v>4</v>
          </cell>
        </row>
        <row r="12">
          <cell r="C12" t="str">
            <v>Mañana Informativa</v>
          </cell>
          <cell r="D12">
            <v>380000</v>
          </cell>
          <cell r="E12">
            <v>435000</v>
          </cell>
          <cell r="F12">
            <v>520000</v>
          </cell>
          <cell r="G12">
            <v>560000</v>
          </cell>
          <cell r="H12">
            <v>600000</v>
          </cell>
          <cell r="I12">
            <v>700000</v>
          </cell>
          <cell r="J12">
            <v>800000</v>
          </cell>
          <cell r="K12">
            <v>900000</v>
          </cell>
          <cell r="L12">
            <v>1050000</v>
          </cell>
          <cell r="M12">
            <v>1210000</v>
          </cell>
          <cell r="N12">
            <v>1380000</v>
          </cell>
          <cell r="P12">
            <v>25</v>
          </cell>
          <cell r="Q12">
            <v>5</v>
          </cell>
        </row>
        <row r="13">
          <cell r="C13" t="str">
            <v>RR Entrevista Dgo XL 12:30 hrs/RR Factor Guillier 12:30 hrs</v>
          </cell>
          <cell r="D13">
            <v>380000</v>
          </cell>
          <cell r="E13">
            <v>435000</v>
          </cell>
          <cell r="F13">
            <v>520000</v>
          </cell>
          <cell r="G13">
            <v>560000</v>
          </cell>
          <cell r="H13">
            <v>600000</v>
          </cell>
          <cell r="I13">
            <v>700000</v>
          </cell>
          <cell r="J13">
            <v>800000</v>
          </cell>
          <cell r="K13">
            <v>900000</v>
          </cell>
          <cell r="L13">
            <v>1050000</v>
          </cell>
          <cell r="M13">
            <v>1210000</v>
          </cell>
          <cell r="N13">
            <v>1380000</v>
          </cell>
          <cell r="P13">
            <v>30</v>
          </cell>
          <cell r="Q13">
            <v>6</v>
          </cell>
        </row>
        <row r="14">
          <cell r="C14" t="str">
            <v>Chile al dia 13:00 hrs/RR Factor Guillier 13:00 hrs</v>
          </cell>
          <cell r="D14">
            <v>285000</v>
          </cell>
          <cell r="E14">
            <v>326000</v>
          </cell>
          <cell r="F14">
            <v>390000</v>
          </cell>
          <cell r="G14">
            <v>420000</v>
          </cell>
          <cell r="H14">
            <v>450000</v>
          </cell>
          <cell r="I14">
            <v>525000</v>
          </cell>
          <cell r="J14">
            <v>600000</v>
          </cell>
          <cell r="K14">
            <v>675000</v>
          </cell>
          <cell r="L14">
            <v>788000</v>
          </cell>
          <cell r="M14">
            <v>908000</v>
          </cell>
          <cell r="N14">
            <v>1035000</v>
          </cell>
          <cell r="P14">
            <v>35</v>
          </cell>
          <cell r="Q14">
            <v>7</v>
          </cell>
        </row>
        <row r="15">
          <cell r="C15" t="str">
            <v>24 horas al dia l-v</v>
          </cell>
          <cell r="D15">
            <v>285000</v>
          </cell>
          <cell r="E15">
            <v>326000</v>
          </cell>
          <cell r="F15">
            <v>390000</v>
          </cell>
          <cell r="G15">
            <v>420000</v>
          </cell>
          <cell r="H15">
            <v>450000</v>
          </cell>
          <cell r="I15">
            <v>525000</v>
          </cell>
          <cell r="J15">
            <v>600000</v>
          </cell>
          <cell r="K15">
            <v>675000</v>
          </cell>
          <cell r="L15">
            <v>788000</v>
          </cell>
          <cell r="M15">
            <v>908000</v>
          </cell>
          <cell r="N15">
            <v>1035000</v>
          </cell>
          <cell r="P15">
            <v>40</v>
          </cell>
          <cell r="Q15">
            <v>8</v>
          </cell>
        </row>
        <row r="16">
          <cell r="C16" t="str">
            <v>Cronicas y Reportajes 14:30 hrs</v>
          </cell>
          <cell r="D16">
            <v>253000</v>
          </cell>
          <cell r="E16">
            <v>290000</v>
          </cell>
          <cell r="F16">
            <v>347000</v>
          </cell>
          <cell r="G16">
            <v>373000</v>
          </cell>
          <cell r="H16">
            <v>400000</v>
          </cell>
          <cell r="I16">
            <v>467000</v>
          </cell>
          <cell r="J16">
            <v>533000</v>
          </cell>
          <cell r="K16">
            <v>600000</v>
          </cell>
          <cell r="L16">
            <v>700000</v>
          </cell>
          <cell r="M16">
            <v>807000</v>
          </cell>
          <cell r="N16">
            <v>920000</v>
          </cell>
          <cell r="P16">
            <v>45</v>
          </cell>
          <cell r="Q16">
            <v>9</v>
          </cell>
        </row>
        <row r="17">
          <cell r="C17" t="str">
            <v>24 Horas a la Hora 15:00 hrs</v>
          </cell>
          <cell r="D17">
            <v>317000</v>
          </cell>
          <cell r="E17">
            <v>363000</v>
          </cell>
          <cell r="F17">
            <v>433000</v>
          </cell>
          <cell r="G17">
            <v>467000</v>
          </cell>
          <cell r="H17">
            <v>500000</v>
          </cell>
          <cell r="I17">
            <v>583000</v>
          </cell>
          <cell r="J17">
            <v>667000</v>
          </cell>
          <cell r="K17">
            <v>750000</v>
          </cell>
          <cell r="L17">
            <v>875000</v>
          </cell>
          <cell r="M17">
            <v>1008000</v>
          </cell>
          <cell r="N17">
            <v>1150000</v>
          </cell>
          <cell r="P17">
            <v>50</v>
          </cell>
          <cell r="Q17">
            <v>10</v>
          </cell>
        </row>
        <row r="18">
          <cell r="C18" t="str">
            <v>RR Chile al dia 15:30 hrs</v>
          </cell>
          <cell r="D18">
            <v>253000</v>
          </cell>
          <cell r="E18">
            <v>290000</v>
          </cell>
          <cell r="F18">
            <v>347000</v>
          </cell>
          <cell r="G18">
            <v>373000</v>
          </cell>
          <cell r="H18">
            <v>400000</v>
          </cell>
          <cell r="I18">
            <v>467000</v>
          </cell>
          <cell r="J18">
            <v>533000</v>
          </cell>
          <cell r="K18">
            <v>600000</v>
          </cell>
          <cell r="L18">
            <v>700000</v>
          </cell>
          <cell r="M18">
            <v>807000</v>
          </cell>
          <cell r="N18">
            <v>920000</v>
          </cell>
          <cell r="P18">
            <v>55</v>
          </cell>
          <cell r="Q18">
            <v>11</v>
          </cell>
        </row>
        <row r="19">
          <cell r="C19" t="str">
            <v>24 Horas a la Hora 16:00 hrs</v>
          </cell>
          <cell r="D19">
            <v>317000</v>
          </cell>
          <cell r="E19">
            <v>363000</v>
          </cell>
          <cell r="F19">
            <v>433000</v>
          </cell>
          <cell r="G19">
            <v>467000</v>
          </cell>
          <cell r="H19">
            <v>500000</v>
          </cell>
          <cell r="I19">
            <v>583000</v>
          </cell>
          <cell r="J19">
            <v>667000</v>
          </cell>
          <cell r="K19">
            <v>750000</v>
          </cell>
          <cell r="L19">
            <v>875000</v>
          </cell>
          <cell r="M19">
            <v>1008000</v>
          </cell>
          <cell r="N19">
            <v>1150000</v>
          </cell>
          <cell r="P19">
            <v>60</v>
          </cell>
          <cell r="Q19">
            <v>12</v>
          </cell>
        </row>
        <row r="20">
          <cell r="C20" t="str">
            <v>Platea 24 16:30 hrs/Avances 24 16:30 hrs</v>
          </cell>
          <cell r="D20">
            <v>253000</v>
          </cell>
          <cell r="E20">
            <v>290000</v>
          </cell>
          <cell r="F20">
            <v>347000</v>
          </cell>
          <cell r="G20">
            <v>373000</v>
          </cell>
          <cell r="H20">
            <v>400000</v>
          </cell>
          <cell r="I20">
            <v>467000</v>
          </cell>
          <cell r="J20">
            <v>533000</v>
          </cell>
          <cell r="K20">
            <v>600000</v>
          </cell>
          <cell r="L20">
            <v>700000</v>
          </cell>
          <cell r="M20">
            <v>807000</v>
          </cell>
          <cell r="N20">
            <v>920000</v>
          </cell>
        </row>
        <row r="21">
          <cell r="C21" t="str">
            <v>Hora Clave 17:00 hrs</v>
          </cell>
          <cell r="D21">
            <v>475000</v>
          </cell>
          <cell r="E21">
            <v>544000</v>
          </cell>
          <cell r="F21">
            <v>650000</v>
          </cell>
          <cell r="G21">
            <v>700000</v>
          </cell>
          <cell r="H21">
            <v>750000</v>
          </cell>
          <cell r="I21">
            <v>875000</v>
          </cell>
          <cell r="J21">
            <v>1000000</v>
          </cell>
          <cell r="K21">
            <v>1125000</v>
          </cell>
          <cell r="L21">
            <v>1313000</v>
          </cell>
          <cell r="M21">
            <v>1513000</v>
          </cell>
          <cell r="N21">
            <v>1725000</v>
          </cell>
        </row>
        <row r="22">
          <cell r="C22" t="str">
            <v>RR Cronicas y Reportajes 17:30 hrs</v>
          </cell>
          <cell r="D22">
            <v>285000</v>
          </cell>
          <cell r="E22">
            <v>326000</v>
          </cell>
          <cell r="F22">
            <v>390000</v>
          </cell>
          <cell r="G22">
            <v>420000</v>
          </cell>
          <cell r="H22">
            <v>450000</v>
          </cell>
          <cell r="I22">
            <v>525000</v>
          </cell>
          <cell r="J22">
            <v>600000</v>
          </cell>
          <cell r="K22">
            <v>675000</v>
          </cell>
          <cell r="L22">
            <v>788000</v>
          </cell>
          <cell r="M22">
            <v>908000</v>
          </cell>
          <cell r="N22">
            <v>1035000</v>
          </cell>
        </row>
        <row r="23">
          <cell r="C23" t="str">
            <v>Hora Clave 18:00 hrs</v>
          </cell>
          <cell r="D23">
            <v>475000</v>
          </cell>
          <cell r="E23">
            <v>544000</v>
          </cell>
          <cell r="F23">
            <v>650000</v>
          </cell>
          <cell r="G23">
            <v>700000</v>
          </cell>
          <cell r="H23">
            <v>750000</v>
          </cell>
          <cell r="I23">
            <v>875000</v>
          </cell>
          <cell r="J23">
            <v>1000000</v>
          </cell>
          <cell r="K23">
            <v>1125000</v>
          </cell>
          <cell r="L23">
            <v>1313000</v>
          </cell>
          <cell r="M23">
            <v>1513000</v>
          </cell>
          <cell r="N23">
            <v>1725000</v>
          </cell>
        </row>
        <row r="24">
          <cell r="C24" t="str">
            <v>24 h deportes</v>
          </cell>
          <cell r="D24">
            <v>380000</v>
          </cell>
          <cell r="E24">
            <v>435000</v>
          </cell>
          <cell r="F24">
            <v>520000</v>
          </cell>
          <cell r="G24">
            <v>560000</v>
          </cell>
          <cell r="H24">
            <v>600000</v>
          </cell>
          <cell r="I24">
            <v>700000</v>
          </cell>
          <cell r="J24">
            <v>800000</v>
          </cell>
          <cell r="K24">
            <v>900000</v>
          </cell>
          <cell r="L24">
            <v>1050000</v>
          </cell>
          <cell r="M24">
            <v>1210000</v>
          </cell>
          <cell r="N24">
            <v>1380000</v>
          </cell>
        </row>
        <row r="25">
          <cell r="C25" t="str">
            <v>Hora Clave 19:00 hrs</v>
          </cell>
          <cell r="D25">
            <v>475000</v>
          </cell>
          <cell r="E25">
            <v>544000</v>
          </cell>
          <cell r="F25">
            <v>650000</v>
          </cell>
          <cell r="G25">
            <v>700000</v>
          </cell>
          <cell r="H25">
            <v>750000</v>
          </cell>
          <cell r="I25">
            <v>875000</v>
          </cell>
          <cell r="J25">
            <v>1000000</v>
          </cell>
          <cell r="K25">
            <v>1125000</v>
          </cell>
          <cell r="L25">
            <v>1313000</v>
          </cell>
          <cell r="M25">
            <v>1513000</v>
          </cell>
          <cell r="N25">
            <v>1725000</v>
          </cell>
        </row>
        <row r="26">
          <cell r="C26" t="str">
            <v>RR Platea 24 19:30 hrs/RR Avances 24 19:30 hrs</v>
          </cell>
          <cell r="D26">
            <v>317000</v>
          </cell>
          <cell r="E26">
            <v>363000</v>
          </cell>
          <cell r="F26">
            <v>433000</v>
          </cell>
          <cell r="G26">
            <v>467000</v>
          </cell>
          <cell r="H26">
            <v>500000</v>
          </cell>
          <cell r="I26">
            <v>583000</v>
          </cell>
          <cell r="J26">
            <v>667000</v>
          </cell>
          <cell r="K26">
            <v>750000</v>
          </cell>
          <cell r="L26">
            <v>875000</v>
          </cell>
          <cell r="M26">
            <v>1008000</v>
          </cell>
          <cell r="N26">
            <v>1150000</v>
          </cell>
        </row>
        <row r="29">
          <cell r="C29" t="str">
            <v>Programas</v>
          </cell>
          <cell r="D29" t="str">
            <v>10"</v>
          </cell>
          <cell r="E29" t="str">
            <v>15"</v>
          </cell>
          <cell r="F29" t="str">
            <v>20"</v>
          </cell>
          <cell r="G29" t="str">
            <v>25"</v>
          </cell>
          <cell r="H29" t="str">
            <v>30"</v>
          </cell>
          <cell r="I29" t="str">
            <v>35"</v>
          </cell>
          <cell r="J29" t="str">
            <v>40"</v>
          </cell>
          <cell r="K29" t="str">
            <v>45"</v>
          </cell>
          <cell r="L29" t="str">
            <v>50"</v>
          </cell>
          <cell r="M29" t="str">
            <v>55"</v>
          </cell>
          <cell r="N29" t="str">
            <v>60"</v>
          </cell>
        </row>
        <row r="31">
          <cell r="C31" t="str">
            <v>RR 24 h deportes 20:00 hrs</v>
          </cell>
          <cell r="D31">
            <v>633000</v>
          </cell>
          <cell r="E31">
            <v>725000</v>
          </cell>
          <cell r="F31">
            <v>867000</v>
          </cell>
          <cell r="G31">
            <v>933000</v>
          </cell>
          <cell r="H31">
            <v>1000000</v>
          </cell>
          <cell r="I31">
            <v>1167000</v>
          </cell>
          <cell r="J31">
            <v>1333000</v>
          </cell>
          <cell r="K31">
            <v>1500000</v>
          </cell>
          <cell r="L31">
            <v>1750000</v>
          </cell>
          <cell r="M31">
            <v>2017000</v>
          </cell>
          <cell r="N31">
            <v>2300000</v>
          </cell>
        </row>
        <row r="32">
          <cell r="C32" t="str">
            <v>Mirada Economica 20:30 hrs</v>
          </cell>
          <cell r="D32">
            <v>633000</v>
          </cell>
          <cell r="E32">
            <v>725000</v>
          </cell>
          <cell r="F32">
            <v>867000</v>
          </cell>
          <cell r="G32">
            <v>933000</v>
          </cell>
          <cell r="H32">
            <v>1000000</v>
          </cell>
          <cell r="I32">
            <v>1167000</v>
          </cell>
          <cell r="J32">
            <v>1333000</v>
          </cell>
          <cell r="K32">
            <v>1500000</v>
          </cell>
          <cell r="L32">
            <v>1750000</v>
          </cell>
          <cell r="M32">
            <v>2017000</v>
          </cell>
          <cell r="N32">
            <v>2300000</v>
          </cell>
        </row>
        <row r="33">
          <cell r="C33" t="str">
            <v>24 Horas Central</v>
          </cell>
          <cell r="D33">
            <v>792000</v>
          </cell>
          <cell r="E33">
            <v>906000</v>
          </cell>
          <cell r="F33">
            <v>1083000</v>
          </cell>
          <cell r="G33">
            <v>1167000</v>
          </cell>
          <cell r="H33">
            <v>1250000</v>
          </cell>
          <cell r="I33">
            <v>1458000</v>
          </cell>
          <cell r="J33">
            <v>1667000</v>
          </cell>
          <cell r="K33">
            <v>1875000</v>
          </cell>
          <cell r="L33">
            <v>2188000</v>
          </cell>
          <cell r="M33">
            <v>2521000</v>
          </cell>
          <cell r="N33">
            <v>2875000</v>
          </cell>
        </row>
        <row r="34">
          <cell r="C34" t="str">
            <v>RR Chile al dia 22:00 hrs/Mano a Mano 22:00 hrs</v>
          </cell>
          <cell r="D34">
            <v>1140000</v>
          </cell>
          <cell r="E34">
            <v>1305000</v>
          </cell>
          <cell r="F34">
            <v>1560000</v>
          </cell>
          <cell r="G34">
            <v>1680000</v>
          </cell>
          <cell r="H34">
            <v>1800000</v>
          </cell>
          <cell r="I34">
            <v>2100000</v>
          </cell>
          <cell r="J34">
            <v>2400000</v>
          </cell>
          <cell r="K34">
            <v>2700000</v>
          </cell>
          <cell r="L34">
            <v>3150000</v>
          </cell>
          <cell r="M34">
            <v>3630000</v>
          </cell>
          <cell r="N34">
            <v>4140000</v>
          </cell>
        </row>
        <row r="35">
          <cell r="C35" t="str">
            <v>24 Horas en el mundo 22:30 hrs</v>
          </cell>
          <cell r="D35">
            <v>792000</v>
          </cell>
          <cell r="E35">
            <v>906000</v>
          </cell>
          <cell r="F35">
            <v>1083000</v>
          </cell>
          <cell r="G35">
            <v>1167000</v>
          </cell>
          <cell r="H35">
            <v>1250000</v>
          </cell>
          <cell r="I35">
            <v>1458000</v>
          </cell>
          <cell r="J35">
            <v>1667000</v>
          </cell>
          <cell r="K35">
            <v>1875000</v>
          </cell>
          <cell r="L35">
            <v>2188000</v>
          </cell>
          <cell r="M35">
            <v>2521000</v>
          </cell>
          <cell r="N35">
            <v>2875000</v>
          </cell>
        </row>
        <row r="36">
          <cell r="C36" t="str">
            <v>24 Horas a la Hora 23:00 hrs</v>
          </cell>
          <cell r="D36">
            <v>792000</v>
          </cell>
          <cell r="E36">
            <v>906000</v>
          </cell>
          <cell r="F36">
            <v>1083000</v>
          </cell>
          <cell r="G36">
            <v>1167000</v>
          </cell>
          <cell r="H36">
            <v>1250000</v>
          </cell>
          <cell r="I36">
            <v>1458000</v>
          </cell>
          <cell r="J36">
            <v>1667000</v>
          </cell>
          <cell r="K36">
            <v>1875000</v>
          </cell>
          <cell r="L36">
            <v>2188000</v>
          </cell>
          <cell r="M36">
            <v>2521000</v>
          </cell>
          <cell r="N36">
            <v>2875000</v>
          </cell>
        </row>
        <row r="37">
          <cell r="C37" t="str">
            <v>RR Platea 24 23:30 hrs/RR Avances 24 23:30 hrs</v>
          </cell>
          <cell r="D37">
            <v>792000</v>
          </cell>
          <cell r="E37">
            <v>906000</v>
          </cell>
          <cell r="F37">
            <v>1083000</v>
          </cell>
          <cell r="G37">
            <v>1167000</v>
          </cell>
          <cell r="H37">
            <v>1250000</v>
          </cell>
          <cell r="I37">
            <v>1458000</v>
          </cell>
          <cell r="J37">
            <v>1667000</v>
          </cell>
          <cell r="K37">
            <v>1875000</v>
          </cell>
          <cell r="L37">
            <v>2188000</v>
          </cell>
          <cell r="M37">
            <v>2521000</v>
          </cell>
          <cell r="N37">
            <v>2875000</v>
          </cell>
        </row>
        <row r="38">
          <cell r="C38" t="str">
            <v>Hora 24 l-v</v>
          </cell>
          <cell r="D38">
            <v>633000</v>
          </cell>
          <cell r="E38">
            <v>725000</v>
          </cell>
          <cell r="F38">
            <v>867000</v>
          </cell>
          <cell r="G38">
            <v>933000</v>
          </cell>
          <cell r="H38">
            <v>1000000</v>
          </cell>
          <cell r="I38">
            <v>1167000</v>
          </cell>
          <cell r="J38">
            <v>1333000</v>
          </cell>
          <cell r="K38">
            <v>1500000</v>
          </cell>
          <cell r="L38">
            <v>1750000</v>
          </cell>
          <cell r="M38">
            <v>2017000</v>
          </cell>
          <cell r="N38">
            <v>2300000</v>
          </cell>
        </row>
        <row r="39">
          <cell r="C39" t="str">
            <v>Factor Guillier/RR Mano a Mano 24:30 hrs</v>
          </cell>
          <cell r="D39">
            <v>538000</v>
          </cell>
          <cell r="E39">
            <v>616000</v>
          </cell>
          <cell r="F39">
            <v>737000</v>
          </cell>
          <cell r="G39">
            <v>793000</v>
          </cell>
          <cell r="H39">
            <v>850000</v>
          </cell>
          <cell r="I39">
            <v>992000</v>
          </cell>
          <cell r="J39">
            <v>1133000</v>
          </cell>
          <cell r="K39">
            <v>1275000</v>
          </cell>
          <cell r="L39">
            <v>1488000</v>
          </cell>
          <cell r="M39">
            <v>1714000</v>
          </cell>
          <cell r="N39">
            <v>1955000</v>
          </cell>
        </row>
        <row r="40">
          <cell r="C40" t="str">
            <v>Factor Guillier/RR Hora 24 01:00 hrs</v>
          </cell>
          <cell r="D40">
            <v>538000</v>
          </cell>
          <cell r="E40">
            <v>616000</v>
          </cell>
          <cell r="F40">
            <v>737000</v>
          </cell>
          <cell r="G40">
            <v>793000</v>
          </cell>
          <cell r="H40">
            <v>850000</v>
          </cell>
          <cell r="I40">
            <v>992000</v>
          </cell>
          <cell r="J40">
            <v>1133000</v>
          </cell>
          <cell r="K40">
            <v>1275000</v>
          </cell>
          <cell r="L40">
            <v>1488000</v>
          </cell>
          <cell r="M40">
            <v>1714000</v>
          </cell>
          <cell r="N40">
            <v>1955000</v>
          </cell>
        </row>
        <row r="44">
          <cell r="C44" t="str">
            <v>Programas</v>
          </cell>
          <cell r="D44" t="str">
            <v>10"</v>
          </cell>
          <cell r="E44" t="str">
            <v>15"</v>
          </cell>
          <cell r="F44" t="str">
            <v>20"</v>
          </cell>
          <cell r="G44" t="str">
            <v>25"</v>
          </cell>
          <cell r="H44" t="str">
            <v>30"</v>
          </cell>
          <cell r="I44" t="str">
            <v>35"</v>
          </cell>
          <cell r="J44" t="str">
            <v>40"</v>
          </cell>
          <cell r="K44" t="str">
            <v>45"</v>
          </cell>
          <cell r="L44" t="str">
            <v>50"</v>
          </cell>
          <cell r="M44" t="str">
            <v>55"</v>
          </cell>
          <cell r="N44" t="str">
            <v>60"</v>
          </cell>
        </row>
        <row r="45">
          <cell r="C45" t="str">
            <v>RR 24 horas central 01:30 hrs</v>
          </cell>
          <cell r="D45">
            <v>95000</v>
          </cell>
          <cell r="E45">
            <v>109000</v>
          </cell>
          <cell r="F45">
            <v>130000</v>
          </cell>
          <cell r="G45">
            <v>140000</v>
          </cell>
          <cell r="H45">
            <v>150000</v>
          </cell>
          <cell r="I45">
            <v>175000</v>
          </cell>
          <cell r="J45">
            <v>200000</v>
          </cell>
          <cell r="K45">
            <v>225000</v>
          </cell>
          <cell r="L45">
            <v>263000</v>
          </cell>
          <cell r="M45">
            <v>303000</v>
          </cell>
          <cell r="N45">
            <v>345000</v>
          </cell>
        </row>
        <row r="46">
          <cell r="C46" t="str">
            <v>RR 24 Horas en el mundo 02:30 hrs</v>
          </cell>
          <cell r="D46">
            <v>95000</v>
          </cell>
          <cell r="E46">
            <v>109000</v>
          </cell>
          <cell r="F46">
            <v>130000</v>
          </cell>
          <cell r="G46">
            <v>140000</v>
          </cell>
          <cell r="H46">
            <v>150000</v>
          </cell>
          <cell r="I46">
            <v>175000</v>
          </cell>
          <cell r="J46">
            <v>200000</v>
          </cell>
          <cell r="K46">
            <v>225000</v>
          </cell>
          <cell r="L46">
            <v>263000</v>
          </cell>
          <cell r="M46">
            <v>303000</v>
          </cell>
          <cell r="N46">
            <v>345000</v>
          </cell>
        </row>
        <row r="47">
          <cell r="C47" t="str">
            <v>RR 24 horas central 03:00 hrs</v>
          </cell>
          <cell r="D47">
            <v>95000</v>
          </cell>
          <cell r="E47">
            <v>109000</v>
          </cell>
          <cell r="F47">
            <v>130000</v>
          </cell>
          <cell r="G47">
            <v>140000</v>
          </cell>
          <cell r="H47">
            <v>150000</v>
          </cell>
          <cell r="I47">
            <v>175000</v>
          </cell>
          <cell r="J47">
            <v>200000</v>
          </cell>
          <cell r="K47">
            <v>225000</v>
          </cell>
          <cell r="L47">
            <v>263000</v>
          </cell>
          <cell r="M47">
            <v>303000</v>
          </cell>
          <cell r="N47">
            <v>345000</v>
          </cell>
        </row>
        <row r="48">
          <cell r="C48" t="str">
            <v>RR Chile al dia 04:00 hrs</v>
          </cell>
          <cell r="D48">
            <v>95000</v>
          </cell>
          <cell r="E48">
            <v>109000</v>
          </cell>
          <cell r="F48">
            <v>130000</v>
          </cell>
          <cell r="G48">
            <v>140000</v>
          </cell>
          <cell r="H48">
            <v>150000</v>
          </cell>
          <cell r="I48">
            <v>175000</v>
          </cell>
          <cell r="J48">
            <v>200000</v>
          </cell>
          <cell r="K48">
            <v>225000</v>
          </cell>
          <cell r="L48">
            <v>263000</v>
          </cell>
          <cell r="M48">
            <v>303000</v>
          </cell>
          <cell r="N48">
            <v>345000</v>
          </cell>
        </row>
        <row r="49">
          <cell r="C49" t="str">
            <v>RR Medianoche 04:30 hrs</v>
          </cell>
          <cell r="D49">
            <v>95000</v>
          </cell>
          <cell r="E49">
            <v>109000</v>
          </cell>
          <cell r="F49">
            <v>130000</v>
          </cell>
          <cell r="G49">
            <v>140000</v>
          </cell>
          <cell r="H49">
            <v>150000</v>
          </cell>
          <cell r="I49">
            <v>175000</v>
          </cell>
          <cell r="J49">
            <v>200000</v>
          </cell>
          <cell r="K49">
            <v>225000</v>
          </cell>
          <cell r="L49">
            <v>263000</v>
          </cell>
          <cell r="M49">
            <v>303000</v>
          </cell>
          <cell r="N49">
            <v>345000</v>
          </cell>
        </row>
        <row r="50">
          <cell r="C50" t="str">
            <v>24 horas a la hora 05:00 hrs</v>
          </cell>
          <cell r="D50">
            <v>95000</v>
          </cell>
          <cell r="E50">
            <v>109000</v>
          </cell>
          <cell r="F50">
            <v>130000</v>
          </cell>
          <cell r="G50">
            <v>140000</v>
          </cell>
          <cell r="H50">
            <v>150000</v>
          </cell>
          <cell r="I50">
            <v>175000</v>
          </cell>
          <cell r="J50">
            <v>200000</v>
          </cell>
          <cell r="K50">
            <v>225000</v>
          </cell>
          <cell r="L50">
            <v>263000</v>
          </cell>
          <cell r="M50">
            <v>303000</v>
          </cell>
          <cell r="N50">
            <v>345000</v>
          </cell>
        </row>
        <row r="51">
          <cell r="C51" t="str">
            <v>RR Mirada economica 05:30 hrs</v>
          </cell>
          <cell r="D51">
            <v>95000</v>
          </cell>
          <cell r="E51">
            <v>109000</v>
          </cell>
          <cell r="F51">
            <v>130000</v>
          </cell>
          <cell r="G51">
            <v>140000</v>
          </cell>
          <cell r="H51">
            <v>150000</v>
          </cell>
          <cell r="I51">
            <v>175000</v>
          </cell>
          <cell r="J51">
            <v>200000</v>
          </cell>
          <cell r="K51">
            <v>225000</v>
          </cell>
          <cell r="L51">
            <v>263000</v>
          </cell>
          <cell r="M51">
            <v>303000</v>
          </cell>
          <cell r="N51">
            <v>345000</v>
          </cell>
        </row>
        <row r="55">
          <cell r="C55" t="str">
            <v>Programas</v>
          </cell>
          <cell r="D55" t="str">
            <v>10"</v>
          </cell>
          <cell r="E55" t="str">
            <v>15"</v>
          </cell>
          <cell r="F55" t="str">
            <v>20"</v>
          </cell>
          <cell r="G55" t="str">
            <v>25"</v>
          </cell>
          <cell r="H55" t="str">
            <v>30"</v>
          </cell>
          <cell r="I55" t="str">
            <v>35"</v>
          </cell>
          <cell r="J55" t="str">
            <v>40"</v>
          </cell>
          <cell r="K55" t="str">
            <v>45"</v>
          </cell>
          <cell r="L55" t="str">
            <v>50"</v>
          </cell>
          <cell r="M55" t="str">
            <v>55"</v>
          </cell>
          <cell r="N55" t="str">
            <v>60"</v>
          </cell>
        </row>
        <row r="56">
          <cell r="C56" t="str">
            <v>RR 24 Horas a la Hora 06:00 hrs</v>
          </cell>
          <cell r="D56">
            <v>114000</v>
          </cell>
          <cell r="E56">
            <v>131000</v>
          </cell>
          <cell r="F56">
            <v>156000</v>
          </cell>
          <cell r="G56">
            <v>168000</v>
          </cell>
          <cell r="H56">
            <v>180000</v>
          </cell>
          <cell r="I56">
            <v>210000</v>
          </cell>
          <cell r="J56">
            <v>240000</v>
          </cell>
          <cell r="K56">
            <v>270000</v>
          </cell>
          <cell r="L56">
            <v>315000</v>
          </cell>
          <cell r="M56">
            <v>363000</v>
          </cell>
          <cell r="N56">
            <v>414000</v>
          </cell>
        </row>
        <row r="57">
          <cell r="C57" t="str">
            <v>RR Chile al dia 06:30 hrs</v>
          </cell>
          <cell r="D57">
            <v>165000</v>
          </cell>
          <cell r="E57">
            <v>189000</v>
          </cell>
          <cell r="F57">
            <v>225000</v>
          </cell>
          <cell r="G57">
            <v>243000</v>
          </cell>
          <cell r="H57">
            <v>260000</v>
          </cell>
          <cell r="I57">
            <v>303000</v>
          </cell>
          <cell r="J57">
            <v>347000</v>
          </cell>
          <cell r="K57">
            <v>390000</v>
          </cell>
          <cell r="L57">
            <v>455000</v>
          </cell>
          <cell r="M57">
            <v>524000</v>
          </cell>
          <cell r="N57">
            <v>598000</v>
          </cell>
        </row>
        <row r="58">
          <cell r="C58" t="str">
            <v>RR 24 horas a la Hora 07:00 hrs</v>
          </cell>
          <cell r="D58">
            <v>190000</v>
          </cell>
          <cell r="E58">
            <v>218000</v>
          </cell>
          <cell r="F58">
            <v>260000</v>
          </cell>
          <cell r="G58">
            <v>280000</v>
          </cell>
          <cell r="H58">
            <v>300000</v>
          </cell>
          <cell r="I58">
            <v>350000</v>
          </cell>
          <cell r="J58">
            <v>400000</v>
          </cell>
          <cell r="K58">
            <v>450000</v>
          </cell>
          <cell r="L58">
            <v>525000</v>
          </cell>
          <cell r="M58">
            <v>605000</v>
          </cell>
          <cell r="N58">
            <v>690000</v>
          </cell>
        </row>
        <row r="59">
          <cell r="C59" t="str">
            <v>RR Cronicas y reportajes 07:30 hrs</v>
          </cell>
          <cell r="D59">
            <v>165000</v>
          </cell>
          <cell r="E59">
            <v>189000</v>
          </cell>
          <cell r="F59">
            <v>225000</v>
          </cell>
          <cell r="G59">
            <v>243000</v>
          </cell>
          <cell r="H59">
            <v>260000</v>
          </cell>
          <cell r="I59">
            <v>303000</v>
          </cell>
          <cell r="J59">
            <v>347000</v>
          </cell>
          <cell r="K59">
            <v>390000</v>
          </cell>
          <cell r="L59">
            <v>455000</v>
          </cell>
          <cell r="M59">
            <v>524000</v>
          </cell>
          <cell r="N59">
            <v>598000</v>
          </cell>
        </row>
        <row r="60">
          <cell r="C60" t="str">
            <v>RR 24 horas a la Hora 08:00 hrs</v>
          </cell>
          <cell r="D60">
            <v>190000</v>
          </cell>
          <cell r="E60">
            <v>218000</v>
          </cell>
          <cell r="F60">
            <v>260000</v>
          </cell>
          <cell r="G60">
            <v>280000</v>
          </cell>
          <cell r="H60">
            <v>300000</v>
          </cell>
          <cell r="I60">
            <v>350000</v>
          </cell>
          <cell r="J60">
            <v>400000</v>
          </cell>
          <cell r="K60">
            <v>450000</v>
          </cell>
          <cell r="L60">
            <v>525000</v>
          </cell>
          <cell r="M60">
            <v>605000</v>
          </cell>
          <cell r="N60">
            <v>690000</v>
          </cell>
        </row>
        <row r="61">
          <cell r="C61" t="str">
            <v>RR Mano a Mano 08:30 hrs</v>
          </cell>
          <cell r="D61">
            <v>190000</v>
          </cell>
          <cell r="E61">
            <v>218000</v>
          </cell>
          <cell r="F61">
            <v>260000</v>
          </cell>
          <cell r="G61">
            <v>280000</v>
          </cell>
          <cell r="H61">
            <v>300000</v>
          </cell>
          <cell r="I61">
            <v>350000</v>
          </cell>
          <cell r="J61">
            <v>400000</v>
          </cell>
          <cell r="K61">
            <v>450000</v>
          </cell>
          <cell r="L61">
            <v>525000</v>
          </cell>
          <cell r="M61">
            <v>605000</v>
          </cell>
          <cell r="N61">
            <v>690000</v>
          </cell>
        </row>
        <row r="62">
          <cell r="C62" t="str">
            <v>24 horas a la Hora 09:00 hrs</v>
          </cell>
          <cell r="D62">
            <v>190000</v>
          </cell>
          <cell r="E62">
            <v>218000</v>
          </cell>
          <cell r="F62">
            <v>260000</v>
          </cell>
          <cell r="G62">
            <v>280000</v>
          </cell>
          <cell r="H62">
            <v>300000</v>
          </cell>
          <cell r="I62">
            <v>350000</v>
          </cell>
          <cell r="J62">
            <v>400000</v>
          </cell>
          <cell r="K62">
            <v>450000</v>
          </cell>
          <cell r="L62">
            <v>525000</v>
          </cell>
          <cell r="M62">
            <v>605000</v>
          </cell>
          <cell r="N62">
            <v>690000</v>
          </cell>
        </row>
        <row r="63">
          <cell r="C63" t="str">
            <v>RR En que mundo vives 09:30 hrs</v>
          </cell>
          <cell r="D63">
            <v>165000</v>
          </cell>
          <cell r="E63">
            <v>189000</v>
          </cell>
          <cell r="F63">
            <v>225000</v>
          </cell>
          <cell r="G63">
            <v>243000</v>
          </cell>
          <cell r="H63">
            <v>260000</v>
          </cell>
          <cell r="I63">
            <v>303000</v>
          </cell>
          <cell r="J63">
            <v>347000</v>
          </cell>
          <cell r="K63">
            <v>390000</v>
          </cell>
          <cell r="L63">
            <v>455000</v>
          </cell>
          <cell r="M63">
            <v>524000</v>
          </cell>
          <cell r="N63">
            <v>598000</v>
          </cell>
        </row>
        <row r="64">
          <cell r="C64" t="str">
            <v>RR 24 horas a la Hora 10:00 hrs</v>
          </cell>
          <cell r="D64">
            <v>190000</v>
          </cell>
          <cell r="E64">
            <v>218000</v>
          </cell>
          <cell r="F64">
            <v>260000</v>
          </cell>
          <cell r="G64">
            <v>280000</v>
          </cell>
          <cell r="H64">
            <v>300000</v>
          </cell>
          <cell r="I64">
            <v>350000</v>
          </cell>
          <cell r="J64">
            <v>400000</v>
          </cell>
          <cell r="K64">
            <v>450000</v>
          </cell>
          <cell r="L64">
            <v>525000</v>
          </cell>
          <cell r="M64">
            <v>605000</v>
          </cell>
          <cell r="N64">
            <v>690000</v>
          </cell>
        </row>
        <row r="65">
          <cell r="C65" t="str">
            <v>RR Chile al dia 10:30 hrs</v>
          </cell>
          <cell r="D65">
            <v>165000</v>
          </cell>
          <cell r="E65">
            <v>189000</v>
          </cell>
          <cell r="F65">
            <v>225000</v>
          </cell>
          <cell r="G65">
            <v>243000</v>
          </cell>
          <cell r="H65">
            <v>260000</v>
          </cell>
          <cell r="I65">
            <v>303000</v>
          </cell>
          <cell r="J65">
            <v>347000</v>
          </cell>
          <cell r="K65">
            <v>390000</v>
          </cell>
          <cell r="L65">
            <v>455000</v>
          </cell>
          <cell r="M65">
            <v>524000</v>
          </cell>
          <cell r="N65">
            <v>598000</v>
          </cell>
        </row>
        <row r="66">
          <cell r="C66" t="str">
            <v>RR 24 horas a la Hora 11:00 hrs</v>
          </cell>
          <cell r="D66">
            <v>190000</v>
          </cell>
          <cell r="E66">
            <v>218000</v>
          </cell>
          <cell r="F66">
            <v>260000</v>
          </cell>
          <cell r="G66">
            <v>280000</v>
          </cell>
          <cell r="H66">
            <v>300000</v>
          </cell>
          <cell r="I66">
            <v>350000</v>
          </cell>
          <cell r="J66">
            <v>400000</v>
          </cell>
          <cell r="K66">
            <v>450000</v>
          </cell>
          <cell r="L66">
            <v>525000</v>
          </cell>
          <cell r="M66">
            <v>605000</v>
          </cell>
          <cell r="N66">
            <v>690000</v>
          </cell>
        </row>
        <row r="67">
          <cell r="C67" t="str">
            <v>RR Cronicas y reportajes 11:30 hrs</v>
          </cell>
          <cell r="D67">
            <v>165000</v>
          </cell>
          <cell r="E67">
            <v>189000</v>
          </cell>
          <cell r="F67">
            <v>225000</v>
          </cell>
          <cell r="G67">
            <v>243000</v>
          </cell>
          <cell r="H67">
            <v>260000</v>
          </cell>
          <cell r="I67">
            <v>303000</v>
          </cell>
          <cell r="J67">
            <v>347000</v>
          </cell>
          <cell r="K67">
            <v>390000</v>
          </cell>
          <cell r="L67">
            <v>455000</v>
          </cell>
          <cell r="M67">
            <v>524000</v>
          </cell>
          <cell r="N67">
            <v>598000</v>
          </cell>
        </row>
        <row r="68">
          <cell r="C68" t="str">
            <v>24 horas a la Hora 12:00 hrs</v>
          </cell>
          <cell r="D68">
            <v>190000</v>
          </cell>
          <cell r="E68">
            <v>218000</v>
          </cell>
          <cell r="F68">
            <v>260000</v>
          </cell>
          <cell r="G68">
            <v>280000</v>
          </cell>
          <cell r="H68">
            <v>300000</v>
          </cell>
          <cell r="I68">
            <v>350000</v>
          </cell>
          <cell r="J68">
            <v>400000</v>
          </cell>
          <cell r="K68">
            <v>450000</v>
          </cell>
          <cell r="L68">
            <v>525000</v>
          </cell>
          <cell r="M68">
            <v>605000</v>
          </cell>
          <cell r="N68">
            <v>690000</v>
          </cell>
        </row>
        <row r="69">
          <cell r="C69" t="str">
            <v>RR Mano a Mano 12:30 hrs</v>
          </cell>
          <cell r="D69">
            <v>190000</v>
          </cell>
          <cell r="E69">
            <v>218000</v>
          </cell>
          <cell r="F69">
            <v>260000</v>
          </cell>
          <cell r="G69">
            <v>280000</v>
          </cell>
          <cell r="H69">
            <v>300000</v>
          </cell>
          <cell r="I69">
            <v>350000</v>
          </cell>
          <cell r="J69">
            <v>400000</v>
          </cell>
          <cell r="K69">
            <v>450000</v>
          </cell>
          <cell r="L69">
            <v>525000</v>
          </cell>
          <cell r="M69">
            <v>605000</v>
          </cell>
          <cell r="N69">
            <v>690000</v>
          </cell>
        </row>
        <row r="70">
          <cell r="C70" t="str">
            <v>24 Horas a la Hora 13:00 hrs</v>
          </cell>
          <cell r="D70">
            <v>190000</v>
          </cell>
          <cell r="E70">
            <v>218000</v>
          </cell>
          <cell r="F70">
            <v>260000</v>
          </cell>
          <cell r="G70">
            <v>280000</v>
          </cell>
          <cell r="H70">
            <v>300000</v>
          </cell>
          <cell r="I70">
            <v>350000</v>
          </cell>
          <cell r="J70">
            <v>400000</v>
          </cell>
          <cell r="K70">
            <v>450000</v>
          </cell>
          <cell r="L70">
            <v>525000</v>
          </cell>
          <cell r="M70">
            <v>605000</v>
          </cell>
          <cell r="N70">
            <v>690000</v>
          </cell>
        </row>
        <row r="71">
          <cell r="C71" t="str">
            <v>24 Horas al dia/RR en que mundo vives 13:30 hrs</v>
          </cell>
          <cell r="D71">
            <v>127000</v>
          </cell>
          <cell r="E71">
            <v>145000</v>
          </cell>
          <cell r="F71">
            <v>173000</v>
          </cell>
          <cell r="G71">
            <v>187000</v>
          </cell>
          <cell r="H71">
            <v>200000</v>
          </cell>
          <cell r="I71">
            <v>233000</v>
          </cell>
          <cell r="J71">
            <v>267000</v>
          </cell>
          <cell r="K71">
            <v>300000</v>
          </cell>
          <cell r="L71">
            <v>350000</v>
          </cell>
          <cell r="M71">
            <v>403000</v>
          </cell>
          <cell r="N71">
            <v>460000</v>
          </cell>
        </row>
        <row r="72">
          <cell r="C72" t="str">
            <v>RR Platea 24 14:00 hrs/ 24 horas al dia</v>
          </cell>
          <cell r="D72">
            <v>127000</v>
          </cell>
          <cell r="E72">
            <v>145000</v>
          </cell>
          <cell r="F72">
            <v>173000</v>
          </cell>
          <cell r="G72">
            <v>187000</v>
          </cell>
          <cell r="H72">
            <v>200000</v>
          </cell>
          <cell r="I72">
            <v>233000</v>
          </cell>
          <cell r="J72">
            <v>267000</v>
          </cell>
          <cell r="K72">
            <v>300000</v>
          </cell>
          <cell r="L72">
            <v>350000</v>
          </cell>
          <cell r="M72">
            <v>403000</v>
          </cell>
          <cell r="N72">
            <v>460000</v>
          </cell>
        </row>
        <row r="73">
          <cell r="C73" t="str">
            <v>Flashback 14:30 hrs</v>
          </cell>
          <cell r="D73">
            <v>127000</v>
          </cell>
          <cell r="E73">
            <v>145000</v>
          </cell>
          <cell r="F73">
            <v>173000</v>
          </cell>
          <cell r="G73">
            <v>187000</v>
          </cell>
          <cell r="H73">
            <v>200000</v>
          </cell>
          <cell r="I73">
            <v>233000</v>
          </cell>
          <cell r="J73">
            <v>267000</v>
          </cell>
          <cell r="K73">
            <v>300000</v>
          </cell>
          <cell r="L73">
            <v>350000</v>
          </cell>
          <cell r="M73">
            <v>403000</v>
          </cell>
          <cell r="N73">
            <v>460000</v>
          </cell>
        </row>
        <row r="74">
          <cell r="C74" t="str">
            <v>RR 24 horas al dia</v>
          </cell>
          <cell r="D74">
            <v>127000</v>
          </cell>
          <cell r="E74">
            <v>145000</v>
          </cell>
          <cell r="F74">
            <v>173000</v>
          </cell>
          <cell r="G74">
            <v>187000</v>
          </cell>
          <cell r="H74">
            <v>200000</v>
          </cell>
          <cell r="I74">
            <v>233000</v>
          </cell>
          <cell r="J74">
            <v>267000</v>
          </cell>
          <cell r="K74">
            <v>300000</v>
          </cell>
          <cell r="L74">
            <v>350000</v>
          </cell>
          <cell r="M74">
            <v>403000</v>
          </cell>
          <cell r="N74">
            <v>460000</v>
          </cell>
        </row>
        <row r="75">
          <cell r="C75" t="str">
            <v>24 horas a la hora 16:00 hrs</v>
          </cell>
          <cell r="D75">
            <v>127000</v>
          </cell>
          <cell r="E75">
            <v>145000</v>
          </cell>
          <cell r="F75">
            <v>173000</v>
          </cell>
          <cell r="G75">
            <v>187000</v>
          </cell>
          <cell r="H75">
            <v>200000</v>
          </cell>
          <cell r="I75">
            <v>233000</v>
          </cell>
          <cell r="J75">
            <v>267000</v>
          </cell>
          <cell r="K75">
            <v>300000</v>
          </cell>
          <cell r="L75">
            <v>350000</v>
          </cell>
          <cell r="M75">
            <v>403000</v>
          </cell>
          <cell r="N75">
            <v>460000</v>
          </cell>
        </row>
        <row r="76">
          <cell r="C76" t="str">
            <v>RR Platea 24 16:30 hrs/RR Cronicas y reportajes 16:30 hrs</v>
          </cell>
          <cell r="D76">
            <v>101000</v>
          </cell>
          <cell r="E76">
            <v>116000</v>
          </cell>
          <cell r="F76">
            <v>139000</v>
          </cell>
          <cell r="G76">
            <v>149000</v>
          </cell>
          <cell r="H76">
            <v>160000</v>
          </cell>
          <cell r="I76">
            <v>187000</v>
          </cell>
          <cell r="J76">
            <v>213000</v>
          </cell>
          <cell r="K76">
            <v>240000</v>
          </cell>
          <cell r="L76">
            <v>280000</v>
          </cell>
          <cell r="M76">
            <v>323000</v>
          </cell>
          <cell r="N76">
            <v>368000</v>
          </cell>
        </row>
        <row r="77">
          <cell r="C77" t="str">
            <v>RR 24 horas a la hora 17:00 hrs</v>
          </cell>
          <cell r="D77">
            <v>127000</v>
          </cell>
          <cell r="E77">
            <v>145000</v>
          </cell>
          <cell r="F77">
            <v>173000</v>
          </cell>
          <cell r="G77">
            <v>187000</v>
          </cell>
          <cell r="H77">
            <v>200000</v>
          </cell>
          <cell r="I77">
            <v>233000</v>
          </cell>
          <cell r="J77">
            <v>267000</v>
          </cell>
          <cell r="K77">
            <v>300000</v>
          </cell>
          <cell r="L77">
            <v>350000</v>
          </cell>
          <cell r="M77">
            <v>403000</v>
          </cell>
          <cell r="N77">
            <v>460000</v>
          </cell>
        </row>
        <row r="78">
          <cell r="C78" t="str">
            <v>RR Mano a Mano 17:30 hrs</v>
          </cell>
          <cell r="D78">
            <v>127000</v>
          </cell>
          <cell r="E78">
            <v>145000</v>
          </cell>
          <cell r="F78">
            <v>173000</v>
          </cell>
          <cell r="G78">
            <v>187000</v>
          </cell>
          <cell r="H78">
            <v>200000</v>
          </cell>
          <cell r="I78">
            <v>233000</v>
          </cell>
          <cell r="J78">
            <v>267000</v>
          </cell>
          <cell r="K78">
            <v>300000</v>
          </cell>
          <cell r="L78">
            <v>350000</v>
          </cell>
          <cell r="M78">
            <v>403000</v>
          </cell>
          <cell r="N78">
            <v>460000</v>
          </cell>
        </row>
        <row r="79">
          <cell r="C79" t="str">
            <v>24 Horas a la Hora 18:00 hrs</v>
          </cell>
          <cell r="D79">
            <v>127000</v>
          </cell>
          <cell r="E79">
            <v>145000</v>
          </cell>
          <cell r="F79">
            <v>173000</v>
          </cell>
          <cell r="G79">
            <v>187000</v>
          </cell>
          <cell r="H79">
            <v>200000</v>
          </cell>
          <cell r="I79">
            <v>233000</v>
          </cell>
          <cell r="J79">
            <v>267000</v>
          </cell>
          <cell r="K79">
            <v>300000</v>
          </cell>
          <cell r="L79">
            <v>350000</v>
          </cell>
          <cell r="M79">
            <v>403000</v>
          </cell>
          <cell r="N79">
            <v>460000</v>
          </cell>
        </row>
        <row r="80">
          <cell r="C80" t="str">
            <v>24 h deportes 18:30 hrs</v>
          </cell>
          <cell r="D80">
            <v>127000</v>
          </cell>
          <cell r="E80">
            <v>145000</v>
          </cell>
          <cell r="F80">
            <v>173000</v>
          </cell>
          <cell r="G80">
            <v>187000</v>
          </cell>
          <cell r="H80">
            <v>200000</v>
          </cell>
          <cell r="I80">
            <v>233000</v>
          </cell>
          <cell r="J80">
            <v>267000</v>
          </cell>
          <cell r="K80">
            <v>300000</v>
          </cell>
          <cell r="L80">
            <v>350000</v>
          </cell>
          <cell r="M80">
            <v>403000</v>
          </cell>
          <cell r="N80">
            <v>460000</v>
          </cell>
        </row>
        <row r="81">
          <cell r="C81" t="str">
            <v>RR 24 horas a la hora 19:00 hrs</v>
          </cell>
          <cell r="D81">
            <v>127000</v>
          </cell>
          <cell r="E81">
            <v>145000</v>
          </cell>
          <cell r="F81">
            <v>173000</v>
          </cell>
          <cell r="G81">
            <v>187000</v>
          </cell>
          <cell r="H81">
            <v>200000</v>
          </cell>
          <cell r="I81">
            <v>233000</v>
          </cell>
          <cell r="J81">
            <v>267000</v>
          </cell>
          <cell r="K81">
            <v>300000</v>
          </cell>
          <cell r="L81">
            <v>350000</v>
          </cell>
          <cell r="M81">
            <v>403000</v>
          </cell>
          <cell r="N81">
            <v>460000</v>
          </cell>
        </row>
        <row r="82">
          <cell r="C82" t="str">
            <v>En que mundo vives 19:30 hrs</v>
          </cell>
          <cell r="D82">
            <v>101000</v>
          </cell>
          <cell r="E82">
            <v>116000</v>
          </cell>
          <cell r="F82">
            <v>139000</v>
          </cell>
          <cell r="G82">
            <v>149000</v>
          </cell>
          <cell r="H82">
            <v>160000</v>
          </cell>
          <cell r="I82">
            <v>187000</v>
          </cell>
          <cell r="J82">
            <v>213000</v>
          </cell>
          <cell r="K82">
            <v>240000</v>
          </cell>
          <cell r="L82">
            <v>280000</v>
          </cell>
          <cell r="M82">
            <v>323000</v>
          </cell>
          <cell r="N82">
            <v>368000</v>
          </cell>
        </row>
        <row r="83">
          <cell r="C83" t="str">
            <v>RR 24 Horas a la Hora 20:00 hrs</v>
          </cell>
          <cell r="D83">
            <v>317000</v>
          </cell>
          <cell r="E83">
            <v>363000</v>
          </cell>
          <cell r="F83">
            <v>433000</v>
          </cell>
          <cell r="G83">
            <v>467000</v>
          </cell>
          <cell r="H83">
            <v>500000</v>
          </cell>
          <cell r="I83">
            <v>583000</v>
          </cell>
          <cell r="J83">
            <v>667000</v>
          </cell>
          <cell r="K83">
            <v>750000</v>
          </cell>
          <cell r="L83">
            <v>875000</v>
          </cell>
          <cell r="M83">
            <v>1008000</v>
          </cell>
          <cell r="N83">
            <v>1150000</v>
          </cell>
        </row>
        <row r="84">
          <cell r="C84" t="str">
            <v>RR 24 h deportes 20:30 hrs</v>
          </cell>
          <cell r="D84">
            <v>317000</v>
          </cell>
          <cell r="E84">
            <v>363000</v>
          </cell>
          <cell r="F84">
            <v>433000</v>
          </cell>
          <cell r="G84">
            <v>467000</v>
          </cell>
          <cell r="H84">
            <v>500000</v>
          </cell>
          <cell r="I84">
            <v>583000</v>
          </cell>
          <cell r="J84">
            <v>667000</v>
          </cell>
          <cell r="K84">
            <v>750000</v>
          </cell>
          <cell r="L84">
            <v>875000</v>
          </cell>
          <cell r="M84">
            <v>1008000</v>
          </cell>
          <cell r="N84">
            <v>1150000</v>
          </cell>
        </row>
        <row r="85">
          <cell r="C85" t="str">
            <v>24 Horas Central</v>
          </cell>
          <cell r="D85">
            <v>317000</v>
          </cell>
          <cell r="E85">
            <v>363000</v>
          </cell>
          <cell r="F85">
            <v>433000</v>
          </cell>
          <cell r="G85">
            <v>467000</v>
          </cell>
          <cell r="H85">
            <v>500000</v>
          </cell>
          <cell r="I85">
            <v>583000</v>
          </cell>
          <cell r="J85">
            <v>667000</v>
          </cell>
          <cell r="K85">
            <v>750000</v>
          </cell>
          <cell r="L85">
            <v>875000</v>
          </cell>
          <cell r="M85">
            <v>1008000</v>
          </cell>
          <cell r="N85">
            <v>1150000</v>
          </cell>
        </row>
        <row r="86">
          <cell r="C86" t="str">
            <v>Esto no tiene nombre/Estado Nacional 22:00 hrs</v>
          </cell>
          <cell r="D86">
            <v>348000</v>
          </cell>
          <cell r="E86">
            <v>399000</v>
          </cell>
          <cell r="F86">
            <v>477000</v>
          </cell>
          <cell r="G86">
            <v>513000</v>
          </cell>
          <cell r="H86">
            <v>550000</v>
          </cell>
          <cell r="I86">
            <v>642000</v>
          </cell>
          <cell r="J86">
            <v>733000</v>
          </cell>
          <cell r="K86">
            <v>825000</v>
          </cell>
          <cell r="L86">
            <v>963000</v>
          </cell>
          <cell r="M86">
            <v>1109000</v>
          </cell>
          <cell r="N86">
            <v>1265000</v>
          </cell>
        </row>
        <row r="87">
          <cell r="D87">
            <v>348000</v>
          </cell>
          <cell r="E87">
            <v>399000</v>
          </cell>
          <cell r="F87">
            <v>477000</v>
          </cell>
          <cell r="G87">
            <v>513000</v>
          </cell>
          <cell r="H87">
            <v>550000</v>
          </cell>
          <cell r="I87">
            <v>642000</v>
          </cell>
          <cell r="J87">
            <v>733000</v>
          </cell>
          <cell r="K87">
            <v>825000</v>
          </cell>
          <cell r="L87">
            <v>963000</v>
          </cell>
          <cell r="M87">
            <v>1109000</v>
          </cell>
          <cell r="N87">
            <v>1265000</v>
          </cell>
        </row>
        <row r="88">
          <cell r="C88" t="str">
            <v>RR 24 Horas a la Hora 23:00 hrs</v>
          </cell>
          <cell r="D88">
            <v>348000</v>
          </cell>
          <cell r="E88">
            <v>399000</v>
          </cell>
          <cell r="F88">
            <v>477000</v>
          </cell>
          <cell r="G88">
            <v>513000</v>
          </cell>
          <cell r="H88">
            <v>550000</v>
          </cell>
          <cell r="I88">
            <v>642000</v>
          </cell>
          <cell r="J88">
            <v>733000</v>
          </cell>
          <cell r="K88">
            <v>825000</v>
          </cell>
          <cell r="L88">
            <v>963000</v>
          </cell>
          <cell r="M88">
            <v>1109000</v>
          </cell>
          <cell r="N88">
            <v>1265000</v>
          </cell>
        </row>
        <row r="89">
          <cell r="C89" t="str">
            <v>RR Mano a mano 23:30 hrs/Entrevista Dgo XL</v>
          </cell>
          <cell r="D89">
            <v>348000</v>
          </cell>
          <cell r="E89">
            <v>399000</v>
          </cell>
          <cell r="F89">
            <v>477000</v>
          </cell>
          <cell r="G89">
            <v>513000</v>
          </cell>
          <cell r="H89">
            <v>550000</v>
          </cell>
          <cell r="I89">
            <v>642000</v>
          </cell>
          <cell r="J89">
            <v>733000</v>
          </cell>
          <cell r="K89">
            <v>825000</v>
          </cell>
          <cell r="L89">
            <v>963000</v>
          </cell>
          <cell r="M89">
            <v>1109000</v>
          </cell>
          <cell r="N89">
            <v>1265000</v>
          </cell>
        </row>
        <row r="90">
          <cell r="C90" t="str">
            <v>Hora 24 s-d</v>
          </cell>
          <cell r="D90">
            <v>152000</v>
          </cell>
          <cell r="E90">
            <v>174000</v>
          </cell>
          <cell r="F90">
            <v>208000</v>
          </cell>
          <cell r="G90">
            <v>224000</v>
          </cell>
          <cell r="H90">
            <v>240000</v>
          </cell>
          <cell r="I90">
            <v>280000</v>
          </cell>
          <cell r="J90">
            <v>320000</v>
          </cell>
          <cell r="K90">
            <v>360000</v>
          </cell>
          <cell r="L90">
            <v>420000</v>
          </cell>
          <cell r="M90">
            <v>484000</v>
          </cell>
          <cell r="N90">
            <v>552000</v>
          </cell>
        </row>
        <row r="91">
          <cell r="C91" t="str">
            <v>RR Flashback 00:30 hrs</v>
          </cell>
          <cell r="D91">
            <v>152000</v>
          </cell>
          <cell r="E91">
            <v>174000</v>
          </cell>
          <cell r="F91">
            <v>208000</v>
          </cell>
          <cell r="G91">
            <v>224000</v>
          </cell>
          <cell r="H91">
            <v>240000</v>
          </cell>
          <cell r="I91">
            <v>280000</v>
          </cell>
          <cell r="J91">
            <v>320000</v>
          </cell>
          <cell r="K91">
            <v>360000</v>
          </cell>
          <cell r="L91">
            <v>420000</v>
          </cell>
          <cell r="M91">
            <v>484000</v>
          </cell>
          <cell r="N91">
            <v>552000</v>
          </cell>
        </row>
        <row r="92">
          <cell r="C92" t="str">
            <v>RR 24 horas central 01:30 hrs</v>
          </cell>
          <cell r="D92">
            <v>38000</v>
          </cell>
          <cell r="E92">
            <v>44000</v>
          </cell>
          <cell r="F92">
            <v>52000</v>
          </cell>
          <cell r="G92">
            <v>56000</v>
          </cell>
          <cell r="H92">
            <v>60000</v>
          </cell>
          <cell r="I92">
            <v>70000</v>
          </cell>
          <cell r="J92">
            <v>80000</v>
          </cell>
          <cell r="K92">
            <v>90000</v>
          </cell>
          <cell r="L92">
            <v>105000</v>
          </cell>
          <cell r="M92">
            <v>121000</v>
          </cell>
          <cell r="N92">
            <v>138000</v>
          </cell>
        </row>
        <row r="93">
          <cell r="C93" t="str">
            <v>RR Platea 24 02:30 hrs/RR Entrevista Dgo xl</v>
          </cell>
          <cell r="D93">
            <v>38000</v>
          </cell>
          <cell r="E93">
            <v>44000</v>
          </cell>
          <cell r="F93">
            <v>52000</v>
          </cell>
          <cell r="G93">
            <v>56000</v>
          </cell>
          <cell r="H93">
            <v>60000</v>
          </cell>
          <cell r="I93">
            <v>70000</v>
          </cell>
          <cell r="J93">
            <v>80000</v>
          </cell>
          <cell r="K93">
            <v>90000</v>
          </cell>
          <cell r="L93">
            <v>105000</v>
          </cell>
          <cell r="M93">
            <v>121000</v>
          </cell>
          <cell r="N93">
            <v>138000</v>
          </cell>
        </row>
        <row r="94">
          <cell r="C94" t="str">
            <v>24 Horas a la Hora 03:00 hrs</v>
          </cell>
          <cell r="D94">
            <v>38000</v>
          </cell>
          <cell r="E94">
            <v>44000</v>
          </cell>
          <cell r="F94">
            <v>52000</v>
          </cell>
          <cell r="G94">
            <v>56000</v>
          </cell>
          <cell r="H94">
            <v>60000</v>
          </cell>
          <cell r="I94">
            <v>70000</v>
          </cell>
          <cell r="J94">
            <v>80000</v>
          </cell>
          <cell r="K94">
            <v>90000</v>
          </cell>
          <cell r="L94">
            <v>105000</v>
          </cell>
          <cell r="M94">
            <v>121000</v>
          </cell>
          <cell r="N94">
            <v>138000</v>
          </cell>
        </row>
        <row r="95">
          <cell r="C95" t="str">
            <v>RR En que mundo vives 03:30 hrs</v>
          </cell>
          <cell r="D95">
            <v>38000</v>
          </cell>
          <cell r="E95">
            <v>44000</v>
          </cell>
          <cell r="F95">
            <v>52000</v>
          </cell>
          <cell r="G95">
            <v>56000</v>
          </cell>
          <cell r="H95">
            <v>60000</v>
          </cell>
          <cell r="I95">
            <v>70000</v>
          </cell>
          <cell r="J95">
            <v>80000</v>
          </cell>
          <cell r="K95">
            <v>90000</v>
          </cell>
          <cell r="L95">
            <v>105000</v>
          </cell>
          <cell r="M95">
            <v>121000</v>
          </cell>
          <cell r="N95">
            <v>138000</v>
          </cell>
        </row>
        <row r="96">
          <cell r="C96" t="str">
            <v>RR 24 horas central 04:00 hrs</v>
          </cell>
          <cell r="D96">
            <v>38000</v>
          </cell>
          <cell r="E96">
            <v>44000</v>
          </cell>
          <cell r="F96">
            <v>52000</v>
          </cell>
          <cell r="G96">
            <v>56000</v>
          </cell>
          <cell r="H96">
            <v>60000</v>
          </cell>
          <cell r="I96">
            <v>70000</v>
          </cell>
          <cell r="J96">
            <v>80000</v>
          </cell>
          <cell r="K96">
            <v>90000</v>
          </cell>
          <cell r="L96">
            <v>105000</v>
          </cell>
          <cell r="M96">
            <v>121000</v>
          </cell>
          <cell r="N96">
            <v>138000</v>
          </cell>
        </row>
        <row r="97">
          <cell r="C97" t="str">
            <v>24 Horas a la Hora 05:00 hrs</v>
          </cell>
          <cell r="D97">
            <v>38000</v>
          </cell>
          <cell r="E97">
            <v>44000</v>
          </cell>
          <cell r="F97">
            <v>52000</v>
          </cell>
          <cell r="G97">
            <v>56000</v>
          </cell>
          <cell r="H97">
            <v>60000</v>
          </cell>
          <cell r="I97">
            <v>70000</v>
          </cell>
          <cell r="J97">
            <v>80000</v>
          </cell>
          <cell r="K97">
            <v>90000</v>
          </cell>
          <cell r="L97">
            <v>105000</v>
          </cell>
          <cell r="M97">
            <v>121000</v>
          </cell>
          <cell r="N97">
            <v>138000</v>
          </cell>
        </row>
        <row r="98">
          <cell r="C98" t="str">
            <v>RR Chile al dia 05:30 hrs</v>
          </cell>
          <cell r="D98">
            <v>38000</v>
          </cell>
          <cell r="E98">
            <v>44000</v>
          </cell>
          <cell r="F98">
            <v>52000</v>
          </cell>
          <cell r="G98">
            <v>56000</v>
          </cell>
          <cell r="H98">
            <v>60000</v>
          </cell>
          <cell r="I98">
            <v>70000</v>
          </cell>
          <cell r="J98">
            <v>80000</v>
          </cell>
          <cell r="K98">
            <v>90000</v>
          </cell>
          <cell r="L98">
            <v>105000</v>
          </cell>
          <cell r="M98">
            <v>121000</v>
          </cell>
          <cell r="N98">
            <v>138000</v>
          </cell>
        </row>
        <row r="101">
          <cell r="C101" t="str">
            <v>% Recargo</v>
          </cell>
          <cell r="D101">
            <v>0.9</v>
          </cell>
          <cell r="E101">
            <v>0.45</v>
          </cell>
          <cell r="F101">
            <v>0.3</v>
          </cell>
          <cell r="G101">
            <v>0.12</v>
          </cell>
          <cell r="L101">
            <v>0.05</v>
          </cell>
          <cell r="M101">
            <v>0.1</v>
          </cell>
          <cell r="N101">
            <v>0.15</v>
          </cell>
        </row>
        <row r="102">
          <cell r="C102" t="str">
            <v>Segundos</v>
          </cell>
          <cell r="D102">
            <v>10</v>
          </cell>
          <cell r="E102">
            <v>15</v>
          </cell>
          <cell r="F102">
            <v>20</v>
          </cell>
          <cell r="G102">
            <v>25</v>
          </cell>
          <cell r="H102">
            <v>30</v>
          </cell>
          <cell r="I102">
            <v>35</v>
          </cell>
          <cell r="J102">
            <v>40</v>
          </cell>
          <cell r="K102">
            <v>45</v>
          </cell>
          <cell r="L102">
            <v>50</v>
          </cell>
          <cell r="M102">
            <v>55</v>
          </cell>
          <cell r="N102">
            <v>60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>
        <row r="3">
          <cell r="H3" t="str">
            <v>24 HORAS AL DIALMWJVSD</v>
          </cell>
        </row>
      </sheetData>
      <sheetData sheetId="28"/>
      <sheetData sheetId="29">
        <row r="3">
          <cell r="H3" t="str">
            <v>24 HORAS AL DIALMWJVSD</v>
          </cell>
        </row>
      </sheetData>
      <sheetData sheetId="30"/>
      <sheetData sheetId="31">
        <row r="8">
          <cell r="C8" t="str">
            <v>Programas</v>
          </cell>
        </row>
      </sheetData>
      <sheetData sheetId="32"/>
      <sheetData sheetId="33"/>
      <sheetData sheetId="34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Tarifa PLUS"/>
      <sheetName val="Tarifa Preferencial"/>
      <sheetName val="Pauta"/>
      <sheetName val="Rating1"/>
      <sheetName val="COL"/>
      <sheetName val="Hoja1"/>
      <sheetName val="Tarifa_PLUS"/>
      <sheetName val="Cuantificador_RM"/>
      <sheetName val="Cuantificador_TP"/>
      <sheetName val="Tarifa_PLUS2"/>
      <sheetName val="Tarifa_Preferencial"/>
      <sheetName val="Tarifa_PLUS1"/>
      <sheetName val="Tarifa_PLUS3"/>
      <sheetName val="Rk"/>
      <sheetName val="Tarifa_PLUS4"/>
      <sheetName val="Tarifa_PLUS5"/>
      <sheetName val="Cuantificador_RM1"/>
      <sheetName val="Cuantificador_TP1"/>
      <sheetName val="Tarifa_PLUS6"/>
      <sheetName val="Tarifa_Preferencial1"/>
      <sheetName val="Tarifa_PLUS7"/>
    </sheetNames>
    <sheetDataSet>
      <sheetData sheetId="0" refreshError="1">
        <row r="4">
          <cell r="C4" t="str">
            <v>Zona</v>
          </cell>
          <cell r="D4" t="str">
            <v>Edad i</v>
          </cell>
          <cell r="E4" t="str">
            <v>Edad f</v>
          </cell>
          <cell r="F4" t="str">
            <v>Hombres y Mujeres</v>
          </cell>
          <cell r="G4" t="str">
            <v>%HM</v>
          </cell>
          <cell r="H4" t="str">
            <v>Hombres</v>
          </cell>
          <cell r="I4" t="str">
            <v>%H</v>
          </cell>
          <cell r="J4" t="str">
            <v>Mujeres</v>
          </cell>
          <cell r="K4" t="str">
            <v>%M</v>
          </cell>
          <cell r="L4" t="str">
            <v>Dueñas de casa</v>
          </cell>
          <cell r="M4" t="str">
            <v>%DDC</v>
          </cell>
        </row>
        <row r="5">
          <cell r="C5" t="str">
            <v>Región Metropolitana</v>
          </cell>
          <cell r="D5" t="str">
            <v>0</v>
          </cell>
          <cell r="E5" t="str">
            <v>4</v>
          </cell>
          <cell r="F5">
            <v>534609.83297405252</v>
          </cell>
          <cell r="G5">
            <v>7.9281155705092254E-2</v>
          </cell>
          <cell r="H5">
            <v>265910.13181217574</v>
          </cell>
          <cell r="I5">
            <v>8.081687023966827E-2</v>
          </cell>
          <cell r="J5">
            <v>268699.70116187684</v>
          </cell>
          <cell r="K5">
            <v>7.7762909152700774E-2</v>
          </cell>
          <cell r="L5">
            <v>6745650.9999999991</v>
          </cell>
          <cell r="M5">
            <v>0</v>
          </cell>
        </row>
        <row r="6">
          <cell r="C6" t="str">
            <v>Región Metropolitana</v>
          </cell>
          <cell r="D6">
            <v>5</v>
          </cell>
          <cell r="E6">
            <v>9</v>
          </cell>
          <cell r="F6">
            <v>582701.14430249948</v>
          </cell>
          <cell r="G6">
            <v>8.6410852092178692E-2</v>
          </cell>
          <cell r="H6">
            <v>289450.76025653421</v>
          </cell>
          <cell r="I6">
            <v>8.7971467551860083E-2</v>
          </cell>
          <cell r="J6">
            <v>293250.38404596533</v>
          </cell>
          <cell r="K6">
            <v>8.4867987850209228E-2</v>
          </cell>
          <cell r="L6">
            <v>6745650.9999999991</v>
          </cell>
          <cell r="M6">
            <v>0</v>
          </cell>
        </row>
        <row r="7">
          <cell r="C7" t="str">
            <v>Región Metropolitana</v>
          </cell>
          <cell r="D7">
            <v>10</v>
          </cell>
          <cell r="E7">
            <v>14</v>
          </cell>
          <cell r="F7">
            <v>624215.05525049428</v>
          </cell>
          <cell r="G7">
            <v>9.2573900504686377E-2</v>
          </cell>
          <cell r="H7">
            <v>311294.76683102903</v>
          </cell>
          <cell r="I7">
            <v>9.4610418210920963E-2</v>
          </cell>
          <cell r="J7">
            <v>312920.28841946519</v>
          </cell>
          <cell r="K7">
            <v>9.0560547165402835E-2</v>
          </cell>
          <cell r="L7">
            <v>6745650.9999999991</v>
          </cell>
          <cell r="M7">
            <v>0</v>
          </cell>
        </row>
        <row r="8">
          <cell r="C8" t="str">
            <v>Región Metropolitana</v>
          </cell>
          <cell r="D8">
            <v>15</v>
          </cell>
          <cell r="E8">
            <v>19</v>
          </cell>
          <cell r="F8">
            <v>636412.00133465219</v>
          </cell>
          <cell r="G8">
            <v>9.4512537050388534E-2</v>
          </cell>
          <cell r="H8">
            <v>340702.87924199941</v>
          </cell>
          <cell r="I8">
            <v>0.10354829353185729</v>
          </cell>
          <cell r="J8">
            <v>295709.12209265277</v>
          </cell>
          <cell r="K8">
            <v>8.5579557764608419E-2</v>
          </cell>
          <cell r="L8">
            <v>6745650.9999999991</v>
          </cell>
          <cell r="M8">
            <v>0</v>
          </cell>
        </row>
        <row r="9">
          <cell r="C9" t="str">
            <v>Región Metropolitana</v>
          </cell>
          <cell r="D9">
            <v>20</v>
          </cell>
          <cell r="E9">
            <v>24</v>
          </cell>
          <cell r="F9">
            <v>553363.99897271232</v>
          </cell>
          <cell r="G9">
            <v>8.2052925311757327E-2</v>
          </cell>
          <cell r="H9">
            <v>273544.93022656225</v>
          </cell>
          <cell r="I9">
            <v>8.3137280178757503E-2</v>
          </cell>
          <cell r="J9">
            <v>279819.06874615012</v>
          </cell>
          <cell r="K9">
            <v>8.0980904437222542E-2</v>
          </cell>
          <cell r="L9">
            <v>6745650.9999999991</v>
          </cell>
          <cell r="M9">
            <v>0</v>
          </cell>
        </row>
        <row r="10">
          <cell r="C10" t="str">
            <v>Región Metropolitana</v>
          </cell>
          <cell r="D10">
            <v>25</v>
          </cell>
          <cell r="E10">
            <v>29</v>
          </cell>
          <cell r="F10">
            <v>529280.93915182713</v>
          </cell>
          <cell r="G10">
            <v>7.8448022644129353E-2</v>
          </cell>
          <cell r="H10">
            <v>255553.6691482162</v>
          </cell>
          <cell r="I10">
            <v>7.7669277127848144E-2</v>
          </cell>
          <cell r="J10">
            <v>273727.27000361093</v>
          </cell>
          <cell r="K10">
            <v>7.9217910320949894E-2</v>
          </cell>
          <cell r="L10">
            <v>6745650.9999999991</v>
          </cell>
          <cell r="M10">
            <v>0</v>
          </cell>
        </row>
        <row r="11">
          <cell r="C11" t="str">
            <v>Región Metropolitana</v>
          </cell>
          <cell r="D11">
            <v>30</v>
          </cell>
          <cell r="E11">
            <v>34</v>
          </cell>
          <cell r="F11">
            <v>522985.67113496154</v>
          </cell>
          <cell r="G11">
            <v>7.7508077652273757E-2</v>
          </cell>
          <cell r="H11">
            <v>251276.7681846015</v>
          </cell>
          <cell r="I11">
            <v>7.6369417856413893E-2</v>
          </cell>
          <cell r="J11">
            <v>271708.90295036003</v>
          </cell>
          <cell r="K11">
            <v>7.8633785764353537E-2</v>
          </cell>
          <cell r="L11">
            <v>6745650.9999999991</v>
          </cell>
          <cell r="M11">
            <v>0</v>
          </cell>
        </row>
        <row r="12">
          <cell r="C12" t="str">
            <v>Región Metropolitana</v>
          </cell>
          <cell r="D12">
            <v>35</v>
          </cell>
          <cell r="E12">
            <v>39</v>
          </cell>
          <cell r="F12">
            <v>515963.78402566025</v>
          </cell>
          <cell r="G12">
            <v>7.6407914764079155E-2</v>
          </cell>
          <cell r="H12">
            <v>237208.9451803152</v>
          </cell>
          <cell r="I12">
            <v>7.2093847690869836E-2</v>
          </cell>
          <cell r="J12">
            <v>278754.83884534502</v>
          </cell>
          <cell r="K12">
            <v>8.0672911489199001E-2</v>
          </cell>
          <cell r="L12">
            <v>6745650.9999999991</v>
          </cell>
          <cell r="M12">
            <v>0</v>
          </cell>
        </row>
        <row r="13">
          <cell r="C13" t="str">
            <v>Región Metropolitana</v>
          </cell>
          <cell r="D13">
            <v>40</v>
          </cell>
          <cell r="E13">
            <v>44</v>
          </cell>
          <cell r="F13">
            <v>477089.74635161168</v>
          </cell>
          <cell r="G13">
            <v>7.0672114075142192E-2</v>
          </cell>
          <cell r="H13">
            <v>223105.7758870734</v>
          </cell>
          <cell r="I13">
            <v>6.7807534886718882E-2</v>
          </cell>
          <cell r="J13">
            <v>253983.97046453832</v>
          </cell>
          <cell r="K13">
            <v>7.3504110112789137E-2</v>
          </cell>
          <cell r="L13">
            <v>6745650.9999999991</v>
          </cell>
          <cell r="M13">
            <v>0</v>
          </cell>
        </row>
        <row r="14">
          <cell r="C14" t="str">
            <v>Región Metropolitana</v>
          </cell>
          <cell r="D14">
            <v>45</v>
          </cell>
          <cell r="E14">
            <v>49</v>
          </cell>
          <cell r="F14">
            <v>426000.53073795332</v>
          </cell>
          <cell r="G14">
            <v>6.3184597719565277E-2</v>
          </cell>
          <cell r="H14">
            <v>213668.31673595667</v>
          </cell>
          <cell r="I14">
            <v>6.493925037867801E-2</v>
          </cell>
          <cell r="J14">
            <v>212332.21400199665</v>
          </cell>
          <cell r="K14">
            <v>6.1449903353936998E-2</v>
          </cell>
          <cell r="L14">
            <v>6745650.9999999991</v>
          </cell>
          <cell r="M14">
            <v>0</v>
          </cell>
        </row>
        <row r="15">
          <cell r="C15" t="str">
            <v>Región Metropolitana</v>
          </cell>
          <cell r="D15">
            <v>50</v>
          </cell>
          <cell r="E15">
            <v>54</v>
          </cell>
          <cell r="F15">
            <v>353977.71714703296</v>
          </cell>
          <cell r="G15">
            <v>5.2455339261395499E-2</v>
          </cell>
          <cell r="H15">
            <v>169131.9926520352</v>
          </cell>
          <cell r="I15">
            <v>5.1403525733990783E-2</v>
          </cell>
          <cell r="J15">
            <v>184845.72449499779</v>
          </cell>
          <cell r="K15">
            <v>5.3495188937742945E-2</v>
          </cell>
          <cell r="L15">
            <v>6745650.9999999991</v>
          </cell>
          <cell r="M15">
            <v>0</v>
          </cell>
        </row>
        <row r="16">
          <cell r="C16" t="str">
            <v>Región Metropolitana</v>
          </cell>
          <cell r="D16">
            <v>55</v>
          </cell>
          <cell r="E16">
            <v>59</v>
          </cell>
          <cell r="F16">
            <v>286875.569389774</v>
          </cell>
          <cell r="G16">
            <v>4.2521829688376193E-2</v>
          </cell>
          <cell r="H16">
            <v>138910.91559508847</v>
          </cell>
          <cell r="I16">
            <v>4.2218569725095877E-2</v>
          </cell>
          <cell r="J16">
            <v>147964.65379468552</v>
          </cell>
          <cell r="K16">
            <v>4.2821640221754921E-2</v>
          </cell>
          <cell r="L16">
            <v>6745650.9999999991</v>
          </cell>
          <cell r="M16">
            <v>0</v>
          </cell>
        </row>
        <row r="17">
          <cell r="C17" t="str">
            <v>Región Metropolitana</v>
          </cell>
          <cell r="D17">
            <v>60</v>
          </cell>
          <cell r="E17">
            <v>64</v>
          </cell>
          <cell r="F17">
            <v>222765.76994697028</v>
          </cell>
          <cell r="G17">
            <v>3.3010227242382971E-2</v>
          </cell>
          <cell r="H17">
            <v>106250.94460021269</v>
          </cell>
          <cell r="I17">
            <v>3.2292371652325243E-2</v>
          </cell>
          <cell r="J17">
            <v>116514.82534675759</v>
          </cell>
          <cell r="K17">
            <v>3.3719917585335289E-2</v>
          </cell>
          <cell r="L17">
            <v>6745650.9999999991</v>
          </cell>
          <cell r="M17">
            <v>0</v>
          </cell>
        </row>
        <row r="18">
          <cell r="C18" t="str">
            <v>Región Metropolitana</v>
          </cell>
          <cell r="D18">
            <v>65</v>
          </cell>
          <cell r="E18">
            <v>69</v>
          </cell>
          <cell r="F18">
            <v>173727.07793523188</v>
          </cell>
          <cell r="G18">
            <v>2.574167534513605E-2</v>
          </cell>
          <cell r="H18">
            <v>82533.584711076735</v>
          </cell>
          <cell r="I18">
            <v>2.5084061147098949E-2</v>
          </cell>
          <cell r="J18">
            <v>91193.493224155143</v>
          </cell>
          <cell r="K18">
            <v>2.639180951167187E-2</v>
          </cell>
          <cell r="L18">
            <v>6745650.9999999991</v>
          </cell>
          <cell r="M18">
            <v>0</v>
          </cell>
        </row>
        <row r="19">
          <cell r="C19" t="str">
            <v>Región Metropolitana</v>
          </cell>
          <cell r="D19">
            <v>70</v>
          </cell>
          <cell r="E19">
            <v>74</v>
          </cell>
          <cell r="F19">
            <v>140764.3417245211</v>
          </cell>
          <cell r="G19">
            <v>2.0839007717162007E-2</v>
          </cell>
          <cell r="H19">
            <v>63552.627541976857</v>
          </cell>
          <cell r="I19">
            <v>1.9315264215196536E-2</v>
          </cell>
          <cell r="J19">
            <v>77211.714182544238</v>
          </cell>
          <cell r="K19">
            <v>2.2345419401431636E-2</v>
          </cell>
          <cell r="L19">
            <v>6745650.9999999991</v>
          </cell>
          <cell r="M19">
            <v>0</v>
          </cell>
        </row>
        <row r="20">
          <cell r="C20" t="str">
            <v>Región Metropolitana</v>
          </cell>
          <cell r="D20">
            <v>75</v>
          </cell>
          <cell r="E20">
            <v>79</v>
          </cell>
          <cell r="F20">
            <v>80843.396496971982</v>
          </cell>
          <cell r="G20">
            <v>1.1968276856524874E-2</v>
          </cell>
          <cell r="H20">
            <v>36512.716491024526</v>
          </cell>
          <cell r="I20">
            <v>1.1097145680922148E-2</v>
          </cell>
          <cell r="J20">
            <v>44330.680005947448</v>
          </cell>
          <cell r="K20">
            <v>1.2829499352152765E-2</v>
          </cell>
          <cell r="L20">
            <v>6745650.9999999991</v>
          </cell>
          <cell r="M20">
            <v>0</v>
          </cell>
        </row>
        <row r="21">
          <cell r="C21" t="str">
            <v>Región Metropolitana</v>
          </cell>
          <cell r="D21">
            <v>80</v>
          </cell>
          <cell r="E21">
            <v>84</v>
          </cell>
          <cell r="F21">
            <v>44316.940874489635</v>
          </cell>
          <cell r="G21">
            <v>6.5475713637213277E-3</v>
          </cell>
          <cell r="H21">
            <v>17637.79818879113</v>
          </cell>
          <cell r="I21">
            <v>5.3605766648404177E-3</v>
          </cell>
          <cell r="J21">
            <v>26679.142685698509</v>
          </cell>
          <cell r="K21">
            <v>7.7210645935555135E-3</v>
          </cell>
          <cell r="L21">
            <v>6745650.9999999991</v>
          </cell>
          <cell r="M21">
            <v>0</v>
          </cell>
        </row>
        <row r="22">
          <cell r="C22" t="str">
            <v>Región Metropolitana</v>
          </cell>
          <cell r="D22">
            <v>85</v>
          </cell>
          <cell r="E22">
            <v>89</v>
          </cell>
          <cell r="F22">
            <v>24907.410911646126</v>
          </cell>
          <cell r="G22">
            <v>3.6743304227082165E-3</v>
          </cell>
          <cell r="H22">
            <v>8907.2648167842981</v>
          </cell>
          <cell r="I22">
            <v>2.7071449289374455E-3</v>
          </cell>
          <cell r="J22">
            <v>16000.146094861826</v>
          </cell>
          <cell r="K22">
            <v>4.6305146668365934E-3</v>
          </cell>
          <cell r="L22">
            <v>6745650.9999999991</v>
          </cell>
          <cell r="M22">
            <v>0</v>
          </cell>
        </row>
        <row r="23">
          <cell r="C23" t="str">
            <v>Región Metropolitana</v>
          </cell>
          <cell r="D23">
            <v>90</v>
          </cell>
          <cell r="E23">
            <v>94</v>
          </cell>
          <cell r="F23">
            <v>10250.286545456927</v>
          </cell>
          <cell r="G23">
            <v>1.5113888221314322E-3</v>
          </cell>
          <cell r="H23">
            <v>3534.6288955493251</v>
          </cell>
          <cell r="I23">
            <v>1.0742638606894626E-3</v>
          </cell>
          <cell r="J23">
            <v>6715.6576499076027</v>
          </cell>
          <cell r="K23">
            <v>1.9435417064933411E-3</v>
          </cell>
          <cell r="L23">
            <v>6745650.9999999991</v>
          </cell>
          <cell r="M23">
            <v>0</v>
          </cell>
        </row>
        <row r="24">
          <cell r="C24" t="str">
            <v>Región Metropolitana</v>
          </cell>
          <cell r="D24">
            <v>95</v>
          </cell>
          <cell r="E24">
            <v>99</v>
          </cell>
          <cell r="F24">
            <v>3951.3899458035221</v>
          </cell>
          <cell r="G24">
            <v>5.8212502336510983E-4</v>
          </cell>
          <cell r="H24">
            <v>1272.4664023977568</v>
          </cell>
          <cell r="I24">
            <v>3.8673498984820651E-4</v>
          </cell>
          <cell r="J24">
            <v>2678.923543405765</v>
          </cell>
          <cell r="K24">
            <v>7.7529259330062241E-4</v>
          </cell>
          <cell r="L24">
            <v>6745650.9999999991</v>
          </cell>
          <cell r="M24">
            <v>0</v>
          </cell>
        </row>
        <row r="25">
          <cell r="C25" t="str">
            <v>Región Metropolitana</v>
          </cell>
          <cell r="D25">
            <v>100</v>
          </cell>
          <cell r="E25">
            <v>104</v>
          </cell>
          <cell r="F25">
            <v>361.57065254025503</v>
          </cell>
          <cell r="G25">
            <v>5.3405965446340353E-5</v>
          </cell>
          <cell r="H25">
            <v>141.385155821973</v>
          </cell>
          <cell r="I25">
            <v>4.2970554427578504E-5</v>
          </cell>
          <cell r="J25">
            <v>220.18549671828202</v>
          </cell>
          <cell r="K25">
            <v>6.3722678901421013E-5</v>
          </cell>
          <cell r="L25">
            <v>6745650.9999999991</v>
          </cell>
          <cell r="M25">
            <v>0</v>
          </cell>
        </row>
        <row r="26">
          <cell r="C26" t="str">
            <v>Región Metropolitana</v>
          </cell>
          <cell r="D26">
            <v>105</v>
          </cell>
          <cell r="E26">
            <v>109</v>
          </cell>
          <cell r="F26">
            <v>286.82419313660728</v>
          </cell>
          <cell r="G26">
            <v>4.2724772357072287E-5</v>
          </cell>
          <cell r="H26">
            <v>176.73144477746624</v>
          </cell>
          <cell r="I26">
            <v>5.371319303447313E-5</v>
          </cell>
          <cell r="J26">
            <v>110.09274835914101</v>
          </cell>
          <cell r="K26">
            <v>3.1861339450710506E-5</v>
          </cell>
          <cell r="L26">
            <v>6745650.9999999991</v>
          </cell>
          <cell r="M26">
            <v>0</v>
          </cell>
        </row>
        <row r="27">
          <cell r="C27" t="str">
            <v>Total</v>
          </cell>
          <cell r="F27">
            <v>6745650.9999999991</v>
          </cell>
          <cell r="H27">
            <v>3290280.0000000009</v>
          </cell>
          <cell r="J27">
            <v>3455371</v>
          </cell>
          <cell r="L27">
            <v>6745650.9999999991</v>
          </cell>
        </row>
      </sheetData>
      <sheetData sheetId="1" refreshError="1"/>
      <sheetData sheetId="2" refreshError="1">
        <row r="4">
          <cell r="C4" t="str">
            <v>Zona</v>
          </cell>
        </row>
        <row r="32">
          <cell r="J32" t="str">
            <v>ABC1</v>
          </cell>
          <cell r="K32">
            <v>0.27388000000000001</v>
          </cell>
        </row>
        <row r="33">
          <cell r="J33" t="str">
            <v>ABC1C2</v>
          </cell>
          <cell r="K33">
            <v>0.28243000000000001</v>
          </cell>
        </row>
        <row r="34">
          <cell r="J34" t="str">
            <v>ABC</v>
          </cell>
          <cell r="K34">
            <v>0.27316000000000001</v>
          </cell>
        </row>
        <row r="35">
          <cell r="J35" t="str">
            <v>ABCD</v>
          </cell>
          <cell r="K35">
            <v>0.27312999999999998</v>
          </cell>
        </row>
        <row r="36">
          <cell r="J36" t="str">
            <v>C2</v>
          </cell>
          <cell r="K36">
            <v>0.28692000000000001</v>
          </cell>
        </row>
        <row r="37">
          <cell r="J37" t="str">
            <v>C2C3</v>
          </cell>
          <cell r="K37">
            <v>0.27300000000000002</v>
          </cell>
        </row>
        <row r="38">
          <cell r="J38" t="str">
            <v>C2C3D</v>
          </cell>
          <cell r="K38">
            <v>0.27302999999999999</v>
          </cell>
        </row>
        <row r="39">
          <cell r="J39" t="str">
            <v>C3</v>
          </cell>
          <cell r="K39">
            <v>0.26283000000000001</v>
          </cell>
        </row>
        <row r="40">
          <cell r="J40" t="str">
            <v>C3D</v>
          </cell>
          <cell r="K40">
            <v>0.26871</v>
          </cell>
        </row>
        <row r="41">
          <cell r="J41" t="str">
            <v>D</v>
          </cell>
          <cell r="K41">
            <v>0.27306999999999998</v>
          </cell>
        </row>
      </sheetData>
      <sheetData sheetId="3" refreshError="1"/>
      <sheetData sheetId="4" refreshError="1">
        <row r="7">
          <cell r="A7" t="str">
            <v>Valor por segundaje</v>
          </cell>
          <cell r="C7" t="str">
            <v>5''</v>
          </cell>
          <cell r="D7" t="str">
            <v>10''</v>
          </cell>
          <cell r="E7" t="str">
            <v>15''</v>
          </cell>
          <cell r="F7" t="str">
            <v>20"</v>
          </cell>
          <cell r="G7" t="str">
            <v>25"</v>
          </cell>
          <cell r="H7" t="str">
            <v>30"</v>
          </cell>
          <cell r="I7" t="str">
            <v>35"</v>
          </cell>
          <cell r="J7" t="str">
            <v>40"</v>
          </cell>
          <cell r="K7" t="str">
            <v>45"</v>
          </cell>
          <cell r="L7" t="str">
            <v>50"</v>
          </cell>
          <cell r="M7" t="str">
            <v>55"</v>
          </cell>
          <cell r="N7" t="str">
            <v>60"</v>
          </cell>
          <cell r="O7" t="str">
            <v>65"</v>
          </cell>
        </row>
        <row r="8">
          <cell r="A8" t="str">
            <v>24 HORAS LU-VI PLUS</v>
          </cell>
          <cell r="C8">
            <v>19000</v>
          </cell>
          <cell r="D8">
            <v>38000</v>
          </cell>
          <cell r="E8">
            <v>44000</v>
          </cell>
          <cell r="F8">
            <v>52000</v>
          </cell>
          <cell r="G8">
            <v>56000</v>
          </cell>
          <cell r="H8">
            <v>60000</v>
          </cell>
          <cell r="I8">
            <v>70000</v>
          </cell>
          <cell r="J8">
            <v>80000</v>
          </cell>
          <cell r="K8">
            <v>90000</v>
          </cell>
          <cell r="L8">
            <v>105000</v>
          </cell>
          <cell r="M8">
            <v>121000</v>
          </cell>
          <cell r="N8">
            <v>138000</v>
          </cell>
          <cell r="O8">
            <v>150000</v>
          </cell>
        </row>
        <row r="9">
          <cell r="A9" t="str">
            <v>24 Horas Sábado Plus</v>
          </cell>
          <cell r="B9">
            <v>0</v>
          </cell>
          <cell r="C9">
            <v>19000</v>
          </cell>
          <cell r="D9">
            <v>38000</v>
          </cell>
          <cell r="E9">
            <v>44000</v>
          </cell>
          <cell r="F9">
            <v>52000</v>
          </cell>
          <cell r="G9">
            <v>56000</v>
          </cell>
          <cell r="H9">
            <v>60000</v>
          </cell>
          <cell r="I9">
            <v>70000</v>
          </cell>
          <cell r="J9">
            <v>80000</v>
          </cell>
          <cell r="K9">
            <v>90000</v>
          </cell>
          <cell r="L9">
            <v>105000</v>
          </cell>
          <cell r="M9">
            <v>121000</v>
          </cell>
          <cell r="N9">
            <v>138000</v>
          </cell>
          <cell r="O9">
            <v>150000</v>
          </cell>
        </row>
        <row r="10">
          <cell r="A10" t="str">
            <v>24 Horas Domingo Plus</v>
          </cell>
          <cell r="B10">
            <v>0</v>
          </cell>
          <cell r="C10">
            <v>19000</v>
          </cell>
          <cell r="D10">
            <v>38000</v>
          </cell>
          <cell r="E10">
            <v>44000</v>
          </cell>
          <cell r="F10">
            <v>52000</v>
          </cell>
          <cell r="G10">
            <v>56000</v>
          </cell>
          <cell r="H10">
            <v>60000</v>
          </cell>
          <cell r="I10">
            <v>70000</v>
          </cell>
          <cell r="J10">
            <v>80000</v>
          </cell>
          <cell r="K10">
            <v>90000</v>
          </cell>
          <cell r="L10">
            <v>105000</v>
          </cell>
          <cell r="M10">
            <v>121000</v>
          </cell>
          <cell r="N10">
            <v>138000</v>
          </cell>
          <cell r="O10">
            <v>150000</v>
          </cell>
        </row>
        <row r="12">
          <cell r="A12" t="str">
            <v>Domingo de Goles Plus</v>
          </cell>
          <cell r="C12">
            <v>16000</v>
          </cell>
          <cell r="D12">
            <v>32000</v>
          </cell>
          <cell r="E12">
            <v>36000</v>
          </cell>
          <cell r="F12">
            <v>43000</v>
          </cell>
          <cell r="G12">
            <v>47000</v>
          </cell>
          <cell r="H12">
            <v>50000</v>
          </cell>
          <cell r="I12">
            <v>58000</v>
          </cell>
          <cell r="J12">
            <v>67000</v>
          </cell>
          <cell r="K12">
            <v>75000</v>
          </cell>
          <cell r="L12">
            <v>88000</v>
          </cell>
          <cell r="M12">
            <v>101000</v>
          </cell>
          <cell r="N12">
            <v>115000</v>
          </cell>
          <cell r="O12">
            <v>124000</v>
          </cell>
        </row>
        <row r="13">
          <cell r="A13" t="str">
            <v>TU MAÑANA A PLUS</v>
          </cell>
          <cell r="B13">
            <v>0</v>
          </cell>
          <cell r="C13">
            <v>6000</v>
          </cell>
          <cell r="D13">
            <v>13000</v>
          </cell>
          <cell r="E13">
            <v>15000</v>
          </cell>
          <cell r="F13">
            <v>17000</v>
          </cell>
          <cell r="G13">
            <v>19000</v>
          </cell>
          <cell r="H13">
            <v>20000</v>
          </cell>
          <cell r="I13">
            <v>23000</v>
          </cell>
          <cell r="J13">
            <v>27000</v>
          </cell>
          <cell r="K13">
            <v>30000</v>
          </cell>
          <cell r="L13">
            <v>35000</v>
          </cell>
          <cell r="M13">
            <v>40000</v>
          </cell>
          <cell r="N13">
            <v>46000</v>
          </cell>
          <cell r="O13">
            <v>50000</v>
          </cell>
        </row>
        <row r="14">
          <cell r="A14" t="str">
            <v>TU MAÑANA B PLUS</v>
          </cell>
          <cell r="B14">
            <v>0</v>
          </cell>
          <cell r="C14">
            <v>6000</v>
          </cell>
          <cell r="D14">
            <v>13000</v>
          </cell>
          <cell r="E14">
            <v>14000</v>
          </cell>
          <cell r="F14">
            <v>17000</v>
          </cell>
          <cell r="G14">
            <v>19000</v>
          </cell>
          <cell r="H14">
            <v>20000</v>
          </cell>
          <cell r="I14">
            <v>23000</v>
          </cell>
          <cell r="J14">
            <v>27000</v>
          </cell>
          <cell r="K14">
            <v>30000</v>
          </cell>
          <cell r="L14">
            <v>35000</v>
          </cell>
          <cell r="M14">
            <v>40000</v>
          </cell>
          <cell r="N14">
            <v>46000</v>
          </cell>
          <cell r="O14">
            <v>50000</v>
          </cell>
        </row>
        <row r="16">
          <cell r="A16" t="str">
            <v>24 Horas al día Plus</v>
          </cell>
          <cell r="B16">
            <v>0</v>
          </cell>
          <cell r="C16">
            <v>9000</v>
          </cell>
          <cell r="D16">
            <v>19000</v>
          </cell>
          <cell r="E16">
            <v>22000</v>
          </cell>
          <cell r="F16">
            <v>26000</v>
          </cell>
          <cell r="G16">
            <v>28000</v>
          </cell>
          <cell r="H16">
            <v>30000</v>
          </cell>
          <cell r="I16">
            <v>35000</v>
          </cell>
          <cell r="J16">
            <v>40000</v>
          </cell>
          <cell r="K16">
            <v>45000</v>
          </cell>
          <cell r="L16">
            <v>52000</v>
          </cell>
          <cell r="M16">
            <v>60000</v>
          </cell>
          <cell r="N16">
            <v>69000</v>
          </cell>
          <cell r="O16">
            <v>75000</v>
          </cell>
        </row>
        <row r="17">
          <cell r="A17" t="str">
            <v>24 horas Día Sá Plus</v>
          </cell>
          <cell r="B17">
            <v>0</v>
          </cell>
          <cell r="C17">
            <v>9000</v>
          </cell>
          <cell r="D17">
            <v>19000</v>
          </cell>
          <cell r="E17">
            <v>22000</v>
          </cell>
          <cell r="F17">
            <v>26000</v>
          </cell>
          <cell r="G17">
            <v>28000</v>
          </cell>
          <cell r="H17">
            <v>30000</v>
          </cell>
          <cell r="I17">
            <v>35000</v>
          </cell>
          <cell r="J17">
            <v>40000</v>
          </cell>
          <cell r="K17">
            <v>45000</v>
          </cell>
          <cell r="L17">
            <v>52000</v>
          </cell>
          <cell r="M17">
            <v>60000</v>
          </cell>
          <cell r="N17">
            <v>69000</v>
          </cell>
          <cell r="O17">
            <v>75000</v>
          </cell>
        </row>
        <row r="18">
          <cell r="A18" t="str">
            <v>24 horas Día Do Plus</v>
          </cell>
          <cell r="B18">
            <v>0</v>
          </cell>
          <cell r="C18">
            <v>10000</v>
          </cell>
          <cell r="D18">
            <v>19000</v>
          </cell>
          <cell r="E18">
            <v>21000</v>
          </cell>
          <cell r="F18">
            <v>26000</v>
          </cell>
          <cell r="G18">
            <v>28000</v>
          </cell>
          <cell r="H18">
            <v>30000</v>
          </cell>
          <cell r="I18">
            <v>35000</v>
          </cell>
          <cell r="J18">
            <v>40000</v>
          </cell>
          <cell r="K18">
            <v>45000</v>
          </cell>
          <cell r="L18">
            <v>53000</v>
          </cell>
          <cell r="M18">
            <v>61000</v>
          </cell>
          <cell r="N18">
            <v>69000</v>
          </cell>
          <cell r="O18">
            <v>75000</v>
          </cell>
        </row>
      </sheetData>
      <sheetData sheetId="5" refreshError="1"/>
      <sheetData sheetId="6" refreshError="1">
        <row r="20">
          <cell r="B20" t="str">
            <v>5:50</v>
          </cell>
          <cell r="C20">
            <v>75832</v>
          </cell>
          <cell r="D20" t="str">
            <v>0,243055555555556LMWJVD</v>
          </cell>
          <cell r="F20">
            <v>0.24305555555555555</v>
          </cell>
          <cell r="G20">
            <v>0.27083333333333331</v>
          </cell>
          <cell r="H20" t="str">
            <v>L-V</v>
          </cell>
          <cell r="I20">
            <v>30</v>
          </cell>
          <cell r="J20" t="str">
            <v>Baja</v>
          </cell>
          <cell r="K20" t="str">
            <v>Off Prime</v>
          </cell>
          <cell r="L20">
            <v>2</v>
          </cell>
          <cell r="AR20">
            <v>0</v>
          </cell>
          <cell r="AS20">
            <v>7</v>
          </cell>
          <cell r="AU20">
            <v>250000</v>
          </cell>
          <cell r="AV20">
            <v>0</v>
          </cell>
        </row>
        <row r="21">
          <cell r="B21" t="str">
            <v>TU MAÑANA A</v>
          </cell>
          <cell r="C21">
            <v>76305</v>
          </cell>
          <cell r="D21" t="str">
            <v>TU MANANA 24 HORASLMWJV</v>
          </cell>
          <cell r="F21">
            <v>0.27083333333333331</v>
          </cell>
          <cell r="G21">
            <v>0.29166666666666669</v>
          </cell>
          <cell r="H21" t="str">
            <v>L-V</v>
          </cell>
          <cell r="I21">
            <v>30</v>
          </cell>
          <cell r="J21" t="str">
            <v>Media</v>
          </cell>
          <cell r="K21" t="str">
            <v>Off Prime</v>
          </cell>
          <cell r="L21">
            <v>2</v>
          </cell>
          <cell r="AR21">
            <v>0</v>
          </cell>
          <cell r="AS21">
            <v>7</v>
          </cell>
          <cell r="AU21">
            <v>600000</v>
          </cell>
          <cell r="AV21">
            <v>0</v>
          </cell>
        </row>
        <row r="22">
          <cell r="B22" t="str">
            <v>TU MAÑANA A PLUS</v>
          </cell>
          <cell r="C22">
            <v>0</v>
          </cell>
          <cell r="D22" t="str">
            <v>TU MANANA 24 HORAS*plusLMWJV</v>
          </cell>
          <cell r="F22">
            <v>0.27083333333333331</v>
          </cell>
          <cell r="G22">
            <v>0.29166666666666669</v>
          </cell>
          <cell r="H22" t="str">
            <v>L-V</v>
          </cell>
          <cell r="I22">
            <v>30</v>
          </cell>
          <cell r="J22" t="str">
            <v>Media</v>
          </cell>
          <cell r="K22" t="str">
            <v>Off Prime</v>
          </cell>
          <cell r="L22">
            <v>2</v>
          </cell>
          <cell r="AR22">
            <v>0</v>
          </cell>
          <cell r="AS22">
            <v>8</v>
          </cell>
          <cell r="AU22">
            <v>620000</v>
          </cell>
          <cell r="AV22">
            <v>0</v>
          </cell>
        </row>
        <row r="23">
          <cell r="B23" t="str">
            <v>TU MAÑANA B</v>
          </cell>
          <cell r="C23">
            <v>76306</v>
          </cell>
          <cell r="D23" t="str">
            <v>TU MANANA 24 HORASLMWJV</v>
          </cell>
          <cell r="F23">
            <v>0.29166666666666669</v>
          </cell>
          <cell r="G23">
            <v>0.33333333333333331</v>
          </cell>
          <cell r="H23" t="str">
            <v>L-V</v>
          </cell>
          <cell r="I23">
            <v>30</v>
          </cell>
          <cell r="J23" t="str">
            <v>Media</v>
          </cell>
          <cell r="K23" t="str">
            <v>Off Prime</v>
          </cell>
          <cell r="L23">
            <v>2</v>
          </cell>
          <cell r="AR23">
            <v>0</v>
          </cell>
          <cell r="AS23">
            <v>7</v>
          </cell>
          <cell r="AU23">
            <v>700000</v>
          </cell>
          <cell r="AV23">
            <v>0</v>
          </cell>
        </row>
        <row r="24">
          <cell r="B24" t="str">
            <v>TU MAÑANA B PLUS</v>
          </cell>
          <cell r="C24">
            <v>0</v>
          </cell>
          <cell r="D24" t="str">
            <v>TU MANANA 24 HORAS*plusLMWJV</v>
          </cell>
          <cell r="F24">
            <v>0.29166666666666669</v>
          </cell>
          <cell r="G24">
            <v>0.33333333333333331</v>
          </cell>
          <cell r="H24" t="str">
            <v>L-V</v>
          </cell>
          <cell r="I24">
            <v>30</v>
          </cell>
          <cell r="J24" t="str">
            <v>Media</v>
          </cell>
          <cell r="K24" t="str">
            <v>Off Prime</v>
          </cell>
          <cell r="L24">
            <v>2</v>
          </cell>
          <cell r="AR24">
            <v>0</v>
          </cell>
          <cell r="AS24">
            <v>8</v>
          </cell>
          <cell r="AU24">
            <v>720000</v>
          </cell>
          <cell r="AV24">
            <v>0</v>
          </cell>
        </row>
        <row r="25">
          <cell r="B25" t="str">
            <v>BUENOS DÍAS A TODOS A</v>
          </cell>
          <cell r="C25">
            <v>70967</v>
          </cell>
          <cell r="D25" t="str">
            <v>BUENOS DIAS A TODOS (A)LMWJV</v>
          </cell>
          <cell r="F25">
            <v>0.33333333333333331</v>
          </cell>
          <cell r="G25">
            <v>0.375</v>
          </cell>
          <cell r="H25" t="str">
            <v>L-V</v>
          </cell>
          <cell r="I25">
            <v>30</v>
          </cell>
          <cell r="J25" t="str">
            <v>Media</v>
          </cell>
          <cell r="K25" t="str">
            <v>Off Prime</v>
          </cell>
          <cell r="L25">
            <v>2</v>
          </cell>
          <cell r="AR25">
            <v>0</v>
          </cell>
          <cell r="AS25">
            <v>7</v>
          </cell>
          <cell r="AU25">
            <v>550000</v>
          </cell>
          <cell r="AV25">
            <v>0</v>
          </cell>
        </row>
        <row r="26">
          <cell r="B26" t="str">
            <v>BUENOS DÍAS A TODOS B</v>
          </cell>
          <cell r="C26">
            <v>70968</v>
          </cell>
          <cell r="D26" t="str">
            <v>BUENOS DIAS A TODOS (B)LMWJV</v>
          </cell>
          <cell r="F26">
            <v>0.375</v>
          </cell>
          <cell r="G26">
            <v>0.41666666666666669</v>
          </cell>
          <cell r="H26" t="str">
            <v>L-V</v>
          </cell>
          <cell r="I26">
            <v>30</v>
          </cell>
          <cell r="J26" t="str">
            <v>Media</v>
          </cell>
          <cell r="K26" t="str">
            <v>Off Prime</v>
          </cell>
          <cell r="L26">
            <v>2</v>
          </cell>
          <cell r="AR26">
            <v>0</v>
          </cell>
          <cell r="AS26">
            <v>7</v>
          </cell>
          <cell r="AU26">
            <v>500000</v>
          </cell>
          <cell r="AV26">
            <v>0</v>
          </cell>
        </row>
        <row r="27">
          <cell r="B27" t="str">
            <v>BUENOS DÍAS A TODOS C</v>
          </cell>
          <cell r="C27">
            <v>70969</v>
          </cell>
          <cell r="D27" t="str">
            <v>BUENOS DIAS A TODOS (C)LMWJV</v>
          </cell>
          <cell r="F27">
            <v>0.41666666666666669</v>
          </cell>
          <cell r="G27">
            <v>0.45833333333333331</v>
          </cell>
          <cell r="H27" t="str">
            <v>L-V</v>
          </cell>
          <cell r="I27">
            <v>30</v>
          </cell>
          <cell r="J27" t="str">
            <v>Media</v>
          </cell>
          <cell r="K27" t="str">
            <v>Off Prime</v>
          </cell>
          <cell r="L27">
            <v>2</v>
          </cell>
          <cell r="AR27">
            <v>0</v>
          </cell>
          <cell r="AS27">
            <v>7</v>
          </cell>
          <cell r="AU27">
            <v>500000</v>
          </cell>
          <cell r="AV27">
            <v>0</v>
          </cell>
        </row>
        <row r="28">
          <cell r="B28" t="str">
            <v>BUENOS DÍAS A TODOS D</v>
          </cell>
          <cell r="C28">
            <v>70970</v>
          </cell>
          <cell r="D28" t="str">
            <v>BUENOS DIAS A TODOS (D)LMWJV</v>
          </cell>
          <cell r="F28">
            <v>0.45833333333333331</v>
          </cell>
          <cell r="G28">
            <v>0.5</v>
          </cell>
          <cell r="H28" t="str">
            <v>L-V</v>
          </cell>
          <cell r="I28">
            <v>30</v>
          </cell>
          <cell r="J28" t="str">
            <v>Media</v>
          </cell>
          <cell r="K28" t="str">
            <v>Off Prime</v>
          </cell>
          <cell r="L28">
            <v>2</v>
          </cell>
          <cell r="AR28">
            <v>0</v>
          </cell>
          <cell r="AS28">
            <v>7</v>
          </cell>
          <cell r="AU28">
            <v>450000</v>
          </cell>
          <cell r="AV28">
            <v>0</v>
          </cell>
        </row>
        <row r="29">
          <cell r="B29" t="str">
            <v>MENU A LA CARTA</v>
          </cell>
          <cell r="C29">
            <v>75051</v>
          </cell>
          <cell r="D29" t="str">
            <v>EL MENU HISTORIAS A LA CARTALMWJV</v>
          </cell>
          <cell r="F29">
            <v>0.5</v>
          </cell>
          <cell r="G29">
            <v>0.5625</v>
          </cell>
          <cell r="H29" t="str">
            <v>L-V</v>
          </cell>
          <cell r="I29">
            <v>30</v>
          </cell>
          <cell r="J29" t="str">
            <v>Media</v>
          </cell>
          <cell r="K29" t="str">
            <v>Off Prime</v>
          </cell>
          <cell r="L29">
            <v>2</v>
          </cell>
          <cell r="AR29">
            <v>0</v>
          </cell>
          <cell r="AS29">
            <v>7</v>
          </cell>
          <cell r="AU29">
            <v>450000</v>
          </cell>
          <cell r="AV29">
            <v>0</v>
          </cell>
        </row>
        <row r="30">
          <cell r="B30" t="str">
            <v>24 HORAS AL DÍA</v>
          </cell>
          <cell r="C30">
            <v>70955</v>
          </cell>
          <cell r="D30" t="str">
            <v>24 HORAS AL DIALMWJV</v>
          </cell>
          <cell r="F30">
            <v>0.5625</v>
          </cell>
          <cell r="G30">
            <v>0.61805555555555558</v>
          </cell>
          <cell r="H30" t="str">
            <v>L-V</v>
          </cell>
          <cell r="I30">
            <v>30</v>
          </cell>
          <cell r="J30" t="str">
            <v>Media</v>
          </cell>
          <cell r="K30" t="str">
            <v>Off Prime</v>
          </cell>
          <cell r="L30">
            <v>2</v>
          </cell>
          <cell r="AR30">
            <v>0</v>
          </cell>
          <cell r="AS30">
            <v>7</v>
          </cell>
          <cell r="AU30">
            <v>750000</v>
          </cell>
          <cell r="AV30">
            <v>0</v>
          </cell>
        </row>
        <row r="31">
          <cell r="B31" t="str">
            <v>24 HORAS AL DÍA PLUS</v>
          </cell>
          <cell r="C31">
            <v>0</v>
          </cell>
          <cell r="D31" t="str">
            <v>24 HORAS AL DIA*plusLMWJV</v>
          </cell>
          <cell r="F31">
            <v>0.5625</v>
          </cell>
          <cell r="G31">
            <v>0.61805555555555558</v>
          </cell>
          <cell r="H31" t="str">
            <v>L-V</v>
          </cell>
          <cell r="I31">
            <v>30</v>
          </cell>
          <cell r="J31" t="str">
            <v>Media</v>
          </cell>
          <cell r="K31" t="str">
            <v>Off Prime</v>
          </cell>
          <cell r="L31">
            <v>2</v>
          </cell>
          <cell r="AR31">
            <v>0</v>
          </cell>
          <cell r="AS31">
            <v>8</v>
          </cell>
          <cell r="AU31">
            <v>780000</v>
          </cell>
          <cell r="AV31">
            <v>0</v>
          </cell>
        </row>
        <row r="32">
          <cell r="B32" t="str">
            <v>LA CHUCARA</v>
          </cell>
          <cell r="C32">
            <v>76635</v>
          </cell>
          <cell r="D32" t="str">
            <v>LA CHUCARALMWJV</v>
          </cell>
          <cell r="F32">
            <v>0.64583333333333337</v>
          </cell>
          <cell r="G32">
            <v>0.6875</v>
          </cell>
          <cell r="H32" t="str">
            <v>L-V</v>
          </cell>
          <cell r="I32">
            <v>30</v>
          </cell>
          <cell r="J32" t="str">
            <v>Alta</v>
          </cell>
          <cell r="K32" t="str">
            <v>Off Prime</v>
          </cell>
          <cell r="L32">
            <v>2</v>
          </cell>
          <cell r="AR32">
            <v>0</v>
          </cell>
          <cell r="AS32">
            <v>7</v>
          </cell>
          <cell r="AU32">
            <v>1000000</v>
          </cell>
          <cell r="AV32">
            <v>0</v>
          </cell>
        </row>
        <row r="33">
          <cell r="B33" t="str">
            <v>EL SECRETO DE PUENTE VIEJO</v>
          </cell>
          <cell r="C33">
            <v>76495</v>
          </cell>
          <cell r="D33" t="str">
            <v>EL SECRETO DE PUENTE VIEJOLMWJV</v>
          </cell>
          <cell r="F33">
            <v>0.6875</v>
          </cell>
          <cell r="G33">
            <v>0.75</v>
          </cell>
          <cell r="H33" t="str">
            <v>L-V</v>
          </cell>
          <cell r="I33">
            <v>30</v>
          </cell>
          <cell r="J33" t="str">
            <v>Media</v>
          </cell>
          <cell r="K33" t="str">
            <v>Off Prime</v>
          </cell>
          <cell r="L33">
            <v>2</v>
          </cell>
          <cell r="AR33">
            <v>0</v>
          </cell>
          <cell r="AS33">
            <v>7</v>
          </cell>
          <cell r="AU33">
            <v>600000</v>
          </cell>
          <cell r="AV33">
            <v>0</v>
          </cell>
        </row>
        <row r="34">
          <cell r="B34" t="str">
            <v>SOMOS FAMILIA</v>
          </cell>
          <cell r="C34">
            <v>76826</v>
          </cell>
          <cell r="D34" t="str">
            <v>SOMOS FAMILIALMWJV</v>
          </cell>
          <cell r="F34">
            <v>0.75</v>
          </cell>
          <cell r="G34">
            <v>0.78125</v>
          </cell>
          <cell r="H34" t="str">
            <v>L-V</v>
          </cell>
          <cell r="I34">
            <v>30</v>
          </cell>
          <cell r="J34" t="str">
            <v>Media</v>
          </cell>
          <cell r="K34" t="str">
            <v>Off Prime</v>
          </cell>
          <cell r="L34">
            <v>2</v>
          </cell>
          <cell r="AR34">
            <v>0</v>
          </cell>
          <cell r="AS34">
            <v>7</v>
          </cell>
          <cell r="AU34">
            <v>500000</v>
          </cell>
          <cell r="AV34">
            <v>0</v>
          </cell>
        </row>
        <row r="35">
          <cell r="B35" t="str">
            <v>BOOM</v>
          </cell>
          <cell r="C35">
            <v>76801</v>
          </cell>
          <cell r="D35" t="str">
            <v>BOOMLMWJV</v>
          </cell>
          <cell r="F35">
            <v>0.78125</v>
          </cell>
          <cell r="G35">
            <v>0.83333333333333337</v>
          </cell>
          <cell r="H35" t="str">
            <v>L-V</v>
          </cell>
          <cell r="I35">
            <v>30</v>
          </cell>
          <cell r="J35" t="str">
            <v>Media</v>
          </cell>
          <cell r="K35" t="str">
            <v>Off Prime</v>
          </cell>
          <cell r="L35">
            <v>2</v>
          </cell>
          <cell r="AR35">
            <v>0</v>
          </cell>
          <cell r="AS35">
            <v>7</v>
          </cell>
          <cell r="AU35">
            <v>600000</v>
          </cell>
          <cell r="AV35">
            <v>0</v>
          </cell>
        </row>
        <row r="36">
          <cell r="B36" t="str">
            <v>MATRIARCAS A</v>
          </cell>
          <cell r="C36">
            <v>76920</v>
          </cell>
          <cell r="D36" t="str">
            <v>EL AMOR LO MANEJO YO (RESUMEN)LMWJV</v>
          </cell>
          <cell r="E36" t="str">
            <v>25/03/2014...20/10/2014</v>
          </cell>
          <cell r="F36">
            <v>0.83333333333333337</v>
          </cell>
          <cell r="G36">
            <v>0.84722222222222221</v>
          </cell>
          <cell r="H36" t="str">
            <v>L-V</v>
          </cell>
          <cell r="I36">
            <v>30</v>
          </cell>
          <cell r="J36" t="str">
            <v>Alta</v>
          </cell>
          <cell r="K36" t="str">
            <v>Prime</v>
          </cell>
          <cell r="L36">
            <v>2</v>
          </cell>
          <cell r="AR36">
            <v>0</v>
          </cell>
          <cell r="AS36">
            <v>7</v>
          </cell>
          <cell r="AU36">
            <v>1400000</v>
          </cell>
          <cell r="AV36">
            <v>0</v>
          </cell>
        </row>
        <row r="37">
          <cell r="B37" t="str">
            <v>MATRIARCAS B</v>
          </cell>
          <cell r="C37">
            <v>76921</v>
          </cell>
          <cell r="D37" t="str">
            <v>EL AMOR LO MANEJO YOLMWJV</v>
          </cell>
          <cell r="E37" t="str">
            <v>24/03/2014...22/10/2014</v>
          </cell>
          <cell r="F37">
            <v>0.84722222222222221</v>
          </cell>
          <cell r="G37">
            <v>0.875</v>
          </cell>
          <cell r="H37" t="str">
            <v>L-V</v>
          </cell>
          <cell r="I37">
            <v>30</v>
          </cell>
          <cell r="J37" t="str">
            <v>Alta</v>
          </cell>
          <cell r="K37" t="str">
            <v>Prime</v>
          </cell>
          <cell r="L37">
            <v>2</v>
          </cell>
          <cell r="AR37">
            <v>0</v>
          </cell>
          <cell r="AS37">
            <v>7</v>
          </cell>
          <cell r="AU37">
            <v>2500000</v>
          </cell>
          <cell r="AV37">
            <v>0</v>
          </cell>
        </row>
        <row r="38">
          <cell r="B38" t="str">
            <v>24 HORAS LU-VI</v>
          </cell>
          <cell r="C38">
            <v>70960</v>
          </cell>
          <cell r="D38" t="str">
            <v>24 HORAS CENTRALMWJV</v>
          </cell>
          <cell r="F38">
            <v>0.875</v>
          </cell>
          <cell r="G38">
            <v>0.91666666666666663</v>
          </cell>
          <cell r="H38" t="str">
            <v>L-V</v>
          </cell>
          <cell r="I38">
            <v>30</v>
          </cell>
          <cell r="J38" t="str">
            <v>SuperPrime</v>
          </cell>
          <cell r="K38" t="str">
            <v>S Prime</v>
          </cell>
          <cell r="L38">
            <v>2</v>
          </cell>
          <cell r="AR38">
            <v>0</v>
          </cell>
          <cell r="AS38">
            <v>7</v>
          </cell>
          <cell r="AU38">
            <v>1800000</v>
          </cell>
          <cell r="AV38">
            <v>0</v>
          </cell>
        </row>
        <row r="39">
          <cell r="B39" t="str">
            <v>24 HORAS LU-VI PLUS</v>
          </cell>
          <cell r="C39">
            <v>0</v>
          </cell>
          <cell r="D39" t="str">
            <v>24 HORAS CENTRAL*plusLMWJV</v>
          </cell>
          <cell r="F39">
            <v>0.875</v>
          </cell>
          <cell r="G39">
            <v>0.91666666666666663</v>
          </cell>
          <cell r="H39" t="str">
            <v>L-V</v>
          </cell>
          <cell r="I39">
            <v>30</v>
          </cell>
          <cell r="J39" t="str">
            <v>SuperPrime</v>
          </cell>
          <cell r="K39" t="str">
            <v>S Prime</v>
          </cell>
          <cell r="L39">
            <v>2</v>
          </cell>
          <cell r="AR39">
            <v>0</v>
          </cell>
          <cell r="AS39">
            <v>8</v>
          </cell>
          <cell r="AU39">
            <v>1860000</v>
          </cell>
          <cell r="AV39">
            <v>0</v>
          </cell>
        </row>
        <row r="40">
          <cell r="B40" t="str">
            <v>DUEÑOS DEL PARAISO</v>
          </cell>
          <cell r="C40">
            <v>76674</v>
          </cell>
          <cell r="D40" t="str">
            <v>DUENOS DEL PARAISO MIAMI EN LLMW</v>
          </cell>
          <cell r="F40">
            <v>0.96875</v>
          </cell>
          <cell r="G40">
            <v>1</v>
          </cell>
          <cell r="H40" t="str">
            <v>L-W</v>
          </cell>
          <cell r="I40">
            <v>30</v>
          </cell>
          <cell r="J40" t="str">
            <v>Alta</v>
          </cell>
          <cell r="K40" t="str">
            <v>Prime</v>
          </cell>
          <cell r="L40">
            <v>2</v>
          </cell>
          <cell r="AR40">
            <v>0</v>
          </cell>
          <cell r="AS40">
            <v>7</v>
          </cell>
          <cell r="AU40">
            <v>800000</v>
          </cell>
          <cell r="AV40">
            <v>0</v>
          </cell>
        </row>
        <row r="41">
          <cell r="B41" t="str">
            <v>MEDIANOCHE</v>
          </cell>
          <cell r="C41">
            <v>70981</v>
          </cell>
          <cell r="D41" t="str">
            <v>MEDIA NOCHELMWJV</v>
          </cell>
          <cell r="F41">
            <v>0</v>
          </cell>
          <cell r="G41">
            <v>2.0833333333333332E-2</v>
          </cell>
          <cell r="H41" t="str">
            <v>L-V</v>
          </cell>
          <cell r="I41">
            <v>30</v>
          </cell>
          <cell r="J41" t="str">
            <v>Media</v>
          </cell>
          <cell r="K41" t="str">
            <v>Off Prime</v>
          </cell>
          <cell r="L41">
            <v>2</v>
          </cell>
          <cell r="AR41">
            <v>0</v>
          </cell>
          <cell r="AS41">
            <v>7</v>
          </cell>
          <cell r="AU41">
            <v>600000</v>
          </cell>
          <cell r="AV41">
            <v>0</v>
          </cell>
        </row>
        <row r="42">
          <cell r="B42" t="str">
            <v>LA CHUCARA RR</v>
          </cell>
          <cell r="C42">
            <v>76650</v>
          </cell>
          <cell r="D42" t="str">
            <v>LA CHUCARA (R)LMWJV</v>
          </cell>
          <cell r="F42">
            <v>2.0833333333333332E-2</v>
          </cell>
          <cell r="G42">
            <v>8.3333333333333329E-2</v>
          </cell>
          <cell r="H42" t="str">
            <v>L-V</v>
          </cell>
          <cell r="I42">
            <v>30</v>
          </cell>
          <cell r="J42" t="str">
            <v>Media</v>
          </cell>
          <cell r="K42" t="str">
            <v>Off Prime</v>
          </cell>
          <cell r="L42">
            <v>2</v>
          </cell>
          <cell r="AR42">
            <v>0</v>
          </cell>
          <cell r="AS42">
            <v>7</v>
          </cell>
          <cell r="AU42">
            <v>350000</v>
          </cell>
          <cell r="AV42">
            <v>0</v>
          </cell>
        </row>
        <row r="43">
          <cell r="B43" t="str">
            <v>TRASNOCHE: 24 HORAS A LA HORA</v>
          </cell>
          <cell r="C43">
            <v>76713</v>
          </cell>
          <cell r="D43" t="str">
            <v>TRASNOCHE</v>
          </cell>
          <cell r="F43">
            <v>8.3333333333333329E-2</v>
          </cell>
          <cell r="G43">
            <v>0.23958333333333334</v>
          </cell>
          <cell r="H43" t="str">
            <v>L-D</v>
          </cell>
          <cell r="I43">
            <v>30</v>
          </cell>
          <cell r="J43" t="str">
            <v>Baja</v>
          </cell>
          <cell r="K43" t="str">
            <v>Off Prime</v>
          </cell>
          <cell r="L43">
            <v>2</v>
          </cell>
          <cell r="AR43">
            <v>0</v>
          </cell>
          <cell r="AS43">
            <v>7</v>
          </cell>
          <cell r="AU43">
            <v>250000</v>
          </cell>
          <cell r="AV43">
            <v>0</v>
          </cell>
        </row>
        <row r="44">
          <cell r="B44" t="str">
            <v>TRASNOCHE: TV TIEMPO 03:00 hrs.</v>
          </cell>
          <cell r="C44">
            <v>76710</v>
          </cell>
          <cell r="D44" t="str">
            <v>TRASNOCHE</v>
          </cell>
          <cell r="F44">
            <v>8.3333333333333329E-2</v>
          </cell>
          <cell r="G44">
            <v>0.23958333333333334</v>
          </cell>
          <cell r="H44" t="str">
            <v>L-D</v>
          </cell>
          <cell r="I44">
            <v>30</v>
          </cell>
          <cell r="J44" t="str">
            <v>Baja</v>
          </cell>
          <cell r="K44" t="str">
            <v>Off Prime</v>
          </cell>
          <cell r="L44">
            <v>2</v>
          </cell>
          <cell r="AR44">
            <v>0</v>
          </cell>
          <cell r="AS44">
            <v>7</v>
          </cell>
          <cell r="AU44">
            <v>250000</v>
          </cell>
          <cell r="AV44">
            <v>0</v>
          </cell>
        </row>
        <row r="45">
          <cell r="B45" t="str">
            <v>TRASNOCHE: EL DIA MENOS PENSADO</v>
          </cell>
          <cell r="C45">
            <v>76817</v>
          </cell>
          <cell r="D45" t="str">
            <v>TRASNOCHE</v>
          </cell>
          <cell r="F45">
            <v>8.3333333333333329E-2</v>
          </cell>
          <cell r="G45">
            <v>0.23958333333333334</v>
          </cell>
          <cell r="H45" t="str">
            <v>L-D</v>
          </cell>
          <cell r="I45">
            <v>30</v>
          </cell>
          <cell r="J45" t="str">
            <v>Baja</v>
          </cell>
          <cell r="K45" t="str">
            <v>Off Prime</v>
          </cell>
          <cell r="L45">
            <v>2</v>
          </cell>
          <cell r="AR45">
            <v>0</v>
          </cell>
          <cell r="AS45">
            <v>7</v>
          </cell>
          <cell r="AU45">
            <v>250000</v>
          </cell>
          <cell r="AV45">
            <v>0</v>
          </cell>
        </row>
        <row r="46">
          <cell r="B46" t="str">
            <v>TRASNOCHE: DUEÑOS DEL PARAISO</v>
          </cell>
          <cell r="C46">
            <v>76776</v>
          </cell>
          <cell r="D46" t="str">
            <v>TRASNOCHE</v>
          </cell>
          <cell r="F46">
            <v>8.3333333333333329E-2</v>
          </cell>
          <cell r="G46">
            <v>0.23958333333333334</v>
          </cell>
          <cell r="H46" t="str">
            <v>L-D</v>
          </cell>
          <cell r="I46">
            <v>30</v>
          </cell>
          <cell r="J46" t="str">
            <v>Baja</v>
          </cell>
          <cell r="K46" t="str">
            <v>Off Prime</v>
          </cell>
          <cell r="L46">
            <v>2</v>
          </cell>
          <cell r="AR46">
            <v>0</v>
          </cell>
          <cell r="AS46">
            <v>7</v>
          </cell>
          <cell r="AU46">
            <v>250000</v>
          </cell>
          <cell r="AV46">
            <v>0</v>
          </cell>
        </row>
        <row r="47">
          <cell r="B47" t="str">
            <v>TRASNOCHE: LA CANCION DE TU VIDA</v>
          </cell>
          <cell r="C47">
            <v>76876</v>
          </cell>
          <cell r="D47" t="str">
            <v>TRASNOCHE</v>
          </cell>
          <cell r="F47">
            <v>8.3333333333333329E-2</v>
          </cell>
          <cell r="G47">
            <v>0.23958333333333334</v>
          </cell>
          <cell r="H47" t="str">
            <v>L-D</v>
          </cell>
          <cell r="I47">
            <v>30</v>
          </cell>
          <cell r="J47" t="str">
            <v>Baja</v>
          </cell>
          <cell r="K47" t="str">
            <v>Off Prime</v>
          </cell>
          <cell r="L47">
            <v>2</v>
          </cell>
          <cell r="AR47">
            <v>0</v>
          </cell>
          <cell r="AS47">
            <v>7</v>
          </cell>
          <cell r="AU47">
            <v>250000</v>
          </cell>
          <cell r="AV47">
            <v>0</v>
          </cell>
        </row>
        <row r="48">
          <cell r="B48" t="str">
            <v>MARATON EL REEMPLAZANTE</v>
          </cell>
          <cell r="C48">
            <v>75532</v>
          </cell>
          <cell r="D48" t="str">
            <v>TRASNOCHE</v>
          </cell>
          <cell r="F48">
            <v>8.3333333333333329E-2</v>
          </cell>
          <cell r="G48">
            <v>0.23958333333333334</v>
          </cell>
          <cell r="H48" t="str">
            <v>L-D</v>
          </cell>
          <cell r="I48">
            <v>30</v>
          </cell>
          <cell r="J48" t="str">
            <v>Baja</v>
          </cell>
          <cell r="K48" t="str">
            <v>Off Prime</v>
          </cell>
          <cell r="L48">
            <v>2</v>
          </cell>
          <cell r="AR48">
            <v>0</v>
          </cell>
          <cell r="AS48">
            <v>7</v>
          </cell>
          <cell r="AU48">
            <v>250000</v>
          </cell>
          <cell r="AV48">
            <v>0</v>
          </cell>
        </row>
        <row r="49">
          <cell r="B49" t="str">
            <v>TRASNOCHE: SUDAFRICA MIA</v>
          </cell>
          <cell r="C49">
            <v>76894</v>
          </cell>
          <cell r="D49" t="str">
            <v>TRASNOCHE</v>
          </cell>
          <cell r="F49">
            <v>8.3333333333333329E-2</v>
          </cell>
          <cell r="G49">
            <v>0.23958333333333334</v>
          </cell>
          <cell r="H49" t="str">
            <v>L-D</v>
          </cell>
          <cell r="I49">
            <v>30</v>
          </cell>
          <cell r="J49" t="str">
            <v>Baja</v>
          </cell>
          <cell r="K49" t="str">
            <v>Off Prime</v>
          </cell>
          <cell r="L49">
            <v>2</v>
          </cell>
          <cell r="AR49">
            <v>0</v>
          </cell>
          <cell r="AS49">
            <v>7</v>
          </cell>
          <cell r="AU49">
            <v>250000</v>
          </cell>
          <cell r="AV49">
            <v>0</v>
          </cell>
        </row>
        <row r="50">
          <cell r="B50" t="str">
            <v>TRASNCOHE: GRANDES PELICULAS</v>
          </cell>
          <cell r="C50">
            <v>76895</v>
          </cell>
          <cell r="D50" t="str">
            <v>TRASNOCHE</v>
          </cell>
          <cell r="F50">
            <v>8.3333333333333329E-2</v>
          </cell>
          <cell r="G50">
            <v>0.23958333333333334</v>
          </cell>
          <cell r="H50" t="str">
            <v>L-D</v>
          </cell>
          <cell r="I50">
            <v>30</v>
          </cell>
          <cell r="J50" t="str">
            <v>Baja</v>
          </cell>
          <cell r="K50" t="str">
            <v>Off Prime</v>
          </cell>
          <cell r="L50">
            <v>2</v>
          </cell>
          <cell r="AR50">
            <v>0</v>
          </cell>
          <cell r="AS50">
            <v>7</v>
          </cell>
          <cell r="AU50">
            <v>250000</v>
          </cell>
          <cell r="AV50">
            <v>0</v>
          </cell>
        </row>
        <row r="51">
          <cell r="B51" t="str">
            <v>TRASNOCHE: LEVANTANDO LA COPA</v>
          </cell>
          <cell r="C51">
            <v>76860</v>
          </cell>
          <cell r="D51" t="str">
            <v>TRASNOCHE</v>
          </cell>
          <cell r="F51">
            <v>8.3333333333333329E-2</v>
          </cell>
          <cell r="G51">
            <v>0.23958333333333334</v>
          </cell>
          <cell r="H51" t="str">
            <v>L-D</v>
          </cell>
          <cell r="I51">
            <v>30</v>
          </cell>
          <cell r="J51" t="str">
            <v>Baja</v>
          </cell>
          <cell r="K51" t="str">
            <v>Off Prime</v>
          </cell>
          <cell r="L51">
            <v>2</v>
          </cell>
          <cell r="AR51">
            <v>0</v>
          </cell>
          <cell r="AS51">
            <v>7</v>
          </cell>
          <cell r="AU51">
            <v>250000</v>
          </cell>
          <cell r="AV51">
            <v>0</v>
          </cell>
        </row>
        <row r="52">
          <cell r="B52" t="str">
            <v>TRASNOCHE: ADOPTA UN FAMOSO</v>
          </cell>
          <cell r="C52">
            <v>76778</v>
          </cell>
          <cell r="D52" t="str">
            <v>TRASNOCHE</v>
          </cell>
          <cell r="F52">
            <v>8.3333333333333329E-2</v>
          </cell>
          <cell r="G52">
            <v>0.23958333333333334</v>
          </cell>
          <cell r="H52" t="str">
            <v>L-D</v>
          </cell>
          <cell r="I52">
            <v>30</v>
          </cell>
          <cell r="J52" t="str">
            <v>Baja</v>
          </cell>
          <cell r="K52" t="str">
            <v>Off Prime</v>
          </cell>
          <cell r="L52">
            <v>2</v>
          </cell>
          <cell r="AR52">
            <v>0</v>
          </cell>
          <cell r="AS52">
            <v>7</v>
          </cell>
          <cell r="AU52">
            <v>250000</v>
          </cell>
          <cell r="AV52">
            <v>0</v>
          </cell>
        </row>
        <row r="53">
          <cell r="B53" t="str">
            <v>TRASNOCHE: JUGA2</v>
          </cell>
          <cell r="C53">
            <v>76741</v>
          </cell>
          <cell r="D53" t="str">
            <v>TRASNOCHE</v>
          </cell>
          <cell r="F53">
            <v>8.3333333333333329E-2</v>
          </cell>
          <cell r="G53">
            <v>0.23958333333333334</v>
          </cell>
          <cell r="H53" t="str">
            <v>L-D</v>
          </cell>
          <cell r="I53">
            <v>30</v>
          </cell>
          <cell r="J53" t="str">
            <v>Baja</v>
          </cell>
          <cell r="K53" t="str">
            <v>Off Prime</v>
          </cell>
          <cell r="L53">
            <v>2</v>
          </cell>
          <cell r="AR53">
            <v>0</v>
          </cell>
          <cell r="AS53">
            <v>7</v>
          </cell>
          <cell r="AU53">
            <v>250000</v>
          </cell>
          <cell r="AV53">
            <v>0</v>
          </cell>
        </row>
        <row r="54">
          <cell r="B54" t="str">
            <v>TRASNOCHE: DUEÑOS DEL PARAISO RES.</v>
          </cell>
          <cell r="C54">
            <v>76783</v>
          </cell>
          <cell r="D54" t="str">
            <v>TRASNOCHE</v>
          </cell>
          <cell r="F54">
            <v>8.3333333333333329E-2</v>
          </cell>
          <cell r="G54">
            <v>0.23958333333333334</v>
          </cell>
          <cell r="H54" t="str">
            <v>L-D</v>
          </cell>
          <cell r="I54">
            <v>30</v>
          </cell>
          <cell r="J54" t="str">
            <v>Baja</v>
          </cell>
          <cell r="K54" t="str">
            <v>Off Prime</v>
          </cell>
          <cell r="L54">
            <v>2</v>
          </cell>
          <cell r="AR54">
            <v>0</v>
          </cell>
          <cell r="AS54">
            <v>7</v>
          </cell>
          <cell r="AU54">
            <v>250000</v>
          </cell>
          <cell r="AV54">
            <v>0</v>
          </cell>
        </row>
        <row r="55">
          <cell r="B55" t="str">
            <v>TRASNOCHE: CHILE CONECTADO</v>
          </cell>
          <cell r="C55">
            <v>76737</v>
          </cell>
          <cell r="D55" t="str">
            <v>TRASNOCHE</v>
          </cell>
          <cell r="F55">
            <v>8.3333333333333329E-2</v>
          </cell>
          <cell r="G55">
            <v>0.23958333333333334</v>
          </cell>
          <cell r="H55" t="str">
            <v>L-D</v>
          </cell>
          <cell r="I55">
            <v>30</v>
          </cell>
          <cell r="J55" t="str">
            <v>Baja</v>
          </cell>
          <cell r="K55" t="str">
            <v>Off Prime</v>
          </cell>
          <cell r="L55">
            <v>2</v>
          </cell>
          <cell r="AR55">
            <v>0</v>
          </cell>
          <cell r="AS55">
            <v>7</v>
          </cell>
          <cell r="AU55">
            <v>250000</v>
          </cell>
          <cell r="AV55">
            <v>0</v>
          </cell>
        </row>
        <row r="56">
          <cell r="B56" t="str">
            <v>TRASNOCHE: PA LA RISA</v>
          </cell>
          <cell r="C56">
            <v>76742</v>
          </cell>
          <cell r="D56" t="str">
            <v>TRASNOCHE</v>
          </cell>
          <cell r="F56">
            <v>8.3333333333333329E-2</v>
          </cell>
          <cell r="G56">
            <v>0.23958333333333334</v>
          </cell>
          <cell r="H56" t="str">
            <v>L-D</v>
          </cell>
          <cell r="I56">
            <v>30</v>
          </cell>
          <cell r="J56" t="str">
            <v>Baja</v>
          </cell>
          <cell r="K56" t="str">
            <v>Off Prime</v>
          </cell>
          <cell r="L56">
            <v>2</v>
          </cell>
          <cell r="AR56">
            <v>0</v>
          </cell>
          <cell r="AS56">
            <v>7</v>
          </cell>
          <cell r="AU56">
            <v>250000</v>
          </cell>
          <cell r="AV56">
            <v>0</v>
          </cell>
        </row>
        <row r="57">
          <cell r="B57" t="str">
            <v>QUE COMES?</v>
          </cell>
          <cell r="C57">
            <v>76802</v>
          </cell>
          <cell r="D57" t="str">
            <v>QUE COMESL</v>
          </cell>
          <cell r="F57">
            <v>0.92013888888888884</v>
          </cell>
          <cell r="G57">
            <v>0.96875</v>
          </cell>
          <cell r="H57" t="str">
            <v>Ln</v>
          </cell>
          <cell r="I57">
            <v>30</v>
          </cell>
          <cell r="J57" t="str">
            <v>Alta</v>
          </cell>
          <cell r="K57" t="str">
            <v>Prime</v>
          </cell>
          <cell r="L57">
            <v>2</v>
          </cell>
          <cell r="AR57">
            <v>0</v>
          </cell>
          <cell r="AS57">
            <v>7</v>
          </cell>
          <cell r="AU57">
            <v>1600000</v>
          </cell>
          <cell r="AV57">
            <v>0</v>
          </cell>
        </row>
        <row r="58">
          <cell r="B58" t="str">
            <v>INFORME ESPECIAL</v>
          </cell>
          <cell r="C58">
            <v>10156</v>
          </cell>
          <cell r="D58" t="str">
            <v>INFORME ESPECIALD</v>
          </cell>
          <cell r="F58">
            <v>0.92013888888888884</v>
          </cell>
          <cell r="G58">
            <v>0.96875</v>
          </cell>
          <cell r="H58" t="str">
            <v>Ln</v>
          </cell>
          <cell r="I58">
            <v>30</v>
          </cell>
          <cell r="J58" t="str">
            <v>Alta</v>
          </cell>
          <cell r="K58" t="str">
            <v>Prime</v>
          </cell>
          <cell r="L58">
            <v>2</v>
          </cell>
          <cell r="AR58">
            <v>0</v>
          </cell>
          <cell r="AS58">
            <v>7</v>
          </cell>
          <cell r="AU58">
            <v>1600000</v>
          </cell>
          <cell r="AV58">
            <v>0</v>
          </cell>
        </row>
        <row r="59">
          <cell r="B59" t="str">
            <v>EL INFORMANTE</v>
          </cell>
          <cell r="C59">
            <v>75735</v>
          </cell>
          <cell r="D59" t="str">
            <v>EL INFORMANTEM</v>
          </cell>
          <cell r="F59">
            <v>0.92013888888888884</v>
          </cell>
          <cell r="G59">
            <v>0.96875</v>
          </cell>
          <cell r="H59" t="str">
            <v>Mt</v>
          </cell>
          <cell r="I59">
            <v>30</v>
          </cell>
          <cell r="J59" t="str">
            <v>Alta</v>
          </cell>
          <cell r="K59" t="str">
            <v>Prime</v>
          </cell>
          <cell r="L59">
            <v>2</v>
          </cell>
          <cell r="AR59">
            <v>0</v>
          </cell>
          <cell r="AS59">
            <v>7</v>
          </cell>
          <cell r="AU59">
            <v>1100000</v>
          </cell>
          <cell r="AV59">
            <v>0</v>
          </cell>
        </row>
        <row r="60">
          <cell r="B60" t="str">
            <v>MAMA A LOS 15</v>
          </cell>
          <cell r="C60">
            <v>74526</v>
          </cell>
          <cell r="D60" t="str">
            <v>MAMA A LOS 15W</v>
          </cell>
          <cell r="F60">
            <v>0.92013888888888884</v>
          </cell>
          <cell r="G60">
            <v>0.96875</v>
          </cell>
          <cell r="H60" t="str">
            <v>Mi</v>
          </cell>
          <cell r="I60">
            <v>30</v>
          </cell>
          <cell r="J60" t="str">
            <v>Alta</v>
          </cell>
          <cell r="K60" t="str">
            <v>Prime</v>
          </cell>
          <cell r="L60">
            <v>2</v>
          </cell>
          <cell r="AR60">
            <v>0</v>
          </cell>
          <cell r="AS60">
            <v>7</v>
          </cell>
          <cell r="AU60">
            <v>1600000</v>
          </cell>
          <cell r="AV60">
            <v>0</v>
          </cell>
        </row>
        <row r="61">
          <cell r="B61" t="str">
            <v>BEST SELLER</v>
          </cell>
          <cell r="C61">
            <v>76687</v>
          </cell>
          <cell r="D61" t="str">
            <v>BEST SELLERJ</v>
          </cell>
          <cell r="F61">
            <v>0.92013888888888884</v>
          </cell>
          <cell r="G61">
            <v>0.96875</v>
          </cell>
          <cell r="H61" t="str">
            <v>Jv</v>
          </cell>
          <cell r="I61">
            <v>30</v>
          </cell>
          <cell r="J61" t="str">
            <v>Alta</v>
          </cell>
          <cell r="K61" t="str">
            <v>Prime</v>
          </cell>
          <cell r="L61">
            <v>2</v>
          </cell>
          <cell r="AR61">
            <v>0</v>
          </cell>
          <cell r="AS61">
            <v>7</v>
          </cell>
          <cell r="AU61">
            <v>1600000</v>
          </cell>
          <cell r="AV61">
            <v>0</v>
          </cell>
        </row>
        <row r="62">
          <cell r="B62" t="str">
            <v>KUNGA</v>
          </cell>
          <cell r="C62">
            <v>76849</v>
          </cell>
          <cell r="D62" t="str">
            <v>UN MINUTO PARA GANARV</v>
          </cell>
          <cell r="E62">
            <v>40900</v>
          </cell>
          <cell r="F62">
            <v>0.92013888888888884</v>
          </cell>
          <cell r="G62">
            <v>0</v>
          </cell>
          <cell r="H62" t="str">
            <v>Vn</v>
          </cell>
          <cell r="I62">
            <v>30</v>
          </cell>
          <cell r="J62" t="str">
            <v>Alta</v>
          </cell>
          <cell r="K62" t="str">
            <v>Prime</v>
          </cell>
          <cell r="L62">
            <v>2</v>
          </cell>
          <cell r="AR62">
            <v>0</v>
          </cell>
          <cell r="AS62">
            <v>7</v>
          </cell>
          <cell r="AU62">
            <v>1900000</v>
          </cell>
          <cell r="AV62">
            <v>0</v>
          </cell>
        </row>
        <row r="63">
          <cell r="B63" t="str">
            <v>TRONIA</v>
          </cell>
          <cell r="C63">
            <v>66244</v>
          </cell>
          <cell r="D63" t="str">
            <v>TRONIAS</v>
          </cell>
          <cell r="F63">
            <v>0.33333333333333331</v>
          </cell>
          <cell r="G63">
            <v>0.375</v>
          </cell>
          <cell r="H63" t="str">
            <v>Sb</v>
          </cell>
          <cell r="I63">
            <v>30</v>
          </cell>
          <cell r="J63" t="str">
            <v>Baja</v>
          </cell>
          <cell r="K63" t="str">
            <v>Off Prime</v>
          </cell>
          <cell r="L63">
            <v>2</v>
          </cell>
          <cell r="AR63">
            <v>0</v>
          </cell>
          <cell r="AS63">
            <v>7</v>
          </cell>
          <cell r="AU63">
            <v>250000</v>
          </cell>
          <cell r="AV63">
            <v>0</v>
          </cell>
        </row>
        <row r="64">
          <cell r="B64" t="str">
            <v>POP CORN</v>
          </cell>
          <cell r="C64">
            <v>73695</v>
          </cell>
          <cell r="D64" t="str">
            <v>KUNG FU PANDAS</v>
          </cell>
          <cell r="F64">
            <v>0.375</v>
          </cell>
          <cell r="G64">
            <v>0.41666666666666669</v>
          </cell>
          <cell r="H64" t="str">
            <v>Sb</v>
          </cell>
          <cell r="I64">
            <v>30</v>
          </cell>
          <cell r="J64" t="str">
            <v>Baja</v>
          </cell>
          <cell r="K64" t="str">
            <v>Off Prime</v>
          </cell>
          <cell r="L64">
            <v>2</v>
          </cell>
          <cell r="AR64">
            <v>0</v>
          </cell>
          <cell r="AS64">
            <v>7</v>
          </cell>
          <cell r="AU64">
            <v>350000</v>
          </cell>
          <cell r="AV64">
            <v>0</v>
          </cell>
        </row>
        <row r="65">
          <cell r="B65" t="str">
            <v>EL NUEVO</v>
          </cell>
          <cell r="C65">
            <v>75861</v>
          </cell>
          <cell r="D65" t="str">
            <v>EL NUEVO (R)S</v>
          </cell>
          <cell r="F65">
            <v>0.41666666666666669</v>
          </cell>
          <cell r="G65">
            <v>0.45833333333333331</v>
          </cell>
          <cell r="H65" t="str">
            <v>Sb</v>
          </cell>
          <cell r="I65">
            <v>30</v>
          </cell>
          <cell r="J65" t="str">
            <v>Baja</v>
          </cell>
          <cell r="K65" t="str">
            <v>Off Prime</v>
          </cell>
          <cell r="L65">
            <v>2</v>
          </cell>
          <cell r="AR65">
            <v>0</v>
          </cell>
          <cell r="AS65">
            <v>7</v>
          </cell>
          <cell r="AU65">
            <v>350000</v>
          </cell>
          <cell r="AV65">
            <v>0</v>
          </cell>
        </row>
        <row r="66">
          <cell r="B66" t="str">
            <v>SUPER CINE MAÑANA</v>
          </cell>
          <cell r="C66">
            <v>75234</v>
          </cell>
          <cell r="D66" t="str">
            <v>SUPER CINE mS</v>
          </cell>
          <cell r="F66">
            <v>0.45833333333333331</v>
          </cell>
          <cell r="G66">
            <v>0.52083333333333337</v>
          </cell>
          <cell r="H66" t="str">
            <v>Sb</v>
          </cell>
          <cell r="I66">
            <v>30</v>
          </cell>
          <cell r="J66" t="str">
            <v>Baja</v>
          </cell>
          <cell r="K66" t="str">
            <v>Off Prime</v>
          </cell>
          <cell r="L66">
            <v>2</v>
          </cell>
          <cell r="AR66">
            <v>0</v>
          </cell>
          <cell r="AS66">
            <v>7</v>
          </cell>
          <cell r="AU66">
            <v>350000</v>
          </cell>
          <cell r="AV66">
            <v>0</v>
          </cell>
        </row>
        <row r="67">
          <cell r="B67" t="str">
            <v>PA LA RISA MAÑANA</v>
          </cell>
          <cell r="C67">
            <v>75669</v>
          </cell>
          <cell r="D67" t="str">
            <v>PA LA RISA (R)S</v>
          </cell>
          <cell r="F67">
            <v>0.52083333333333337</v>
          </cell>
          <cell r="G67">
            <v>0.54166666666666663</v>
          </cell>
          <cell r="H67" t="str">
            <v>Sb</v>
          </cell>
          <cell r="I67">
            <v>30</v>
          </cell>
          <cell r="J67" t="str">
            <v>Baja</v>
          </cell>
          <cell r="K67" t="str">
            <v>Off Prime</v>
          </cell>
          <cell r="L67">
            <v>2</v>
          </cell>
          <cell r="AR67">
            <v>0</v>
          </cell>
          <cell r="AS67">
            <v>7</v>
          </cell>
          <cell r="AU67">
            <v>350000</v>
          </cell>
          <cell r="AV67">
            <v>0</v>
          </cell>
        </row>
        <row r="68">
          <cell r="B68" t="str">
            <v>24 HORAS DÍA SÁ</v>
          </cell>
          <cell r="C68">
            <v>72883</v>
          </cell>
          <cell r="D68" t="str">
            <v>24 HORAS AL DIAS</v>
          </cell>
          <cell r="F68">
            <v>0.54166666666666663</v>
          </cell>
          <cell r="G68">
            <v>0.5625</v>
          </cell>
          <cell r="H68" t="str">
            <v>Sb</v>
          </cell>
          <cell r="I68">
            <v>30</v>
          </cell>
          <cell r="J68" t="str">
            <v>Media</v>
          </cell>
          <cell r="K68" t="str">
            <v>Off Prime</v>
          </cell>
          <cell r="L68">
            <v>2</v>
          </cell>
          <cell r="AR68">
            <v>0</v>
          </cell>
          <cell r="AS68">
            <v>7</v>
          </cell>
          <cell r="AU68">
            <v>450000</v>
          </cell>
          <cell r="AV68">
            <v>0</v>
          </cell>
        </row>
        <row r="69">
          <cell r="B69" t="str">
            <v>24 HORAS DÍA SÁ PLUS</v>
          </cell>
          <cell r="C69">
            <v>0</v>
          </cell>
          <cell r="D69" t="str">
            <v>24 HORAS AL DIA*plusS</v>
          </cell>
          <cell r="F69">
            <v>0.54166666666666663</v>
          </cell>
          <cell r="G69">
            <v>0.5625</v>
          </cell>
          <cell r="H69" t="str">
            <v>Sb</v>
          </cell>
          <cell r="I69">
            <v>30</v>
          </cell>
          <cell r="J69" t="str">
            <v>Media</v>
          </cell>
          <cell r="K69" t="str">
            <v>Off Prime</v>
          </cell>
          <cell r="L69">
            <v>2</v>
          </cell>
          <cell r="AR69">
            <v>0</v>
          </cell>
          <cell r="AS69">
            <v>8</v>
          </cell>
          <cell r="AU69">
            <v>480000</v>
          </cell>
          <cell r="AV69">
            <v>0</v>
          </cell>
        </row>
        <row r="70">
          <cell r="B70" t="str">
            <v>LEVANTANDO LA COPA</v>
          </cell>
          <cell r="C70">
            <v>74565</v>
          </cell>
          <cell r="D70" t="str">
            <v>LEVANTANDO LA COPAS</v>
          </cell>
          <cell r="F70">
            <v>0.5625</v>
          </cell>
          <cell r="G70">
            <v>0.625</v>
          </cell>
          <cell r="H70" t="str">
            <v>Sb</v>
          </cell>
          <cell r="I70">
            <v>30</v>
          </cell>
          <cell r="J70" t="str">
            <v>Media</v>
          </cell>
          <cell r="K70" t="str">
            <v>Off Prime</v>
          </cell>
          <cell r="L70">
            <v>2</v>
          </cell>
          <cell r="AR70">
            <v>0</v>
          </cell>
          <cell r="AS70">
            <v>7</v>
          </cell>
          <cell r="AU70">
            <v>600000</v>
          </cell>
          <cell r="AV70">
            <v>0</v>
          </cell>
        </row>
        <row r="71">
          <cell r="B71" t="str">
            <v>PA LA RISA</v>
          </cell>
          <cell r="C71">
            <v>72831</v>
          </cell>
          <cell r="D71" t="str">
            <v>PA LA RISA (R)S</v>
          </cell>
          <cell r="F71">
            <v>0.625</v>
          </cell>
          <cell r="G71">
            <v>0.64583333333333337</v>
          </cell>
          <cell r="H71" t="str">
            <v>Sb</v>
          </cell>
          <cell r="I71">
            <v>30</v>
          </cell>
          <cell r="J71" t="str">
            <v>Media</v>
          </cell>
          <cell r="K71" t="str">
            <v>Off Prime</v>
          </cell>
          <cell r="L71">
            <v>2</v>
          </cell>
          <cell r="AR71">
            <v>0</v>
          </cell>
          <cell r="AS71">
            <v>7</v>
          </cell>
          <cell r="AU71">
            <v>450000</v>
          </cell>
          <cell r="AV71">
            <v>0</v>
          </cell>
        </row>
        <row r="72">
          <cell r="B72" t="str">
            <v>SUPER CINE A</v>
          </cell>
          <cell r="C72">
            <v>75944</v>
          </cell>
          <cell r="D72" t="str">
            <v>SUPER CINE tS</v>
          </cell>
          <cell r="F72">
            <v>0.64583333333333337</v>
          </cell>
          <cell r="G72">
            <v>0.72916666666666663</v>
          </cell>
          <cell r="H72" t="str">
            <v>Sb</v>
          </cell>
          <cell r="I72">
            <v>30</v>
          </cell>
          <cell r="J72" t="str">
            <v>Media</v>
          </cell>
          <cell r="K72" t="str">
            <v>Off Prime</v>
          </cell>
          <cell r="L72">
            <v>2</v>
          </cell>
          <cell r="AR72">
            <v>0</v>
          </cell>
          <cell r="AS72">
            <v>7</v>
          </cell>
          <cell r="AU72">
            <v>550000</v>
          </cell>
          <cell r="AV72">
            <v>0</v>
          </cell>
        </row>
        <row r="73">
          <cell r="B73" t="str">
            <v>SUPER CINE B</v>
          </cell>
          <cell r="C73">
            <v>75943</v>
          </cell>
          <cell r="D73" t="str">
            <v>SUPER CINE tS</v>
          </cell>
          <cell r="F73">
            <v>0.72916666666666663</v>
          </cell>
          <cell r="G73">
            <v>0.77083333333333337</v>
          </cell>
          <cell r="H73" t="str">
            <v>Sb</v>
          </cell>
          <cell r="I73">
            <v>30</v>
          </cell>
          <cell r="J73" t="str">
            <v>Media</v>
          </cell>
          <cell r="K73" t="str">
            <v>Off Prime</v>
          </cell>
          <cell r="L73">
            <v>2</v>
          </cell>
          <cell r="AR73">
            <v>0</v>
          </cell>
          <cell r="AS73">
            <v>7</v>
          </cell>
          <cell r="AU73">
            <v>550000</v>
          </cell>
          <cell r="AV73">
            <v>0</v>
          </cell>
        </row>
        <row r="74">
          <cell r="B74" t="str">
            <v>UN MINUTO PARA GANAR JUNIOR RR</v>
          </cell>
          <cell r="C74">
            <v>76804</v>
          </cell>
          <cell r="D74" t="str">
            <v>UN MINUTO PARA GANAR JUNIOR (RS</v>
          </cell>
          <cell r="F74">
            <v>0.77083333333333337</v>
          </cell>
          <cell r="G74">
            <v>0.875</v>
          </cell>
          <cell r="H74" t="str">
            <v>Sb</v>
          </cell>
          <cell r="I74">
            <v>30</v>
          </cell>
          <cell r="J74" t="str">
            <v>Media</v>
          </cell>
          <cell r="K74" t="str">
            <v>Off Prime</v>
          </cell>
          <cell r="L74">
            <v>2</v>
          </cell>
          <cell r="AR74">
            <v>0</v>
          </cell>
          <cell r="AS74">
            <v>7</v>
          </cell>
          <cell r="AU74">
            <v>550000</v>
          </cell>
          <cell r="AV74">
            <v>0</v>
          </cell>
        </row>
        <row r="75">
          <cell r="B75" t="str">
            <v>24 HORAS SÁBADO</v>
          </cell>
          <cell r="C75">
            <v>65780</v>
          </cell>
          <cell r="D75" t="str">
            <v>24 HORAS CENTRALS</v>
          </cell>
          <cell r="F75">
            <v>0.875</v>
          </cell>
          <cell r="G75">
            <v>0.91666666666666663</v>
          </cell>
          <cell r="H75" t="str">
            <v>Sb</v>
          </cell>
          <cell r="I75">
            <v>30</v>
          </cell>
          <cell r="J75" t="str">
            <v>SuperPrime</v>
          </cell>
          <cell r="K75" t="str">
            <v>S Prime</v>
          </cell>
          <cell r="L75">
            <v>2</v>
          </cell>
          <cell r="AR75">
            <v>0</v>
          </cell>
          <cell r="AS75">
            <v>7</v>
          </cell>
          <cell r="AU75">
            <v>1400000</v>
          </cell>
          <cell r="AV75">
            <v>0</v>
          </cell>
        </row>
        <row r="76">
          <cell r="B76" t="str">
            <v>24 HORAS SÁBADO PLUS</v>
          </cell>
          <cell r="C76">
            <v>0</v>
          </cell>
          <cell r="D76" t="str">
            <v>24 HORAS CENTRAL*plusS</v>
          </cell>
          <cell r="F76">
            <v>0.875</v>
          </cell>
          <cell r="G76">
            <v>0.91666666666666663</v>
          </cell>
          <cell r="H76" t="str">
            <v>Sb</v>
          </cell>
          <cell r="I76">
            <v>30</v>
          </cell>
          <cell r="J76" t="str">
            <v>SuperPrime</v>
          </cell>
          <cell r="K76" t="str">
            <v>S Prime</v>
          </cell>
          <cell r="L76">
            <v>2</v>
          </cell>
          <cell r="AR76">
            <v>0</v>
          </cell>
          <cell r="AS76">
            <v>8</v>
          </cell>
          <cell r="AU76">
            <v>1460000</v>
          </cell>
          <cell r="AV76">
            <v>0</v>
          </cell>
        </row>
        <row r="77">
          <cell r="B77" t="str">
            <v>BEST SELLER</v>
          </cell>
          <cell r="C77">
            <v>76687</v>
          </cell>
          <cell r="D77" t="str">
            <v>BEST SELLERS</v>
          </cell>
          <cell r="F77">
            <v>0.92013888888888884</v>
          </cell>
          <cell r="G77">
            <v>1.0208333333333333</v>
          </cell>
          <cell r="H77" t="str">
            <v>Sb</v>
          </cell>
          <cell r="I77">
            <v>30</v>
          </cell>
          <cell r="J77" t="str">
            <v>Alta</v>
          </cell>
          <cell r="K77" t="str">
            <v>Prime</v>
          </cell>
          <cell r="L77">
            <v>2</v>
          </cell>
          <cell r="AR77">
            <v>0</v>
          </cell>
          <cell r="AS77">
            <v>7</v>
          </cell>
          <cell r="AU77">
            <v>1600000</v>
          </cell>
          <cell r="AV77">
            <v>0</v>
          </cell>
        </row>
        <row r="78">
          <cell r="B78" t="str">
            <v>GRANDES PELICULAS</v>
          </cell>
          <cell r="C78">
            <v>74509</v>
          </cell>
          <cell r="D78" t="str">
            <v>GRANDES PELICULASS</v>
          </cell>
          <cell r="F78">
            <v>1.0208333333333333</v>
          </cell>
          <cell r="G78">
            <v>1.0833333333333333</v>
          </cell>
          <cell r="H78" t="str">
            <v>Sb</v>
          </cell>
          <cell r="I78">
            <v>30</v>
          </cell>
          <cell r="J78" t="str">
            <v>Media</v>
          </cell>
          <cell r="K78" t="str">
            <v>Off Prime</v>
          </cell>
          <cell r="L78">
            <v>2</v>
          </cell>
          <cell r="AR78">
            <v>0</v>
          </cell>
          <cell r="AS78">
            <v>7</v>
          </cell>
          <cell r="AU78">
            <v>450000</v>
          </cell>
          <cell r="AV78">
            <v>0</v>
          </cell>
        </row>
        <row r="79">
          <cell r="B79" t="str">
            <v>CAZADORES DE CIENCIA</v>
          </cell>
          <cell r="C79">
            <v>72075</v>
          </cell>
          <cell r="D79" t="str">
            <v>CAZADORES DE CIENCIA (R)D</v>
          </cell>
          <cell r="F79">
            <v>0.33333333333333331</v>
          </cell>
          <cell r="G79">
            <v>0.375</v>
          </cell>
          <cell r="H79" t="str">
            <v>Dg</v>
          </cell>
          <cell r="I79">
            <v>30</v>
          </cell>
          <cell r="J79" t="str">
            <v>Baja</v>
          </cell>
          <cell r="K79" t="str">
            <v>Off Prime</v>
          </cell>
          <cell r="L79">
            <v>2</v>
          </cell>
          <cell r="AR79">
            <v>0</v>
          </cell>
          <cell r="AS79">
            <v>7</v>
          </cell>
          <cell r="AU79">
            <v>300000</v>
          </cell>
          <cell r="AV79">
            <v>0</v>
          </cell>
        </row>
        <row r="80">
          <cell r="B80" t="str">
            <v>24 HORAS A LA HORA</v>
          </cell>
          <cell r="C80">
            <v>76107</v>
          </cell>
          <cell r="D80" t="str">
            <v>24 HORAS A LA HORAD</v>
          </cell>
          <cell r="F80">
            <v>0.375</v>
          </cell>
          <cell r="G80">
            <v>0.41666666666666669</v>
          </cell>
          <cell r="H80" t="str">
            <v>Dg</v>
          </cell>
          <cell r="I80">
            <v>30</v>
          </cell>
          <cell r="J80" t="str">
            <v>Baja</v>
          </cell>
          <cell r="K80" t="str">
            <v>Off Prime</v>
          </cell>
          <cell r="L80">
            <v>2</v>
          </cell>
          <cell r="AR80">
            <v>0</v>
          </cell>
          <cell r="AS80">
            <v>7</v>
          </cell>
          <cell r="AU80">
            <v>300000</v>
          </cell>
          <cell r="AV80">
            <v>0</v>
          </cell>
        </row>
        <row r="81">
          <cell r="B81" t="str">
            <v>ESTADO NACIONAL</v>
          </cell>
          <cell r="C81">
            <v>69474</v>
          </cell>
          <cell r="D81" t="str">
            <v>ESTADO NACIONALD</v>
          </cell>
          <cell r="F81">
            <v>0.41666666666666669</v>
          </cell>
          <cell r="G81">
            <v>0.45833333333333331</v>
          </cell>
          <cell r="H81" t="str">
            <v>Dg</v>
          </cell>
          <cell r="I81">
            <v>30</v>
          </cell>
          <cell r="J81" t="str">
            <v>Baja</v>
          </cell>
          <cell r="K81" t="str">
            <v>Off Prime</v>
          </cell>
          <cell r="L81">
            <v>2</v>
          </cell>
          <cell r="AR81">
            <v>0</v>
          </cell>
          <cell r="AS81">
            <v>7</v>
          </cell>
          <cell r="AU81">
            <v>450000</v>
          </cell>
          <cell r="AV81">
            <v>0</v>
          </cell>
        </row>
        <row r="82">
          <cell r="B82" t="str">
            <v>COMISARIO REX</v>
          </cell>
          <cell r="C82">
            <v>76192</v>
          </cell>
          <cell r="D82" t="str">
            <v>COMISARIO REXD</v>
          </cell>
          <cell r="F82">
            <v>0.45833333333333331</v>
          </cell>
          <cell r="G82">
            <v>0.54166666666666663</v>
          </cell>
          <cell r="H82" t="str">
            <v>Dg</v>
          </cell>
          <cell r="I82">
            <v>30</v>
          </cell>
          <cell r="J82" t="str">
            <v>Baja</v>
          </cell>
          <cell r="K82" t="str">
            <v>Off Prime</v>
          </cell>
          <cell r="L82">
            <v>2</v>
          </cell>
          <cell r="AR82">
            <v>0</v>
          </cell>
          <cell r="AS82">
            <v>7</v>
          </cell>
          <cell r="AU82">
            <v>350000</v>
          </cell>
          <cell r="AV82">
            <v>0</v>
          </cell>
        </row>
        <row r="83">
          <cell r="B83" t="str">
            <v>24 HORAS DÍA DO</v>
          </cell>
          <cell r="C83">
            <v>72582</v>
          </cell>
          <cell r="D83" t="str">
            <v>24 HORAS AL DIAD</v>
          </cell>
          <cell r="F83">
            <v>0.54166666666666663</v>
          </cell>
          <cell r="G83">
            <v>0.5625</v>
          </cell>
          <cell r="H83" t="str">
            <v>Dg</v>
          </cell>
          <cell r="I83">
            <v>30</v>
          </cell>
          <cell r="J83" t="str">
            <v>Media</v>
          </cell>
          <cell r="K83" t="str">
            <v>Off Prime</v>
          </cell>
          <cell r="L83">
            <v>2</v>
          </cell>
          <cell r="AR83">
            <v>0</v>
          </cell>
          <cell r="AS83">
            <v>7</v>
          </cell>
          <cell r="AU83">
            <v>500000</v>
          </cell>
          <cell r="AV83">
            <v>0</v>
          </cell>
        </row>
        <row r="84">
          <cell r="B84" t="str">
            <v>24 HORAS DÍA DO PLUS</v>
          </cell>
          <cell r="C84">
            <v>0</v>
          </cell>
          <cell r="D84" t="str">
            <v>24 HORAS AL DIA*plusD</v>
          </cell>
          <cell r="F84">
            <v>0.54166666666666663</v>
          </cell>
          <cell r="G84">
            <v>0.5625</v>
          </cell>
          <cell r="H84" t="str">
            <v>Dg</v>
          </cell>
          <cell r="I84">
            <v>30</v>
          </cell>
          <cell r="J84" t="str">
            <v>Media</v>
          </cell>
          <cell r="K84" t="str">
            <v>Off Prime</v>
          </cell>
          <cell r="L84">
            <v>2</v>
          </cell>
          <cell r="AR84">
            <v>0</v>
          </cell>
          <cell r="AS84">
            <v>8</v>
          </cell>
          <cell r="AU84">
            <v>530000</v>
          </cell>
          <cell r="AV84">
            <v>0</v>
          </cell>
        </row>
        <row r="85">
          <cell r="B85" t="str">
            <v>CHILE CONECTADO</v>
          </cell>
          <cell r="C85">
            <v>72199</v>
          </cell>
          <cell r="D85" t="str">
            <v>CHILE CONECTADO (R)D</v>
          </cell>
          <cell r="F85">
            <v>0.5625</v>
          </cell>
          <cell r="G85">
            <v>0.64583333333333337</v>
          </cell>
          <cell r="H85" t="str">
            <v>Dg</v>
          </cell>
          <cell r="I85">
            <v>30</v>
          </cell>
          <cell r="J85" t="str">
            <v>Media</v>
          </cell>
          <cell r="K85" t="str">
            <v>Off Prime</v>
          </cell>
          <cell r="L85">
            <v>2</v>
          </cell>
          <cell r="AR85">
            <v>0</v>
          </cell>
          <cell r="AS85">
            <v>7</v>
          </cell>
          <cell r="AU85">
            <v>500000</v>
          </cell>
          <cell r="AV85">
            <v>0</v>
          </cell>
        </row>
        <row r="86">
          <cell r="B86" t="str">
            <v>FRUTOS DEL PAÍS</v>
          </cell>
          <cell r="C86">
            <v>67312</v>
          </cell>
          <cell r="D86" t="str">
            <v>FRUTOS DEL PAIS (R)D</v>
          </cell>
          <cell r="F86">
            <v>0.64583333333333337</v>
          </cell>
          <cell r="G86">
            <v>0.68055555555555547</v>
          </cell>
          <cell r="H86" t="str">
            <v>Dg</v>
          </cell>
          <cell r="I86">
            <v>30</v>
          </cell>
          <cell r="J86" t="str">
            <v>Media</v>
          </cell>
          <cell r="K86" t="str">
            <v>Off Prime</v>
          </cell>
          <cell r="L86">
            <v>2</v>
          </cell>
          <cell r="AR86">
            <v>0</v>
          </cell>
          <cell r="AS86">
            <v>7</v>
          </cell>
          <cell r="AU86">
            <v>700000</v>
          </cell>
          <cell r="AV86">
            <v>0</v>
          </cell>
        </row>
        <row r="87">
          <cell r="B87" t="str">
            <v>CULTURA ENTRETENIDA: RADIOGRAFIAS COTIDIANAS</v>
          </cell>
          <cell r="C87">
            <v>75939</v>
          </cell>
          <cell r="D87" t="str">
            <v>LA CULTURA ENTRETENIDAD</v>
          </cell>
          <cell r="F87">
            <v>0.68055555555555547</v>
          </cell>
          <cell r="G87">
            <v>0.77083333333333337</v>
          </cell>
          <cell r="H87" t="str">
            <v>Dg</v>
          </cell>
          <cell r="I87">
            <v>30</v>
          </cell>
          <cell r="J87" t="str">
            <v>Media</v>
          </cell>
          <cell r="K87" t="str">
            <v>Off Prime</v>
          </cell>
          <cell r="L87">
            <v>2</v>
          </cell>
          <cell r="AR87">
            <v>0</v>
          </cell>
          <cell r="AS87">
            <v>7</v>
          </cell>
          <cell r="AU87">
            <v>500000</v>
          </cell>
          <cell r="AV87">
            <v>0</v>
          </cell>
        </row>
        <row r="88">
          <cell r="B88" t="str">
            <v>CULTURA ENTRETENIDA: CON QUE SUEÑAS</v>
          </cell>
          <cell r="C88">
            <v>74967</v>
          </cell>
          <cell r="D88" t="str">
            <v>LA CULTURA ENTRETENIDAD</v>
          </cell>
          <cell r="F88">
            <v>0.68055555555555547</v>
          </cell>
          <cell r="G88">
            <v>0.77083333333333337</v>
          </cell>
          <cell r="H88" t="str">
            <v>Dg</v>
          </cell>
          <cell r="I88">
            <v>30</v>
          </cell>
          <cell r="J88" t="str">
            <v>Media</v>
          </cell>
          <cell r="K88" t="str">
            <v>Off Prime</v>
          </cell>
          <cell r="L88">
            <v>2</v>
          </cell>
          <cell r="AR88">
            <v>0</v>
          </cell>
          <cell r="AS88">
            <v>7</v>
          </cell>
          <cell r="AU88">
            <v>500000</v>
          </cell>
          <cell r="AV88">
            <v>0</v>
          </cell>
        </row>
        <row r="89">
          <cell r="B89" t="str">
            <v>REQUIEM DE CHILE</v>
          </cell>
          <cell r="C89">
            <v>76918</v>
          </cell>
          <cell r="D89" t="str">
            <v>LA CULTURA ENTRETENIDAD</v>
          </cell>
          <cell r="F89">
            <v>0.77083333333333337</v>
          </cell>
          <cell r="G89">
            <v>0.83333333333333337</v>
          </cell>
          <cell r="H89" t="str">
            <v>Dg</v>
          </cell>
          <cell r="I89">
            <v>30</v>
          </cell>
          <cell r="J89" t="str">
            <v>Media</v>
          </cell>
          <cell r="K89" t="str">
            <v>Off Prime</v>
          </cell>
          <cell r="L89">
            <v>2</v>
          </cell>
          <cell r="AR89">
            <v>0</v>
          </cell>
          <cell r="AS89">
            <v>7</v>
          </cell>
          <cell r="AU89">
            <v>500000</v>
          </cell>
          <cell r="AV89">
            <v>0</v>
          </cell>
        </row>
        <row r="90">
          <cell r="B90" t="str">
            <v>LA CIENCIA DE LO ABSURDO</v>
          </cell>
          <cell r="C90">
            <v>76838</v>
          </cell>
          <cell r="D90" t="str">
            <v>LA CIENCIA DE LO ABSURDOD</v>
          </cell>
          <cell r="F90">
            <v>0.83333333333333337</v>
          </cell>
          <cell r="G90">
            <v>0.875</v>
          </cell>
          <cell r="H90" t="str">
            <v>Dg</v>
          </cell>
          <cell r="I90">
            <v>30</v>
          </cell>
          <cell r="J90" t="str">
            <v>Media</v>
          </cell>
          <cell r="K90" t="str">
            <v>Off Prime</v>
          </cell>
          <cell r="L90">
            <v>2</v>
          </cell>
          <cell r="AR90">
            <v>0</v>
          </cell>
          <cell r="AS90">
            <v>7</v>
          </cell>
          <cell r="AU90">
            <v>600000</v>
          </cell>
          <cell r="AV90">
            <v>0</v>
          </cell>
        </row>
        <row r="91">
          <cell r="B91" t="str">
            <v>24 HORAS DOMINGO</v>
          </cell>
          <cell r="C91">
            <v>65781</v>
          </cell>
          <cell r="D91" t="str">
            <v>24 HORAS DOMINGOD</v>
          </cell>
          <cell r="F91">
            <v>0.875</v>
          </cell>
          <cell r="G91">
            <v>0.91666666666666663</v>
          </cell>
          <cell r="H91" t="str">
            <v>Dg</v>
          </cell>
          <cell r="I91">
            <v>30</v>
          </cell>
          <cell r="J91" t="str">
            <v>SuperPrime</v>
          </cell>
          <cell r="K91" t="str">
            <v>S Prime</v>
          </cell>
          <cell r="L91">
            <v>2</v>
          </cell>
          <cell r="AR91">
            <v>0</v>
          </cell>
          <cell r="AS91">
            <v>7</v>
          </cell>
          <cell r="AU91">
            <v>2000000</v>
          </cell>
          <cell r="AV91">
            <v>0</v>
          </cell>
        </row>
        <row r="92">
          <cell r="B92" t="str">
            <v>24 HORAS DOMINGO PLUS</v>
          </cell>
          <cell r="C92">
            <v>0</v>
          </cell>
          <cell r="D92" t="str">
            <v>24 HORAS DOMINGO*plusD</v>
          </cell>
          <cell r="F92">
            <v>0.875</v>
          </cell>
          <cell r="G92">
            <v>0.91666666666666663</v>
          </cell>
          <cell r="H92" t="str">
            <v>Dg</v>
          </cell>
          <cell r="I92">
            <v>30</v>
          </cell>
          <cell r="J92" t="str">
            <v>SuperPrime</v>
          </cell>
          <cell r="K92" t="str">
            <v>S Prime</v>
          </cell>
          <cell r="L92">
            <v>2</v>
          </cell>
          <cell r="AR92">
            <v>0</v>
          </cell>
          <cell r="AS92">
            <v>8</v>
          </cell>
          <cell r="AU92">
            <v>2060000</v>
          </cell>
          <cell r="AV92">
            <v>0</v>
          </cell>
        </row>
        <row r="93">
          <cell r="B93" t="str">
            <v>DOMINGO DE GOLES</v>
          </cell>
          <cell r="C93">
            <v>75721</v>
          </cell>
          <cell r="D93" t="str">
            <v>DOMINGO DE GOLESD</v>
          </cell>
          <cell r="F93">
            <v>0.92013888888888884</v>
          </cell>
          <cell r="G93">
            <v>1</v>
          </cell>
          <cell r="H93" t="str">
            <v>Dg</v>
          </cell>
          <cell r="I93">
            <v>30</v>
          </cell>
          <cell r="J93" t="str">
            <v>Alta</v>
          </cell>
          <cell r="K93" t="str">
            <v>Prime</v>
          </cell>
          <cell r="L93">
            <v>2</v>
          </cell>
          <cell r="AR93">
            <v>0</v>
          </cell>
          <cell r="AS93">
            <v>7</v>
          </cell>
          <cell r="AU93">
            <v>1500000</v>
          </cell>
          <cell r="AV93">
            <v>0</v>
          </cell>
        </row>
        <row r="94">
          <cell r="B94" t="str">
            <v>DOMINGO DE GOLES PLUS</v>
          </cell>
          <cell r="C94">
            <v>0</v>
          </cell>
          <cell r="D94" t="str">
            <v>DOMINGO DE GOLES*plusD</v>
          </cell>
          <cell r="F94">
            <v>0.92013888888888884</v>
          </cell>
          <cell r="G94">
            <v>1</v>
          </cell>
          <cell r="H94" t="str">
            <v>Dg</v>
          </cell>
          <cell r="I94">
            <v>30</v>
          </cell>
          <cell r="J94" t="str">
            <v>Alta</v>
          </cell>
          <cell r="K94" t="str">
            <v>Prime</v>
          </cell>
          <cell r="L94">
            <v>2</v>
          </cell>
          <cell r="AR94">
            <v>0</v>
          </cell>
          <cell r="AS94">
            <v>8</v>
          </cell>
          <cell r="AU94">
            <v>1550000</v>
          </cell>
          <cell r="AV94">
            <v>0</v>
          </cell>
        </row>
        <row r="95">
          <cell r="B95" t="str">
            <v>DR HOUSE</v>
          </cell>
          <cell r="C95">
            <v>71041</v>
          </cell>
          <cell r="D95" t="str">
            <v>DOCTOR HOUSE (R)D</v>
          </cell>
          <cell r="F95">
            <v>1</v>
          </cell>
          <cell r="G95">
            <v>1.0833333333333333</v>
          </cell>
          <cell r="H95" t="str">
            <v>Dg</v>
          </cell>
          <cell r="I95">
            <v>30</v>
          </cell>
          <cell r="J95" t="str">
            <v>Media</v>
          </cell>
          <cell r="K95" t="str">
            <v>Off Prime</v>
          </cell>
          <cell r="L95">
            <v>2</v>
          </cell>
          <cell r="AR95">
            <v>0</v>
          </cell>
          <cell r="AS95">
            <v>7</v>
          </cell>
          <cell r="AU95">
            <v>800000</v>
          </cell>
          <cell r="AV95">
            <v>0</v>
          </cell>
        </row>
      </sheetData>
      <sheetData sheetId="7" refreshError="1">
        <row r="3">
          <cell r="H3" t="str">
            <v>24 HORAS A LA HORALMWJD</v>
          </cell>
        </row>
        <row r="12">
          <cell r="J12" t="str">
            <v>24 HORAS CENTRALMWJV</v>
          </cell>
          <cell r="K12">
            <v>2.294</v>
          </cell>
        </row>
        <row r="13">
          <cell r="J13" t="str">
            <v>24 HORAS CENTRALLJV</v>
          </cell>
          <cell r="K13">
            <v>2.1366666666666667</v>
          </cell>
        </row>
        <row r="14">
          <cell r="J14" t="str">
            <v>24 HORAS CENTRALL</v>
          </cell>
          <cell r="K14">
            <v>2.4700000000000002</v>
          </cell>
        </row>
        <row r="15">
          <cell r="J15" t="str">
            <v>24 HORAS CENTRALM</v>
          </cell>
          <cell r="K15">
            <v>2.21</v>
          </cell>
        </row>
        <row r="16">
          <cell r="J16" t="str">
            <v>24 HORAS CENTRALW</v>
          </cell>
          <cell r="K16">
            <v>2.85</v>
          </cell>
        </row>
        <row r="17">
          <cell r="J17" t="str">
            <v>24 HORAS CENTRALJ</v>
          </cell>
          <cell r="K17">
            <v>2.54</v>
          </cell>
        </row>
        <row r="18">
          <cell r="J18" t="str">
            <v>24 HORAS CENTRALV</v>
          </cell>
          <cell r="K18">
            <v>1.4</v>
          </cell>
        </row>
        <row r="19">
          <cell r="J19" t="str">
            <v>24 HORAS CENTRALMW</v>
          </cell>
          <cell r="K19">
            <v>2.5300000000000002</v>
          </cell>
        </row>
      </sheetData>
      <sheetData sheetId="8" refreshError="1">
        <row r="5">
          <cell r="C5">
            <v>5</v>
          </cell>
          <cell r="D5">
            <v>2</v>
          </cell>
        </row>
        <row r="6">
          <cell r="C6">
            <v>10</v>
          </cell>
          <cell r="D6">
            <v>3</v>
          </cell>
        </row>
        <row r="7">
          <cell r="C7">
            <v>15</v>
          </cell>
          <cell r="D7">
            <v>4</v>
          </cell>
        </row>
        <row r="8">
          <cell r="C8">
            <v>20</v>
          </cell>
          <cell r="D8">
            <v>5</v>
          </cell>
        </row>
        <row r="9">
          <cell r="C9">
            <v>25</v>
          </cell>
          <cell r="D9">
            <v>6</v>
          </cell>
        </row>
        <row r="10">
          <cell r="C10">
            <v>30</v>
          </cell>
          <cell r="D10">
            <v>7</v>
          </cell>
        </row>
        <row r="11">
          <cell r="C11">
            <v>35</v>
          </cell>
          <cell r="D11">
            <v>8</v>
          </cell>
        </row>
        <row r="12">
          <cell r="C12">
            <v>40</v>
          </cell>
          <cell r="D12">
            <v>9</v>
          </cell>
        </row>
        <row r="13">
          <cell r="C13">
            <v>45</v>
          </cell>
          <cell r="D13">
            <v>10</v>
          </cell>
        </row>
        <row r="14">
          <cell r="C14">
            <v>50</v>
          </cell>
          <cell r="D14">
            <v>11</v>
          </cell>
        </row>
        <row r="15">
          <cell r="C15">
            <v>55</v>
          </cell>
          <cell r="D15">
            <v>12</v>
          </cell>
        </row>
        <row r="16">
          <cell r="C16">
            <v>60</v>
          </cell>
          <cell r="D16">
            <v>13</v>
          </cell>
        </row>
      </sheetData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>
        <row r="7">
          <cell r="A7" t="str">
            <v>Valor por segundaje</v>
          </cell>
        </row>
      </sheetData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Tarifa PLUS"/>
      <sheetName val="Tarifa Preferencial"/>
      <sheetName val="Pauta Preferencial"/>
      <sheetName val="2DA QUINCENA"/>
      <sheetName val="Rating TVN"/>
      <sheetName val="COL"/>
      <sheetName val="Pautas 24 horas"/>
      <sheetName val="rating 24 horas"/>
      <sheetName val="bases"/>
      <sheetName val="Hoja1"/>
      <sheetName val="Cuantificador_RM"/>
      <sheetName val="Cuantificador_TP"/>
      <sheetName val="Tarifa_PLUS"/>
      <sheetName val="Tarifa_Preferencial"/>
      <sheetName val="Pauta_Preferencial"/>
      <sheetName val="2DA_QUINCENA"/>
      <sheetName val="Rating_TVN"/>
      <sheetName val="Pautas_24_horas"/>
      <sheetName val="rating_24_horas"/>
      <sheetName val="Cuantificador_RM2"/>
      <sheetName val="Cuantificador_TP2"/>
      <sheetName val="Tarifa_PLUS2"/>
      <sheetName val="Tarifa_Preferencial2"/>
      <sheetName val="Pauta_Preferencial2"/>
      <sheetName val="2DA_QUINCENA2"/>
      <sheetName val="Rating_TVN2"/>
      <sheetName val="Pautas_24_horas2"/>
      <sheetName val="rating_24_horas2"/>
      <sheetName val="Cuantificador_RM1"/>
      <sheetName val="Cuantificador_TP1"/>
      <sheetName val="Tarifa_PLUS1"/>
      <sheetName val="Tarifa_Preferencial1"/>
      <sheetName val="Pauta_Preferencial1"/>
      <sheetName val="2DA_QUINCENA1"/>
      <sheetName val="Rating_TVN1"/>
      <sheetName val="Pautas_24_horas1"/>
      <sheetName val="rating_24_horas1"/>
      <sheetName val="Cuantificador_RM3"/>
      <sheetName val="Cuantificador_TP3"/>
      <sheetName val="Tarifa_PLUS3"/>
      <sheetName val="Tarifa_Preferencial3"/>
      <sheetName val="Pauta_Preferencial3"/>
      <sheetName val="2DA_QUINCENA3"/>
      <sheetName val="Rating_TVN3"/>
      <sheetName val="Pautas_24_horas3"/>
      <sheetName val="rating_24_horas3"/>
      <sheetName val="Tablas"/>
      <sheetName val="Salas 2"/>
      <sheetName val="Cuantificador_RM4"/>
      <sheetName val="Cuantificador_TP4"/>
      <sheetName val="Tarifa_PLUS4"/>
      <sheetName val="Tarifa_Preferencial4"/>
      <sheetName val="Pauta_Preferencial4"/>
      <sheetName val="2DA_QUINCENA4"/>
      <sheetName val="Rating_TVN4"/>
      <sheetName val="Pautas_24_horas4"/>
      <sheetName val="rating_24_horas4"/>
      <sheetName val="Salas_2"/>
      <sheetName val="Cuantificador_RM5"/>
      <sheetName val="Cuantificador_TP5"/>
      <sheetName val="Tarifa_PLUS5"/>
      <sheetName val="Tarifa_Preferencial5"/>
      <sheetName val="Pauta_Preferencial5"/>
      <sheetName val="2DA_QUINCENA5"/>
      <sheetName val="Rating_TVN5"/>
      <sheetName val="Pautas_24_horas5"/>
      <sheetName val="rating_24_horas5"/>
      <sheetName val="Salas_21"/>
      <sheetName val="Cuantificador_RM6"/>
      <sheetName val="Cuantificador_TP6"/>
      <sheetName val="Tarifa_PLUS6"/>
      <sheetName val="Tarifa_Preferencial6"/>
      <sheetName val="Pauta_Preferencial6"/>
      <sheetName val="2DA_QUINCENA6"/>
      <sheetName val="Rating_TVN6"/>
      <sheetName val="Pautas_24_horas6"/>
      <sheetName val="rating_24_horas6"/>
      <sheetName val="Salas_22"/>
      <sheetName val="Cuantificador_RM8"/>
      <sheetName val="Cuantificador_TP8"/>
      <sheetName val="Tarifa_PLUS8"/>
      <sheetName val="Tarifa_Preferencial8"/>
      <sheetName val="Pauta_Preferencial8"/>
      <sheetName val="2DA_QUINCENA8"/>
      <sheetName val="Rating_TVN8"/>
      <sheetName val="Pautas_24_horas8"/>
      <sheetName val="rating_24_horas8"/>
      <sheetName val="Salas_24"/>
      <sheetName val="Cuantificador_RM7"/>
      <sheetName val="Cuantificador_TP7"/>
      <sheetName val="Tarifa_PLUS7"/>
      <sheetName val="Tarifa_Preferencial7"/>
      <sheetName val="Pauta_Preferencial7"/>
      <sheetName val="2DA_QUINCENA7"/>
      <sheetName val="Rating_TVN7"/>
      <sheetName val="Pautas_24_horas7"/>
      <sheetName val="rating_24_horas7"/>
      <sheetName val="Salas_23"/>
      <sheetName val="Cuantificador_RM9"/>
      <sheetName val="Cuantificador_TP9"/>
      <sheetName val="Tarifa_PLUS9"/>
      <sheetName val="Tarifa_Preferencial9"/>
      <sheetName val="Pauta_Preferencial9"/>
      <sheetName val="2DA_QUINCENA9"/>
      <sheetName val="Rating_TVN9"/>
      <sheetName val="Pautas_24_horas9"/>
      <sheetName val="rating_24_horas9"/>
      <sheetName val="Salas_25"/>
      <sheetName val="Cuantificador_RM10"/>
      <sheetName val="Cuantificador_TP10"/>
      <sheetName val="Tarifa_PLUS10"/>
      <sheetName val="Tarifa_Preferencial10"/>
      <sheetName val="Pauta_Preferencial10"/>
      <sheetName val="2DA_QUINCENA10"/>
      <sheetName val="Rating_TVN10"/>
      <sheetName val="Pautas_24_horas10"/>
      <sheetName val="rating_24_horas10"/>
      <sheetName val="Salas_26"/>
    </sheetNames>
    <sheetDataSet>
      <sheetData sheetId="0">
        <row r="4">
          <cell r="C4" t="str">
            <v>Zona</v>
          </cell>
        </row>
      </sheetData>
      <sheetData sheetId="1"/>
      <sheetData sheetId="2">
        <row r="4">
          <cell r="C4" t="str">
            <v>Zona</v>
          </cell>
        </row>
      </sheetData>
      <sheetData sheetId="3"/>
      <sheetData sheetId="4"/>
      <sheetData sheetId="5">
        <row r="7">
          <cell r="A7" t="str">
            <v>Valor por segundaje</v>
          </cell>
        </row>
      </sheetData>
      <sheetData sheetId="6">
        <row r="7">
          <cell r="F7">
            <v>30</v>
          </cell>
        </row>
      </sheetData>
      <sheetData sheetId="7"/>
      <sheetData sheetId="8">
        <row r="3">
          <cell r="H3" t="str">
            <v>24 HORAS A LA HORAD</v>
          </cell>
        </row>
      </sheetData>
      <sheetData sheetId="9">
        <row r="5">
          <cell r="C5">
            <v>5</v>
          </cell>
        </row>
      </sheetData>
      <sheetData sheetId="10">
        <row r="8">
          <cell r="R8">
            <v>0</v>
          </cell>
        </row>
      </sheetData>
      <sheetData sheetId="11"/>
      <sheetData sheetId="12">
        <row r="9">
          <cell r="E9" t="str">
            <v>HM 25-64 ABC</v>
          </cell>
          <cell r="F9">
            <v>3</v>
          </cell>
          <cell r="G9">
            <v>0.20895933838731906</v>
          </cell>
        </row>
        <row r="10">
          <cell r="E10" t="str">
            <v>HM 25-64 ABC1C2</v>
          </cell>
          <cell r="F10">
            <v>5</v>
          </cell>
          <cell r="G10">
            <v>0.25323257766582702</v>
          </cell>
        </row>
        <row r="11">
          <cell r="E11" t="str">
            <v>HM 25-99 ABCD</v>
          </cell>
          <cell r="F11">
            <v>7</v>
          </cell>
          <cell r="G11">
            <v>0.24177480117203845</v>
          </cell>
        </row>
        <row r="12">
          <cell r="E12" t="str">
            <v>HM 25-49 ABC1C2</v>
          </cell>
          <cell r="F12">
            <v>9</v>
          </cell>
          <cell r="G12">
            <v>0.22108575924468926</v>
          </cell>
        </row>
        <row r="13">
          <cell r="E13" t="str">
            <v>HM 13-64 ABC</v>
          </cell>
          <cell r="F13">
            <v>11</v>
          </cell>
          <cell r="G13">
            <v>0.22913769123783026</v>
          </cell>
        </row>
        <row r="14">
          <cell r="E14" t="str">
            <v>HM 18-49 ABC</v>
          </cell>
          <cell r="F14">
            <v>13</v>
          </cell>
          <cell r="G14">
            <v>0.21981642739468107</v>
          </cell>
        </row>
        <row r="15">
          <cell r="E15" t="str">
            <v>HM 18-64 ABC</v>
          </cell>
          <cell r="F15">
            <v>15</v>
          </cell>
          <cell r="G15">
            <v>0.2246756386493674</v>
          </cell>
        </row>
        <row r="16">
          <cell r="E16" t="str">
            <v>M 25-49 ABC</v>
          </cell>
          <cell r="F16">
            <v>17</v>
          </cell>
          <cell r="G16">
            <v>0.15109121432568554</v>
          </cell>
        </row>
        <row r="17">
          <cell r="E17" t="str">
            <v>M 25-64 ABC</v>
          </cell>
          <cell r="F17">
            <v>19</v>
          </cell>
          <cell r="G17">
            <v>0.17087378640776701</v>
          </cell>
        </row>
        <row r="18">
          <cell r="E18" t="str">
            <v>M 25-64 ABCD</v>
          </cell>
          <cell r="F18">
            <v>21</v>
          </cell>
          <cell r="G18">
            <v>0.23267216402941829</v>
          </cell>
        </row>
        <row r="19">
          <cell r="E19" t="str">
            <v>M 25-34 ABC</v>
          </cell>
          <cell r="F19">
            <v>23</v>
          </cell>
          <cell r="G19">
            <v>0.34589595375722543</v>
          </cell>
        </row>
        <row r="20">
          <cell r="E20" t="str">
            <v>M 25-99 C3D</v>
          </cell>
          <cell r="F20">
            <v>25</v>
          </cell>
          <cell r="G20">
            <v>0.25355696934644306</v>
          </cell>
        </row>
        <row r="21">
          <cell r="E21" t="str">
            <v>M 18-64 C2C3D</v>
          </cell>
          <cell r="F21">
            <v>27</v>
          </cell>
          <cell r="G21">
            <v>0.25326864567058638</v>
          </cell>
        </row>
        <row r="22">
          <cell r="E22" t="str">
            <v>H 25-64 ABC</v>
          </cell>
          <cell r="F22">
            <v>29</v>
          </cell>
          <cell r="G22">
            <v>0.25512325512325512</v>
          </cell>
        </row>
        <row r="23">
          <cell r="E23" t="str">
            <v>H 25-64 ABCD</v>
          </cell>
          <cell r="F23">
            <v>31</v>
          </cell>
          <cell r="G23">
            <v>0.26961538461538465</v>
          </cell>
        </row>
        <row r="24">
          <cell r="E24" t="str">
            <v>H 25-64 ABC1C2</v>
          </cell>
          <cell r="F24">
            <v>33</v>
          </cell>
          <cell r="G24">
            <v>0.30662290017377869</v>
          </cell>
        </row>
        <row r="25">
          <cell r="E25" t="str">
            <v>H 18-49 ABC</v>
          </cell>
          <cell r="F25">
            <v>35</v>
          </cell>
          <cell r="G25">
            <v>0.23444544634806128</v>
          </cell>
        </row>
        <row r="26">
          <cell r="E26" t="str">
            <v>H 25-64 C2C3D</v>
          </cell>
          <cell r="F26">
            <v>37</v>
          </cell>
          <cell r="G26">
            <v>0.26961538461538465</v>
          </cell>
        </row>
        <row r="27">
          <cell r="E27" t="str">
            <v>DDC ABC</v>
          </cell>
          <cell r="F27">
            <v>39</v>
          </cell>
          <cell r="G27">
            <v>0.1610562626382776</v>
          </cell>
        </row>
        <row r="28">
          <cell r="E28" t="str">
            <v>DDC ABCD</v>
          </cell>
          <cell r="F28">
            <v>41</v>
          </cell>
          <cell r="G28">
            <v>0</v>
          </cell>
        </row>
        <row r="29">
          <cell r="E29" t="str">
            <v>-</v>
          </cell>
        </row>
      </sheetData>
      <sheetData sheetId="13">
        <row r="5">
          <cell r="B5" t="str">
            <v>Programas</v>
          </cell>
        </row>
        <row r="11">
          <cell r="B11">
            <v>10</v>
          </cell>
          <cell r="C11">
            <v>2</v>
          </cell>
        </row>
        <row r="12">
          <cell r="B12">
            <v>15</v>
          </cell>
          <cell r="C12">
            <v>3</v>
          </cell>
        </row>
        <row r="13">
          <cell r="B13">
            <v>20</v>
          </cell>
          <cell r="C13">
            <v>4</v>
          </cell>
        </row>
        <row r="14">
          <cell r="B14">
            <v>25</v>
          </cell>
          <cell r="C14">
            <v>5</v>
          </cell>
        </row>
        <row r="15">
          <cell r="B15">
            <v>30</v>
          </cell>
          <cell r="C15">
            <v>6</v>
          </cell>
        </row>
        <row r="16">
          <cell r="B16">
            <v>35</v>
          </cell>
          <cell r="C16">
            <v>7</v>
          </cell>
        </row>
        <row r="17">
          <cell r="B17">
            <v>40</v>
          </cell>
          <cell r="C17">
            <v>8</v>
          </cell>
        </row>
        <row r="18">
          <cell r="B18">
            <v>45</v>
          </cell>
          <cell r="C18">
            <v>9</v>
          </cell>
        </row>
        <row r="19">
          <cell r="B19">
            <v>50</v>
          </cell>
          <cell r="C19">
            <v>10</v>
          </cell>
        </row>
        <row r="20">
          <cell r="B20">
            <v>55</v>
          </cell>
          <cell r="C20">
            <v>11</v>
          </cell>
        </row>
        <row r="21">
          <cell r="B21">
            <v>60</v>
          </cell>
          <cell r="C21">
            <v>12</v>
          </cell>
        </row>
      </sheetData>
      <sheetData sheetId="14"/>
      <sheetData sheetId="15"/>
      <sheetData sheetId="16"/>
      <sheetData sheetId="17">
        <row r="7">
          <cell r="A7" t="str">
            <v>Valor por segundaje</v>
          </cell>
        </row>
      </sheetData>
      <sheetData sheetId="18">
        <row r="7">
          <cell r="F7">
            <v>30</v>
          </cell>
        </row>
      </sheetData>
      <sheetData sheetId="19"/>
      <sheetData sheetId="20">
        <row r="3">
          <cell r="H3" t="str">
            <v>24 HORAS A LA HORAD</v>
          </cell>
        </row>
      </sheetData>
      <sheetData sheetId="21">
        <row r="8">
          <cell r="R8">
            <v>0</v>
          </cell>
        </row>
      </sheetData>
      <sheetData sheetId="22"/>
      <sheetData sheetId="23"/>
      <sheetData sheetId="24"/>
      <sheetData sheetId="25"/>
      <sheetData sheetId="26">
        <row r="7">
          <cell r="A7" t="str">
            <v>Valor por segundaje</v>
          </cell>
        </row>
      </sheetData>
      <sheetData sheetId="27">
        <row r="7">
          <cell r="F7">
            <v>30</v>
          </cell>
        </row>
      </sheetData>
      <sheetData sheetId="28"/>
      <sheetData sheetId="29">
        <row r="3">
          <cell r="H3" t="str">
            <v>24 HORAS A LA HORAD</v>
          </cell>
        </row>
      </sheetData>
      <sheetData sheetId="30">
        <row r="8">
          <cell r="R8">
            <v>0</v>
          </cell>
        </row>
      </sheetData>
      <sheetData sheetId="31"/>
      <sheetData sheetId="32"/>
      <sheetData sheetId="33"/>
      <sheetData sheetId="34"/>
      <sheetData sheetId="35">
        <row r="7">
          <cell r="A7" t="str">
            <v>Valor por segundaje</v>
          </cell>
        </row>
      </sheetData>
      <sheetData sheetId="36">
        <row r="7">
          <cell r="F7">
            <v>30</v>
          </cell>
        </row>
      </sheetData>
      <sheetData sheetId="37"/>
      <sheetData sheetId="38">
        <row r="3">
          <cell r="H3" t="str">
            <v>24 HORAS A LA HORAD</v>
          </cell>
        </row>
      </sheetData>
      <sheetData sheetId="39">
        <row r="8">
          <cell r="R8">
            <v>0</v>
          </cell>
        </row>
      </sheetData>
      <sheetData sheetId="40"/>
      <sheetData sheetId="41"/>
      <sheetData sheetId="42"/>
      <sheetData sheetId="43"/>
      <sheetData sheetId="44">
        <row r="7">
          <cell r="A7" t="str">
            <v>Valor por segundaje</v>
          </cell>
        </row>
      </sheetData>
      <sheetData sheetId="45">
        <row r="7">
          <cell r="F7">
            <v>30</v>
          </cell>
        </row>
      </sheetData>
      <sheetData sheetId="46"/>
      <sheetData sheetId="47">
        <row r="3">
          <cell r="H3" t="str">
            <v>24 HORAS A LA HORAD</v>
          </cell>
        </row>
      </sheetData>
      <sheetData sheetId="48">
        <row r="8">
          <cell r="R8">
            <v>0</v>
          </cell>
        </row>
      </sheetData>
      <sheetData sheetId="49"/>
      <sheetData sheetId="50" refreshError="1"/>
      <sheetData sheetId="51" refreshError="1"/>
      <sheetData sheetId="52"/>
      <sheetData sheetId="53"/>
      <sheetData sheetId="54"/>
      <sheetData sheetId="55">
        <row r="7">
          <cell r="A7" t="str">
            <v>Valor por segundaje</v>
          </cell>
        </row>
      </sheetData>
      <sheetData sheetId="56">
        <row r="7">
          <cell r="F7">
            <v>30</v>
          </cell>
        </row>
      </sheetData>
      <sheetData sheetId="57"/>
      <sheetData sheetId="58">
        <row r="3">
          <cell r="H3" t="str">
            <v>24 HORAS A LA HORAD</v>
          </cell>
        </row>
      </sheetData>
      <sheetData sheetId="59">
        <row r="8">
          <cell r="R8">
            <v>0</v>
          </cell>
        </row>
      </sheetData>
      <sheetData sheetId="60"/>
      <sheetData sheetId="61"/>
      <sheetData sheetId="62"/>
      <sheetData sheetId="63"/>
      <sheetData sheetId="64"/>
      <sheetData sheetId="65">
        <row r="7">
          <cell r="A7" t="str">
            <v>Valor por segundaje</v>
          </cell>
        </row>
      </sheetData>
      <sheetData sheetId="66">
        <row r="7">
          <cell r="F7">
            <v>30</v>
          </cell>
        </row>
      </sheetData>
      <sheetData sheetId="67"/>
      <sheetData sheetId="68">
        <row r="3">
          <cell r="H3" t="str">
            <v>24 HORAS A LA HORAD</v>
          </cell>
        </row>
      </sheetData>
      <sheetData sheetId="69">
        <row r="8">
          <cell r="R8">
            <v>0</v>
          </cell>
        </row>
      </sheetData>
      <sheetData sheetId="70"/>
      <sheetData sheetId="71"/>
      <sheetData sheetId="72"/>
      <sheetData sheetId="73"/>
      <sheetData sheetId="74"/>
      <sheetData sheetId="75">
        <row r="7">
          <cell r="A7" t="str">
            <v>Valor por segundaje</v>
          </cell>
        </row>
      </sheetData>
      <sheetData sheetId="76">
        <row r="7">
          <cell r="F7">
            <v>30</v>
          </cell>
        </row>
      </sheetData>
      <sheetData sheetId="77"/>
      <sheetData sheetId="78">
        <row r="3">
          <cell r="H3" t="str">
            <v>24 HORAS A LA HORAD</v>
          </cell>
        </row>
      </sheetData>
      <sheetData sheetId="79">
        <row r="8">
          <cell r="R8">
            <v>0</v>
          </cell>
        </row>
      </sheetData>
      <sheetData sheetId="80"/>
      <sheetData sheetId="81"/>
      <sheetData sheetId="82"/>
      <sheetData sheetId="83"/>
      <sheetData sheetId="84"/>
      <sheetData sheetId="85">
        <row r="7">
          <cell r="A7" t="str">
            <v>Valor por segundaje</v>
          </cell>
        </row>
      </sheetData>
      <sheetData sheetId="86">
        <row r="7">
          <cell r="F7">
            <v>30</v>
          </cell>
        </row>
      </sheetData>
      <sheetData sheetId="87"/>
      <sheetData sheetId="88">
        <row r="3">
          <cell r="H3" t="str">
            <v>24 HORAS A LA HORAD</v>
          </cell>
        </row>
      </sheetData>
      <sheetData sheetId="89">
        <row r="8">
          <cell r="R8">
            <v>0</v>
          </cell>
        </row>
      </sheetData>
      <sheetData sheetId="90"/>
      <sheetData sheetId="91"/>
      <sheetData sheetId="92"/>
      <sheetData sheetId="93"/>
      <sheetData sheetId="94"/>
      <sheetData sheetId="95">
        <row r="7">
          <cell r="A7" t="str">
            <v>Valor por segundaje</v>
          </cell>
        </row>
      </sheetData>
      <sheetData sheetId="96">
        <row r="7">
          <cell r="F7">
            <v>30</v>
          </cell>
        </row>
      </sheetData>
      <sheetData sheetId="97"/>
      <sheetData sheetId="98">
        <row r="3">
          <cell r="H3" t="str">
            <v>24 HORAS A LA HORAD</v>
          </cell>
        </row>
      </sheetData>
      <sheetData sheetId="99">
        <row r="8">
          <cell r="R8">
            <v>0</v>
          </cell>
        </row>
      </sheetData>
      <sheetData sheetId="100"/>
      <sheetData sheetId="101"/>
      <sheetData sheetId="102"/>
      <sheetData sheetId="103"/>
      <sheetData sheetId="104"/>
      <sheetData sheetId="105">
        <row r="7">
          <cell r="A7" t="str">
            <v>Valor por segundaje</v>
          </cell>
        </row>
      </sheetData>
      <sheetData sheetId="106">
        <row r="7">
          <cell r="F7">
            <v>30</v>
          </cell>
        </row>
      </sheetData>
      <sheetData sheetId="107"/>
      <sheetData sheetId="108">
        <row r="3">
          <cell r="H3" t="str">
            <v>24 HORAS A LA HORAD</v>
          </cell>
        </row>
      </sheetData>
      <sheetData sheetId="109">
        <row r="8">
          <cell r="R8">
            <v>0</v>
          </cell>
        </row>
      </sheetData>
      <sheetData sheetId="110"/>
      <sheetData sheetId="111"/>
      <sheetData sheetId="112"/>
      <sheetData sheetId="113"/>
      <sheetData sheetId="114"/>
      <sheetData sheetId="115">
        <row r="7">
          <cell r="A7" t="str">
            <v>Valor por segundaje</v>
          </cell>
        </row>
      </sheetData>
      <sheetData sheetId="116">
        <row r="7">
          <cell r="F7">
            <v>30</v>
          </cell>
        </row>
      </sheetData>
      <sheetData sheetId="117"/>
      <sheetData sheetId="118">
        <row r="3">
          <cell r="H3" t="str">
            <v>24 HORAS A LA HORAD</v>
          </cell>
        </row>
      </sheetData>
      <sheetData sheetId="119">
        <row r="8">
          <cell r="R8">
            <v>0</v>
          </cell>
        </row>
      </sheetData>
      <sheetData sheetId="120"/>
      <sheetData sheetId="12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codigos"/>
      <sheetName val="2015 Netas"/>
      <sheetName val="Pauta"/>
      <sheetName val="Rating1"/>
      <sheetName val="COL"/>
      <sheetName val="Hoja1"/>
      <sheetName val="Hoja2"/>
      <sheetName val="Cuantificador_RM"/>
      <sheetName val="Cuantificador_TP"/>
      <sheetName val="2015_Netas"/>
      <sheetName val="Cuantificador_RM2"/>
      <sheetName val="Cuantificador_TP2"/>
      <sheetName val="2015_Netas2"/>
      <sheetName val="Cuantificador_RM1"/>
      <sheetName val="Cuantificador_TP1"/>
      <sheetName val="2015_Netas1"/>
      <sheetName val="Cuantificador_RM3"/>
      <sheetName val="Cuantificador_TP3"/>
      <sheetName val="2015_Netas3"/>
      <sheetName val="Pref May-Jun"/>
      <sheetName val="Cuantificador_RM4"/>
      <sheetName val="Cuantificador_TP4"/>
      <sheetName val="2015_Netas4"/>
      <sheetName val="Pref_May-Jun"/>
      <sheetName val="Cuantificador_RM5"/>
      <sheetName val="Cuantificador_TP5"/>
      <sheetName val="2015_Netas5"/>
      <sheetName val="Pref_May-Jun1"/>
      <sheetName val="Cuantificador_RM6"/>
      <sheetName val="Cuantificador_TP6"/>
      <sheetName val="2015_Netas6"/>
      <sheetName val="Pref_May-Jun2"/>
      <sheetName val="Cuantificador_RM8"/>
      <sheetName val="Cuantificador_TP8"/>
      <sheetName val="2015_Netas8"/>
      <sheetName val="Pref_May-Jun4"/>
      <sheetName val="Cuantificador_RM7"/>
      <sheetName val="Cuantificador_TP7"/>
      <sheetName val="2015_Netas7"/>
      <sheetName val="Pref_May-Jun3"/>
      <sheetName val="Cuantificador_RM9"/>
      <sheetName val="Cuantificador_TP9"/>
      <sheetName val="2015_Netas9"/>
      <sheetName val="Pref_May-Jun5"/>
      <sheetName val="Cuantificador_RM10"/>
      <sheetName val="Cuantificador_TP10"/>
      <sheetName val="2015_Netas10"/>
      <sheetName val="Pref_May-Jun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A7" t="str">
            <v>Valor por segundaje</v>
          </cell>
          <cell r="B7">
            <v>0</v>
          </cell>
        </row>
        <row r="8">
          <cell r="A8" t="str">
            <v>Matriarcas A</v>
          </cell>
          <cell r="B8">
            <v>76920</v>
          </cell>
        </row>
        <row r="9">
          <cell r="A9" t="str">
            <v>Matriarcas B</v>
          </cell>
          <cell r="B9">
            <v>76921</v>
          </cell>
        </row>
        <row r="10">
          <cell r="A10">
            <v>0</v>
          </cell>
          <cell r="B10">
            <v>0</v>
          </cell>
        </row>
        <row r="11">
          <cell r="A11" t="str">
            <v>24 HORAS LU-VI</v>
          </cell>
          <cell r="B11">
            <v>70960</v>
          </cell>
        </row>
        <row r="12">
          <cell r="A12" t="str">
            <v>24 HORAS LU-VI PLUS</v>
          </cell>
          <cell r="B12">
            <v>0</v>
          </cell>
        </row>
        <row r="13">
          <cell r="A13" t="str">
            <v>24 Horas Sábado</v>
          </cell>
          <cell r="B13">
            <v>65780</v>
          </cell>
        </row>
        <row r="14">
          <cell r="A14" t="str">
            <v>24 Horas Sábado Plus</v>
          </cell>
          <cell r="B14">
            <v>0</v>
          </cell>
        </row>
        <row r="15">
          <cell r="A15" t="str">
            <v>24 Horas Domingo</v>
          </cell>
          <cell r="B15">
            <v>65781</v>
          </cell>
        </row>
        <row r="16">
          <cell r="A16" t="str">
            <v>24 Horas Domingo Plus</v>
          </cell>
          <cell r="B16">
            <v>0</v>
          </cell>
        </row>
        <row r="17">
          <cell r="A17">
            <v>0</v>
          </cell>
          <cell r="B17">
            <v>0</v>
          </cell>
        </row>
        <row r="18">
          <cell r="A18" t="str">
            <v>Colegas</v>
          </cell>
          <cell r="B18">
            <v>77842</v>
          </cell>
        </row>
        <row r="19">
          <cell r="A19" t="str">
            <v>Y Tu Que Harias?</v>
          </cell>
          <cell r="B19">
            <v>77626</v>
          </cell>
        </row>
        <row r="20">
          <cell r="A20" t="str">
            <v>JOSE DE EGIPTO</v>
          </cell>
          <cell r="B20">
            <v>77738</v>
          </cell>
        </row>
        <row r="21">
          <cell r="A21" t="str">
            <v>Happy Together</v>
          </cell>
          <cell r="B21">
            <v>77627</v>
          </cell>
        </row>
        <row r="22">
          <cell r="A22" t="str">
            <v>Informe Especial</v>
          </cell>
          <cell r="B22">
            <v>10156</v>
          </cell>
        </row>
        <row r="23">
          <cell r="A23" t="str">
            <v>Siete Edades del Rock</v>
          </cell>
          <cell r="B23">
            <v>77844</v>
          </cell>
        </row>
        <row r="24">
          <cell r="A24" t="str">
            <v>El Informante</v>
          </cell>
          <cell r="B24">
            <v>75735</v>
          </cell>
        </row>
        <row r="25">
          <cell r="A25" t="str">
            <v>COLEGAS LO  MEJOR</v>
          </cell>
          <cell r="B25">
            <v>77843</v>
          </cell>
        </row>
        <row r="26">
          <cell r="A26" t="str">
            <v>BEST SELLER V</v>
          </cell>
          <cell r="B26">
            <v>10098</v>
          </cell>
        </row>
        <row r="27">
          <cell r="A27" t="str">
            <v>Kunga</v>
          </cell>
          <cell r="B27">
            <v>76849</v>
          </cell>
        </row>
        <row r="28">
          <cell r="A28" t="str">
            <v>Juana Brava</v>
          </cell>
          <cell r="B28">
            <v>77634</v>
          </cell>
        </row>
        <row r="29">
          <cell r="A29" t="str">
            <v>Domingo de Goles</v>
          </cell>
          <cell r="B29">
            <v>75721</v>
          </cell>
        </row>
        <row r="30">
          <cell r="A30" t="str">
            <v>Domingo de Goles Plus</v>
          </cell>
          <cell r="B30">
            <v>0</v>
          </cell>
        </row>
        <row r="31">
          <cell r="A31">
            <v>0</v>
          </cell>
          <cell r="B31">
            <v>0</v>
          </cell>
        </row>
        <row r="32">
          <cell r="A32" t="str">
            <v>Medianoche</v>
          </cell>
          <cell r="B32">
            <v>70981</v>
          </cell>
        </row>
        <row r="33">
          <cell r="A33" t="str">
            <v>BUSCANDO AMERICA</v>
          </cell>
          <cell r="B33">
            <v>77347</v>
          </cell>
        </row>
        <row r="34">
          <cell r="A34" t="str">
            <v>DEPORTES 24</v>
          </cell>
          <cell r="B34">
            <v>77827</v>
          </cell>
        </row>
        <row r="35">
          <cell r="A35" t="str">
            <v>MIRADA ECONOMICA TRAS</v>
          </cell>
          <cell r="B35">
            <v>77845</v>
          </cell>
        </row>
        <row r="36">
          <cell r="A36" t="str">
            <v>SESIONES 24 TRAS</v>
          </cell>
          <cell r="B36">
            <v>77846</v>
          </cell>
        </row>
        <row r="37">
          <cell r="A37" t="str">
            <v>AVANCES 24 TRAS</v>
          </cell>
          <cell r="B37">
            <v>77847</v>
          </cell>
        </row>
        <row r="38">
          <cell r="A38" t="str">
            <v>Trasnoche Y Tu Que Harias? RR</v>
          </cell>
          <cell r="B38">
            <v>77831</v>
          </cell>
        </row>
        <row r="39">
          <cell r="A39" t="str">
            <v>Trasnoche Happy Together RR</v>
          </cell>
          <cell r="B39">
            <v>77848</v>
          </cell>
        </row>
        <row r="40">
          <cell r="A40" t="str">
            <v>Trasnoche Informe Especial RR</v>
          </cell>
          <cell r="B40">
            <v>77828</v>
          </cell>
        </row>
        <row r="41">
          <cell r="A41" t="str">
            <v>Trasnoche Siete Edades del Rock RR</v>
          </cell>
          <cell r="B41">
            <v>77849</v>
          </cell>
        </row>
        <row r="42">
          <cell r="A42" t="str">
            <v>Trasnoche 24 Horas a la Hora</v>
          </cell>
          <cell r="B42">
            <v>77833</v>
          </cell>
        </row>
        <row r="43">
          <cell r="A43" t="str">
            <v>TRASNOCHE JOSE DE EGIPTO RR</v>
          </cell>
          <cell r="B43">
            <v>77829</v>
          </cell>
        </row>
        <row r="44">
          <cell r="A44" t="str">
            <v>Trasnoche El Informante RR</v>
          </cell>
          <cell r="B44">
            <v>77835</v>
          </cell>
        </row>
        <row r="45">
          <cell r="A45" t="str">
            <v>TRASNOCHE MARATON ESA NO SOY YO</v>
          </cell>
          <cell r="B45">
            <v>77608</v>
          </cell>
        </row>
        <row r="46">
          <cell r="A46" t="str">
            <v>Zona D Realizadores</v>
          </cell>
          <cell r="B46">
            <v>73251</v>
          </cell>
        </row>
        <row r="47">
          <cell r="A47" t="str">
            <v>Trasnoche Sucupira la serie</v>
          </cell>
          <cell r="B47">
            <v>77830</v>
          </cell>
        </row>
        <row r="48">
          <cell r="A48" t="str">
            <v>TRASNOCHE MARATON MATRIARCAS</v>
          </cell>
          <cell r="B48">
            <v>77606</v>
          </cell>
        </row>
        <row r="49">
          <cell r="A49" t="str">
            <v>DR HOUSE</v>
          </cell>
          <cell r="B49">
            <v>71041</v>
          </cell>
        </row>
        <row r="50">
          <cell r="A50" t="str">
            <v>TRASNOCHE LA VIDA ES UNA LOTERIA</v>
          </cell>
          <cell r="B50">
            <v>77372</v>
          </cell>
        </row>
        <row r="51">
          <cell r="A51" t="str">
            <v>TRASNOCHE MEA CULPA</v>
          </cell>
          <cell r="B51">
            <v>77487</v>
          </cell>
        </row>
        <row r="52">
          <cell r="A52" t="str">
            <v>TRASNOCHE BUSCANDO AMERICA DOM</v>
          </cell>
          <cell r="B52">
            <v>77347</v>
          </cell>
        </row>
        <row r="53">
          <cell r="A53">
            <v>0</v>
          </cell>
          <cell r="B53">
            <v>0</v>
          </cell>
        </row>
        <row r="54">
          <cell r="A54" t="str">
            <v>5:50</v>
          </cell>
          <cell r="B54">
            <v>75832</v>
          </cell>
        </row>
        <row r="55">
          <cell r="A55" t="str">
            <v>Tu Mañana A</v>
          </cell>
          <cell r="B55">
            <v>76305</v>
          </cell>
        </row>
        <row r="56">
          <cell r="A56" t="str">
            <v>TU MAÑANA A PLUS</v>
          </cell>
          <cell r="B56">
            <v>0</v>
          </cell>
        </row>
        <row r="57">
          <cell r="A57" t="str">
            <v>Tu Mañana B</v>
          </cell>
          <cell r="B57">
            <v>76306</v>
          </cell>
        </row>
        <row r="58">
          <cell r="A58" t="str">
            <v>TU MAÑANA B PLUS</v>
          </cell>
          <cell r="B58">
            <v>0</v>
          </cell>
        </row>
        <row r="59">
          <cell r="A59" t="str">
            <v>Buenos Días a Todos A</v>
          </cell>
          <cell r="B59">
            <v>70967</v>
          </cell>
        </row>
        <row r="60">
          <cell r="A60" t="str">
            <v>Buenos Días a Todos B</v>
          </cell>
          <cell r="B60">
            <v>70968</v>
          </cell>
        </row>
        <row r="61">
          <cell r="A61" t="str">
            <v>Buenos Días a Todos C</v>
          </cell>
          <cell r="B61">
            <v>70969</v>
          </cell>
        </row>
        <row r="62">
          <cell r="A62" t="str">
            <v>Buenos Días a Todos D</v>
          </cell>
          <cell r="B62">
            <v>70970</v>
          </cell>
        </row>
        <row r="63">
          <cell r="A63" t="str">
            <v>Sucupira La Comedia</v>
          </cell>
          <cell r="B63">
            <v>77851</v>
          </cell>
        </row>
        <row r="64">
          <cell r="A64">
            <v>0</v>
          </cell>
          <cell r="B64">
            <v>0</v>
          </cell>
        </row>
        <row r="65">
          <cell r="A65" t="str">
            <v>24 Horas al día</v>
          </cell>
          <cell r="B65">
            <v>70955</v>
          </cell>
        </row>
        <row r="66">
          <cell r="A66" t="str">
            <v>24 Horas al día Plus</v>
          </cell>
          <cell r="B66">
            <v>0</v>
          </cell>
        </row>
        <row r="67">
          <cell r="A67" t="str">
            <v>Esa No Soy Yo</v>
          </cell>
          <cell r="B67">
            <v>77338</v>
          </cell>
        </row>
        <row r="68">
          <cell r="A68" t="str">
            <v>El Secreto de Puente Viejo</v>
          </cell>
          <cell r="B68">
            <v>76495</v>
          </cell>
        </row>
        <row r="69">
          <cell r="A69" t="str">
            <v>NOTICREO</v>
          </cell>
          <cell r="B69">
            <v>77737</v>
          </cell>
        </row>
        <row r="70">
          <cell r="A70" t="str">
            <v>Carrusel</v>
          </cell>
          <cell r="B70">
            <v>77624</v>
          </cell>
        </row>
        <row r="71">
          <cell r="A71">
            <v>0</v>
          </cell>
          <cell r="B71">
            <v>0</v>
          </cell>
        </row>
        <row r="72">
          <cell r="A72" t="str">
            <v>Kung Fu Panda</v>
          </cell>
          <cell r="B72">
            <v>76841</v>
          </cell>
        </row>
        <row r="73">
          <cell r="A73" t="str">
            <v>Peppa Pig</v>
          </cell>
          <cell r="B73">
            <v>77273</v>
          </cell>
        </row>
        <row r="74">
          <cell r="A74" t="str">
            <v>Super Cine Mañana 1</v>
          </cell>
          <cell r="B74">
            <v>76012</v>
          </cell>
        </row>
        <row r="75">
          <cell r="A75" t="str">
            <v>Super Cine Mañana 2</v>
          </cell>
          <cell r="B75">
            <v>76011</v>
          </cell>
        </row>
        <row r="76">
          <cell r="A76" t="str">
            <v>24 horas Día Sá</v>
          </cell>
          <cell r="B76">
            <v>72883</v>
          </cell>
        </row>
        <row r="77">
          <cell r="A77" t="str">
            <v>24 horas Día Sá Plus</v>
          </cell>
          <cell r="B77">
            <v>0</v>
          </cell>
        </row>
        <row r="78">
          <cell r="A78" t="str">
            <v>Melo y Astorga Nacional</v>
          </cell>
          <cell r="B78">
            <v>77735</v>
          </cell>
        </row>
        <row r="79">
          <cell r="A79" t="str">
            <v>MELO Y ASTORGA EARTH</v>
          </cell>
          <cell r="B79">
            <v>77850</v>
          </cell>
        </row>
        <row r="80">
          <cell r="A80" t="str">
            <v>Super Cine</v>
          </cell>
          <cell r="B80">
            <v>71948</v>
          </cell>
        </row>
        <row r="81">
          <cell r="A81">
            <v>0</v>
          </cell>
          <cell r="B81">
            <v>0</v>
          </cell>
        </row>
        <row r="82">
          <cell r="A82" t="str">
            <v>Sesiones 24</v>
          </cell>
          <cell r="B82">
            <v>77518</v>
          </cell>
        </row>
        <row r="83">
          <cell r="A83" t="str">
            <v>MIRADA ECONOMICA</v>
          </cell>
          <cell r="B83">
            <v>77517</v>
          </cell>
        </row>
        <row r="84">
          <cell r="A84" t="str">
            <v>24 HORAS A LA HORA</v>
          </cell>
          <cell r="B84">
            <v>76107</v>
          </cell>
        </row>
        <row r="85">
          <cell r="A85" t="str">
            <v>Estado Nacional</v>
          </cell>
          <cell r="B85">
            <v>69474</v>
          </cell>
        </row>
        <row r="86">
          <cell r="A86" t="str">
            <v>Avance 24 Horas</v>
          </cell>
          <cell r="B86">
            <v>77075</v>
          </cell>
        </row>
        <row r="87">
          <cell r="A87" t="str">
            <v>Comisario Rex</v>
          </cell>
          <cell r="B87">
            <v>76192</v>
          </cell>
        </row>
        <row r="88">
          <cell r="A88" t="str">
            <v>24 horas Día Do</v>
          </cell>
          <cell r="B88">
            <v>72582</v>
          </cell>
        </row>
        <row r="89">
          <cell r="A89" t="str">
            <v>24 horas Día Do Plus</v>
          </cell>
          <cell r="B89">
            <v>0</v>
          </cell>
        </row>
        <row r="90">
          <cell r="A90" t="str">
            <v>Chile Conectado</v>
          </cell>
          <cell r="B90">
            <v>72199</v>
          </cell>
        </row>
        <row r="91">
          <cell r="A91" t="str">
            <v>Frutos del País</v>
          </cell>
          <cell r="B91">
            <v>67312</v>
          </cell>
        </row>
        <row r="92">
          <cell r="A92" t="str">
            <v>CULTURA ENTRETENIDA</v>
          </cell>
          <cell r="B92">
            <v>75228</v>
          </cell>
        </row>
        <row r="93">
          <cell r="A93" t="str">
            <v>Cultura Entretenida: Cumbres del Mundo</v>
          </cell>
          <cell r="B93">
            <v>75519</v>
          </cell>
        </row>
        <row r="94">
          <cell r="A94">
            <v>0</v>
          </cell>
          <cell r="B94">
            <v>0</v>
          </cell>
        </row>
      </sheetData>
      <sheetData sheetId="5">
        <row r="4">
          <cell r="G4" t="str">
            <v>BLOQUES</v>
          </cell>
          <cell r="H4" t="str">
            <v>5"</v>
          </cell>
          <cell r="I4" t="str">
            <v>10"</v>
          </cell>
          <cell r="J4" t="str">
            <v>15"</v>
          </cell>
          <cell r="K4" t="str">
            <v>20"</v>
          </cell>
          <cell r="L4" t="str">
            <v>25"</v>
          </cell>
          <cell r="M4" t="str">
            <v>30"</v>
          </cell>
          <cell r="N4" t="str">
            <v>35"</v>
          </cell>
          <cell r="O4" t="str">
            <v>40"</v>
          </cell>
          <cell r="P4" t="str">
            <v>45"</v>
          </cell>
          <cell r="Q4" t="str">
            <v>50"</v>
          </cell>
          <cell r="R4" t="str">
            <v>55"</v>
          </cell>
          <cell r="S4" t="str">
            <v>60"</v>
          </cell>
          <cell r="T4" t="str">
            <v>65"</v>
          </cell>
        </row>
        <row r="5">
          <cell r="G5">
            <v>0</v>
          </cell>
          <cell r="H5">
            <v>53000</v>
          </cell>
          <cell r="I5">
            <v>93000</v>
          </cell>
          <cell r="J5">
            <v>109000</v>
          </cell>
          <cell r="K5">
            <v>121000</v>
          </cell>
          <cell r="L5">
            <v>133000</v>
          </cell>
          <cell r="M5">
            <v>140000</v>
          </cell>
          <cell r="N5">
            <v>163000</v>
          </cell>
          <cell r="O5">
            <v>187000</v>
          </cell>
          <cell r="P5">
            <v>210000</v>
          </cell>
          <cell r="Q5">
            <v>245000</v>
          </cell>
          <cell r="R5">
            <v>282000</v>
          </cell>
          <cell r="S5">
            <v>322000</v>
          </cell>
          <cell r="T5">
            <v>349000</v>
          </cell>
        </row>
        <row r="6">
          <cell r="G6">
            <v>1</v>
          </cell>
          <cell r="H6">
            <v>66000</v>
          </cell>
          <cell r="I6">
            <v>118000</v>
          </cell>
          <cell r="J6">
            <v>138000</v>
          </cell>
          <cell r="K6">
            <v>153000</v>
          </cell>
          <cell r="L6">
            <v>168000</v>
          </cell>
          <cell r="M6">
            <v>177000</v>
          </cell>
          <cell r="N6">
            <v>207000</v>
          </cell>
          <cell r="O6">
            <v>236000</v>
          </cell>
          <cell r="P6">
            <v>266000</v>
          </cell>
          <cell r="Q6">
            <v>310000</v>
          </cell>
          <cell r="R6">
            <v>357000</v>
          </cell>
          <cell r="S6">
            <v>407000</v>
          </cell>
          <cell r="T6">
            <v>441000</v>
          </cell>
        </row>
        <row r="7">
          <cell r="G7">
            <v>2</v>
          </cell>
          <cell r="H7">
            <v>83000</v>
          </cell>
          <cell r="I7">
            <v>147000</v>
          </cell>
          <cell r="J7">
            <v>172000</v>
          </cell>
          <cell r="K7">
            <v>191000</v>
          </cell>
          <cell r="L7">
            <v>209000</v>
          </cell>
          <cell r="M7">
            <v>220000</v>
          </cell>
          <cell r="N7">
            <v>257000</v>
          </cell>
          <cell r="O7">
            <v>293000</v>
          </cell>
          <cell r="P7">
            <v>330000</v>
          </cell>
          <cell r="Q7">
            <v>385000</v>
          </cell>
          <cell r="R7">
            <v>444000</v>
          </cell>
          <cell r="S7">
            <v>506000</v>
          </cell>
          <cell r="T7">
            <v>548000</v>
          </cell>
        </row>
        <row r="8">
          <cell r="G8">
            <v>3</v>
          </cell>
          <cell r="H8">
            <v>98000</v>
          </cell>
          <cell r="I8">
            <v>173000</v>
          </cell>
          <cell r="J8">
            <v>203000</v>
          </cell>
          <cell r="K8">
            <v>225000</v>
          </cell>
          <cell r="L8">
            <v>247000</v>
          </cell>
          <cell r="M8">
            <v>260000</v>
          </cell>
          <cell r="N8">
            <v>303000</v>
          </cell>
          <cell r="O8">
            <v>347000</v>
          </cell>
          <cell r="P8">
            <v>390000</v>
          </cell>
          <cell r="Q8">
            <v>455000</v>
          </cell>
          <cell r="R8">
            <v>524000</v>
          </cell>
          <cell r="S8">
            <v>598000</v>
          </cell>
          <cell r="T8">
            <v>648000</v>
          </cell>
        </row>
        <row r="9">
          <cell r="G9">
            <v>4</v>
          </cell>
          <cell r="H9">
            <v>107000</v>
          </cell>
          <cell r="I9">
            <v>191000</v>
          </cell>
          <cell r="J9">
            <v>223000</v>
          </cell>
          <cell r="K9">
            <v>248000</v>
          </cell>
          <cell r="L9">
            <v>272000</v>
          </cell>
          <cell r="M9">
            <v>286000</v>
          </cell>
          <cell r="N9">
            <v>334000</v>
          </cell>
          <cell r="O9">
            <v>381000</v>
          </cell>
          <cell r="P9">
            <v>429000</v>
          </cell>
          <cell r="Q9">
            <v>501000</v>
          </cell>
          <cell r="R9">
            <v>577000</v>
          </cell>
          <cell r="S9">
            <v>658000</v>
          </cell>
          <cell r="T9">
            <v>713000</v>
          </cell>
        </row>
        <row r="10">
          <cell r="G10">
            <v>5</v>
          </cell>
          <cell r="H10">
            <v>118000</v>
          </cell>
          <cell r="I10">
            <v>210000</v>
          </cell>
          <cell r="J10">
            <v>246000</v>
          </cell>
          <cell r="K10">
            <v>273000</v>
          </cell>
          <cell r="L10">
            <v>299000</v>
          </cell>
          <cell r="M10">
            <v>315000</v>
          </cell>
          <cell r="N10">
            <v>368000</v>
          </cell>
          <cell r="O10">
            <v>420000</v>
          </cell>
          <cell r="P10">
            <v>473000</v>
          </cell>
          <cell r="Q10">
            <v>551000</v>
          </cell>
          <cell r="R10">
            <v>635000</v>
          </cell>
          <cell r="S10">
            <v>725000</v>
          </cell>
          <cell r="T10">
            <v>785000</v>
          </cell>
        </row>
        <row r="11">
          <cell r="G11">
            <v>6</v>
          </cell>
          <cell r="H11">
            <v>129000</v>
          </cell>
          <cell r="I11">
            <v>230000</v>
          </cell>
          <cell r="J11">
            <v>269000</v>
          </cell>
          <cell r="K11">
            <v>299000</v>
          </cell>
          <cell r="L11">
            <v>328000</v>
          </cell>
          <cell r="M11">
            <v>345000</v>
          </cell>
          <cell r="N11">
            <v>403000</v>
          </cell>
          <cell r="O11">
            <v>460000</v>
          </cell>
          <cell r="P11">
            <v>518000</v>
          </cell>
          <cell r="Q11">
            <v>604000</v>
          </cell>
          <cell r="R11">
            <v>696000</v>
          </cell>
          <cell r="S11">
            <v>794000</v>
          </cell>
          <cell r="T11">
            <v>860000</v>
          </cell>
        </row>
        <row r="12">
          <cell r="G12">
            <v>7</v>
          </cell>
          <cell r="H12">
            <v>142000</v>
          </cell>
          <cell r="I12">
            <v>253000</v>
          </cell>
          <cell r="J12">
            <v>296000</v>
          </cell>
          <cell r="K12">
            <v>328000</v>
          </cell>
          <cell r="L12">
            <v>360000</v>
          </cell>
          <cell r="M12">
            <v>379000</v>
          </cell>
          <cell r="N12">
            <v>442000</v>
          </cell>
          <cell r="O12">
            <v>505000</v>
          </cell>
          <cell r="P12">
            <v>569000</v>
          </cell>
          <cell r="Q12">
            <v>663000</v>
          </cell>
          <cell r="R12">
            <v>764000</v>
          </cell>
          <cell r="S12">
            <v>872000</v>
          </cell>
          <cell r="T12">
            <v>944000</v>
          </cell>
        </row>
        <row r="13">
          <cell r="G13">
            <v>8</v>
          </cell>
          <cell r="H13">
            <v>157000</v>
          </cell>
          <cell r="I13">
            <v>279000</v>
          </cell>
          <cell r="J13">
            <v>326000</v>
          </cell>
          <cell r="K13">
            <v>362000</v>
          </cell>
          <cell r="L13">
            <v>397000</v>
          </cell>
          <cell r="M13">
            <v>418000</v>
          </cell>
          <cell r="N13">
            <v>488000</v>
          </cell>
          <cell r="O13">
            <v>557000</v>
          </cell>
          <cell r="P13">
            <v>627000</v>
          </cell>
          <cell r="Q13">
            <v>732000</v>
          </cell>
          <cell r="R13">
            <v>843000</v>
          </cell>
          <cell r="S13">
            <v>961000</v>
          </cell>
          <cell r="T13">
            <v>1042000</v>
          </cell>
        </row>
        <row r="14">
          <cell r="G14">
            <v>9</v>
          </cell>
          <cell r="H14">
            <v>172000</v>
          </cell>
          <cell r="I14">
            <v>305000</v>
          </cell>
          <cell r="J14">
            <v>357000</v>
          </cell>
          <cell r="K14">
            <v>397000</v>
          </cell>
          <cell r="L14">
            <v>435000</v>
          </cell>
          <cell r="M14">
            <v>458000</v>
          </cell>
          <cell r="N14">
            <v>534000</v>
          </cell>
          <cell r="O14">
            <v>611000</v>
          </cell>
          <cell r="P14">
            <v>687000</v>
          </cell>
          <cell r="Q14">
            <v>802000</v>
          </cell>
          <cell r="R14">
            <v>924000</v>
          </cell>
          <cell r="S14">
            <v>1053000</v>
          </cell>
          <cell r="T14">
            <v>1141000</v>
          </cell>
        </row>
        <row r="15">
          <cell r="G15">
            <v>10</v>
          </cell>
          <cell r="H15">
            <v>189000</v>
          </cell>
          <cell r="I15">
            <v>337000</v>
          </cell>
          <cell r="J15">
            <v>394000</v>
          </cell>
          <cell r="K15">
            <v>438000</v>
          </cell>
          <cell r="L15">
            <v>480000</v>
          </cell>
          <cell r="M15">
            <v>505000</v>
          </cell>
          <cell r="N15">
            <v>589000</v>
          </cell>
          <cell r="O15">
            <v>673000</v>
          </cell>
          <cell r="P15">
            <v>758000</v>
          </cell>
          <cell r="Q15">
            <v>884000</v>
          </cell>
          <cell r="R15">
            <v>1018000</v>
          </cell>
          <cell r="S15">
            <v>1162000</v>
          </cell>
          <cell r="T15">
            <v>1258000</v>
          </cell>
        </row>
        <row r="16">
          <cell r="G16">
            <v>11</v>
          </cell>
          <cell r="H16">
            <v>209000</v>
          </cell>
          <cell r="I16">
            <v>371000</v>
          </cell>
          <cell r="J16">
            <v>434000</v>
          </cell>
          <cell r="K16">
            <v>482000</v>
          </cell>
          <cell r="L16">
            <v>528000</v>
          </cell>
          <cell r="M16">
            <v>556000</v>
          </cell>
          <cell r="N16">
            <v>649000</v>
          </cell>
          <cell r="O16">
            <v>741000</v>
          </cell>
          <cell r="P16">
            <v>834000</v>
          </cell>
          <cell r="Q16">
            <v>973000</v>
          </cell>
          <cell r="R16">
            <v>1121000</v>
          </cell>
          <cell r="S16">
            <v>1279000</v>
          </cell>
          <cell r="T16">
            <v>1385000</v>
          </cell>
        </row>
        <row r="17">
          <cell r="G17">
            <v>12</v>
          </cell>
          <cell r="H17">
            <v>230000</v>
          </cell>
          <cell r="I17">
            <v>409000</v>
          </cell>
          <cell r="J17">
            <v>478000</v>
          </cell>
          <cell r="K17">
            <v>531000</v>
          </cell>
          <cell r="L17">
            <v>582000</v>
          </cell>
          <cell r="M17">
            <v>613000</v>
          </cell>
          <cell r="N17">
            <v>715000</v>
          </cell>
          <cell r="O17">
            <v>817000</v>
          </cell>
          <cell r="P17">
            <v>920000</v>
          </cell>
          <cell r="Q17">
            <v>1073000</v>
          </cell>
          <cell r="R17">
            <v>1236000</v>
          </cell>
          <cell r="S17">
            <v>1410000</v>
          </cell>
          <cell r="T17">
            <v>1527000</v>
          </cell>
        </row>
        <row r="18">
          <cell r="G18">
            <v>13</v>
          </cell>
          <cell r="H18">
            <v>252000</v>
          </cell>
          <cell r="I18">
            <v>448000</v>
          </cell>
          <cell r="J18">
            <v>524000</v>
          </cell>
          <cell r="K18">
            <v>582000</v>
          </cell>
          <cell r="L18">
            <v>638000</v>
          </cell>
          <cell r="M18">
            <v>672000</v>
          </cell>
          <cell r="N18">
            <v>784000</v>
          </cell>
          <cell r="O18">
            <v>896000</v>
          </cell>
          <cell r="P18">
            <v>1008000</v>
          </cell>
          <cell r="Q18">
            <v>1176000</v>
          </cell>
          <cell r="R18">
            <v>1355000</v>
          </cell>
          <cell r="S18">
            <v>1546000</v>
          </cell>
          <cell r="T18">
            <v>1674000</v>
          </cell>
        </row>
        <row r="19">
          <cell r="G19">
            <v>14</v>
          </cell>
          <cell r="H19">
            <v>277000</v>
          </cell>
          <cell r="I19">
            <v>493000</v>
          </cell>
          <cell r="J19">
            <v>576000</v>
          </cell>
          <cell r="K19">
            <v>640000</v>
          </cell>
          <cell r="L19">
            <v>702000</v>
          </cell>
          <cell r="M19">
            <v>739000</v>
          </cell>
          <cell r="N19">
            <v>862000</v>
          </cell>
          <cell r="O19">
            <v>985000</v>
          </cell>
          <cell r="P19">
            <v>1109000</v>
          </cell>
          <cell r="Q19">
            <v>1293000</v>
          </cell>
          <cell r="R19">
            <v>1490000</v>
          </cell>
          <cell r="S19">
            <v>1700000</v>
          </cell>
          <cell r="T19">
            <v>1841000</v>
          </cell>
        </row>
        <row r="20">
          <cell r="G20">
            <v>15</v>
          </cell>
          <cell r="H20">
            <v>306000</v>
          </cell>
          <cell r="I20">
            <v>543000</v>
          </cell>
          <cell r="J20">
            <v>636000</v>
          </cell>
          <cell r="K20">
            <v>706000</v>
          </cell>
          <cell r="L20">
            <v>774000</v>
          </cell>
          <cell r="M20">
            <v>815000</v>
          </cell>
          <cell r="N20">
            <v>951000</v>
          </cell>
          <cell r="O20">
            <v>1087000</v>
          </cell>
          <cell r="P20">
            <v>1223000</v>
          </cell>
          <cell r="Q20">
            <v>1426000</v>
          </cell>
          <cell r="R20">
            <v>1644000</v>
          </cell>
          <cell r="S20">
            <v>1875000</v>
          </cell>
          <cell r="T20">
            <v>2031000</v>
          </cell>
        </row>
        <row r="21">
          <cell r="G21">
            <v>16</v>
          </cell>
          <cell r="H21">
            <v>335000</v>
          </cell>
          <cell r="I21">
            <v>596000</v>
          </cell>
          <cell r="J21">
            <v>697000</v>
          </cell>
          <cell r="K21">
            <v>775000</v>
          </cell>
          <cell r="L21">
            <v>849000</v>
          </cell>
          <cell r="M21">
            <v>894000</v>
          </cell>
          <cell r="N21">
            <v>1043000</v>
          </cell>
          <cell r="O21">
            <v>1192000</v>
          </cell>
          <cell r="P21">
            <v>1341000</v>
          </cell>
          <cell r="Q21">
            <v>1565000</v>
          </cell>
          <cell r="R21">
            <v>1803000</v>
          </cell>
          <cell r="S21">
            <v>2056000</v>
          </cell>
          <cell r="T21">
            <v>2228000</v>
          </cell>
        </row>
        <row r="22">
          <cell r="G22">
            <v>17</v>
          </cell>
          <cell r="H22">
            <v>370000</v>
          </cell>
          <cell r="I22">
            <v>657000</v>
          </cell>
          <cell r="J22">
            <v>769000</v>
          </cell>
          <cell r="K22">
            <v>855000</v>
          </cell>
          <cell r="L22">
            <v>937000</v>
          </cell>
          <cell r="M22">
            <v>986000</v>
          </cell>
          <cell r="N22">
            <v>1150000</v>
          </cell>
          <cell r="O22">
            <v>1315000</v>
          </cell>
          <cell r="P22">
            <v>1479000</v>
          </cell>
          <cell r="Q22">
            <v>1726000</v>
          </cell>
          <cell r="R22">
            <v>1988000</v>
          </cell>
          <cell r="S22">
            <v>2268000</v>
          </cell>
          <cell r="T22">
            <v>2457000</v>
          </cell>
        </row>
        <row r="23">
          <cell r="G23">
            <v>18</v>
          </cell>
          <cell r="H23">
            <v>407000</v>
          </cell>
          <cell r="I23">
            <v>724000</v>
          </cell>
          <cell r="J23">
            <v>847000</v>
          </cell>
          <cell r="K23">
            <v>941000</v>
          </cell>
          <cell r="L23">
            <v>1032000</v>
          </cell>
          <cell r="M23">
            <v>1086000</v>
          </cell>
          <cell r="N23">
            <v>1267000</v>
          </cell>
          <cell r="O23">
            <v>1448000</v>
          </cell>
          <cell r="P23">
            <v>1629000</v>
          </cell>
          <cell r="Q23">
            <v>1901000</v>
          </cell>
          <cell r="R23">
            <v>2190000</v>
          </cell>
          <cell r="S23">
            <v>2498000</v>
          </cell>
          <cell r="T23">
            <v>2706000</v>
          </cell>
        </row>
        <row r="24">
          <cell r="G24">
            <v>19</v>
          </cell>
          <cell r="H24">
            <v>447000</v>
          </cell>
          <cell r="I24">
            <v>795000</v>
          </cell>
          <cell r="J24">
            <v>931000</v>
          </cell>
          <cell r="K24">
            <v>1034000</v>
          </cell>
          <cell r="L24">
            <v>1133000</v>
          </cell>
          <cell r="M24">
            <v>1193000</v>
          </cell>
          <cell r="N24">
            <v>1392000</v>
          </cell>
          <cell r="O24">
            <v>1591000</v>
          </cell>
          <cell r="P24">
            <v>1790000</v>
          </cell>
          <cell r="Q24">
            <v>2088000</v>
          </cell>
          <cell r="R24">
            <v>2406000</v>
          </cell>
          <cell r="S24">
            <v>2744000</v>
          </cell>
          <cell r="T24">
            <v>2973000</v>
          </cell>
        </row>
        <row r="25">
          <cell r="G25">
            <v>20</v>
          </cell>
          <cell r="H25">
            <v>492000</v>
          </cell>
          <cell r="I25">
            <v>874000</v>
          </cell>
          <cell r="J25">
            <v>1023000</v>
          </cell>
          <cell r="K25">
            <v>1136000</v>
          </cell>
          <cell r="L25">
            <v>1245000</v>
          </cell>
          <cell r="M25">
            <v>1311000</v>
          </cell>
          <cell r="N25">
            <v>1530000</v>
          </cell>
          <cell r="O25">
            <v>1748000</v>
          </cell>
          <cell r="P25">
            <v>1967000</v>
          </cell>
          <cell r="Q25">
            <v>2294000</v>
          </cell>
          <cell r="R25">
            <v>2644000</v>
          </cell>
          <cell r="S25">
            <v>3015000</v>
          </cell>
          <cell r="T25">
            <v>3267000</v>
          </cell>
        </row>
        <row r="26">
          <cell r="G26">
            <v>21</v>
          </cell>
          <cell r="H26">
            <v>541000</v>
          </cell>
          <cell r="I26">
            <v>962000</v>
          </cell>
          <cell r="J26">
            <v>1126000</v>
          </cell>
          <cell r="K26">
            <v>1251000</v>
          </cell>
          <cell r="L26">
            <v>1371000</v>
          </cell>
          <cell r="M26">
            <v>1443000</v>
          </cell>
          <cell r="N26">
            <v>1684000</v>
          </cell>
          <cell r="O26">
            <v>1924000</v>
          </cell>
          <cell r="P26">
            <v>2165000</v>
          </cell>
          <cell r="Q26">
            <v>2525000</v>
          </cell>
          <cell r="R26">
            <v>2910000</v>
          </cell>
          <cell r="S26">
            <v>3319000</v>
          </cell>
          <cell r="T26">
            <v>3595000</v>
          </cell>
        </row>
        <row r="27">
          <cell r="G27">
            <v>22</v>
          </cell>
          <cell r="H27">
            <v>595000</v>
          </cell>
          <cell r="I27">
            <v>1058000</v>
          </cell>
          <cell r="J27">
            <v>1238000</v>
          </cell>
          <cell r="K27">
            <v>1375000</v>
          </cell>
          <cell r="L27">
            <v>1508000</v>
          </cell>
          <cell r="M27">
            <v>1587000</v>
          </cell>
          <cell r="N27">
            <v>1852000</v>
          </cell>
          <cell r="O27">
            <v>2116000</v>
          </cell>
          <cell r="P27">
            <v>2381000</v>
          </cell>
          <cell r="Q27">
            <v>2777000</v>
          </cell>
          <cell r="R27">
            <v>3200000</v>
          </cell>
          <cell r="S27">
            <v>3650000</v>
          </cell>
          <cell r="T27">
            <v>3954000</v>
          </cell>
        </row>
        <row r="28">
          <cell r="G28">
            <v>23</v>
          </cell>
          <cell r="H28">
            <v>654000</v>
          </cell>
          <cell r="I28">
            <v>1163000</v>
          </cell>
          <cell r="J28">
            <v>1361000</v>
          </cell>
          <cell r="K28">
            <v>1512000</v>
          </cell>
          <cell r="L28">
            <v>1658000</v>
          </cell>
          <cell r="M28">
            <v>1745000</v>
          </cell>
          <cell r="N28">
            <v>2036000</v>
          </cell>
          <cell r="O28">
            <v>2327000</v>
          </cell>
          <cell r="P28">
            <v>2618000</v>
          </cell>
          <cell r="Q28">
            <v>3054000</v>
          </cell>
          <cell r="R28">
            <v>3519000</v>
          </cell>
          <cell r="S28">
            <v>4014000</v>
          </cell>
          <cell r="T28">
            <v>4348000</v>
          </cell>
        </row>
        <row r="29">
          <cell r="G29">
            <v>24</v>
          </cell>
          <cell r="H29">
            <v>720000</v>
          </cell>
          <cell r="I29">
            <v>1280000</v>
          </cell>
          <cell r="J29">
            <v>1498000</v>
          </cell>
          <cell r="K29">
            <v>1664000</v>
          </cell>
          <cell r="L29">
            <v>1824000</v>
          </cell>
          <cell r="M29">
            <v>1920000</v>
          </cell>
          <cell r="N29">
            <v>2240000</v>
          </cell>
          <cell r="O29">
            <v>2560000</v>
          </cell>
          <cell r="P29">
            <v>2880000</v>
          </cell>
          <cell r="Q29">
            <v>3360000</v>
          </cell>
          <cell r="R29">
            <v>3872000</v>
          </cell>
          <cell r="S29">
            <v>4416000</v>
          </cell>
          <cell r="T29">
            <v>4784000</v>
          </cell>
        </row>
        <row r="30">
          <cell r="G30">
            <v>25</v>
          </cell>
          <cell r="H30">
            <v>792000</v>
          </cell>
          <cell r="I30">
            <v>1409000</v>
          </cell>
          <cell r="J30">
            <v>1648000</v>
          </cell>
          <cell r="K30">
            <v>1831000</v>
          </cell>
          <cell r="L30">
            <v>2007000</v>
          </cell>
          <cell r="M30">
            <v>2113000</v>
          </cell>
          <cell r="N30">
            <v>2465000</v>
          </cell>
          <cell r="O30">
            <v>2817000</v>
          </cell>
          <cell r="P30">
            <v>3170000</v>
          </cell>
          <cell r="Q30">
            <v>3698000</v>
          </cell>
          <cell r="R30">
            <v>4261000</v>
          </cell>
          <cell r="S30">
            <v>4860000</v>
          </cell>
          <cell r="T30">
            <v>5265000</v>
          </cell>
        </row>
        <row r="31">
          <cell r="G31">
            <v>26</v>
          </cell>
          <cell r="H31">
            <v>872000</v>
          </cell>
          <cell r="I31">
            <v>1550000</v>
          </cell>
          <cell r="J31">
            <v>1814000</v>
          </cell>
          <cell r="K31">
            <v>2015000</v>
          </cell>
          <cell r="L31">
            <v>2209000</v>
          </cell>
          <cell r="M31">
            <v>2325000</v>
          </cell>
          <cell r="N31">
            <v>2713000</v>
          </cell>
          <cell r="O31">
            <v>3100000</v>
          </cell>
          <cell r="P31">
            <v>3488000</v>
          </cell>
          <cell r="Q31">
            <v>4069000</v>
          </cell>
          <cell r="R31">
            <v>4689000</v>
          </cell>
          <cell r="S31">
            <v>5348000</v>
          </cell>
          <cell r="T31">
            <v>5793000</v>
          </cell>
        </row>
        <row r="32">
          <cell r="G32">
            <v>27</v>
          </cell>
          <cell r="H32">
            <v>958000</v>
          </cell>
          <cell r="I32">
            <v>1703000</v>
          </cell>
          <cell r="J32">
            <v>1993000</v>
          </cell>
          <cell r="K32">
            <v>2214000</v>
          </cell>
          <cell r="L32">
            <v>2427000</v>
          </cell>
          <cell r="M32">
            <v>2555000</v>
          </cell>
          <cell r="N32">
            <v>2981000</v>
          </cell>
          <cell r="O32">
            <v>3407000</v>
          </cell>
          <cell r="P32">
            <v>3833000</v>
          </cell>
          <cell r="Q32">
            <v>4471000</v>
          </cell>
          <cell r="R32">
            <v>5153000</v>
          </cell>
          <cell r="S32">
            <v>5877000</v>
          </cell>
          <cell r="T32">
            <v>6366000</v>
          </cell>
        </row>
        <row r="33">
          <cell r="G33">
            <v>28</v>
          </cell>
          <cell r="H33">
            <v>1055000</v>
          </cell>
          <cell r="I33">
            <v>1875000</v>
          </cell>
          <cell r="J33">
            <v>2193000</v>
          </cell>
          <cell r="K33">
            <v>2437000</v>
          </cell>
          <cell r="L33">
            <v>2671000</v>
          </cell>
          <cell r="M33">
            <v>2812000</v>
          </cell>
          <cell r="N33">
            <v>3281000</v>
          </cell>
          <cell r="O33">
            <v>3749000</v>
          </cell>
          <cell r="P33">
            <v>4218000</v>
          </cell>
          <cell r="Q33">
            <v>4921000</v>
          </cell>
          <cell r="R33">
            <v>5671000</v>
          </cell>
          <cell r="S33">
            <v>6468000</v>
          </cell>
          <cell r="T33">
            <v>7007000</v>
          </cell>
        </row>
        <row r="34">
          <cell r="G34">
            <v>29</v>
          </cell>
          <cell r="H34">
            <v>1160000</v>
          </cell>
          <cell r="I34">
            <v>2063000</v>
          </cell>
          <cell r="J34">
            <v>2413000</v>
          </cell>
          <cell r="K34">
            <v>2681000</v>
          </cell>
          <cell r="L34">
            <v>2939000</v>
          </cell>
          <cell r="M34">
            <v>3094000</v>
          </cell>
          <cell r="N34">
            <v>3610000</v>
          </cell>
          <cell r="O34">
            <v>4125000</v>
          </cell>
          <cell r="P34">
            <v>4641000</v>
          </cell>
          <cell r="Q34">
            <v>5415000</v>
          </cell>
          <cell r="R34">
            <v>6240000</v>
          </cell>
          <cell r="S34">
            <v>7116000</v>
          </cell>
          <cell r="T34">
            <v>7709000</v>
          </cell>
        </row>
        <row r="35">
          <cell r="G35">
            <v>30</v>
          </cell>
          <cell r="H35">
            <v>1276000</v>
          </cell>
          <cell r="I35">
            <v>2268000</v>
          </cell>
          <cell r="J35">
            <v>2654000</v>
          </cell>
          <cell r="K35">
            <v>2948000</v>
          </cell>
          <cell r="L35">
            <v>3232000</v>
          </cell>
          <cell r="M35">
            <v>3402000</v>
          </cell>
          <cell r="N35">
            <v>3969000</v>
          </cell>
          <cell r="O35">
            <v>4536000</v>
          </cell>
          <cell r="P35">
            <v>5103000</v>
          </cell>
          <cell r="Q35">
            <v>5954000</v>
          </cell>
          <cell r="R35">
            <v>6861000</v>
          </cell>
          <cell r="S35">
            <v>7825000</v>
          </cell>
          <cell r="T35">
            <v>8477000</v>
          </cell>
        </row>
        <row r="36">
          <cell r="G36">
            <v>31</v>
          </cell>
          <cell r="H36">
            <v>1404000</v>
          </cell>
          <cell r="I36">
            <v>2495000</v>
          </cell>
          <cell r="J36">
            <v>2920000</v>
          </cell>
          <cell r="K36">
            <v>3244000</v>
          </cell>
          <cell r="L36">
            <v>3556000</v>
          </cell>
          <cell r="M36">
            <v>3743000</v>
          </cell>
          <cell r="N36">
            <v>4367000</v>
          </cell>
          <cell r="O36">
            <v>4991000</v>
          </cell>
          <cell r="P36">
            <v>5615000</v>
          </cell>
          <cell r="Q36">
            <v>6550000</v>
          </cell>
          <cell r="R36">
            <v>7548000</v>
          </cell>
          <cell r="S36">
            <v>8609000</v>
          </cell>
          <cell r="T36">
            <v>9326000</v>
          </cell>
        </row>
        <row r="37">
          <cell r="G37">
            <v>32</v>
          </cell>
          <cell r="H37">
            <v>1545000</v>
          </cell>
          <cell r="I37">
            <v>2746000</v>
          </cell>
          <cell r="J37">
            <v>3213000</v>
          </cell>
          <cell r="K37">
            <v>3570000</v>
          </cell>
          <cell r="L37">
            <v>3913000</v>
          </cell>
          <cell r="M37">
            <v>4119000</v>
          </cell>
          <cell r="N37">
            <v>4806000</v>
          </cell>
          <cell r="O37">
            <v>5492000</v>
          </cell>
          <cell r="P37">
            <v>6179000</v>
          </cell>
          <cell r="Q37">
            <v>7208000</v>
          </cell>
          <cell r="R37">
            <v>8307000</v>
          </cell>
          <cell r="S37">
            <v>9474000</v>
          </cell>
          <cell r="T37">
            <v>10263000</v>
          </cell>
        </row>
        <row r="38">
          <cell r="G38">
            <v>33</v>
          </cell>
          <cell r="H38">
            <v>1698000</v>
          </cell>
          <cell r="I38">
            <v>3019000</v>
          </cell>
          <cell r="J38">
            <v>3533000</v>
          </cell>
          <cell r="K38">
            <v>3925000</v>
          </cell>
          <cell r="L38">
            <v>4303000</v>
          </cell>
          <cell r="M38">
            <v>4529000</v>
          </cell>
          <cell r="N38">
            <v>5284000</v>
          </cell>
          <cell r="O38">
            <v>6039000</v>
          </cell>
          <cell r="P38">
            <v>6794000</v>
          </cell>
          <cell r="Q38">
            <v>7926000</v>
          </cell>
          <cell r="R38">
            <v>9133000</v>
          </cell>
          <cell r="S38">
            <v>10417000</v>
          </cell>
          <cell r="T38">
            <v>11285000</v>
          </cell>
        </row>
        <row r="39">
          <cell r="G39">
            <v>34</v>
          </cell>
          <cell r="H39">
            <v>1868000</v>
          </cell>
          <cell r="I39">
            <v>3321000</v>
          </cell>
          <cell r="J39">
            <v>3886000</v>
          </cell>
          <cell r="K39">
            <v>4318000</v>
          </cell>
          <cell r="L39">
            <v>4733000</v>
          </cell>
          <cell r="M39">
            <v>4982000</v>
          </cell>
          <cell r="N39">
            <v>5812000</v>
          </cell>
          <cell r="O39">
            <v>6643000</v>
          </cell>
          <cell r="P39">
            <v>7473000</v>
          </cell>
          <cell r="Q39">
            <v>8719000</v>
          </cell>
          <cell r="R39">
            <v>10047000</v>
          </cell>
          <cell r="S39">
            <v>11459000</v>
          </cell>
          <cell r="T39">
            <v>12413000</v>
          </cell>
        </row>
        <row r="40">
          <cell r="G40">
            <v>35</v>
          </cell>
          <cell r="H40">
            <v>2055000</v>
          </cell>
          <cell r="I40">
            <v>3653000</v>
          </cell>
          <cell r="J40">
            <v>4274000</v>
          </cell>
          <cell r="K40">
            <v>4749000</v>
          </cell>
          <cell r="L40">
            <v>5206000</v>
          </cell>
          <cell r="M40">
            <v>5480000</v>
          </cell>
          <cell r="N40">
            <v>6393000</v>
          </cell>
          <cell r="O40">
            <v>7307000</v>
          </cell>
          <cell r="P40">
            <v>8220000</v>
          </cell>
          <cell r="Q40">
            <v>9590000</v>
          </cell>
          <cell r="R40">
            <v>11051000</v>
          </cell>
          <cell r="S40">
            <v>12604000</v>
          </cell>
          <cell r="T40">
            <v>13654000</v>
          </cell>
        </row>
        <row r="41">
          <cell r="G41">
            <v>36</v>
          </cell>
          <cell r="H41">
            <v>2261000</v>
          </cell>
          <cell r="I41">
            <v>4019000</v>
          </cell>
          <cell r="J41">
            <v>4703000</v>
          </cell>
          <cell r="K41">
            <v>5225000</v>
          </cell>
          <cell r="L41">
            <v>5728000</v>
          </cell>
          <cell r="M41">
            <v>6029000</v>
          </cell>
          <cell r="N41">
            <v>7034000</v>
          </cell>
          <cell r="O41">
            <v>8039000</v>
          </cell>
          <cell r="P41">
            <v>9044000</v>
          </cell>
          <cell r="Q41">
            <v>10551000</v>
          </cell>
          <cell r="R41">
            <v>12158000</v>
          </cell>
          <cell r="S41">
            <v>13867000</v>
          </cell>
          <cell r="T41">
            <v>15022000</v>
          </cell>
        </row>
        <row r="42">
          <cell r="G42">
            <v>37</v>
          </cell>
          <cell r="H42">
            <v>2487000</v>
          </cell>
          <cell r="I42">
            <v>4421000</v>
          </cell>
          <cell r="J42">
            <v>5173000</v>
          </cell>
          <cell r="K42">
            <v>5748000</v>
          </cell>
          <cell r="L42">
            <v>6300000</v>
          </cell>
          <cell r="M42">
            <v>6632000</v>
          </cell>
          <cell r="N42">
            <v>7737000</v>
          </cell>
          <cell r="O42">
            <v>8843000</v>
          </cell>
          <cell r="P42">
            <v>9948000</v>
          </cell>
          <cell r="Q42">
            <v>11606000</v>
          </cell>
          <cell r="R42">
            <v>13375000</v>
          </cell>
          <cell r="S42">
            <v>15254000</v>
          </cell>
          <cell r="T42">
            <v>16525000</v>
          </cell>
        </row>
        <row r="43">
          <cell r="G43">
            <v>38</v>
          </cell>
          <cell r="H43">
            <v>2736000</v>
          </cell>
          <cell r="I43">
            <v>4863000</v>
          </cell>
          <cell r="J43">
            <v>5690000</v>
          </cell>
          <cell r="K43">
            <v>6322000</v>
          </cell>
          <cell r="L43">
            <v>6930000</v>
          </cell>
          <cell r="M43">
            <v>7295000</v>
          </cell>
          <cell r="N43">
            <v>8511000</v>
          </cell>
          <cell r="O43">
            <v>9727000</v>
          </cell>
          <cell r="P43">
            <v>10943000</v>
          </cell>
          <cell r="Q43">
            <v>12766000</v>
          </cell>
          <cell r="R43">
            <v>14712000</v>
          </cell>
          <cell r="S43">
            <v>16779000</v>
          </cell>
          <cell r="T43">
            <v>18177000</v>
          </cell>
        </row>
        <row r="44">
          <cell r="G44">
            <v>39</v>
          </cell>
          <cell r="H44">
            <v>3009000</v>
          </cell>
          <cell r="I44">
            <v>5349000</v>
          </cell>
          <cell r="J44">
            <v>6258000</v>
          </cell>
          <cell r="K44">
            <v>6953000</v>
          </cell>
          <cell r="L44">
            <v>7622000</v>
          </cell>
          <cell r="M44">
            <v>8023000</v>
          </cell>
          <cell r="N44">
            <v>9360000</v>
          </cell>
          <cell r="O44">
            <v>10697000</v>
          </cell>
          <cell r="P44">
            <v>12035000</v>
          </cell>
          <cell r="Q44">
            <v>14040000</v>
          </cell>
          <cell r="R44">
            <v>16180000</v>
          </cell>
          <cell r="S44">
            <v>18453000</v>
          </cell>
          <cell r="T44">
            <v>19991000</v>
          </cell>
        </row>
        <row r="45">
          <cell r="G45">
            <v>40</v>
          </cell>
          <cell r="H45">
            <v>3310000</v>
          </cell>
          <cell r="I45">
            <v>5884000</v>
          </cell>
          <cell r="J45">
            <v>6884000</v>
          </cell>
          <cell r="K45">
            <v>7649000</v>
          </cell>
          <cell r="L45">
            <v>8385000</v>
          </cell>
          <cell r="M45">
            <v>8826000</v>
          </cell>
          <cell r="N45">
            <v>10297000</v>
          </cell>
          <cell r="O45">
            <v>11768000</v>
          </cell>
          <cell r="P45">
            <v>13239000</v>
          </cell>
          <cell r="Q45">
            <v>15446000</v>
          </cell>
          <cell r="R45">
            <v>17799000</v>
          </cell>
          <cell r="S45">
            <v>20300000</v>
          </cell>
          <cell r="T45">
            <v>21991000</v>
          </cell>
        </row>
        <row r="46">
          <cell r="G46">
            <v>41</v>
          </cell>
          <cell r="H46">
            <v>3640000</v>
          </cell>
          <cell r="I46">
            <v>6471000</v>
          </cell>
          <cell r="J46">
            <v>7571000</v>
          </cell>
          <cell r="K46">
            <v>8413000</v>
          </cell>
          <cell r="L46">
            <v>9222000</v>
          </cell>
          <cell r="M46">
            <v>9707000</v>
          </cell>
          <cell r="N46">
            <v>11325000</v>
          </cell>
          <cell r="O46">
            <v>12943000</v>
          </cell>
          <cell r="P46">
            <v>14561000</v>
          </cell>
          <cell r="Q46">
            <v>16987000</v>
          </cell>
          <cell r="R46">
            <v>19576000</v>
          </cell>
          <cell r="S46">
            <v>22326000</v>
          </cell>
          <cell r="T46">
            <v>24187000</v>
          </cell>
        </row>
        <row r="47">
          <cell r="G47">
            <v>42</v>
          </cell>
          <cell r="H47">
            <v>4005000</v>
          </cell>
          <cell r="I47">
            <v>7121000</v>
          </cell>
          <cell r="J47">
            <v>8331000</v>
          </cell>
          <cell r="K47">
            <v>9257000</v>
          </cell>
          <cell r="L47">
            <v>10147000</v>
          </cell>
          <cell r="M47">
            <v>10681000</v>
          </cell>
          <cell r="N47">
            <v>12461000</v>
          </cell>
          <cell r="O47">
            <v>14241000</v>
          </cell>
          <cell r="P47">
            <v>16022000</v>
          </cell>
          <cell r="Q47">
            <v>18692000</v>
          </cell>
          <cell r="R47">
            <v>21540000</v>
          </cell>
          <cell r="S47">
            <v>24566000</v>
          </cell>
          <cell r="T47">
            <v>26613000</v>
          </cell>
        </row>
        <row r="48">
          <cell r="G48">
            <v>43</v>
          </cell>
          <cell r="H48">
            <v>4405000</v>
          </cell>
          <cell r="I48">
            <v>7831000</v>
          </cell>
          <cell r="J48">
            <v>9163000</v>
          </cell>
          <cell r="K48">
            <v>10181000</v>
          </cell>
          <cell r="L48">
            <v>11160000</v>
          </cell>
          <cell r="M48">
            <v>11747000</v>
          </cell>
          <cell r="N48">
            <v>13705000</v>
          </cell>
          <cell r="O48">
            <v>15663000</v>
          </cell>
          <cell r="P48">
            <v>17621000</v>
          </cell>
          <cell r="Q48">
            <v>20557000</v>
          </cell>
          <cell r="R48">
            <v>23690000</v>
          </cell>
          <cell r="S48">
            <v>27018000</v>
          </cell>
          <cell r="T48">
            <v>29270000</v>
          </cell>
        </row>
        <row r="49">
          <cell r="G49">
            <v>44</v>
          </cell>
          <cell r="H49">
            <v>4845000</v>
          </cell>
          <cell r="I49">
            <v>8614000</v>
          </cell>
          <cell r="J49">
            <v>10078000</v>
          </cell>
          <cell r="K49">
            <v>11198000</v>
          </cell>
          <cell r="L49">
            <v>12275000</v>
          </cell>
          <cell r="M49">
            <v>12921000</v>
          </cell>
          <cell r="N49">
            <v>15075000</v>
          </cell>
          <cell r="O49">
            <v>17228000</v>
          </cell>
          <cell r="P49">
            <v>19382000</v>
          </cell>
          <cell r="Q49">
            <v>22612000</v>
          </cell>
          <cell r="R49">
            <v>26057000</v>
          </cell>
          <cell r="S49">
            <v>29718000</v>
          </cell>
          <cell r="T49">
            <v>32195000</v>
          </cell>
        </row>
        <row r="50">
          <cell r="G50">
            <v>45</v>
          </cell>
          <cell r="H50">
            <v>5331000</v>
          </cell>
          <cell r="I50">
            <v>9477000</v>
          </cell>
          <cell r="J50">
            <v>11088000</v>
          </cell>
          <cell r="K50">
            <v>12320000</v>
          </cell>
          <cell r="L50">
            <v>13504000</v>
          </cell>
          <cell r="M50">
            <v>14215000</v>
          </cell>
          <cell r="N50">
            <v>16584000</v>
          </cell>
          <cell r="O50">
            <v>18953000</v>
          </cell>
          <cell r="P50">
            <v>21323000</v>
          </cell>
          <cell r="Q50">
            <v>24876000</v>
          </cell>
          <cell r="R50">
            <v>28667000</v>
          </cell>
          <cell r="S50">
            <v>32695000</v>
          </cell>
          <cell r="T50">
            <v>35419000</v>
          </cell>
        </row>
        <row r="51">
          <cell r="G51">
            <v>46</v>
          </cell>
          <cell r="H51">
            <v>5864000</v>
          </cell>
          <cell r="I51">
            <v>10424000</v>
          </cell>
          <cell r="J51">
            <v>12196000</v>
          </cell>
          <cell r="K51">
            <v>13551000</v>
          </cell>
          <cell r="L51">
            <v>14854000</v>
          </cell>
          <cell r="M51">
            <v>15636000</v>
          </cell>
          <cell r="N51">
            <v>18242000</v>
          </cell>
          <cell r="O51">
            <v>20848000</v>
          </cell>
          <cell r="P51">
            <v>23454000</v>
          </cell>
          <cell r="Q51">
            <v>27363000</v>
          </cell>
          <cell r="R51">
            <v>31533000</v>
          </cell>
          <cell r="S51">
            <v>35963000</v>
          </cell>
          <cell r="T51">
            <v>38960000</v>
          </cell>
        </row>
        <row r="52">
          <cell r="G52">
            <v>47</v>
          </cell>
          <cell r="H52">
            <v>6450000</v>
          </cell>
          <cell r="I52">
            <v>11466000</v>
          </cell>
          <cell r="J52">
            <v>13415000</v>
          </cell>
          <cell r="K52">
            <v>14906000</v>
          </cell>
          <cell r="L52">
            <v>16339000</v>
          </cell>
          <cell r="M52">
            <v>17199000</v>
          </cell>
          <cell r="N52">
            <v>20066000</v>
          </cell>
          <cell r="O52">
            <v>22932000</v>
          </cell>
          <cell r="P52">
            <v>25799000</v>
          </cell>
          <cell r="Q52">
            <v>30098000</v>
          </cell>
          <cell r="R52">
            <v>34685000</v>
          </cell>
          <cell r="S52">
            <v>39558000</v>
          </cell>
          <cell r="T52">
            <v>42854000</v>
          </cell>
        </row>
        <row r="53">
          <cell r="G53">
            <v>48</v>
          </cell>
          <cell r="H53">
            <v>7094000</v>
          </cell>
          <cell r="I53">
            <v>12612000</v>
          </cell>
          <cell r="J53">
            <v>14756000</v>
          </cell>
          <cell r="K53">
            <v>16396000</v>
          </cell>
          <cell r="L53">
            <v>17972000</v>
          </cell>
          <cell r="M53">
            <v>18918000</v>
          </cell>
          <cell r="N53">
            <v>22071000</v>
          </cell>
          <cell r="O53">
            <v>25224000</v>
          </cell>
          <cell r="P53">
            <v>28377000</v>
          </cell>
          <cell r="Q53">
            <v>33107000</v>
          </cell>
          <cell r="R53">
            <v>38151000</v>
          </cell>
          <cell r="S53">
            <v>43511000</v>
          </cell>
          <cell r="T53">
            <v>47137000</v>
          </cell>
        </row>
        <row r="54">
          <cell r="G54">
            <v>49</v>
          </cell>
          <cell r="H54">
            <v>7805000</v>
          </cell>
          <cell r="I54">
            <v>13875000</v>
          </cell>
          <cell r="J54">
            <v>16233000</v>
          </cell>
          <cell r="K54">
            <v>18037000</v>
          </cell>
          <cell r="L54">
            <v>19771000</v>
          </cell>
          <cell r="M54">
            <v>20812000</v>
          </cell>
          <cell r="N54">
            <v>24281000</v>
          </cell>
          <cell r="O54">
            <v>27749000</v>
          </cell>
          <cell r="P54">
            <v>31218000</v>
          </cell>
          <cell r="Q54">
            <v>36421000</v>
          </cell>
          <cell r="R54">
            <v>41971000</v>
          </cell>
          <cell r="S54">
            <v>47868000</v>
          </cell>
          <cell r="T54">
            <v>51857000</v>
          </cell>
        </row>
        <row r="55">
          <cell r="G55">
            <v>50</v>
          </cell>
          <cell r="H55">
            <v>8585000</v>
          </cell>
          <cell r="I55">
            <v>15261000</v>
          </cell>
          <cell r="J55">
            <v>17856000</v>
          </cell>
          <cell r="K55">
            <v>19840000</v>
          </cell>
          <cell r="L55">
            <v>21747000</v>
          </cell>
          <cell r="M55">
            <v>22892000</v>
          </cell>
          <cell r="N55">
            <v>26707000</v>
          </cell>
          <cell r="O55">
            <v>30523000</v>
          </cell>
          <cell r="P55">
            <v>34338000</v>
          </cell>
          <cell r="Q55">
            <v>40061000</v>
          </cell>
          <cell r="R55">
            <v>46166000</v>
          </cell>
          <cell r="S55">
            <v>52652000</v>
          </cell>
          <cell r="T55">
            <v>57039000</v>
          </cell>
        </row>
        <row r="56">
          <cell r="G56">
            <v>51</v>
          </cell>
          <cell r="H56">
            <v>9443000</v>
          </cell>
          <cell r="I56">
            <v>16787000</v>
          </cell>
          <cell r="J56">
            <v>19640000</v>
          </cell>
          <cell r="K56">
            <v>21823000</v>
          </cell>
          <cell r="L56">
            <v>23921000</v>
          </cell>
          <cell r="M56">
            <v>25180000</v>
          </cell>
          <cell r="N56">
            <v>29377000</v>
          </cell>
          <cell r="O56">
            <v>33573000</v>
          </cell>
          <cell r="P56">
            <v>37770000</v>
          </cell>
          <cell r="Q56">
            <v>44065000</v>
          </cell>
          <cell r="R56">
            <v>50780000</v>
          </cell>
          <cell r="S56">
            <v>57914000</v>
          </cell>
          <cell r="T56">
            <v>62740000</v>
          </cell>
        </row>
        <row r="57">
          <cell r="G57">
            <v>52</v>
          </cell>
          <cell r="H57">
            <v>10387000</v>
          </cell>
          <cell r="I57">
            <v>18465000</v>
          </cell>
          <cell r="J57">
            <v>21604000</v>
          </cell>
          <cell r="K57">
            <v>24005000</v>
          </cell>
          <cell r="L57">
            <v>26313000</v>
          </cell>
          <cell r="M57">
            <v>27698000</v>
          </cell>
          <cell r="N57">
            <v>32314000</v>
          </cell>
          <cell r="O57">
            <v>36931000</v>
          </cell>
          <cell r="P57">
            <v>41547000</v>
          </cell>
          <cell r="Q57">
            <v>48472000</v>
          </cell>
          <cell r="R57">
            <v>55858000</v>
          </cell>
          <cell r="S57">
            <v>63705000</v>
          </cell>
          <cell r="T57">
            <v>69014000</v>
          </cell>
        </row>
        <row r="58">
          <cell r="G58">
            <v>53</v>
          </cell>
          <cell r="H58">
            <v>11426000</v>
          </cell>
          <cell r="I58">
            <v>20313000</v>
          </cell>
          <cell r="J58">
            <v>23767000</v>
          </cell>
          <cell r="K58">
            <v>26407000</v>
          </cell>
          <cell r="L58">
            <v>28947000</v>
          </cell>
          <cell r="M58">
            <v>30470000</v>
          </cell>
          <cell r="N58">
            <v>35548000</v>
          </cell>
          <cell r="O58">
            <v>40627000</v>
          </cell>
          <cell r="P58">
            <v>45705000</v>
          </cell>
          <cell r="Q58">
            <v>53323000</v>
          </cell>
          <cell r="R58">
            <v>61448000</v>
          </cell>
          <cell r="S58">
            <v>70081000</v>
          </cell>
          <cell r="T58">
            <v>75921000</v>
          </cell>
        </row>
        <row r="59">
          <cell r="G59">
            <v>54</v>
          </cell>
          <cell r="H59">
            <v>12569000</v>
          </cell>
          <cell r="I59">
            <v>22344000</v>
          </cell>
          <cell r="J59">
            <v>26142000</v>
          </cell>
          <cell r="K59">
            <v>29047000</v>
          </cell>
          <cell r="L59">
            <v>31840000</v>
          </cell>
          <cell r="M59">
            <v>33516000</v>
          </cell>
          <cell r="N59">
            <v>39102000</v>
          </cell>
          <cell r="O59">
            <v>44688000</v>
          </cell>
          <cell r="P59">
            <v>50274000</v>
          </cell>
          <cell r="Q59">
            <v>58653000</v>
          </cell>
          <cell r="R59">
            <v>67591000</v>
          </cell>
          <cell r="S59">
            <v>77087000</v>
          </cell>
          <cell r="T59">
            <v>83511000</v>
          </cell>
        </row>
        <row r="60">
          <cell r="G60">
            <v>55</v>
          </cell>
          <cell r="H60">
            <v>13825000</v>
          </cell>
          <cell r="I60">
            <v>24577000</v>
          </cell>
          <cell r="J60">
            <v>28755000</v>
          </cell>
          <cell r="K60">
            <v>31951000</v>
          </cell>
          <cell r="L60">
            <v>35023000</v>
          </cell>
          <cell r="M60">
            <v>36866000</v>
          </cell>
          <cell r="N60">
            <v>43010000</v>
          </cell>
          <cell r="O60">
            <v>49155000</v>
          </cell>
          <cell r="P60">
            <v>55299000</v>
          </cell>
          <cell r="Q60">
            <v>64516000</v>
          </cell>
          <cell r="R60">
            <v>74346000</v>
          </cell>
          <cell r="S60">
            <v>84792000</v>
          </cell>
          <cell r="T60">
            <v>91858000</v>
          </cell>
        </row>
      </sheetData>
      <sheetData sheetId="6" refreshError="1"/>
      <sheetData sheetId="7" refreshError="1"/>
      <sheetData sheetId="8">
        <row r="5">
          <cell r="C5">
            <v>5</v>
          </cell>
          <cell r="D5">
            <v>3</v>
          </cell>
        </row>
        <row r="6">
          <cell r="C6">
            <v>10</v>
          </cell>
          <cell r="D6">
            <v>4</v>
          </cell>
        </row>
        <row r="7">
          <cell r="C7">
            <v>15</v>
          </cell>
          <cell r="D7">
            <v>5</v>
          </cell>
        </row>
        <row r="8">
          <cell r="C8">
            <v>20</v>
          </cell>
          <cell r="D8">
            <v>6</v>
          </cell>
        </row>
        <row r="9">
          <cell r="C9">
            <v>25</v>
          </cell>
          <cell r="D9">
            <v>7</v>
          </cell>
        </row>
        <row r="10">
          <cell r="C10">
            <v>30</v>
          </cell>
          <cell r="D10">
            <v>8</v>
          </cell>
        </row>
        <row r="11">
          <cell r="C11">
            <v>35</v>
          </cell>
          <cell r="D11">
            <v>9</v>
          </cell>
        </row>
        <row r="12">
          <cell r="C12">
            <v>40</v>
          </cell>
          <cell r="D12">
            <v>10</v>
          </cell>
        </row>
        <row r="13">
          <cell r="C13">
            <v>45</v>
          </cell>
          <cell r="D13">
            <v>11</v>
          </cell>
        </row>
        <row r="14">
          <cell r="C14">
            <v>50</v>
          </cell>
          <cell r="D14">
            <v>12</v>
          </cell>
        </row>
        <row r="15">
          <cell r="C15">
            <v>55</v>
          </cell>
          <cell r="D15">
            <v>13</v>
          </cell>
        </row>
        <row r="16">
          <cell r="C16">
            <v>60</v>
          </cell>
          <cell r="D16">
            <v>14</v>
          </cell>
        </row>
      </sheetData>
      <sheetData sheetId="9" refreshError="1"/>
      <sheetData sheetId="10" refreshError="1"/>
      <sheetData sheetId="11"/>
      <sheetData sheetId="12"/>
      <sheetData sheetId="13">
        <row r="4">
          <cell r="G4" t="str">
            <v>BLOQUES</v>
          </cell>
        </row>
      </sheetData>
      <sheetData sheetId="14"/>
      <sheetData sheetId="15"/>
      <sheetData sheetId="16">
        <row r="4">
          <cell r="G4" t="str">
            <v>BLOQUES</v>
          </cell>
        </row>
      </sheetData>
      <sheetData sheetId="17"/>
      <sheetData sheetId="18"/>
      <sheetData sheetId="19">
        <row r="4">
          <cell r="G4" t="str">
            <v>BLOQUES</v>
          </cell>
        </row>
      </sheetData>
      <sheetData sheetId="20"/>
      <sheetData sheetId="21"/>
      <sheetData sheetId="22">
        <row r="4">
          <cell r="G4" t="str">
            <v>BLOQUES</v>
          </cell>
        </row>
      </sheetData>
      <sheetData sheetId="23" refreshError="1"/>
      <sheetData sheetId="24"/>
      <sheetData sheetId="25"/>
      <sheetData sheetId="26">
        <row r="4">
          <cell r="G4" t="str">
            <v>BLOQUES</v>
          </cell>
        </row>
      </sheetData>
      <sheetData sheetId="27"/>
      <sheetData sheetId="28"/>
      <sheetData sheetId="29"/>
      <sheetData sheetId="30">
        <row r="4">
          <cell r="G4" t="str">
            <v>BLOQUES</v>
          </cell>
        </row>
      </sheetData>
      <sheetData sheetId="31"/>
      <sheetData sheetId="32"/>
      <sheetData sheetId="33"/>
      <sheetData sheetId="34">
        <row r="4">
          <cell r="G4" t="str">
            <v>BLOQUES</v>
          </cell>
        </row>
      </sheetData>
      <sheetData sheetId="35"/>
      <sheetData sheetId="36"/>
      <sheetData sheetId="37"/>
      <sheetData sheetId="38">
        <row r="4">
          <cell r="G4" t="str">
            <v>BLOQUES</v>
          </cell>
        </row>
      </sheetData>
      <sheetData sheetId="39"/>
      <sheetData sheetId="40"/>
      <sheetData sheetId="41"/>
      <sheetData sheetId="42">
        <row r="4">
          <cell r="G4" t="str">
            <v>BLOQUES</v>
          </cell>
        </row>
      </sheetData>
      <sheetData sheetId="43"/>
      <sheetData sheetId="44"/>
      <sheetData sheetId="45"/>
      <sheetData sheetId="46">
        <row r="4">
          <cell r="G4" t="str">
            <v>BLOQUES</v>
          </cell>
        </row>
      </sheetData>
      <sheetData sheetId="47"/>
      <sheetData sheetId="48"/>
      <sheetData sheetId="49"/>
      <sheetData sheetId="50">
        <row r="4">
          <cell r="G4" t="str">
            <v>BLOQUES</v>
          </cell>
        </row>
      </sheetData>
      <sheetData sheetId="5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uantificador"/>
      <sheetName val="datos universos"/>
      <sheetName val="Tarifas Febrero 2013"/>
      <sheetName val="CODIGOS"/>
      <sheetName val="factores"/>
      <sheetName val="RANGOS"/>
      <sheetName val="Hoja2"/>
      <sheetName val="Niveles"/>
      <sheetName val="x - aBRIL"/>
      <sheetName val="PAUTA "/>
      <sheetName val="Rat M25-64C2C3"/>
      <sheetName val="Rat H25-64ABCD"/>
      <sheetName val="Rat HM18-24ABC"/>
      <sheetName val="Rat HM25-49ABC1C2"/>
      <sheetName val="Rat HM25-64ABC"/>
      <sheetName val="Rat M25-64ABC"/>
      <sheetName val="Rat HM25-64ABCD"/>
      <sheetName val="res rat"/>
      <sheetName val="Hoja1"/>
      <sheetName val="res_rat"/>
      <sheetName val="Rat_HM25-64ABCD"/>
      <sheetName val="Rat_M25-64ABC"/>
      <sheetName val="Rat_HM25-64ABC"/>
      <sheetName val="Rat_HM25-49ABC1C2"/>
      <sheetName val="Rat_HM18-24ABC"/>
      <sheetName val="Rat_H25-64ABCD"/>
      <sheetName val="Rat_M25-64C2C3"/>
      <sheetName val="datos_universos"/>
      <sheetName val="Tarifas_Febrero_2013"/>
      <sheetName val="x_-_aBRIL"/>
      <sheetName val="PAUTA_"/>
      <sheetName val="Rat_M25-64C2C32"/>
      <sheetName val="Rat_H25-64ABCD2"/>
      <sheetName val="Rat_HM18-24ABC2"/>
      <sheetName val="Rat_HM25-49ABC1C22"/>
      <sheetName val="Rat_HM25-64ABC2"/>
      <sheetName val="Rat_M25-64ABC2"/>
      <sheetName val="Rat_HM25-64ABCD2"/>
      <sheetName val="res_rat2"/>
      <sheetName val="res_rat1"/>
      <sheetName val="Rat_HM25-64ABCD1"/>
      <sheetName val="Rat_M25-64ABC1"/>
      <sheetName val="Rat_HM25-64ABC1"/>
      <sheetName val="Rat_HM25-49ABC1C21"/>
      <sheetName val="Rat_HM18-24ABC1"/>
      <sheetName val="Rat_H25-64ABCD1"/>
      <sheetName val="Rat_M25-64C2C31"/>
      <sheetName val="res_rat3"/>
      <sheetName val="Rat_HM25-64ABCD3"/>
      <sheetName val="Rat_M25-64ABC3"/>
      <sheetName val="Rat_HM25-64ABC3"/>
      <sheetName val="Rat_HM25-49ABC1C23"/>
      <sheetName val="Rat_HM18-24ABC3"/>
      <sheetName val="Rat_H25-64ABCD3"/>
      <sheetName val="Rat_M25-64C2C33"/>
      <sheetName val="Pauta"/>
      <sheetName val="Rating1"/>
      <sheetName val="an-r"/>
      <sheetName val="res_rat4"/>
      <sheetName val="Rat_HM25-64ABCD4"/>
      <sheetName val="Rat_M25-64ABC4"/>
      <sheetName val="Rat_HM25-64ABC4"/>
      <sheetName val="Rat_HM25-49ABC1C24"/>
      <sheetName val="Rat_HM18-24ABC4"/>
      <sheetName val="Rat_H25-64ABCD4"/>
      <sheetName val="Rat_M25-64C2C34"/>
      <sheetName val="Filtros"/>
      <sheetName val="Materiales"/>
      <sheetName val="res_rat5"/>
      <sheetName val="Rat_HM25-64ABCD5"/>
      <sheetName val="Rat_M25-64ABC5"/>
      <sheetName val="Rat_HM25-64ABC5"/>
      <sheetName val="Rat_HM25-49ABC1C25"/>
      <sheetName val="Rat_HM18-24ABC5"/>
      <sheetName val="Rat_H25-64ABCD5"/>
      <sheetName val="Rat_M25-64C2C35"/>
      <sheetName val="datos_universos1"/>
      <sheetName val="Tarifas_Febrero_20131"/>
      <sheetName val="x_-_aBRIL1"/>
      <sheetName val="PAUTA_1"/>
      <sheetName val="Rat_M25-64C2C36"/>
      <sheetName val="Rat_H25-64ABCD6"/>
      <sheetName val="Rat_HM18-24ABC6"/>
      <sheetName val="Rat_HM25-49ABC1C26"/>
      <sheetName val="Rat_HM25-64ABC6"/>
      <sheetName val="Rat_M25-64ABC6"/>
      <sheetName val="Rat_HM25-64ABCD6"/>
      <sheetName val="res_ra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D6" t="str">
            <v>Mujeres C2C3 de 25 a 64 años</v>
          </cell>
          <cell r="E6">
            <v>4</v>
          </cell>
          <cell r="F6">
            <v>2</v>
          </cell>
          <cell r="J6">
            <v>13</v>
          </cell>
          <cell r="K6">
            <v>17</v>
          </cell>
        </row>
        <row r="7">
          <cell r="D7" t="str">
            <v>Hombres ABCD de 25 a 64 años</v>
          </cell>
          <cell r="E7">
            <v>5</v>
          </cell>
          <cell r="F7">
            <v>3</v>
          </cell>
          <cell r="J7">
            <v>18</v>
          </cell>
          <cell r="K7">
            <v>24</v>
          </cell>
        </row>
        <row r="8">
          <cell r="D8" t="str">
            <v>Hombres y mujeres ABC de 18 a 24 años</v>
          </cell>
          <cell r="E8">
            <v>6</v>
          </cell>
          <cell r="F8">
            <v>4</v>
          </cell>
          <cell r="J8">
            <v>25</v>
          </cell>
          <cell r="K8">
            <v>34</v>
          </cell>
        </row>
        <row r="9">
          <cell r="D9" t="str">
            <v>Hombres y mujeres ABC1C2 de 25 a 49 años</v>
          </cell>
          <cell r="E9">
            <v>7</v>
          </cell>
          <cell r="F9">
            <v>5</v>
          </cell>
          <cell r="J9">
            <v>35</v>
          </cell>
          <cell r="K9">
            <v>49</v>
          </cell>
        </row>
        <row r="10">
          <cell r="D10" t="str">
            <v>Hombres y mujeres ABC de 25 a 64 años</v>
          </cell>
          <cell r="E10">
            <v>8</v>
          </cell>
          <cell r="F10">
            <v>6</v>
          </cell>
          <cell r="J10">
            <v>50</v>
          </cell>
          <cell r="K10">
            <v>64</v>
          </cell>
        </row>
        <row r="11">
          <cell r="D11" t="str">
            <v>Mujeres ABC de 25 a 64 años</v>
          </cell>
          <cell r="E11">
            <v>9</v>
          </cell>
          <cell r="F11">
            <v>7</v>
          </cell>
          <cell r="K11">
            <v>99</v>
          </cell>
        </row>
        <row r="12">
          <cell r="D12" t="str">
            <v>Hombres y mujeres ABCD de 25 a 64 años</v>
          </cell>
          <cell r="E12">
            <v>10</v>
          </cell>
          <cell r="F12">
            <v>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3">
          <cell r="H3" t="str">
            <v>MOISES LOS 10 MANDAMIENTOSLMWJD</v>
          </cell>
          <cell r="I3">
            <v>8.0299999999999994</v>
          </cell>
        </row>
        <row r="4">
          <cell r="H4" t="str">
            <v>MOISES LOS 10 MANDAMIENTOSD</v>
          </cell>
          <cell r="I4">
            <v>8.86</v>
          </cell>
        </row>
        <row r="5">
          <cell r="H5" t="str">
            <v>MOISES LOS 10 MANDAMIENTOSL</v>
          </cell>
          <cell r="I5">
            <v>8.32</v>
          </cell>
        </row>
        <row r="6">
          <cell r="H6" t="str">
            <v>MOISES LOS 10 MANDAMIENTOSW</v>
          </cell>
          <cell r="I6">
            <v>8.0299999999999994</v>
          </cell>
        </row>
        <row r="7">
          <cell r="H7" t="str">
            <v>MOISES LOS 10 MANDAMIENTOSJ</v>
          </cell>
          <cell r="I7">
            <v>7.63</v>
          </cell>
        </row>
        <row r="8">
          <cell r="H8" t="str">
            <v>MOISES LOS 10 MANDAMIENTOSM</v>
          </cell>
          <cell r="I8">
            <v>7.4</v>
          </cell>
        </row>
        <row r="9">
          <cell r="H9" t="str">
            <v>TV TIEMPOLMWJVSD</v>
          </cell>
          <cell r="I9">
            <v>5.52</v>
          </cell>
        </row>
        <row r="10">
          <cell r="H10" t="str">
            <v>TV TIEMPOD</v>
          </cell>
          <cell r="I10">
            <v>6.7</v>
          </cell>
        </row>
        <row r="11">
          <cell r="H11" t="str">
            <v>TV TIEMPOW</v>
          </cell>
          <cell r="I11">
            <v>6.54</v>
          </cell>
        </row>
        <row r="12">
          <cell r="H12" t="str">
            <v>TV TIEMPOM</v>
          </cell>
          <cell r="I12">
            <v>5.93</v>
          </cell>
        </row>
        <row r="13">
          <cell r="H13" t="str">
            <v>TV TIEMPOJ</v>
          </cell>
          <cell r="I13">
            <v>5.86</v>
          </cell>
        </row>
        <row r="14">
          <cell r="H14" t="str">
            <v>TV TIEMPOL</v>
          </cell>
          <cell r="I14">
            <v>5.14</v>
          </cell>
        </row>
        <row r="15">
          <cell r="H15" t="str">
            <v>TV TIEMPOV</v>
          </cell>
          <cell r="I15">
            <v>4.22</v>
          </cell>
        </row>
        <row r="16">
          <cell r="H16" t="str">
            <v>TV TIEMPOS</v>
          </cell>
          <cell r="I16">
            <v>3.29</v>
          </cell>
        </row>
        <row r="17">
          <cell r="H17" t="str">
            <v>24 HORAS DOMINGOD</v>
          </cell>
          <cell r="I17">
            <v>5.01</v>
          </cell>
        </row>
        <row r="18">
          <cell r="H18" t="str">
            <v>24 HORAS DOMINGOD</v>
          </cell>
          <cell r="I18">
            <v>5.01</v>
          </cell>
        </row>
        <row r="19">
          <cell r="H19" t="str">
            <v>45 ANOS DE UN COCOJ</v>
          </cell>
          <cell r="I19">
            <v>4.33</v>
          </cell>
        </row>
        <row r="20">
          <cell r="H20" t="str">
            <v>45 ANOS DE UN COCOJ</v>
          </cell>
          <cell r="I20">
            <v>4.33</v>
          </cell>
        </row>
        <row r="21">
          <cell r="H21" t="str">
            <v>HISTORIA DE UN OSOS</v>
          </cell>
          <cell r="I21">
            <v>4.17</v>
          </cell>
        </row>
        <row r="22">
          <cell r="H22" t="str">
            <v>HISTORIA DE UN OSOS</v>
          </cell>
          <cell r="I22">
            <v>4.17</v>
          </cell>
        </row>
        <row r="23">
          <cell r="H23" t="str">
            <v>MOISES LOS 10 MANDAMIENTOS (RELMWJSD</v>
          </cell>
          <cell r="I23">
            <v>4.09</v>
          </cell>
        </row>
        <row r="24">
          <cell r="H24" t="str">
            <v>MOISES LOS 10 MANDAMIENTOS (RED</v>
          </cell>
          <cell r="I24">
            <v>7.87</v>
          </cell>
        </row>
        <row r="25">
          <cell r="H25" t="str">
            <v>MOISES LOS 10 MANDAMIENTOS (REW</v>
          </cell>
          <cell r="I25">
            <v>6.72</v>
          </cell>
        </row>
        <row r="26">
          <cell r="H26" t="str">
            <v>MOISES LOS 10 MANDAMIENTOS (REL</v>
          </cell>
          <cell r="I26">
            <v>6.52</v>
          </cell>
        </row>
        <row r="27">
          <cell r="H27" t="str">
            <v>MOISES LOS 10 MANDAMIENTOS (REM</v>
          </cell>
          <cell r="I27">
            <v>6.17</v>
          </cell>
        </row>
        <row r="28">
          <cell r="H28" t="str">
            <v>MOISES LOS 10 MANDAMIENTOS (REJ</v>
          </cell>
          <cell r="I28">
            <v>5.01</v>
          </cell>
        </row>
        <row r="29">
          <cell r="H29" t="str">
            <v>MOISES LOS 10 MANDAMIENTOS (RES</v>
          </cell>
          <cell r="I29">
            <v>1.67</v>
          </cell>
        </row>
        <row r="30">
          <cell r="H30" t="str">
            <v>24 HORAS CENTRALLMWJVS</v>
          </cell>
          <cell r="I30">
            <v>3.97</v>
          </cell>
        </row>
        <row r="31">
          <cell r="H31" t="str">
            <v>24 HORAS CENTRALW</v>
          </cell>
          <cell r="I31">
            <v>4.34</v>
          </cell>
        </row>
        <row r="32">
          <cell r="H32" t="str">
            <v>24 HORAS CENTRALV</v>
          </cell>
          <cell r="I32">
            <v>4.29</v>
          </cell>
        </row>
        <row r="33">
          <cell r="H33" t="str">
            <v>24 HORAS CENTRALL</v>
          </cell>
          <cell r="I33">
            <v>4.17</v>
          </cell>
        </row>
        <row r="34">
          <cell r="H34" t="str">
            <v>24 HORAS CENTRALJ</v>
          </cell>
          <cell r="I34">
            <v>4.1500000000000004</v>
          </cell>
        </row>
        <row r="35">
          <cell r="H35" t="str">
            <v>24 HORAS CENTRALM</v>
          </cell>
          <cell r="I35">
            <v>3.88</v>
          </cell>
        </row>
        <row r="36">
          <cell r="H36" t="str">
            <v>24 HORAS CENTRALS</v>
          </cell>
          <cell r="I36">
            <v>2.74</v>
          </cell>
        </row>
        <row r="37">
          <cell r="H37" t="str">
            <v>VIRALM</v>
          </cell>
          <cell r="I37">
            <v>3.78</v>
          </cell>
        </row>
        <row r="38">
          <cell r="H38" t="str">
            <v>VIRALM</v>
          </cell>
          <cell r="I38">
            <v>3.78</v>
          </cell>
        </row>
        <row r="39">
          <cell r="H39" t="str">
            <v>SEMANA SANTAV</v>
          </cell>
          <cell r="I39">
            <v>3.3</v>
          </cell>
        </row>
        <row r="40">
          <cell r="H40" t="str">
            <v>SEMANA SANTAV</v>
          </cell>
          <cell r="I40">
            <v>3.3</v>
          </cell>
        </row>
        <row r="41">
          <cell r="H41" t="str">
            <v>JOSE DE EGIPTOV</v>
          </cell>
          <cell r="I41">
            <v>3.22</v>
          </cell>
        </row>
        <row r="42">
          <cell r="H42" t="str">
            <v>JOSE DE EGIPTOV</v>
          </cell>
          <cell r="I42">
            <v>3.22</v>
          </cell>
        </row>
        <row r="43">
          <cell r="H43" t="str">
            <v>POR FIN SOLOSLD</v>
          </cell>
          <cell r="I43">
            <v>3.11</v>
          </cell>
        </row>
        <row r="44">
          <cell r="H44" t="str">
            <v>POR FIN SOLOSD</v>
          </cell>
          <cell r="I44">
            <v>3.77</v>
          </cell>
        </row>
        <row r="45">
          <cell r="H45" t="str">
            <v>POR FIN SOLOSL</v>
          </cell>
          <cell r="I45">
            <v>2.69</v>
          </cell>
        </row>
        <row r="46">
          <cell r="H46" t="str">
            <v>SABADO DE K OS</v>
          </cell>
          <cell r="I46">
            <v>3.05</v>
          </cell>
        </row>
        <row r="47">
          <cell r="H47" t="str">
            <v>SABADO DE K OS</v>
          </cell>
          <cell r="I47">
            <v>3.05</v>
          </cell>
        </row>
        <row r="48">
          <cell r="H48" t="str">
            <v>POR FIN SOLOS (RESUMEN)L</v>
          </cell>
          <cell r="I48">
            <v>2.73</v>
          </cell>
        </row>
        <row r="49">
          <cell r="H49" t="str">
            <v>POR FIN SOLOS (RESUMEN)L</v>
          </cell>
          <cell r="I49">
            <v>2.73</v>
          </cell>
        </row>
        <row r="50">
          <cell r="H50" t="str">
            <v>DESTILANDO AMORLMWJV</v>
          </cell>
          <cell r="I50">
            <v>2.5499999999999998</v>
          </cell>
        </row>
        <row r="51">
          <cell r="H51" t="str">
            <v>DESTILANDO AMORL</v>
          </cell>
          <cell r="I51">
            <v>2.95</v>
          </cell>
        </row>
        <row r="52">
          <cell r="H52" t="str">
            <v>DESTILANDO AMORM</v>
          </cell>
          <cell r="I52">
            <v>2.87</v>
          </cell>
        </row>
        <row r="53">
          <cell r="H53" t="str">
            <v>DESTILANDO AMORW</v>
          </cell>
          <cell r="I53">
            <v>2.54</v>
          </cell>
        </row>
        <row r="54">
          <cell r="H54" t="str">
            <v>DESTILANDO AMORV</v>
          </cell>
          <cell r="I54">
            <v>2.2599999999999998</v>
          </cell>
        </row>
        <row r="55">
          <cell r="H55" t="str">
            <v>DESTILANDO AMORJ</v>
          </cell>
          <cell r="I55">
            <v>2.13</v>
          </cell>
        </row>
        <row r="56">
          <cell r="H56" t="str">
            <v>HABITANTES DEL PACIFICO (R)D</v>
          </cell>
          <cell r="I56">
            <v>2.5</v>
          </cell>
        </row>
        <row r="57">
          <cell r="H57" t="str">
            <v>HABITANTES DEL PACIFICO (R)D</v>
          </cell>
          <cell r="I57">
            <v>2.5</v>
          </cell>
        </row>
        <row r="58">
          <cell r="H58" t="str">
            <v>CHILE CONECTADO (R)D</v>
          </cell>
          <cell r="I58">
            <v>2.35</v>
          </cell>
        </row>
        <row r="59">
          <cell r="H59" t="str">
            <v>CHILE CONECTADO (R)D</v>
          </cell>
          <cell r="I59">
            <v>2.35</v>
          </cell>
        </row>
        <row r="60">
          <cell r="H60" t="str">
            <v>EL SECRETO DE PUENTE VIEJOLMWJV</v>
          </cell>
          <cell r="I60">
            <v>2.2999999999999998</v>
          </cell>
        </row>
        <row r="61">
          <cell r="H61" t="str">
            <v>EL SECRETO DE PUENTE VIEJOW</v>
          </cell>
          <cell r="I61">
            <v>2.4700000000000002</v>
          </cell>
        </row>
        <row r="62">
          <cell r="H62" t="str">
            <v>EL SECRETO DE PUENTE VIEJOV</v>
          </cell>
          <cell r="I62">
            <v>2.44</v>
          </cell>
        </row>
        <row r="63">
          <cell r="H63" t="str">
            <v>EL SECRETO DE PUENTE VIEJOM</v>
          </cell>
          <cell r="I63">
            <v>2.38</v>
          </cell>
        </row>
        <row r="64">
          <cell r="H64" t="str">
            <v>EL SECRETO DE PUENTE VIEJOL</v>
          </cell>
          <cell r="I64">
            <v>2.11</v>
          </cell>
        </row>
        <row r="65">
          <cell r="H65" t="str">
            <v>EL SECRETO DE PUENTE VIEJOJ</v>
          </cell>
          <cell r="I65">
            <v>2.02</v>
          </cell>
        </row>
        <row r="66">
          <cell r="H66" t="str">
            <v>FRUTOS DEL PAIS (R)D</v>
          </cell>
          <cell r="I66">
            <v>2.2200000000000002</v>
          </cell>
        </row>
        <row r="67">
          <cell r="H67" t="str">
            <v>FRUTOS DEL PAIS (R)D</v>
          </cell>
          <cell r="I67">
            <v>2.2200000000000002</v>
          </cell>
        </row>
        <row r="68">
          <cell r="H68" t="str">
            <v>ESA NO SOY YOLMWJV</v>
          </cell>
          <cell r="I68">
            <v>2.2000000000000002</v>
          </cell>
        </row>
        <row r="69">
          <cell r="H69" t="str">
            <v>ESA NO SOY YOM</v>
          </cell>
          <cell r="I69">
            <v>2.5299999999999998</v>
          </cell>
        </row>
        <row r="70">
          <cell r="H70" t="str">
            <v>ESA NO SOY YOL</v>
          </cell>
          <cell r="I70">
            <v>2.2000000000000002</v>
          </cell>
        </row>
        <row r="71">
          <cell r="H71" t="str">
            <v>ESA NO SOY YOV</v>
          </cell>
          <cell r="I71">
            <v>2.1800000000000002</v>
          </cell>
        </row>
        <row r="72">
          <cell r="H72" t="str">
            <v>ESA NO SOY YOW</v>
          </cell>
          <cell r="I72">
            <v>2.13</v>
          </cell>
        </row>
        <row r="73">
          <cell r="H73" t="str">
            <v>ESA NO SOY YOJ</v>
          </cell>
          <cell r="I73">
            <v>1.89</v>
          </cell>
        </row>
        <row r="74">
          <cell r="H74" t="str">
            <v>FRUTOS DEL PAISD</v>
          </cell>
          <cell r="I74">
            <v>2.19</v>
          </cell>
        </row>
        <row r="75">
          <cell r="H75" t="str">
            <v>FRUTOS DEL PAISD</v>
          </cell>
          <cell r="I75">
            <v>2.19</v>
          </cell>
        </row>
        <row r="76">
          <cell r="H76" t="str">
            <v>24 HORAS AL DIALMWJVSD</v>
          </cell>
          <cell r="I76">
            <v>2.13</v>
          </cell>
        </row>
        <row r="77">
          <cell r="H77" t="str">
            <v>24 HORAS AL DIAL</v>
          </cell>
          <cell r="I77">
            <v>2.88</v>
          </cell>
        </row>
        <row r="78">
          <cell r="H78" t="str">
            <v>24 HORAS AL DIAM</v>
          </cell>
          <cell r="I78">
            <v>2.5499999999999998</v>
          </cell>
        </row>
        <row r="79">
          <cell r="H79" t="str">
            <v>24 HORAS AL DIAJ</v>
          </cell>
          <cell r="I79">
            <v>2.42</v>
          </cell>
        </row>
        <row r="80">
          <cell r="H80" t="str">
            <v>24 HORAS AL DIAV</v>
          </cell>
          <cell r="I80">
            <v>2.29</v>
          </cell>
        </row>
        <row r="81">
          <cell r="H81" t="str">
            <v>24 HORAS AL DIAW</v>
          </cell>
          <cell r="I81">
            <v>2.0499999999999998</v>
          </cell>
        </row>
        <row r="82">
          <cell r="H82" t="str">
            <v>24 HORAS AL DIAS</v>
          </cell>
          <cell r="I82">
            <v>1.64</v>
          </cell>
        </row>
        <row r="83">
          <cell r="H83" t="str">
            <v>24 HORAS AL DIAD</v>
          </cell>
          <cell r="I83">
            <v>1.23</v>
          </cell>
        </row>
        <row r="84">
          <cell r="H84" t="str">
            <v>4TO MEDIOLW</v>
          </cell>
          <cell r="I84">
            <v>2.0699999999999998</v>
          </cell>
        </row>
        <row r="85">
          <cell r="H85" t="str">
            <v>4TO MEDIOW</v>
          </cell>
          <cell r="I85">
            <v>2.27</v>
          </cell>
        </row>
        <row r="86">
          <cell r="H86" t="str">
            <v>4TO MEDIOL</v>
          </cell>
          <cell r="I86">
            <v>0.93</v>
          </cell>
        </row>
        <row r="87">
          <cell r="H87" t="str">
            <v>POR FIN SOLOS (R)V</v>
          </cell>
          <cell r="I87">
            <v>2.0099999999999998</v>
          </cell>
        </row>
        <row r="88">
          <cell r="H88" t="str">
            <v>POR FIN SOLOS (R)V</v>
          </cell>
          <cell r="I88">
            <v>2.0099999999999998</v>
          </cell>
        </row>
        <row r="89">
          <cell r="H89" t="str">
            <v>ROMANE (R)LMWJV</v>
          </cell>
          <cell r="I89">
            <v>1.91</v>
          </cell>
        </row>
        <row r="90">
          <cell r="H90" t="str">
            <v>ROMANE (R)M</v>
          </cell>
          <cell r="I90">
            <v>2.4300000000000002</v>
          </cell>
        </row>
        <row r="91">
          <cell r="H91" t="str">
            <v>ROMANE (R)L</v>
          </cell>
          <cell r="I91">
            <v>2.12</v>
          </cell>
        </row>
        <row r="92">
          <cell r="H92" t="str">
            <v>ROMANE (R)V</v>
          </cell>
          <cell r="I92">
            <v>1.83</v>
          </cell>
        </row>
        <row r="93">
          <cell r="H93" t="str">
            <v>ROMANE (R)J</v>
          </cell>
          <cell r="I93">
            <v>1.82</v>
          </cell>
        </row>
        <row r="94">
          <cell r="H94" t="str">
            <v>ROMANE (R)W</v>
          </cell>
          <cell r="I94">
            <v>1.42</v>
          </cell>
        </row>
        <row r="95">
          <cell r="H95" t="str">
            <v>TU MANANA 24 HORASLMWJV</v>
          </cell>
          <cell r="I95">
            <v>1.89</v>
          </cell>
        </row>
        <row r="96">
          <cell r="H96" t="str">
            <v>TU MANANA 24 HORASW</v>
          </cell>
          <cell r="I96">
            <v>2.19</v>
          </cell>
        </row>
        <row r="97">
          <cell r="H97" t="str">
            <v>TU MANANA 24 HORASJ</v>
          </cell>
          <cell r="I97">
            <v>1.98</v>
          </cell>
        </row>
        <row r="98">
          <cell r="H98" t="str">
            <v>TU MANANA 24 HORASV</v>
          </cell>
          <cell r="I98">
            <v>1.92</v>
          </cell>
        </row>
        <row r="99">
          <cell r="H99" t="str">
            <v>TU MANANA 24 HORASL</v>
          </cell>
          <cell r="I99">
            <v>1.91</v>
          </cell>
        </row>
        <row r="100">
          <cell r="H100" t="str">
            <v>TU MANANA 24 HORASM</v>
          </cell>
          <cell r="I100">
            <v>1.5</v>
          </cell>
        </row>
        <row r="101">
          <cell r="H101" t="str">
            <v>MEDIA NOCHELMWJV</v>
          </cell>
          <cell r="I101">
            <v>1.84</v>
          </cell>
        </row>
        <row r="102">
          <cell r="H102" t="str">
            <v>MEDIA NOCHEJ</v>
          </cell>
          <cell r="I102">
            <v>2.7</v>
          </cell>
        </row>
        <row r="103">
          <cell r="H103" t="str">
            <v>MEDIA NOCHEM</v>
          </cell>
          <cell r="I103">
            <v>2.3199999999999998</v>
          </cell>
        </row>
        <row r="104">
          <cell r="H104" t="str">
            <v>MEDIA NOCHEL</v>
          </cell>
          <cell r="I104">
            <v>1.93</v>
          </cell>
        </row>
        <row r="105">
          <cell r="H105" t="str">
            <v>MEDIA NOCHEW</v>
          </cell>
          <cell r="I105">
            <v>1.1499999999999999</v>
          </cell>
        </row>
        <row r="106">
          <cell r="H106" t="str">
            <v>MEDIA NOCHEV</v>
          </cell>
          <cell r="I106">
            <v>0.89</v>
          </cell>
        </row>
        <row r="107">
          <cell r="H107" t="str">
            <v>DOCTOR HOUSE (R)LMWJVD</v>
          </cell>
          <cell r="I107">
            <v>1.81</v>
          </cell>
        </row>
        <row r="108">
          <cell r="H108" t="str">
            <v>DOCTOR HOUSE (R)M</v>
          </cell>
          <cell r="I108">
            <v>2.35</v>
          </cell>
        </row>
        <row r="109">
          <cell r="H109" t="str">
            <v>DOCTOR HOUSE (R)J</v>
          </cell>
          <cell r="I109">
            <v>2.21</v>
          </cell>
        </row>
        <row r="110">
          <cell r="H110" t="str">
            <v>DOCTOR HOUSE (R)D</v>
          </cell>
          <cell r="I110">
            <v>1.74</v>
          </cell>
        </row>
        <row r="111">
          <cell r="H111" t="str">
            <v>DOCTOR HOUSE (R)L</v>
          </cell>
          <cell r="I111">
            <v>1.65</v>
          </cell>
        </row>
        <row r="112">
          <cell r="H112" t="str">
            <v>DOCTOR HOUSE (R)V</v>
          </cell>
          <cell r="I112">
            <v>1.26</v>
          </cell>
        </row>
        <row r="113">
          <cell r="H113" t="str">
            <v>DOCTOR HOUSE (R)W</v>
          </cell>
          <cell r="I113">
            <v>1.05</v>
          </cell>
        </row>
        <row r="114">
          <cell r="H114" t="str">
            <v>ENTRE PROGRAMASLMWJVSD</v>
          </cell>
          <cell r="I114">
            <v>1.79</v>
          </cell>
        </row>
        <row r="115">
          <cell r="H115" t="str">
            <v>ENTRE PROGRAMASM</v>
          </cell>
          <cell r="I115">
            <v>3</v>
          </cell>
        </row>
        <row r="116">
          <cell r="H116" t="str">
            <v>ENTRE PROGRAMASJ</v>
          </cell>
          <cell r="I116">
            <v>2.31</v>
          </cell>
        </row>
        <row r="117">
          <cell r="H117" t="str">
            <v>ENTRE PROGRAMASD</v>
          </cell>
          <cell r="I117">
            <v>1.74</v>
          </cell>
        </row>
        <row r="118">
          <cell r="H118" t="str">
            <v>ENTRE PROGRAMASL</v>
          </cell>
          <cell r="I118">
            <v>1.49</v>
          </cell>
        </row>
        <row r="119">
          <cell r="H119" t="str">
            <v>ENTRE PROGRAMASW</v>
          </cell>
          <cell r="I119">
            <v>1.21</v>
          </cell>
        </row>
        <row r="120">
          <cell r="H120" t="str">
            <v>ENTRE PROGRAMASS</v>
          </cell>
          <cell r="I120">
            <v>1.1000000000000001</v>
          </cell>
        </row>
        <row r="121">
          <cell r="H121" t="str">
            <v>ENTRE PROGRAMASV</v>
          </cell>
          <cell r="I121">
            <v>0.72</v>
          </cell>
        </row>
        <row r="122">
          <cell r="H122" t="str">
            <v>GRANDES PELICULASS</v>
          </cell>
          <cell r="I122">
            <v>1.79</v>
          </cell>
        </row>
        <row r="123">
          <cell r="H123" t="str">
            <v>GRANDES PELICULASS</v>
          </cell>
          <cell r="I123">
            <v>1.79</v>
          </cell>
        </row>
        <row r="124">
          <cell r="H124" t="str">
            <v>LA CULTURA ENTRETENIDAD</v>
          </cell>
          <cell r="I124">
            <v>1.78</v>
          </cell>
        </row>
        <row r="125">
          <cell r="H125" t="str">
            <v>LA CULTURA ENTRETENIDAD</v>
          </cell>
          <cell r="I125">
            <v>1.78</v>
          </cell>
        </row>
        <row r="126">
          <cell r="H126" t="str">
            <v>ESA NO SOY YO (RESUMEN)LMWJV</v>
          </cell>
          <cell r="I126">
            <v>1.72</v>
          </cell>
        </row>
        <row r="127">
          <cell r="H127" t="str">
            <v>ESA NO SOY YO (RESUMEN)M</v>
          </cell>
          <cell r="I127">
            <v>1.96</v>
          </cell>
        </row>
        <row r="128">
          <cell r="H128" t="str">
            <v>ESA NO SOY YO (RESUMEN)V</v>
          </cell>
          <cell r="I128">
            <v>1.87</v>
          </cell>
        </row>
        <row r="129">
          <cell r="H129" t="str">
            <v>ESA NO SOY YO (RESUMEN)L</v>
          </cell>
          <cell r="I129">
            <v>1.77</v>
          </cell>
        </row>
        <row r="130">
          <cell r="H130" t="str">
            <v>ESA NO SOY YO (RESUMEN)W</v>
          </cell>
          <cell r="I130">
            <v>1.72</v>
          </cell>
        </row>
        <row r="131">
          <cell r="H131" t="str">
            <v>ESA NO SOY YO (RESUMEN)J</v>
          </cell>
          <cell r="I131">
            <v>1.33</v>
          </cell>
        </row>
        <row r="132">
          <cell r="H132" t="str">
            <v>MELO Y ASTORGAS</v>
          </cell>
          <cell r="I132">
            <v>1.7</v>
          </cell>
        </row>
        <row r="133">
          <cell r="H133" t="str">
            <v>MELO Y ASTORGAS</v>
          </cell>
          <cell r="I133">
            <v>1.7</v>
          </cell>
        </row>
        <row r="134">
          <cell r="H134" t="str">
            <v>NUESTRO SIGLOS</v>
          </cell>
          <cell r="I134">
            <v>1.66</v>
          </cell>
        </row>
        <row r="135">
          <cell r="H135" t="str">
            <v>NUESTRO SIGLOS</v>
          </cell>
          <cell r="I135">
            <v>1.66</v>
          </cell>
        </row>
        <row r="136">
          <cell r="H136" t="str">
            <v>ESTADO NACIONALD</v>
          </cell>
          <cell r="I136">
            <v>1.56</v>
          </cell>
        </row>
        <row r="137">
          <cell r="H137" t="str">
            <v>ESTADO NACIONALD</v>
          </cell>
          <cell r="I137">
            <v>1.56</v>
          </cell>
        </row>
        <row r="138">
          <cell r="H138" t="str">
            <v>COPA DAVISVSD</v>
          </cell>
          <cell r="I138">
            <v>1.5</v>
          </cell>
        </row>
        <row r="139">
          <cell r="H139" t="str">
            <v>COPA DAVISS</v>
          </cell>
          <cell r="I139">
            <v>1.64</v>
          </cell>
        </row>
        <row r="140">
          <cell r="H140" t="str">
            <v>COPA DAVISV</v>
          </cell>
          <cell r="I140">
            <v>1.59</v>
          </cell>
        </row>
        <row r="141">
          <cell r="H141" t="str">
            <v>COPA DAVISD</v>
          </cell>
          <cell r="I141">
            <v>1.1299999999999999</v>
          </cell>
        </row>
        <row r="142">
          <cell r="H142" t="str">
            <v>BUENOS DIAS A TODOS (B)LMWJV</v>
          </cell>
          <cell r="I142">
            <v>1.36</v>
          </cell>
        </row>
        <row r="143">
          <cell r="H143" t="str">
            <v>BUENOS DIAS A TODOS (B)J</v>
          </cell>
          <cell r="I143">
            <v>1.8</v>
          </cell>
        </row>
        <row r="144">
          <cell r="H144" t="str">
            <v>BUENOS DIAS A TODOS (B)M</v>
          </cell>
          <cell r="I144">
            <v>1.6</v>
          </cell>
        </row>
        <row r="145">
          <cell r="H145" t="str">
            <v>BUENOS DIAS A TODOS (B)V</v>
          </cell>
          <cell r="I145">
            <v>1.42</v>
          </cell>
        </row>
        <row r="146">
          <cell r="H146" t="str">
            <v>BUENOS DIAS A TODOS (B)L</v>
          </cell>
          <cell r="I146">
            <v>1.41</v>
          </cell>
        </row>
        <row r="147">
          <cell r="H147" t="str">
            <v>BUENOS DIAS A TODOS (B)W</v>
          </cell>
          <cell r="I147">
            <v>0.79</v>
          </cell>
        </row>
        <row r="148">
          <cell r="H148" t="str">
            <v>BUENOS DIAS A TODOS (A)LMWJV</v>
          </cell>
          <cell r="I148">
            <v>1.36</v>
          </cell>
        </row>
        <row r="149">
          <cell r="H149" t="str">
            <v>BUENOS DIAS A TODOS (A)V</v>
          </cell>
          <cell r="I149">
            <v>2.44</v>
          </cell>
        </row>
        <row r="150">
          <cell r="H150" t="str">
            <v>BUENOS DIAS A TODOS (A)L</v>
          </cell>
          <cell r="I150">
            <v>1.34</v>
          </cell>
        </row>
        <row r="151">
          <cell r="H151" t="str">
            <v>BUENOS DIAS A TODOS (A)W</v>
          </cell>
          <cell r="I151">
            <v>1.02</v>
          </cell>
        </row>
        <row r="152">
          <cell r="H152" t="str">
            <v>BUENOS DIAS A TODOS (A)J</v>
          </cell>
          <cell r="I152">
            <v>0.96</v>
          </cell>
        </row>
        <row r="153">
          <cell r="H153" t="str">
            <v>BUENOS DIAS A TODOS (A)M</v>
          </cell>
          <cell r="I153">
            <v>0.94</v>
          </cell>
        </row>
        <row r="154">
          <cell r="H154" t="str">
            <v>24 HORASD</v>
          </cell>
          <cell r="I154">
            <v>1.29</v>
          </cell>
        </row>
        <row r="155">
          <cell r="H155" t="str">
            <v>24 HORASD</v>
          </cell>
          <cell r="I155">
            <v>1.29</v>
          </cell>
        </row>
        <row r="156">
          <cell r="H156" t="str">
            <v>PELOTON LA HISTORIA DEL HONORW</v>
          </cell>
          <cell r="I156">
            <v>1.27</v>
          </cell>
        </row>
        <row r="157">
          <cell r="H157" t="str">
            <v>PELOTON LA HISTORIA DEL HONORW</v>
          </cell>
          <cell r="I157">
            <v>1.27</v>
          </cell>
        </row>
        <row r="158">
          <cell r="H158" t="str">
            <v>BEST SELLERVS</v>
          </cell>
          <cell r="I158">
            <v>1.1100000000000001</v>
          </cell>
        </row>
        <row r="159">
          <cell r="H159" t="str">
            <v>BEST SELLERS</v>
          </cell>
          <cell r="I159">
            <v>1.74</v>
          </cell>
        </row>
        <row r="160">
          <cell r="H160" t="str">
            <v>BEST SELLERV</v>
          </cell>
          <cell r="I160">
            <v>0.82</v>
          </cell>
        </row>
        <row r="161">
          <cell r="H161" t="str">
            <v>PURO CHILEV</v>
          </cell>
          <cell r="I161">
            <v>1.05</v>
          </cell>
        </row>
        <row r="162">
          <cell r="H162" t="str">
            <v>PURO CHILEV</v>
          </cell>
          <cell r="I162">
            <v>1.05</v>
          </cell>
        </row>
        <row r="163">
          <cell r="H163" t="str">
            <v>PODIOD</v>
          </cell>
          <cell r="I163">
            <v>0.94</v>
          </cell>
        </row>
        <row r="164">
          <cell r="H164" t="str">
            <v>PODIOD</v>
          </cell>
          <cell r="I164">
            <v>0.94</v>
          </cell>
        </row>
        <row r="165">
          <cell r="H165" t="str">
            <v>SUPER CINES</v>
          </cell>
          <cell r="I165">
            <v>0.92</v>
          </cell>
        </row>
        <row r="166">
          <cell r="H166" t="str">
            <v>SUPER CINES</v>
          </cell>
          <cell r="I166">
            <v>0.92</v>
          </cell>
        </row>
        <row r="167">
          <cell r="H167" t="str">
            <v>BOXEO DE OROS</v>
          </cell>
          <cell r="I167">
            <v>0.9</v>
          </cell>
        </row>
        <row r="168">
          <cell r="H168" t="str">
            <v>BOXEO DE OROS</v>
          </cell>
          <cell r="I168">
            <v>0.9</v>
          </cell>
        </row>
        <row r="169">
          <cell r="H169" t="str">
            <v>CINEV</v>
          </cell>
          <cell r="I169">
            <v>0.86</v>
          </cell>
        </row>
        <row r="170">
          <cell r="H170" t="str">
            <v>CINEV</v>
          </cell>
          <cell r="I170">
            <v>0.86</v>
          </cell>
        </row>
        <row r="171">
          <cell r="H171" t="str">
            <v>PELICULA INFANTILS</v>
          </cell>
          <cell r="I171">
            <v>0.79</v>
          </cell>
        </row>
        <row r="172">
          <cell r="H172" t="str">
            <v>PELICULA INFANTILS</v>
          </cell>
          <cell r="I172">
            <v>0.79</v>
          </cell>
        </row>
        <row r="173">
          <cell r="H173" t="str">
            <v>HORACIO Y LOS PLASTICINESS</v>
          </cell>
          <cell r="I173">
            <v>0.76</v>
          </cell>
        </row>
        <row r="174">
          <cell r="H174" t="str">
            <v>HORACIO Y LOS PLASTICINESS</v>
          </cell>
          <cell r="I174">
            <v>0.76</v>
          </cell>
        </row>
        <row r="175">
          <cell r="H175" t="str">
            <v>PEPPA LA CERDITAS</v>
          </cell>
          <cell r="I175">
            <v>0.69</v>
          </cell>
        </row>
        <row r="176">
          <cell r="H176" t="str">
            <v>PEPPA LA CERDITAS</v>
          </cell>
          <cell r="I176">
            <v>0.69</v>
          </cell>
        </row>
        <row r="177">
          <cell r="H177" t="str">
            <v>NOTICREOS</v>
          </cell>
          <cell r="I177">
            <v>0.56999999999999995</v>
          </cell>
        </row>
        <row r="178">
          <cell r="H178" t="str">
            <v>NOTICREOS</v>
          </cell>
          <cell r="I178">
            <v>0.56999999999999995</v>
          </cell>
        </row>
        <row r="179">
          <cell r="H179" t="str">
            <v>PURO CHILE (R)D</v>
          </cell>
          <cell r="I179">
            <v>0.51</v>
          </cell>
        </row>
        <row r="180">
          <cell r="H180" t="str">
            <v>PURO CHILE (R)D</v>
          </cell>
          <cell r="I180">
            <v>0.51</v>
          </cell>
        </row>
        <row r="181">
          <cell r="H181" t="str">
            <v>0,243055555555556LMWJD</v>
          </cell>
          <cell r="I181">
            <v>0.51</v>
          </cell>
        </row>
        <row r="182">
          <cell r="H182" t="str">
            <v>0,243055555555556L</v>
          </cell>
          <cell r="I182">
            <v>0.7</v>
          </cell>
        </row>
        <row r="183">
          <cell r="H183" t="str">
            <v>0,243055555555556J</v>
          </cell>
          <cell r="I183">
            <v>0.67</v>
          </cell>
        </row>
        <row r="184">
          <cell r="H184" t="str">
            <v>0,243055555555556M</v>
          </cell>
          <cell r="I184">
            <v>0.62</v>
          </cell>
        </row>
        <row r="185">
          <cell r="H185" t="str">
            <v>0,243055555555556W</v>
          </cell>
          <cell r="I185">
            <v>0.41</v>
          </cell>
        </row>
        <row r="186">
          <cell r="H186" t="str">
            <v>0,243055555555556D</v>
          </cell>
          <cell r="I186">
            <v>0.28999999999999998</v>
          </cell>
        </row>
        <row r="187">
          <cell r="H187" t="str">
            <v>MIRADA ECONOMICAD</v>
          </cell>
          <cell r="I187">
            <v>0.49</v>
          </cell>
        </row>
        <row r="188">
          <cell r="H188" t="str">
            <v>MIRADA ECONOMICAD</v>
          </cell>
          <cell r="I188">
            <v>0.49</v>
          </cell>
        </row>
        <row r="189">
          <cell r="H189" t="str">
            <v>SESIONES 24D</v>
          </cell>
          <cell r="I189">
            <v>0.27</v>
          </cell>
        </row>
        <row r="190">
          <cell r="H190" t="str">
            <v>SESIONES 24D</v>
          </cell>
          <cell r="I190">
            <v>0.27</v>
          </cell>
        </row>
        <row r="191">
          <cell r="H191" t="str">
            <v>AVANCE 24D</v>
          </cell>
          <cell r="I191">
            <v>0.26</v>
          </cell>
        </row>
        <row r="192">
          <cell r="H192" t="str">
            <v>AVANCE 24D</v>
          </cell>
          <cell r="I192">
            <v>0.26</v>
          </cell>
        </row>
        <row r="193">
          <cell r="H193" t="str">
            <v>MATRIARCASLMWJV</v>
          </cell>
          <cell r="I193">
            <v>1.8</v>
          </cell>
        </row>
        <row r="194">
          <cell r="H194" t="str">
            <v>HUMOR EN FESTIVAL DE OLMUE (LOJ</v>
          </cell>
          <cell r="I194">
            <v>2.8</v>
          </cell>
        </row>
        <row r="196">
          <cell r="H196" t="str">
            <v>MOISES LOS 10 MANDAMIENTOSLMWJ</v>
          </cell>
          <cell r="I196">
            <v>7.8449999999999998</v>
          </cell>
        </row>
        <row r="197">
          <cell r="H197" t="str">
            <v>24 HORAS CENTRALLMWJV</v>
          </cell>
          <cell r="I197">
            <v>4.1659999999999995</v>
          </cell>
        </row>
        <row r="198">
          <cell r="H198" t="str">
            <v>24 HORAS AL DIALMWJV</v>
          </cell>
          <cell r="I198">
            <v>2.4379999999999997</v>
          </cell>
        </row>
      </sheetData>
      <sheetData sheetId="12">
        <row r="3">
          <cell r="H3" t="str">
            <v>MOISES LOS 10 MANDAMIENTOSLMWJD</v>
          </cell>
          <cell r="I3">
            <v>4.16</v>
          </cell>
        </row>
        <row r="4">
          <cell r="H4" t="str">
            <v>MOISES LOS 10 MANDAMIENTOSD</v>
          </cell>
          <cell r="I4">
            <v>4.87</v>
          </cell>
        </row>
        <row r="5">
          <cell r="H5" t="str">
            <v>MOISES LOS 10 MANDAMIENTOSW</v>
          </cell>
          <cell r="I5">
            <v>4.29</v>
          </cell>
        </row>
        <row r="6">
          <cell r="H6" t="str">
            <v>MOISES LOS 10 MANDAMIENTOSL</v>
          </cell>
          <cell r="I6">
            <v>4.09</v>
          </cell>
        </row>
        <row r="7">
          <cell r="H7" t="str">
            <v>MOISES LOS 10 MANDAMIENTOSM</v>
          </cell>
          <cell r="I7">
            <v>3.78</v>
          </cell>
        </row>
        <row r="8">
          <cell r="H8" t="str">
            <v>MOISES LOS 10 MANDAMIENTOSJ</v>
          </cell>
          <cell r="I8">
            <v>3.75</v>
          </cell>
        </row>
        <row r="9">
          <cell r="H9" t="str">
            <v>45 ANOS DE UN COCOJ</v>
          </cell>
          <cell r="I9">
            <v>3.62</v>
          </cell>
        </row>
        <row r="10">
          <cell r="H10" t="str">
            <v>45 ANOS DE UN COCOJ</v>
          </cell>
          <cell r="I10">
            <v>3.62</v>
          </cell>
        </row>
        <row r="11">
          <cell r="H11" t="str">
            <v>SEMANA SANTAV</v>
          </cell>
          <cell r="I11">
            <v>3.48</v>
          </cell>
        </row>
        <row r="12">
          <cell r="H12" t="str">
            <v>SEMANA SANTAV</v>
          </cell>
          <cell r="I12">
            <v>3.48</v>
          </cell>
        </row>
        <row r="13">
          <cell r="H13" t="str">
            <v>TV TIEMPOLMWJVSD</v>
          </cell>
          <cell r="I13">
            <v>3.23</v>
          </cell>
        </row>
        <row r="14">
          <cell r="H14" t="str">
            <v>TV TIEMPOL</v>
          </cell>
          <cell r="I14">
            <v>4.09</v>
          </cell>
        </row>
        <row r="15">
          <cell r="H15" t="str">
            <v>TV TIEMPOD</v>
          </cell>
          <cell r="I15">
            <v>4.03</v>
          </cell>
        </row>
        <row r="16">
          <cell r="H16" t="str">
            <v>TV TIEMPOM</v>
          </cell>
          <cell r="I16">
            <v>3.42</v>
          </cell>
        </row>
        <row r="17">
          <cell r="H17" t="str">
            <v>TV TIEMPOJ</v>
          </cell>
          <cell r="I17">
            <v>3.22</v>
          </cell>
        </row>
        <row r="18">
          <cell r="H18" t="str">
            <v>TV TIEMPOW</v>
          </cell>
          <cell r="I18">
            <v>2.89</v>
          </cell>
        </row>
        <row r="19">
          <cell r="H19" t="str">
            <v>TV TIEMPOV</v>
          </cell>
          <cell r="I19">
            <v>2.62</v>
          </cell>
        </row>
        <row r="20">
          <cell r="H20" t="str">
            <v>TV TIEMPOS</v>
          </cell>
          <cell r="I20">
            <v>2.1800000000000002</v>
          </cell>
        </row>
        <row r="21">
          <cell r="H21" t="str">
            <v>24 HORAS DOMINGOD</v>
          </cell>
          <cell r="I21">
            <v>2.83</v>
          </cell>
        </row>
        <row r="22">
          <cell r="H22" t="str">
            <v>24 HORAS DOMINGOD</v>
          </cell>
          <cell r="I22">
            <v>2.83</v>
          </cell>
        </row>
        <row r="23">
          <cell r="H23" t="str">
            <v>24 HORAS CENTRALLMWJVS</v>
          </cell>
          <cell r="I23">
            <v>2.56</v>
          </cell>
        </row>
        <row r="24">
          <cell r="H24" t="str">
            <v>24 HORAS CENTRALV</v>
          </cell>
          <cell r="I24">
            <v>2.97</v>
          </cell>
        </row>
        <row r="25">
          <cell r="H25" t="str">
            <v>24 HORAS CENTRALJ</v>
          </cell>
          <cell r="I25">
            <v>2.85</v>
          </cell>
        </row>
        <row r="26">
          <cell r="H26" t="str">
            <v>24 HORAS CENTRALL</v>
          </cell>
          <cell r="I26">
            <v>2.78</v>
          </cell>
        </row>
        <row r="27">
          <cell r="H27" t="str">
            <v>24 HORAS CENTRALM</v>
          </cell>
          <cell r="I27">
            <v>2.48</v>
          </cell>
        </row>
        <row r="28">
          <cell r="H28" t="str">
            <v>24 HORAS CENTRALS</v>
          </cell>
          <cell r="I28">
            <v>2.25</v>
          </cell>
        </row>
        <row r="29">
          <cell r="H29" t="str">
            <v>24 HORAS CENTRALW</v>
          </cell>
          <cell r="I29">
            <v>2.23</v>
          </cell>
        </row>
        <row r="30">
          <cell r="H30" t="str">
            <v>HISTORIA DE UN OSOS</v>
          </cell>
          <cell r="I30">
            <v>2.0499999999999998</v>
          </cell>
        </row>
        <row r="31">
          <cell r="H31" t="str">
            <v>HISTORIA DE UN OSOS</v>
          </cell>
          <cell r="I31">
            <v>2.0499999999999998</v>
          </cell>
        </row>
        <row r="32">
          <cell r="H32" t="str">
            <v>VIRALM</v>
          </cell>
          <cell r="I32">
            <v>2.04</v>
          </cell>
        </row>
        <row r="33">
          <cell r="H33" t="str">
            <v>VIRALM</v>
          </cell>
          <cell r="I33">
            <v>2.04</v>
          </cell>
        </row>
        <row r="34">
          <cell r="H34" t="str">
            <v>MOISES LOS 10 MANDAMIENTOS (RELMWJSD</v>
          </cell>
          <cell r="I34">
            <v>1.97</v>
          </cell>
        </row>
        <row r="35">
          <cell r="H35" t="str">
            <v>MOISES LOS 10 MANDAMIENTOS (REL</v>
          </cell>
          <cell r="I35">
            <v>3.91</v>
          </cell>
        </row>
        <row r="36">
          <cell r="H36" t="str">
            <v>MOISES LOS 10 MANDAMIENTOS (RED</v>
          </cell>
          <cell r="I36">
            <v>3.88</v>
          </cell>
        </row>
        <row r="37">
          <cell r="H37" t="str">
            <v>MOISES LOS 10 MANDAMIENTOS (REW</v>
          </cell>
          <cell r="I37">
            <v>3.19</v>
          </cell>
        </row>
        <row r="38">
          <cell r="H38" t="str">
            <v>MOISES LOS 10 MANDAMIENTOS (REM</v>
          </cell>
          <cell r="I38">
            <v>3.19</v>
          </cell>
        </row>
        <row r="39">
          <cell r="H39" t="str">
            <v>MOISES LOS 10 MANDAMIENTOS (REJ</v>
          </cell>
          <cell r="I39">
            <v>2.0699999999999998</v>
          </cell>
        </row>
        <row r="40">
          <cell r="H40" t="str">
            <v>MOISES LOS 10 MANDAMIENTOS (RES</v>
          </cell>
          <cell r="I40">
            <v>0.71</v>
          </cell>
        </row>
        <row r="41">
          <cell r="H41" t="str">
            <v>COPA DAVISVSD</v>
          </cell>
          <cell r="I41">
            <v>1.97</v>
          </cell>
        </row>
        <row r="42">
          <cell r="H42" t="str">
            <v>COPA DAVISS</v>
          </cell>
          <cell r="I42">
            <v>2.4300000000000002</v>
          </cell>
        </row>
        <row r="43">
          <cell r="H43" t="str">
            <v>COPA DAVISV</v>
          </cell>
          <cell r="I43">
            <v>1.91</v>
          </cell>
        </row>
        <row r="44">
          <cell r="H44" t="str">
            <v>COPA DAVISD</v>
          </cell>
          <cell r="I44">
            <v>1.84</v>
          </cell>
        </row>
        <row r="45">
          <cell r="H45" t="str">
            <v>4TO MEDIOLW</v>
          </cell>
          <cell r="I45">
            <v>1.9</v>
          </cell>
        </row>
        <row r="46">
          <cell r="H46" t="str">
            <v>4TO MEDIOW</v>
          </cell>
          <cell r="I46">
            <v>2.09</v>
          </cell>
        </row>
        <row r="47">
          <cell r="H47" t="str">
            <v>4TO MEDIOL</v>
          </cell>
          <cell r="I47">
            <v>0.85</v>
          </cell>
        </row>
        <row r="48">
          <cell r="H48" t="str">
            <v>JOSE DE EGIPTOV</v>
          </cell>
          <cell r="I48">
            <v>1.86</v>
          </cell>
        </row>
        <row r="49">
          <cell r="H49" t="str">
            <v>JOSE DE EGIPTOV</v>
          </cell>
          <cell r="I49">
            <v>1.86</v>
          </cell>
        </row>
        <row r="50">
          <cell r="H50" t="str">
            <v>FRUTOS DEL PAISD</v>
          </cell>
          <cell r="I50">
            <v>1.76</v>
          </cell>
        </row>
        <row r="51">
          <cell r="H51" t="str">
            <v>FRUTOS DEL PAISD</v>
          </cell>
          <cell r="I51">
            <v>1.76</v>
          </cell>
        </row>
        <row r="52">
          <cell r="H52" t="str">
            <v>CHILE CONECTADO (R)D</v>
          </cell>
          <cell r="I52">
            <v>1.68</v>
          </cell>
        </row>
        <row r="53">
          <cell r="H53" t="str">
            <v>CHILE CONECTADO (R)D</v>
          </cell>
          <cell r="I53">
            <v>1.68</v>
          </cell>
        </row>
        <row r="54">
          <cell r="H54" t="str">
            <v>SABADO DE K OS</v>
          </cell>
          <cell r="I54">
            <v>1.66</v>
          </cell>
        </row>
        <row r="55">
          <cell r="H55" t="str">
            <v>SABADO DE K OS</v>
          </cell>
          <cell r="I55">
            <v>1.66</v>
          </cell>
        </row>
        <row r="56">
          <cell r="H56" t="str">
            <v>MEDIA NOCHELMWJV</v>
          </cell>
          <cell r="I56">
            <v>1.61</v>
          </cell>
        </row>
        <row r="57">
          <cell r="H57" t="str">
            <v>MEDIA NOCHEW</v>
          </cell>
          <cell r="I57">
            <v>1.97</v>
          </cell>
        </row>
        <row r="58">
          <cell r="H58" t="str">
            <v>MEDIA NOCHEJ</v>
          </cell>
          <cell r="I58">
            <v>1.66</v>
          </cell>
        </row>
        <row r="59">
          <cell r="H59" t="str">
            <v>MEDIA NOCHEM</v>
          </cell>
          <cell r="I59">
            <v>1.57</v>
          </cell>
        </row>
        <row r="60">
          <cell r="H60" t="str">
            <v>MEDIA NOCHEL</v>
          </cell>
          <cell r="I60">
            <v>1.5</v>
          </cell>
        </row>
        <row r="61">
          <cell r="H61" t="str">
            <v>MEDIA NOCHEV</v>
          </cell>
          <cell r="I61">
            <v>1.02</v>
          </cell>
        </row>
        <row r="62">
          <cell r="H62" t="str">
            <v>DOCTOR HOUSE (R)LMWJVD</v>
          </cell>
          <cell r="I62">
            <v>1.52</v>
          </cell>
        </row>
        <row r="63">
          <cell r="H63" t="str">
            <v>DOCTOR HOUSE (R)W</v>
          </cell>
          <cell r="I63">
            <v>2.0499999999999998</v>
          </cell>
        </row>
        <row r="64">
          <cell r="H64" t="str">
            <v>DOCTOR HOUSE (R)M</v>
          </cell>
          <cell r="I64">
            <v>1.51</v>
          </cell>
        </row>
        <row r="65">
          <cell r="H65" t="str">
            <v>DOCTOR HOUSE (R)J</v>
          </cell>
          <cell r="I65">
            <v>1.43</v>
          </cell>
        </row>
        <row r="66">
          <cell r="H66" t="str">
            <v>DOCTOR HOUSE (R)L</v>
          </cell>
          <cell r="I66">
            <v>1.38</v>
          </cell>
        </row>
        <row r="67">
          <cell r="H67" t="str">
            <v>DOCTOR HOUSE (R)V</v>
          </cell>
          <cell r="I67">
            <v>1.27</v>
          </cell>
        </row>
        <row r="68">
          <cell r="H68" t="str">
            <v>DOCTOR HOUSE (R)D</v>
          </cell>
          <cell r="I68">
            <v>1.18</v>
          </cell>
        </row>
        <row r="69">
          <cell r="H69" t="str">
            <v>HABITANTES DEL PACIFICO (R)D</v>
          </cell>
          <cell r="I69">
            <v>1.41</v>
          </cell>
        </row>
        <row r="70">
          <cell r="H70" t="str">
            <v>HABITANTES DEL PACIFICO (R)D</v>
          </cell>
          <cell r="I70">
            <v>1.41</v>
          </cell>
        </row>
        <row r="71">
          <cell r="H71" t="str">
            <v>FRUTOS DEL PAIS (R)D</v>
          </cell>
          <cell r="I71">
            <v>1.4</v>
          </cell>
        </row>
        <row r="72">
          <cell r="H72" t="str">
            <v>FRUTOS DEL PAIS (R)D</v>
          </cell>
          <cell r="I72">
            <v>1.4</v>
          </cell>
        </row>
        <row r="73">
          <cell r="H73" t="str">
            <v>PELOTON LA HISTORIA DEL HONORW</v>
          </cell>
          <cell r="I73">
            <v>1.4</v>
          </cell>
        </row>
        <row r="74">
          <cell r="H74" t="str">
            <v>PELOTON LA HISTORIA DEL HONORW</v>
          </cell>
          <cell r="I74">
            <v>1.4</v>
          </cell>
        </row>
        <row r="75">
          <cell r="H75" t="str">
            <v>NUESTRO SIGLOS</v>
          </cell>
          <cell r="I75">
            <v>1.39</v>
          </cell>
        </row>
        <row r="76">
          <cell r="H76" t="str">
            <v>NUESTRO SIGLOS</v>
          </cell>
          <cell r="I76">
            <v>1.39</v>
          </cell>
        </row>
        <row r="77">
          <cell r="H77" t="str">
            <v>ENTRE PROGRAMASLMWJVSD</v>
          </cell>
          <cell r="I77">
            <v>1.29</v>
          </cell>
        </row>
        <row r="78">
          <cell r="H78" t="str">
            <v>ENTRE PROGRAMASM</v>
          </cell>
          <cell r="I78">
            <v>1.77</v>
          </cell>
        </row>
        <row r="79">
          <cell r="H79" t="str">
            <v>ENTRE PROGRAMASJ</v>
          </cell>
          <cell r="I79">
            <v>1.77</v>
          </cell>
        </row>
        <row r="80">
          <cell r="H80" t="str">
            <v>ENTRE PROGRAMASW</v>
          </cell>
          <cell r="I80">
            <v>1.51</v>
          </cell>
        </row>
        <row r="81">
          <cell r="H81" t="str">
            <v>ENTRE PROGRAMASS</v>
          </cell>
          <cell r="I81">
            <v>1.42</v>
          </cell>
        </row>
        <row r="82">
          <cell r="H82" t="str">
            <v>ENTRE PROGRAMASV</v>
          </cell>
          <cell r="I82">
            <v>1.1000000000000001</v>
          </cell>
        </row>
        <row r="83">
          <cell r="H83" t="str">
            <v>ENTRE PROGRAMASL</v>
          </cell>
          <cell r="I83">
            <v>0.99</v>
          </cell>
        </row>
        <row r="84">
          <cell r="H84" t="str">
            <v>ENTRE PROGRAMASD</v>
          </cell>
          <cell r="I84">
            <v>0.87</v>
          </cell>
        </row>
        <row r="85">
          <cell r="H85" t="str">
            <v>POR FIN SOLOS (R)V</v>
          </cell>
          <cell r="I85">
            <v>1.29</v>
          </cell>
        </row>
        <row r="86">
          <cell r="H86" t="str">
            <v>POR FIN SOLOS (R)V</v>
          </cell>
          <cell r="I86">
            <v>1.29</v>
          </cell>
        </row>
        <row r="87">
          <cell r="H87" t="str">
            <v>LA CULTURA ENTRETENIDAD</v>
          </cell>
          <cell r="I87">
            <v>1.27</v>
          </cell>
        </row>
        <row r="88">
          <cell r="H88" t="str">
            <v>LA CULTURA ENTRETENIDAD</v>
          </cell>
          <cell r="I88">
            <v>1.27</v>
          </cell>
        </row>
        <row r="89">
          <cell r="H89" t="str">
            <v>24 HORAS AL DIALMWJVSD</v>
          </cell>
          <cell r="I89">
            <v>1.17</v>
          </cell>
        </row>
        <row r="90">
          <cell r="H90" t="str">
            <v>24 HORAS AL DIAL</v>
          </cell>
          <cell r="I90">
            <v>1.67</v>
          </cell>
        </row>
        <row r="91">
          <cell r="H91" t="str">
            <v>24 HORAS AL DIAW</v>
          </cell>
          <cell r="I91">
            <v>1.47</v>
          </cell>
        </row>
        <row r="92">
          <cell r="H92" t="str">
            <v>24 HORAS AL DIAV</v>
          </cell>
          <cell r="I92">
            <v>1.21</v>
          </cell>
        </row>
        <row r="93">
          <cell r="H93" t="str">
            <v>24 HORAS AL DIAS</v>
          </cell>
          <cell r="I93">
            <v>1.07</v>
          </cell>
        </row>
        <row r="94">
          <cell r="H94" t="str">
            <v>24 HORAS AL DIAD</v>
          </cell>
          <cell r="I94">
            <v>1.07</v>
          </cell>
        </row>
        <row r="95">
          <cell r="H95" t="str">
            <v>24 HORAS AL DIAJ</v>
          </cell>
          <cell r="I95">
            <v>0.98</v>
          </cell>
        </row>
        <row r="96">
          <cell r="H96" t="str">
            <v>24 HORAS AL DIAM</v>
          </cell>
          <cell r="I96">
            <v>0.8</v>
          </cell>
        </row>
        <row r="97">
          <cell r="H97" t="str">
            <v>TU MANANA 24 HORASLMWJV</v>
          </cell>
          <cell r="I97">
            <v>1.1399999999999999</v>
          </cell>
        </row>
        <row r="98">
          <cell r="H98" t="str">
            <v>TU MANANA 24 HORASL</v>
          </cell>
          <cell r="I98">
            <v>1.44</v>
          </cell>
        </row>
        <row r="99">
          <cell r="H99" t="str">
            <v>TU MANANA 24 HORASJ</v>
          </cell>
          <cell r="I99">
            <v>1.36</v>
          </cell>
        </row>
        <row r="100">
          <cell r="H100" t="str">
            <v>TU MANANA 24 HORASV</v>
          </cell>
          <cell r="I100">
            <v>1.1100000000000001</v>
          </cell>
        </row>
        <row r="101">
          <cell r="H101" t="str">
            <v>TU MANANA 24 HORASW</v>
          </cell>
          <cell r="I101">
            <v>1.08</v>
          </cell>
        </row>
        <row r="102">
          <cell r="H102" t="str">
            <v>TU MANANA 24 HORASM</v>
          </cell>
          <cell r="I102">
            <v>0.81</v>
          </cell>
        </row>
        <row r="103">
          <cell r="H103" t="str">
            <v>POR FIN SOLOSLD</v>
          </cell>
          <cell r="I103">
            <v>1.04</v>
          </cell>
        </row>
        <row r="104">
          <cell r="H104" t="str">
            <v>POR FIN SOLOSL</v>
          </cell>
          <cell r="I104">
            <v>1.07</v>
          </cell>
        </row>
        <row r="105">
          <cell r="H105" t="str">
            <v>POR FIN SOLOSD</v>
          </cell>
          <cell r="I105">
            <v>1</v>
          </cell>
        </row>
        <row r="106">
          <cell r="H106" t="str">
            <v>ESA NO SOY YOLMWJV</v>
          </cell>
          <cell r="I106">
            <v>1.04</v>
          </cell>
        </row>
        <row r="107">
          <cell r="H107" t="str">
            <v>ESA NO SOY YOV</v>
          </cell>
          <cell r="I107">
            <v>1.53</v>
          </cell>
        </row>
        <row r="108">
          <cell r="H108" t="str">
            <v>ESA NO SOY YOL</v>
          </cell>
          <cell r="I108">
            <v>1.21</v>
          </cell>
        </row>
        <row r="109">
          <cell r="H109" t="str">
            <v>ESA NO SOY YOW</v>
          </cell>
          <cell r="I109">
            <v>0.93</v>
          </cell>
        </row>
        <row r="110">
          <cell r="H110" t="str">
            <v>ESA NO SOY YOM</v>
          </cell>
          <cell r="I110">
            <v>0.91</v>
          </cell>
        </row>
        <row r="111">
          <cell r="H111" t="str">
            <v>ESA NO SOY YOJ</v>
          </cell>
          <cell r="I111">
            <v>0.9</v>
          </cell>
        </row>
        <row r="112">
          <cell r="H112" t="str">
            <v>PURO CHILEV</v>
          </cell>
          <cell r="I112">
            <v>1</v>
          </cell>
        </row>
        <row r="113">
          <cell r="H113" t="str">
            <v>PURO CHILEV</v>
          </cell>
          <cell r="I113">
            <v>1</v>
          </cell>
        </row>
        <row r="114">
          <cell r="H114" t="str">
            <v>POR FIN SOLOS (RESUMEN)L</v>
          </cell>
          <cell r="I114">
            <v>0.99</v>
          </cell>
        </row>
        <row r="115">
          <cell r="H115" t="str">
            <v>POR FIN SOLOS (RESUMEN)L</v>
          </cell>
          <cell r="I115">
            <v>0.99</v>
          </cell>
        </row>
        <row r="116">
          <cell r="H116" t="str">
            <v>BEST SELLERVS</v>
          </cell>
          <cell r="I116">
            <v>0.97</v>
          </cell>
        </row>
        <row r="117">
          <cell r="H117" t="str">
            <v>BEST SELLERS</v>
          </cell>
          <cell r="I117">
            <v>1.36</v>
          </cell>
        </row>
        <row r="118">
          <cell r="H118" t="str">
            <v>BEST SELLERV</v>
          </cell>
          <cell r="I118">
            <v>0.79</v>
          </cell>
        </row>
        <row r="119">
          <cell r="H119" t="str">
            <v>ROMANE (R)LMWJV</v>
          </cell>
          <cell r="I119">
            <v>0.95</v>
          </cell>
        </row>
        <row r="120">
          <cell r="H120" t="str">
            <v>ROMANE (R)W</v>
          </cell>
          <cell r="I120">
            <v>1.32</v>
          </cell>
        </row>
        <row r="121">
          <cell r="H121" t="str">
            <v>ROMANE (R)M</v>
          </cell>
          <cell r="I121">
            <v>0.98</v>
          </cell>
        </row>
        <row r="122">
          <cell r="H122" t="str">
            <v>ROMANE (R)V</v>
          </cell>
          <cell r="I122">
            <v>0.88</v>
          </cell>
        </row>
        <row r="123">
          <cell r="H123" t="str">
            <v>ROMANE (R)L</v>
          </cell>
          <cell r="I123">
            <v>0.77</v>
          </cell>
        </row>
        <row r="124">
          <cell r="H124" t="str">
            <v>ROMANE (R)J</v>
          </cell>
          <cell r="I124">
            <v>0.68</v>
          </cell>
        </row>
        <row r="125">
          <cell r="H125" t="str">
            <v>DESTILANDO AMORLMWJV</v>
          </cell>
          <cell r="I125">
            <v>0.91</v>
          </cell>
        </row>
        <row r="126">
          <cell r="H126" t="str">
            <v>DESTILANDO AMORV</v>
          </cell>
          <cell r="I126">
            <v>1.2</v>
          </cell>
        </row>
        <row r="127">
          <cell r="H127" t="str">
            <v>DESTILANDO AMORW</v>
          </cell>
          <cell r="I127">
            <v>0.88</v>
          </cell>
        </row>
        <row r="128">
          <cell r="H128" t="str">
            <v>DESTILANDO AMORL</v>
          </cell>
          <cell r="I128">
            <v>0.88</v>
          </cell>
        </row>
        <row r="129">
          <cell r="H129" t="str">
            <v>DESTILANDO AMORM</v>
          </cell>
          <cell r="I129">
            <v>0.85</v>
          </cell>
        </row>
        <row r="130">
          <cell r="H130" t="str">
            <v>DESTILANDO AMORJ</v>
          </cell>
          <cell r="I130">
            <v>0.79</v>
          </cell>
        </row>
        <row r="131">
          <cell r="H131" t="str">
            <v>MELO Y ASTORGAS</v>
          </cell>
          <cell r="I131">
            <v>0.91</v>
          </cell>
        </row>
        <row r="132">
          <cell r="H132" t="str">
            <v>MELO Y ASTORGAS</v>
          </cell>
          <cell r="I132">
            <v>0.91</v>
          </cell>
        </row>
        <row r="133">
          <cell r="H133" t="str">
            <v>ESA NO SOY YO (RESUMEN)LMWJV</v>
          </cell>
          <cell r="I133">
            <v>0.9</v>
          </cell>
        </row>
        <row r="134">
          <cell r="H134" t="str">
            <v>ESA NO SOY YO (RESUMEN)L</v>
          </cell>
          <cell r="I134">
            <v>1.04</v>
          </cell>
        </row>
        <row r="135">
          <cell r="H135" t="str">
            <v>ESA NO SOY YO (RESUMEN)V</v>
          </cell>
          <cell r="I135">
            <v>1.01</v>
          </cell>
        </row>
        <row r="136">
          <cell r="H136" t="str">
            <v>ESA NO SOY YO (RESUMEN)W</v>
          </cell>
          <cell r="I136">
            <v>0.97</v>
          </cell>
        </row>
        <row r="137">
          <cell r="H137" t="str">
            <v>ESA NO SOY YO (RESUMEN)M</v>
          </cell>
          <cell r="I137">
            <v>0.76</v>
          </cell>
        </row>
        <row r="138">
          <cell r="H138" t="str">
            <v>ESA NO SOY YO (RESUMEN)J</v>
          </cell>
          <cell r="I138">
            <v>0.72</v>
          </cell>
        </row>
        <row r="139">
          <cell r="H139" t="str">
            <v>BOXEO DE OROS</v>
          </cell>
          <cell r="I139">
            <v>0.84</v>
          </cell>
        </row>
        <row r="140">
          <cell r="H140" t="str">
            <v>BOXEO DE OROS</v>
          </cell>
          <cell r="I140">
            <v>0.84</v>
          </cell>
        </row>
        <row r="141">
          <cell r="H141" t="str">
            <v>ESTADO NACIONALD</v>
          </cell>
          <cell r="I141">
            <v>0.83</v>
          </cell>
        </row>
        <row r="142">
          <cell r="H142" t="str">
            <v>ESTADO NACIONALD</v>
          </cell>
          <cell r="I142">
            <v>0.83</v>
          </cell>
        </row>
        <row r="143">
          <cell r="H143" t="str">
            <v>BUENOS DIAS A TODOS (B)LMWJV</v>
          </cell>
          <cell r="I143">
            <v>0.71</v>
          </cell>
        </row>
        <row r="144">
          <cell r="H144" t="str">
            <v>BUENOS DIAS A TODOS (B)J</v>
          </cell>
          <cell r="I144">
            <v>0.98</v>
          </cell>
        </row>
        <row r="145">
          <cell r="H145" t="str">
            <v>BUENOS DIAS A TODOS (B)W</v>
          </cell>
          <cell r="I145">
            <v>0.83</v>
          </cell>
        </row>
        <row r="146">
          <cell r="H146" t="str">
            <v>BUENOS DIAS A TODOS (B)L</v>
          </cell>
          <cell r="I146">
            <v>0.59</v>
          </cell>
        </row>
        <row r="147">
          <cell r="H147" t="str">
            <v>BUENOS DIAS A TODOS (B)M</v>
          </cell>
          <cell r="I147">
            <v>0.5</v>
          </cell>
        </row>
        <row r="148">
          <cell r="H148" t="str">
            <v>BUENOS DIAS A TODOS (B)V</v>
          </cell>
          <cell r="I148">
            <v>0.49</v>
          </cell>
        </row>
        <row r="149">
          <cell r="H149" t="str">
            <v>EL SECRETO DE PUENTE VIEJOLMWJV</v>
          </cell>
          <cell r="I149">
            <v>0.68</v>
          </cell>
        </row>
        <row r="150">
          <cell r="H150" t="str">
            <v>EL SECRETO DE PUENTE VIEJOJ</v>
          </cell>
          <cell r="I150">
            <v>0.88</v>
          </cell>
        </row>
        <row r="151">
          <cell r="H151" t="str">
            <v>EL SECRETO DE PUENTE VIEJOL</v>
          </cell>
          <cell r="I151">
            <v>0.85</v>
          </cell>
        </row>
        <row r="152">
          <cell r="H152" t="str">
            <v>EL SECRETO DE PUENTE VIEJOW</v>
          </cell>
          <cell r="I152">
            <v>0.81</v>
          </cell>
        </row>
        <row r="153">
          <cell r="H153" t="str">
            <v>EL SECRETO DE PUENTE VIEJOV</v>
          </cell>
          <cell r="I153">
            <v>0.57999999999999996</v>
          </cell>
        </row>
        <row r="154">
          <cell r="H154" t="str">
            <v>EL SECRETO DE PUENTE VIEJOM</v>
          </cell>
          <cell r="I154">
            <v>0.34</v>
          </cell>
        </row>
        <row r="155">
          <cell r="H155" t="str">
            <v>PODIOD</v>
          </cell>
          <cell r="I155">
            <v>0.66</v>
          </cell>
        </row>
        <row r="156">
          <cell r="H156" t="str">
            <v>PODIOD</v>
          </cell>
          <cell r="I156">
            <v>0.66</v>
          </cell>
        </row>
        <row r="157">
          <cell r="H157" t="str">
            <v>GRANDES PELICULASS</v>
          </cell>
          <cell r="I157">
            <v>0.64</v>
          </cell>
        </row>
        <row r="158">
          <cell r="H158" t="str">
            <v>GRANDES PELICULASS</v>
          </cell>
          <cell r="I158">
            <v>0.64</v>
          </cell>
        </row>
        <row r="159">
          <cell r="H159" t="str">
            <v>BUENOS DIAS A TODOS (A)LMWJV</v>
          </cell>
          <cell r="I159">
            <v>0.64</v>
          </cell>
        </row>
        <row r="160">
          <cell r="H160" t="str">
            <v>BUENOS DIAS A TODOS (A)V</v>
          </cell>
          <cell r="I160">
            <v>1.28</v>
          </cell>
        </row>
        <row r="161">
          <cell r="H161" t="str">
            <v>BUENOS DIAS A TODOS (A)J</v>
          </cell>
          <cell r="I161">
            <v>0.78</v>
          </cell>
        </row>
        <row r="162">
          <cell r="H162" t="str">
            <v>BUENOS DIAS A TODOS (A)L</v>
          </cell>
          <cell r="I162">
            <v>0.47</v>
          </cell>
        </row>
        <row r="163">
          <cell r="H163" t="str">
            <v>BUENOS DIAS A TODOS (A)W</v>
          </cell>
          <cell r="I163">
            <v>0.44</v>
          </cell>
        </row>
        <row r="164">
          <cell r="H164" t="str">
            <v>BUENOS DIAS A TODOS (A)M</v>
          </cell>
          <cell r="I164">
            <v>0.27</v>
          </cell>
        </row>
        <row r="165">
          <cell r="H165" t="str">
            <v>CINEV</v>
          </cell>
          <cell r="I165">
            <v>0.62</v>
          </cell>
        </row>
        <row r="166">
          <cell r="H166" t="str">
            <v>CINEV</v>
          </cell>
          <cell r="I166">
            <v>0.62</v>
          </cell>
        </row>
        <row r="167">
          <cell r="H167" t="str">
            <v>0,243055555555556LMWJD</v>
          </cell>
          <cell r="I167">
            <v>0.54</v>
          </cell>
        </row>
        <row r="168">
          <cell r="H168" t="str">
            <v>0,243055555555556W</v>
          </cell>
          <cell r="I168">
            <v>0.66</v>
          </cell>
        </row>
        <row r="169">
          <cell r="H169" t="str">
            <v>0,243055555555556J</v>
          </cell>
          <cell r="I169">
            <v>0.59</v>
          </cell>
        </row>
        <row r="170">
          <cell r="H170" t="str">
            <v>0,243055555555556L</v>
          </cell>
          <cell r="I170">
            <v>0.55000000000000004</v>
          </cell>
        </row>
        <row r="171">
          <cell r="H171" t="str">
            <v>0,243055555555556D</v>
          </cell>
          <cell r="I171">
            <v>0.51</v>
          </cell>
        </row>
        <row r="172">
          <cell r="H172" t="str">
            <v>0,243055555555556M</v>
          </cell>
          <cell r="I172">
            <v>0.41</v>
          </cell>
        </row>
        <row r="173">
          <cell r="H173" t="str">
            <v>PURO CHILE (R)D</v>
          </cell>
          <cell r="I173">
            <v>0.51</v>
          </cell>
        </row>
        <row r="174">
          <cell r="H174" t="str">
            <v>PURO CHILE (R)D</v>
          </cell>
          <cell r="I174">
            <v>0.51</v>
          </cell>
        </row>
        <row r="175">
          <cell r="H175" t="str">
            <v>SUPER CINES</v>
          </cell>
          <cell r="I175">
            <v>0.42</v>
          </cell>
        </row>
        <row r="176">
          <cell r="H176" t="str">
            <v>SUPER CINES</v>
          </cell>
          <cell r="I176">
            <v>0.42</v>
          </cell>
        </row>
        <row r="177">
          <cell r="H177" t="str">
            <v>24 HORASD</v>
          </cell>
          <cell r="I177">
            <v>0.39</v>
          </cell>
        </row>
        <row r="178">
          <cell r="H178" t="str">
            <v>24 HORASD</v>
          </cell>
          <cell r="I178">
            <v>0.39</v>
          </cell>
        </row>
        <row r="179">
          <cell r="H179" t="str">
            <v>NOTICREOS</v>
          </cell>
          <cell r="I179">
            <v>0.35</v>
          </cell>
        </row>
        <row r="180">
          <cell r="H180" t="str">
            <v>NOTICREOS</v>
          </cell>
          <cell r="I180">
            <v>0.35</v>
          </cell>
        </row>
        <row r="181">
          <cell r="H181" t="str">
            <v>AVANCE 24D</v>
          </cell>
          <cell r="I181">
            <v>0.25</v>
          </cell>
        </row>
        <row r="182">
          <cell r="H182" t="str">
            <v>AVANCE 24D</v>
          </cell>
          <cell r="I182">
            <v>0.25</v>
          </cell>
        </row>
        <row r="183">
          <cell r="H183" t="str">
            <v>PELICULA INFANTILS</v>
          </cell>
          <cell r="I183">
            <v>0.25</v>
          </cell>
        </row>
        <row r="184">
          <cell r="H184" t="str">
            <v>PELICULA INFANTILS</v>
          </cell>
          <cell r="I184">
            <v>0.25</v>
          </cell>
        </row>
        <row r="185">
          <cell r="H185" t="str">
            <v>PEPPA LA CERDITAS</v>
          </cell>
          <cell r="I185">
            <v>0.24</v>
          </cell>
        </row>
        <row r="186">
          <cell r="H186" t="str">
            <v>PEPPA LA CERDITAS</v>
          </cell>
          <cell r="I186">
            <v>0.24</v>
          </cell>
        </row>
        <row r="187">
          <cell r="H187" t="str">
            <v>HORACIO Y LOS PLASTICINESS</v>
          </cell>
          <cell r="I187">
            <v>0.13</v>
          </cell>
        </row>
        <row r="188">
          <cell r="H188" t="str">
            <v>HORACIO Y LOS PLASTICINESS</v>
          </cell>
          <cell r="I188">
            <v>0.13</v>
          </cell>
        </row>
        <row r="189">
          <cell r="H189" t="str">
            <v>MIRADA ECONOMICAD</v>
          </cell>
          <cell r="I189">
            <v>0.09</v>
          </cell>
        </row>
        <row r="190">
          <cell r="H190" t="str">
            <v>MIRADA ECONOMICAD</v>
          </cell>
          <cell r="I190">
            <v>0.09</v>
          </cell>
        </row>
        <row r="191">
          <cell r="H191" t="str">
            <v>SESIONES 24D</v>
          </cell>
          <cell r="I191">
            <v>0</v>
          </cell>
        </row>
        <row r="192">
          <cell r="H192" t="str">
            <v>SESIONES 24D</v>
          </cell>
          <cell r="I192">
            <v>0</v>
          </cell>
        </row>
        <row r="193">
          <cell r="H193" t="str">
            <v>MATRIARCASLMWJV</v>
          </cell>
          <cell r="I193">
            <v>1.3</v>
          </cell>
        </row>
        <row r="194">
          <cell r="H194" t="str">
            <v>HUMOR EN FESTIVAL DE OLMUE (LOJ</v>
          </cell>
          <cell r="I194">
            <v>4.3</v>
          </cell>
        </row>
        <row r="196">
          <cell r="H196" t="str">
            <v>MOISES LOS 10 MANDAMIENTOSLMWJ</v>
          </cell>
          <cell r="I196">
            <v>3.9775</v>
          </cell>
        </row>
        <row r="197">
          <cell r="H197" t="str">
            <v>24 HORAS CENTRALLMWJV</v>
          </cell>
          <cell r="I197">
            <v>2.6619999999999999</v>
          </cell>
        </row>
        <row r="198">
          <cell r="H198" t="str">
            <v>24 HORAS AL DIALMWJV</v>
          </cell>
          <cell r="I198">
            <v>1.226</v>
          </cell>
        </row>
      </sheetData>
      <sheetData sheetId="13">
        <row r="3">
          <cell r="H3" t="str">
            <v>45 ANOS DE UN COCOJ</v>
          </cell>
          <cell r="I3">
            <v>1.44</v>
          </cell>
        </row>
        <row r="4">
          <cell r="H4" t="str">
            <v>45 ANOS DE UN COCOJ</v>
          </cell>
          <cell r="I4">
            <v>1.44</v>
          </cell>
        </row>
        <row r="5">
          <cell r="H5" t="str">
            <v>MOISES LOS 10 MANDAMIENTOSLMWJD</v>
          </cell>
          <cell r="I5">
            <v>1.4</v>
          </cell>
        </row>
        <row r="6">
          <cell r="H6" t="str">
            <v>MOISES LOS 10 MANDAMIENTOSD</v>
          </cell>
          <cell r="I6">
            <v>1.76</v>
          </cell>
        </row>
        <row r="7">
          <cell r="H7" t="str">
            <v>MOISES LOS 10 MANDAMIENTOSL</v>
          </cell>
          <cell r="I7">
            <v>1.58</v>
          </cell>
        </row>
        <row r="8">
          <cell r="H8" t="str">
            <v>MOISES LOS 10 MANDAMIENTOSM</v>
          </cell>
          <cell r="I8">
            <v>1.47</v>
          </cell>
        </row>
        <row r="9">
          <cell r="H9" t="str">
            <v>MOISES LOS 10 MANDAMIENTOSJ</v>
          </cell>
          <cell r="I9">
            <v>1.17</v>
          </cell>
        </row>
        <row r="10">
          <cell r="H10" t="str">
            <v>MOISES LOS 10 MANDAMIENTOSW</v>
          </cell>
          <cell r="I10">
            <v>1.1100000000000001</v>
          </cell>
        </row>
        <row r="11">
          <cell r="H11" t="str">
            <v>JOSE DE EGIPTOV</v>
          </cell>
          <cell r="I11">
            <v>1.22</v>
          </cell>
        </row>
        <row r="12">
          <cell r="H12" t="str">
            <v>JOSE DE EGIPTOV</v>
          </cell>
          <cell r="I12">
            <v>1.22</v>
          </cell>
        </row>
        <row r="13">
          <cell r="H13" t="str">
            <v>POR FIN SOLOS (RESUMEN)L</v>
          </cell>
          <cell r="I13">
            <v>1.1200000000000001</v>
          </cell>
        </row>
        <row r="14">
          <cell r="H14" t="str">
            <v>POR FIN SOLOS (RESUMEN)L</v>
          </cell>
          <cell r="I14">
            <v>1.1200000000000001</v>
          </cell>
        </row>
        <row r="15">
          <cell r="H15" t="str">
            <v>24 HORAS DOMINGOD</v>
          </cell>
          <cell r="I15">
            <v>1.0900000000000001</v>
          </cell>
        </row>
        <row r="16">
          <cell r="H16" t="str">
            <v>24 HORAS DOMINGOD</v>
          </cell>
          <cell r="I16">
            <v>1.0900000000000001</v>
          </cell>
        </row>
        <row r="17">
          <cell r="H17" t="str">
            <v>VIRALM</v>
          </cell>
          <cell r="I17">
            <v>0.99</v>
          </cell>
        </row>
        <row r="18">
          <cell r="H18" t="str">
            <v>VIRALM</v>
          </cell>
          <cell r="I18">
            <v>0.99</v>
          </cell>
        </row>
        <row r="19">
          <cell r="H19" t="str">
            <v>TV TIEMPOLMWJVSD</v>
          </cell>
          <cell r="I19">
            <v>0.82</v>
          </cell>
        </row>
        <row r="20">
          <cell r="H20" t="str">
            <v>TV TIEMPOL</v>
          </cell>
          <cell r="I20">
            <v>1.21</v>
          </cell>
        </row>
        <row r="21">
          <cell r="H21" t="str">
            <v>TV TIEMPOJ</v>
          </cell>
          <cell r="I21">
            <v>1.1599999999999999</v>
          </cell>
        </row>
        <row r="22">
          <cell r="H22" t="str">
            <v>TV TIEMPOM</v>
          </cell>
          <cell r="I22">
            <v>1.07</v>
          </cell>
        </row>
        <row r="23">
          <cell r="H23" t="str">
            <v>TV TIEMPOS</v>
          </cell>
          <cell r="I23">
            <v>0.99</v>
          </cell>
        </row>
        <row r="24">
          <cell r="H24" t="str">
            <v>TV TIEMPOW</v>
          </cell>
          <cell r="I24">
            <v>0.39</v>
          </cell>
        </row>
        <row r="25">
          <cell r="H25" t="str">
            <v>TV TIEMPOV</v>
          </cell>
          <cell r="I25">
            <v>0.23</v>
          </cell>
        </row>
        <row r="26">
          <cell r="H26" t="str">
            <v>TV TIEMPOD</v>
          </cell>
          <cell r="I26">
            <v>0.23</v>
          </cell>
        </row>
        <row r="27">
          <cell r="H27" t="str">
            <v>POR FIN SOLOS (R)V</v>
          </cell>
          <cell r="I27">
            <v>0.78</v>
          </cell>
        </row>
        <row r="28">
          <cell r="H28" t="str">
            <v>POR FIN SOLOS (R)V</v>
          </cell>
          <cell r="I28">
            <v>0.78</v>
          </cell>
        </row>
        <row r="29">
          <cell r="H29" t="str">
            <v>24 HORAS CENTRALLMWJVS</v>
          </cell>
          <cell r="I29">
            <v>0.76</v>
          </cell>
        </row>
        <row r="30">
          <cell r="H30" t="str">
            <v>24 HORAS CENTRALM</v>
          </cell>
          <cell r="I30">
            <v>0.97</v>
          </cell>
        </row>
        <row r="31">
          <cell r="H31" t="str">
            <v>24 HORAS CENTRALJ</v>
          </cell>
          <cell r="I31">
            <v>0.8</v>
          </cell>
        </row>
        <row r="32">
          <cell r="H32" t="str">
            <v>24 HORAS CENTRALL</v>
          </cell>
          <cell r="I32">
            <v>0.79</v>
          </cell>
        </row>
        <row r="33">
          <cell r="H33" t="str">
            <v>24 HORAS CENTRALS</v>
          </cell>
          <cell r="I33">
            <v>0.69</v>
          </cell>
        </row>
        <row r="34">
          <cell r="H34" t="str">
            <v>24 HORAS CENTRALV</v>
          </cell>
          <cell r="I34">
            <v>0.63</v>
          </cell>
        </row>
        <row r="35">
          <cell r="H35" t="str">
            <v>24 HORAS CENTRALW</v>
          </cell>
          <cell r="I35">
            <v>0.6</v>
          </cell>
        </row>
        <row r="36">
          <cell r="H36" t="str">
            <v>MOISES LOS 10 MANDAMIENTOS (RELMWJSD</v>
          </cell>
          <cell r="I36">
            <v>0.75</v>
          </cell>
        </row>
        <row r="37">
          <cell r="H37" t="str">
            <v>MOISES LOS 10 MANDAMIENTOS (REJ</v>
          </cell>
          <cell r="I37">
            <v>1.29</v>
          </cell>
        </row>
        <row r="38">
          <cell r="H38" t="str">
            <v>MOISES LOS 10 MANDAMIENTOS (REL</v>
          </cell>
          <cell r="I38">
            <v>1.22</v>
          </cell>
        </row>
        <row r="39">
          <cell r="H39" t="str">
            <v>MOISES LOS 10 MANDAMIENTOS (REM</v>
          </cell>
          <cell r="I39">
            <v>1.1499999999999999</v>
          </cell>
        </row>
        <row r="40">
          <cell r="H40" t="str">
            <v>MOISES LOS 10 MANDAMIENTOS (REW</v>
          </cell>
          <cell r="I40">
            <v>1</v>
          </cell>
        </row>
        <row r="41">
          <cell r="H41" t="str">
            <v>MOISES LOS 10 MANDAMIENTOS (RED</v>
          </cell>
          <cell r="I41">
            <v>0.88</v>
          </cell>
        </row>
        <row r="42">
          <cell r="H42" t="str">
            <v>MOISES LOS 10 MANDAMIENTOS (RES</v>
          </cell>
          <cell r="I42">
            <v>0.32</v>
          </cell>
        </row>
        <row r="43">
          <cell r="H43" t="str">
            <v>POR FIN SOLOSLD</v>
          </cell>
          <cell r="I43">
            <v>0.67</v>
          </cell>
        </row>
        <row r="44">
          <cell r="H44" t="str">
            <v>POR FIN SOLOSL</v>
          </cell>
          <cell r="I44">
            <v>0.72</v>
          </cell>
        </row>
        <row r="45">
          <cell r="H45" t="str">
            <v>POR FIN SOLOSD</v>
          </cell>
          <cell r="I45">
            <v>0.59</v>
          </cell>
        </row>
        <row r="46">
          <cell r="H46" t="str">
            <v>COPA DAVISVSD</v>
          </cell>
          <cell r="I46">
            <v>0.65</v>
          </cell>
        </row>
        <row r="47">
          <cell r="H47" t="str">
            <v>COPA DAVISD</v>
          </cell>
          <cell r="I47">
            <v>0.9</v>
          </cell>
        </row>
        <row r="48">
          <cell r="H48" t="str">
            <v>COPA DAVISS</v>
          </cell>
          <cell r="I48">
            <v>0.78</v>
          </cell>
        </row>
        <row r="49">
          <cell r="H49" t="str">
            <v>COPA DAVISV</v>
          </cell>
          <cell r="I49">
            <v>0.54</v>
          </cell>
        </row>
        <row r="50">
          <cell r="H50" t="str">
            <v>EL SECRETO DE PUENTE VIEJOLMWJV</v>
          </cell>
          <cell r="I50">
            <v>0.6</v>
          </cell>
        </row>
        <row r="51">
          <cell r="H51" t="str">
            <v>EL SECRETO DE PUENTE VIEJOJ</v>
          </cell>
          <cell r="I51">
            <v>1.07</v>
          </cell>
        </row>
        <row r="52">
          <cell r="H52" t="str">
            <v>EL SECRETO DE PUENTE VIEJOM</v>
          </cell>
          <cell r="I52">
            <v>0.75</v>
          </cell>
        </row>
        <row r="53">
          <cell r="H53" t="str">
            <v>EL SECRETO DE PUENTE VIEJOL</v>
          </cell>
          <cell r="I53">
            <v>0.46</v>
          </cell>
        </row>
        <row r="54">
          <cell r="H54" t="str">
            <v>EL SECRETO DE PUENTE VIEJOW</v>
          </cell>
          <cell r="I54">
            <v>0.4</v>
          </cell>
        </row>
        <row r="55">
          <cell r="H55" t="str">
            <v>EL SECRETO DE PUENTE VIEJOV</v>
          </cell>
          <cell r="I55">
            <v>0.27</v>
          </cell>
        </row>
        <row r="56">
          <cell r="H56" t="str">
            <v>24 HORAS AL DIALMWJVSD</v>
          </cell>
          <cell r="I56">
            <v>0.59</v>
          </cell>
        </row>
        <row r="57">
          <cell r="H57" t="str">
            <v>24 HORAS AL DIAJ</v>
          </cell>
          <cell r="I57">
            <v>1.0900000000000001</v>
          </cell>
        </row>
        <row r="58">
          <cell r="H58" t="str">
            <v>24 HORAS AL DIAL</v>
          </cell>
          <cell r="I58">
            <v>0.79</v>
          </cell>
        </row>
        <row r="59">
          <cell r="H59" t="str">
            <v>24 HORAS AL DIAM</v>
          </cell>
          <cell r="I59">
            <v>0.69</v>
          </cell>
        </row>
        <row r="60">
          <cell r="H60" t="str">
            <v>24 HORAS AL DIAD</v>
          </cell>
          <cell r="I60">
            <v>0.52</v>
          </cell>
        </row>
        <row r="61">
          <cell r="H61" t="str">
            <v>24 HORAS AL DIAV</v>
          </cell>
          <cell r="I61">
            <v>0.46</v>
          </cell>
        </row>
        <row r="62">
          <cell r="H62" t="str">
            <v>24 HORAS AL DIAW</v>
          </cell>
          <cell r="I62">
            <v>0.46</v>
          </cell>
        </row>
        <row r="63">
          <cell r="H63" t="str">
            <v>24 HORAS AL DIAS</v>
          </cell>
          <cell r="I63">
            <v>0.15</v>
          </cell>
        </row>
        <row r="64">
          <cell r="H64" t="str">
            <v>ESA NO SOY YOLMWJV</v>
          </cell>
          <cell r="I64">
            <v>0.56999999999999995</v>
          </cell>
        </row>
        <row r="65">
          <cell r="H65" t="str">
            <v>ESA NO SOY YOJ</v>
          </cell>
          <cell r="I65">
            <v>0.72</v>
          </cell>
        </row>
        <row r="66">
          <cell r="H66" t="str">
            <v>ESA NO SOY YOM</v>
          </cell>
          <cell r="I66">
            <v>0.66</v>
          </cell>
        </row>
        <row r="67">
          <cell r="H67" t="str">
            <v>ESA NO SOY YOL</v>
          </cell>
          <cell r="I67">
            <v>0.57999999999999996</v>
          </cell>
        </row>
        <row r="68">
          <cell r="H68" t="str">
            <v>ESA NO SOY YOV</v>
          </cell>
          <cell r="I68">
            <v>0.43</v>
          </cell>
        </row>
        <row r="69">
          <cell r="H69" t="str">
            <v>ESA NO SOY YOW</v>
          </cell>
          <cell r="I69">
            <v>0.42</v>
          </cell>
        </row>
        <row r="70">
          <cell r="H70" t="str">
            <v>SABADO DE K OS</v>
          </cell>
          <cell r="I70">
            <v>0.54</v>
          </cell>
        </row>
        <row r="71">
          <cell r="H71" t="str">
            <v>SABADO DE K OS</v>
          </cell>
          <cell r="I71">
            <v>0.54</v>
          </cell>
        </row>
        <row r="72">
          <cell r="H72" t="str">
            <v>ROMANE (R)LMWJV</v>
          </cell>
          <cell r="I72">
            <v>0.52</v>
          </cell>
        </row>
        <row r="73">
          <cell r="H73" t="str">
            <v>ROMANE (R)J</v>
          </cell>
          <cell r="I73">
            <v>1.08</v>
          </cell>
        </row>
        <row r="74">
          <cell r="H74" t="str">
            <v>ROMANE (R)M</v>
          </cell>
          <cell r="I74">
            <v>0.66</v>
          </cell>
        </row>
        <row r="75">
          <cell r="H75" t="str">
            <v>ROMANE (R)V</v>
          </cell>
          <cell r="I75">
            <v>0.31</v>
          </cell>
        </row>
        <row r="76">
          <cell r="H76" t="str">
            <v>ROMANE (R)L</v>
          </cell>
          <cell r="I76">
            <v>0.24</v>
          </cell>
        </row>
        <row r="77">
          <cell r="H77" t="str">
            <v>ROMANE (R)W</v>
          </cell>
          <cell r="I77">
            <v>0.23</v>
          </cell>
        </row>
        <row r="78">
          <cell r="H78" t="str">
            <v>ESA NO SOY YO (RESUMEN)LMWJV</v>
          </cell>
          <cell r="I78">
            <v>0.5</v>
          </cell>
        </row>
        <row r="79">
          <cell r="H79" t="str">
            <v>ESA NO SOY YO (RESUMEN)J</v>
          </cell>
          <cell r="I79">
            <v>0.75</v>
          </cell>
        </row>
        <row r="80">
          <cell r="H80" t="str">
            <v>ESA NO SOY YO (RESUMEN)M</v>
          </cell>
          <cell r="I80">
            <v>0.6</v>
          </cell>
        </row>
        <row r="81">
          <cell r="H81" t="str">
            <v>ESA NO SOY YO (RESUMEN)W</v>
          </cell>
          <cell r="I81">
            <v>0.41</v>
          </cell>
        </row>
        <row r="82">
          <cell r="H82" t="str">
            <v>ESA NO SOY YO (RESUMEN)V</v>
          </cell>
          <cell r="I82">
            <v>0.38</v>
          </cell>
        </row>
        <row r="83">
          <cell r="H83" t="str">
            <v>ESA NO SOY YO (RESUMEN)L</v>
          </cell>
          <cell r="I83">
            <v>0.36</v>
          </cell>
        </row>
        <row r="84">
          <cell r="H84" t="str">
            <v>PURO CHILE (R)D</v>
          </cell>
          <cell r="I84">
            <v>0.5</v>
          </cell>
        </row>
        <row r="85">
          <cell r="H85" t="str">
            <v>PURO CHILE (R)D</v>
          </cell>
          <cell r="I85">
            <v>0.5</v>
          </cell>
        </row>
        <row r="86">
          <cell r="H86" t="str">
            <v>4TO MEDIOLW</v>
          </cell>
          <cell r="I86">
            <v>0.43</v>
          </cell>
        </row>
        <row r="87">
          <cell r="H87" t="str">
            <v>4TO MEDIOL</v>
          </cell>
          <cell r="I87">
            <v>1.1599999999999999</v>
          </cell>
        </row>
        <row r="88">
          <cell r="H88" t="str">
            <v>4TO MEDIOW</v>
          </cell>
          <cell r="I88">
            <v>0.3</v>
          </cell>
        </row>
        <row r="89">
          <cell r="H89" t="str">
            <v>SEMANA SANTAV</v>
          </cell>
          <cell r="I89">
            <v>0.43</v>
          </cell>
        </row>
        <row r="90">
          <cell r="H90" t="str">
            <v>SEMANA SANTAV</v>
          </cell>
          <cell r="I90">
            <v>0.43</v>
          </cell>
        </row>
        <row r="91">
          <cell r="H91" t="str">
            <v>CHILE CONECTADO (R)D</v>
          </cell>
          <cell r="I91">
            <v>0.41</v>
          </cell>
        </row>
        <row r="92">
          <cell r="H92" t="str">
            <v>CHILE CONECTADO (R)D</v>
          </cell>
          <cell r="I92">
            <v>0.41</v>
          </cell>
        </row>
        <row r="93">
          <cell r="H93" t="str">
            <v>DESTILANDO AMORLMWJV</v>
          </cell>
          <cell r="I93">
            <v>0.38</v>
          </cell>
        </row>
        <row r="94">
          <cell r="H94" t="str">
            <v>DESTILANDO AMORJ</v>
          </cell>
          <cell r="I94">
            <v>0.84</v>
          </cell>
        </row>
        <row r="95">
          <cell r="H95" t="str">
            <v>DESTILANDO AMORM</v>
          </cell>
          <cell r="I95">
            <v>0.48</v>
          </cell>
        </row>
        <row r="96">
          <cell r="H96" t="str">
            <v>DESTILANDO AMORL</v>
          </cell>
          <cell r="I96">
            <v>0.3</v>
          </cell>
        </row>
        <row r="97">
          <cell r="H97" t="str">
            <v>DESTILANDO AMORW</v>
          </cell>
          <cell r="I97">
            <v>0.14000000000000001</v>
          </cell>
        </row>
        <row r="98">
          <cell r="H98" t="str">
            <v>DESTILANDO AMORV</v>
          </cell>
          <cell r="I98">
            <v>0.1</v>
          </cell>
        </row>
        <row r="99">
          <cell r="H99" t="str">
            <v>BEST SELLERVS</v>
          </cell>
          <cell r="I99">
            <v>0.33</v>
          </cell>
        </row>
        <row r="100">
          <cell r="H100" t="str">
            <v>BEST SELLERS</v>
          </cell>
          <cell r="I100">
            <v>0.96</v>
          </cell>
        </row>
        <row r="101">
          <cell r="H101" t="str">
            <v>BEST SELLERV</v>
          </cell>
          <cell r="I101">
            <v>0.04</v>
          </cell>
        </row>
        <row r="102">
          <cell r="H102" t="str">
            <v>ENTRE PROGRAMASLMWJVSD</v>
          </cell>
          <cell r="I102">
            <v>0.33</v>
          </cell>
        </row>
        <row r="103">
          <cell r="H103" t="str">
            <v>ENTRE PROGRAMASS</v>
          </cell>
          <cell r="I103">
            <v>0.49</v>
          </cell>
        </row>
        <row r="104">
          <cell r="H104" t="str">
            <v>ENTRE PROGRAMASL</v>
          </cell>
          <cell r="I104">
            <v>0.44</v>
          </cell>
        </row>
        <row r="105">
          <cell r="H105" t="str">
            <v>ENTRE PROGRAMASM</v>
          </cell>
          <cell r="I105">
            <v>0.44</v>
          </cell>
        </row>
        <row r="106">
          <cell r="H106" t="str">
            <v>ENTRE PROGRAMASJ</v>
          </cell>
          <cell r="I106">
            <v>0.32</v>
          </cell>
        </row>
        <row r="107">
          <cell r="H107" t="str">
            <v>ENTRE PROGRAMASD</v>
          </cell>
          <cell r="I107">
            <v>0.28999999999999998</v>
          </cell>
        </row>
        <row r="108">
          <cell r="H108" t="str">
            <v>ENTRE PROGRAMASW</v>
          </cell>
          <cell r="I108">
            <v>0.25</v>
          </cell>
        </row>
        <row r="109">
          <cell r="H109" t="str">
            <v>ENTRE PROGRAMASV</v>
          </cell>
          <cell r="I109">
            <v>0</v>
          </cell>
        </row>
        <row r="110">
          <cell r="H110" t="str">
            <v>DOCTOR HOUSE (R)LMWJVD</v>
          </cell>
          <cell r="I110">
            <v>0.33</v>
          </cell>
        </row>
        <row r="111">
          <cell r="H111" t="str">
            <v>DOCTOR HOUSE (R)L</v>
          </cell>
          <cell r="I111">
            <v>0.61</v>
          </cell>
        </row>
        <row r="112">
          <cell r="H112" t="str">
            <v>DOCTOR HOUSE (R)M</v>
          </cell>
          <cell r="I112">
            <v>0.46</v>
          </cell>
        </row>
        <row r="113">
          <cell r="H113" t="str">
            <v>DOCTOR HOUSE (R)J</v>
          </cell>
          <cell r="I113">
            <v>0.32</v>
          </cell>
        </row>
        <row r="114">
          <cell r="H114" t="str">
            <v>DOCTOR HOUSE (R)D</v>
          </cell>
          <cell r="I114">
            <v>0.25</v>
          </cell>
        </row>
        <row r="115">
          <cell r="H115" t="str">
            <v>DOCTOR HOUSE (R)W</v>
          </cell>
          <cell r="I115">
            <v>0.02</v>
          </cell>
        </row>
        <row r="116">
          <cell r="H116" t="str">
            <v>DOCTOR HOUSE (R)V</v>
          </cell>
          <cell r="I116">
            <v>0</v>
          </cell>
        </row>
        <row r="117">
          <cell r="H117" t="str">
            <v>PODIOD</v>
          </cell>
          <cell r="I117">
            <v>0.31</v>
          </cell>
        </row>
        <row r="118">
          <cell r="H118" t="str">
            <v>PODIOD</v>
          </cell>
          <cell r="I118">
            <v>0.31</v>
          </cell>
        </row>
        <row r="119">
          <cell r="H119" t="str">
            <v>LA CULTURA ENTRETENIDAD</v>
          </cell>
          <cell r="I119">
            <v>0.3</v>
          </cell>
        </row>
        <row r="120">
          <cell r="H120" t="str">
            <v>LA CULTURA ENTRETENIDAD</v>
          </cell>
          <cell r="I120">
            <v>0.3</v>
          </cell>
        </row>
        <row r="121">
          <cell r="H121" t="str">
            <v>HABITANTES DEL PACIFICO (R)D</v>
          </cell>
          <cell r="I121">
            <v>0.3</v>
          </cell>
        </row>
        <row r="122">
          <cell r="H122" t="str">
            <v>HABITANTES DEL PACIFICO (R)D</v>
          </cell>
          <cell r="I122">
            <v>0.3</v>
          </cell>
        </row>
        <row r="123">
          <cell r="H123" t="str">
            <v>MEDIA NOCHELMWJV</v>
          </cell>
          <cell r="I123">
            <v>0.28999999999999998</v>
          </cell>
        </row>
        <row r="124">
          <cell r="H124" t="str">
            <v>MEDIA NOCHEJ</v>
          </cell>
          <cell r="I124">
            <v>0.53</v>
          </cell>
        </row>
        <row r="125">
          <cell r="H125" t="str">
            <v>MEDIA NOCHEM</v>
          </cell>
          <cell r="I125">
            <v>0.43</v>
          </cell>
        </row>
        <row r="126">
          <cell r="H126" t="str">
            <v>MEDIA NOCHEL</v>
          </cell>
          <cell r="I126">
            <v>0.27</v>
          </cell>
        </row>
        <row r="127">
          <cell r="H127" t="str">
            <v>MEDIA NOCHEW</v>
          </cell>
          <cell r="I127">
            <v>0.12</v>
          </cell>
        </row>
        <row r="128">
          <cell r="H128" t="str">
            <v>MEDIA NOCHEV</v>
          </cell>
          <cell r="I128">
            <v>0.01</v>
          </cell>
        </row>
        <row r="129">
          <cell r="H129" t="str">
            <v>BUENOS DIAS A TODOS (B)LMWJV</v>
          </cell>
          <cell r="I129">
            <v>0.28999999999999998</v>
          </cell>
        </row>
        <row r="130">
          <cell r="H130" t="str">
            <v>BUENOS DIAS A TODOS (B)V</v>
          </cell>
          <cell r="I130">
            <v>0.56000000000000005</v>
          </cell>
        </row>
        <row r="131">
          <cell r="H131" t="str">
            <v>BUENOS DIAS A TODOS (B)W</v>
          </cell>
          <cell r="I131">
            <v>0.34</v>
          </cell>
        </row>
        <row r="132">
          <cell r="H132" t="str">
            <v>BUENOS DIAS A TODOS (B)L</v>
          </cell>
          <cell r="I132">
            <v>0.26</v>
          </cell>
        </row>
        <row r="133">
          <cell r="H133" t="str">
            <v>BUENOS DIAS A TODOS (B)J</v>
          </cell>
          <cell r="I133">
            <v>0.22</v>
          </cell>
        </row>
        <row r="134">
          <cell r="H134" t="str">
            <v>BUENOS DIAS A TODOS (B)M</v>
          </cell>
          <cell r="I134">
            <v>0.09</v>
          </cell>
        </row>
        <row r="135">
          <cell r="H135" t="str">
            <v>TU MANANA 24 HORASLMWJV</v>
          </cell>
          <cell r="I135">
            <v>0.25</v>
          </cell>
        </row>
        <row r="136">
          <cell r="H136" t="str">
            <v>TU MANANA 24 HORASV</v>
          </cell>
          <cell r="I136">
            <v>0.31</v>
          </cell>
        </row>
        <row r="137">
          <cell r="H137" t="str">
            <v>TU MANANA 24 HORASW</v>
          </cell>
          <cell r="I137">
            <v>0.27</v>
          </cell>
        </row>
        <row r="138">
          <cell r="H138" t="str">
            <v>TU MANANA 24 HORASM</v>
          </cell>
          <cell r="I138">
            <v>0.26</v>
          </cell>
        </row>
        <row r="139">
          <cell r="H139" t="str">
            <v>TU MANANA 24 HORASJ</v>
          </cell>
          <cell r="I139">
            <v>0.22</v>
          </cell>
        </row>
        <row r="140">
          <cell r="H140" t="str">
            <v>TU MANANA 24 HORASL</v>
          </cell>
          <cell r="I140">
            <v>0.2</v>
          </cell>
        </row>
        <row r="141">
          <cell r="H141" t="str">
            <v>BOXEO DE OROS</v>
          </cell>
          <cell r="I141">
            <v>0.24</v>
          </cell>
        </row>
        <row r="142">
          <cell r="H142" t="str">
            <v>BOXEO DE OROS</v>
          </cell>
          <cell r="I142">
            <v>0.24</v>
          </cell>
        </row>
        <row r="143">
          <cell r="H143" t="str">
            <v>24 HORASD</v>
          </cell>
          <cell r="I143">
            <v>0.23</v>
          </cell>
        </row>
        <row r="144">
          <cell r="H144" t="str">
            <v>24 HORASD</v>
          </cell>
          <cell r="I144">
            <v>0.23</v>
          </cell>
        </row>
        <row r="145">
          <cell r="H145" t="str">
            <v>MELO Y ASTORGAS</v>
          </cell>
          <cell r="I145">
            <v>0.21</v>
          </cell>
        </row>
        <row r="146">
          <cell r="H146" t="str">
            <v>MELO Y ASTORGAS</v>
          </cell>
          <cell r="I146">
            <v>0.21</v>
          </cell>
        </row>
        <row r="147">
          <cell r="H147" t="str">
            <v>NUESTRO SIGLOS</v>
          </cell>
          <cell r="I147">
            <v>0.19</v>
          </cell>
        </row>
        <row r="148">
          <cell r="H148" t="str">
            <v>NUESTRO SIGLOS</v>
          </cell>
          <cell r="I148">
            <v>0.19</v>
          </cell>
        </row>
        <row r="149">
          <cell r="H149" t="str">
            <v>FRUTOS DEL PAIS (R)D</v>
          </cell>
          <cell r="I149">
            <v>0.18</v>
          </cell>
        </row>
        <row r="150">
          <cell r="H150" t="str">
            <v>FRUTOS DEL PAIS (R)D</v>
          </cell>
          <cell r="I150">
            <v>0.18</v>
          </cell>
        </row>
        <row r="151">
          <cell r="H151" t="str">
            <v>FRUTOS DEL PAISD</v>
          </cell>
          <cell r="I151">
            <v>0.14000000000000001</v>
          </cell>
        </row>
        <row r="152">
          <cell r="H152" t="str">
            <v>FRUTOS DEL PAISD</v>
          </cell>
          <cell r="I152">
            <v>0.14000000000000001</v>
          </cell>
        </row>
        <row r="153">
          <cell r="H153" t="str">
            <v>ESTADO NACIONALD</v>
          </cell>
          <cell r="I153">
            <v>0.12</v>
          </cell>
        </row>
        <row r="154">
          <cell r="H154" t="str">
            <v>ESTADO NACIONALD</v>
          </cell>
          <cell r="I154">
            <v>0.12</v>
          </cell>
        </row>
        <row r="155">
          <cell r="H155" t="str">
            <v>PELOTON LA HISTORIA DEL HONORW</v>
          </cell>
          <cell r="I155">
            <v>0.08</v>
          </cell>
        </row>
        <row r="156">
          <cell r="H156" t="str">
            <v>PELOTON LA HISTORIA DEL HONORW</v>
          </cell>
          <cell r="I156">
            <v>0.08</v>
          </cell>
        </row>
        <row r="157">
          <cell r="H157" t="str">
            <v>SUPER CINES</v>
          </cell>
          <cell r="I157">
            <v>0.05</v>
          </cell>
        </row>
        <row r="158">
          <cell r="H158" t="str">
            <v>SUPER CINES</v>
          </cell>
          <cell r="I158">
            <v>0.05</v>
          </cell>
        </row>
        <row r="159">
          <cell r="H159" t="str">
            <v>NOTICREOS</v>
          </cell>
          <cell r="I159">
            <v>0.05</v>
          </cell>
        </row>
        <row r="160">
          <cell r="H160" t="str">
            <v>NOTICREOS</v>
          </cell>
          <cell r="I160">
            <v>0.05</v>
          </cell>
        </row>
        <row r="161">
          <cell r="H161" t="str">
            <v>BUENOS DIAS A TODOS (A)LMWJV</v>
          </cell>
          <cell r="I161">
            <v>0.03</v>
          </cell>
        </row>
        <row r="162">
          <cell r="H162" t="str">
            <v>BUENOS DIAS A TODOS (A)L</v>
          </cell>
          <cell r="I162">
            <v>0.08</v>
          </cell>
        </row>
        <row r="163">
          <cell r="H163" t="str">
            <v>BUENOS DIAS A TODOS (A)W</v>
          </cell>
          <cell r="I163">
            <v>0.05</v>
          </cell>
        </row>
        <row r="164">
          <cell r="H164" t="str">
            <v>BUENOS DIAS A TODOS (A)V</v>
          </cell>
          <cell r="I164">
            <v>0.03</v>
          </cell>
        </row>
        <row r="165">
          <cell r="H165" t="str">
            <v>BUENOS DIAS A TODOS (A)J</v>
          </cell>
          <cell r="I165">
            <v>0</v>
          </cell>
        </row>
        <row r="166">
          <cell r="H166" t="str">
            <v>BUENOS DIAS A TODOS (A)M</v>
          </cell>
          <cell r="I166">
            <v>0</v>
          </cell>
        </row>
        <row r="167">
          <cell r="H167" t="str">
            <v>PURO CHILEV</v>
          </cell>
          <cell r="I167">
            <v>0.01</v>
          </cell>
        </row>
        <row r="168">
          <cell r="H168" t="str">
            <v>PURO CHILEV</v>
          </cell>
          <cell r="I168">
            <v>0.01</v>
          </cell>
        </row>
        <row r="169">
          <cell r="H169" t="str">
            <v>AVANCE 24D</v>
          </cell>
          <cell r="I169">
            <v>0</v>
          </cell>
        </row>
        <row r="170">
          <cell r="H170" t="str">
            <v>AVANCE 24D</v>
          </cell>
          <cell r="I170">
            <v>0</v>
          </cell>
        </row>
        <row r="171">
          <cell r="H171" t="str">
            <v>PELICULA INFANTILS</v>
          </cell>
          <cell r="I171">
            <v>0</v>
          </cell>
        </row>
        <row r="172">
          <cell r="H172" t="str">
            <v>PELICULA INFANTILS</v>
          </cell>
          <cell r="I172">
            <v>0</v>
          </cell>
        </row>
        <row r="173">
          <cell r="H173" t="str">
            <v>PEPPA LA CERDITAS</v>
          </cell>
          <cell r="I173">
            <v>0</v>
          </cell>
        </row>
        <row r="174">
          <cell r="H174" t="str">
            <v>PEPPA LA CERDITAS</v>
          </cell>
          <cell r="I174">
            <v>0</v>
          </cell>
        </row>
        <row r="175">
          <cell r="H175" t="str">
            <v>HORACIO Y LOS PLASTICINESS</v>
          </cell>
          <cell r="I175">
            <v>0</v>
          </cell>
        </row>
        <row r="176">
          <cell r="H176" t="str">
            <v>HORACIO Y LOS PLASTICINESS</v>
          </cell>
          <cell r="I176">
            <v>0</v>
          </cell>
        </row>
        <row r="177">
          <cell r="H177" t="str">
            <v>SESIONES 24D</v>
          </cell>
          <cell r="I177">
            <v>0</v>
          </cell>
        </row>
        <row r="178">
          <cell r="H178" t="str">
            <v>SESIONES 24D</v>
          </cell>
          <cell r="I178">
            <v>0</v>
          </cell>
        </row>
        <row r="179">
          <cell r="H179" t="str">
            <v>MIRADA ECONOMICAD</v>
          </cell>
          <cell r="I179">
            <v>0</v>
          </cell>
        </row>
        <row r="180">
          <cell r="H180" t="str">
            <v>MIRADA ECONOMICAD</v>
          </cell>
          <cell r="I180">
            <v>0</v>
          </cell>
        </row>
        <row r="181">
          <cell r="H181" t="str">
            <v>CINEV</v>
          </cell>
          <cell r="I181">
            <v>0</v>
          </cell>
        </row>
        <row r="182">
          <cell r="H182" t="str">
            <v>CINEV</v>
          </cell>
          <cell r="I182">
            <v>0</v>
          </cell>
        </row>
        <row r="183">
          <cell r="H183" t="str">
            <v>0,243055555555556LMWJD</v>
          </cell>
          <cell r="I183">
            <v>0</v>
          </cell>
        </row>
        <row r="184">
          <cell r="H184" t="str">
            <v>0,243055555555556W</v>
          </cell>
          <cell r="I184">
            <v>0</v>
          </cell>
        </row>
        <row r="185">
          <cell r="H185" t="str">
            <v>0,243055555555556J</v>
          </cell>
          <cell r="I185">
            <v>0</v>
          </cell>
        </row>
        <row r="186">
          <cell r="H186" t="str">
            <v>0,243055555555556D</v>
          </cell>
          <cell r="I186">
            <v>0</v>
          </cell>
        </row>
        <row r="187">
          <cell r="H187" t="str">
            <v>0,243055555555556L</v>
          </cell>
          <cell r="I187">
            <v>0</v>
          </cell>
        </row>
        <row r="188">
          <cell r="H188" t="str">
            <v>0,243055555555556M</v>
          </cell>
          <cell r="I188">
            <v>0</v>
          </cell>
        </row>
        <row r="189">
          <cell r="H189" t="str">
            <v>HISTORIA DE UN OSOS</v>
          </cell>
          <cell r="I189">
            <v>0</v>
          </cell>
        </row>
        <row r="190">
          <cell r="H190" t="str">
            <v>HISTORIA DE UN OSOS</v>
          </cell>
          <cell r="I190">
            <v>0</v>
          </cell>
        </row>
        <row r="191">
          <cell r="H191" t="str">
            <v>GRANDES PELICULASS</v>
          </cell>
          <cell r="I191">
            <v>0</v>
          </cell>
        </row>
        <row r="192">
          <cell r="H192" t="str">
            <v>GRANDES PELICULASS</v>
          </cell>
          <cell r="I192">
            <v>0</v>
          </cell>
        </row>
        <row r="193">
          <cell r="H193" t="str">
            <v>MATRIARCASLMWJV</v>
          </cell>
          <cell r="I193">
            <v>1.2</v>
          </cell>
        </row>
        <row r="194">
          <cell r="H194" t="str">
            <v>HUMOR EN FESTIVAL DE OLMUE (LOJ</v>
          </cell>
          <cell r="I194">
            <v>0.9</v>
          </cell>
        </row>
        <row r="196">
          <cell r="H196" t="str">
            <v>MOISES LOS 10 MANDAMIENTOSLMWJ</v>
          </cell>
          <cell r="I196">
            <v>1.3325</v>
          </cell>
        </row>
        <row r="197">
          <cell r="H197" t="str">
            <v>24 HORAS CENTRALLMWJV</v>
          </cell>
          <cell r="I197">
            <v>0.75800000000000001</v>
          </cell>
        </row>
        <row r="198">
          <cell r="H198" t="str">
            <v>24 HORAS AL DIALMWJV</v>
          </cell>
          <cell r="I198">
            <v>0.69800000000000006</v>
          </cell>
        </row>
      </sheetData>
      <sheetData sheetId="14">
        <row r="3">
          <cell r="H3" t="str">
            <v>HISTORIA DE UN OSOS</v>
          </cell>
          <cell r="I3">
            <v>3.2</v>
          </cell>
        </row>
        <row r="4">
          <cell r="H4" t="str">
            <v>HISTORIA DE UN OSOS</v>
          </cell>
          <cell r="I4">
            <v>3.2</v>
          </cell>
        </row>
        <row r="5">
          <cell r="H5" t="str">
            <v>MOISES LOS 10 MANDAMIENTOSLMWJD</v>
          </cell>
          <cell r="I5">
            <v>3.04</v>
          </cell>
        </row>
        <row r="6">
          <cell r="H6" t="str">
            <v>MOISES LOS 10 MANDAMIENTOSJ</v>
          </cell>
          <cell r="I6">
            <v>3.75</v>
          </cell>
        </row>
        <row r="7">
          <cell r="H7" t="str">
            <v>MOISES LOS 10 MANDAMIENTOSL</v>
          </cell>
          <cell r="I7">
            <v>3.3</v>
          </cell>
        </row>
        <row r="8">
          <cell r="H8" t="str">
            <v>MOISES LOS 10 MANDAMIENTOSD</v>
          </cell>
          <cell r="I8">
            <v>3.03</v>
          </cell>
        </row>
        <row r="9">
          <cell r="H9" t="str">
            <v>MOISES LOS 10 MANDAMIENTOSM</v>
          </cell>
          <cell r="I9">
            <v>2.8</v>
          </cell>
        </row>
        <row r="10">
          <cell r="H10" t="str">
            <v>MOISES LOS 10 MANDAMIENTOSW</v>
          </cell>
          <cell r="I10">
            <v>2.7</v>
          </cell>
        </row>
        <row r="11">
          <cell r="H11" t="str">
            <v>VIRALM</v>
          </cell>
          <cell r="I11">
            <v>2.75</v>
          </cell>
        </row>
        <row r="12">
          <cell r="H12" t="str">
            <v>VIRALM</v>
          </cell>
          <cell r="I12">
            <v>2.75</v>
          </cell>
        </row>
        <row r="13">
          <cell r="H13" t="str">
            <v>45 ANOS DE UN COCOJ</v>
          </cell>
          <cell r="I13">
            <v>2.71</v>
          </cell>
        </row>
        <row r="14">
          <cell r="H14" t="str">
            <v>45 ANOS DE UN COCOJ</v>
          </cell>
          <cell r="I14">
            <v>2.71</v>
          </cell>
        </row>
        <row r="15">
          <cell r="H15" t="str">
            <v>POR FIN SOLOS (RESUMEN)L</v>
          </cell>
          <cell r="I15">
            <v>2.25</v>
          </cell>
        </row>
        <row r="16">
          <cell r="H16" t="str">
            <v>POR FIN SOLOS (RESUMEN)L</v>
          </cell>
          <cell r="I16">
            <v>2.25</v>
          </cell>
        </row>
        <row r="17">
          <cell r="H17" t="str">
            <v>TV TIEMPOLMWJVSD</v>
          </cell>
          <cell r="I17">
            <v>2.0099999999999998</v>
          </cell>
        </row>
        <row r="18">
          <cell r="H18" t="str">
            <v>TV TIEMPOL</v>
          </cell>
          <cell r="I18">
            <v>2.64</v>
          </cell>
        </row>
        <row r="19">
          <cell r="H19" t="str">
            <v>TV TIEMPOJ</v>
          </cell>
          <cell r="I19">
            <v>2.5</v>
          </cell>
        </row>
        <row r="20">
          <cell r="H20" t="str">
            <v>TV TIEMPOM</v>
          </cell>
          <cell r="I20">
            <v>2.09</v>
          </cell>
        </row>
        <row r="21">
          <cell r="H21" t="str">
            <v>TV TIEMPOD</v>
          </cell>
          <cell r="I21">
            <v>1.92</v>
          </cell>
        </row>
        <row r="22">
          <cell r="H22" t="str">
            <v>TV TIEMPOW</v>
          </cell>
          <cell r="I22">
            <v>1.87</v>
          </cell>
        </row>
        <row r="23">
          <cell r="H23" t="str">
            <v>TV TIEMPOS</v>
          </cell>
          <cell r="I23">
            <v>1.57</v>
          </cell>
        </row>
        <row r="24">
          <cell r="H24" t="str">
            <v>TV TIEMPOV</v>
          </cell>
          <cell r="I24">
            <v>0.89</v>
          </cell>
        </row>
        <row r="25">
          <cell r="H25" t="str">
            <v>SEMANA SANTAV</v>
          </cell>
          <cell r="I25">
            <v>1.88</v>
          </cell>
        </row>
        <row r="26">
          <cell r="H26" t="str">
            <v>SEMANA SANTAV</v>
          </cell>
          <cell r="I26">
            <v>1.88</v>
          </cell>
        </row>
        <row r="27">
          <cell r="H27" t="str">
            <v>24 HORAS DOMINGOD</v>
          </cell>
          <cell r="I27">
            <v>1.75</v>
          </cell>
        </row>
        <row r="28">
          <cell r="H28" t="str">
            <v>24 HORAS DOMINGOD</v>
          </cell>
          <cell r="I28">
            <v>1.75</v>
          </cell>
        </row>
        <row r="29">
          <cell r="H29" t="str">
            <v>24 HORAS CENTRALLMWJVS</v>
          </cell>
          <cell r="I29">
            <v>1.7</v>
          </cell>
        </row>
        <row r="30">
          <cell r="H30" t="str">
            <v>24 HORAS CENTRALL</v>
          </cell>
          <cell r="I30">
            <v>2.2000000000000002</v>
          </cell>
        </row>
        <row r="31">
          <cell r="H31" t="str">
            <v>24 HORAS CENTRALJ</v>
          </cell>
          <cell r="I31">
            <v>1.8</v>
          </cell>
        </row>
        <row r="32">
          <cell r="H32" t="str">
            <v>24 HORAS CENTRALW</v>
          </cell>
          <cell r="I32">
            <v>1.8</v>
          </cell>
        </row>
        <row r="33">
          <cell r="H33" t="str">
            <v>24 HORAS CENTRALM</v>
          </cell>
          <cell r="I33">
            <v>1.58</v>
          </cell>
        </row>
        <row r="34">
          <cell r="H34" t="str">
            <v>24 HORAS CENTRALV</v>
          </cell>
          <cell r="I34">
            <v>1.56</v>
          </cell>
        </row>
        <row r="35">
          <cell r="H35" t="str">
            <v>24 HORAS CENTRALS</v>
          </cell>
          <cell r="I35">
            <v>1.19</v>
          </cell>
        </row>
        <row r="36">
          <cell r="H36" t="str">
            <v>SABADO DE K OS</v>
          </cell>
          <cell r="I36">
            <v>1.61</v>
          </cell>
        </row>
        <row r="37">
          <cell r="H37" t="str">
            <v>SABADO DE K OS</v>
          </cell>
          <cell r="I37">
            <v>1.61</v>
          </cell>
        </row>
        <row r="38">
          <cell r="H38" t="str">
            <v>POR FIN SOLOSLD</v>
          </cell>
          <cell r="I38">
            <v>1.53</v>
          </cell>
        </row>
        <row r="39">
          <cell r="H39" t="str">
            <v>POR FIN SOLOSD</v>
          </cell>
          <cell r="I39">
            <v>1.62</v>
          </cell>
        </row>
        <row r="40">
          <cell r="H40" t="str">
            <v>POR FIN SOLOSL</v>
          </cell>
          <cell r="I40">
            <v>1.47</v>
          </cell>
        </row>
        <row r="41">
          <cell r="H41" t="str">
            <v>MOISES LOS 10 MANDAMIENTOS (RELMWJSD</v>
          </cell>
          <cell r="I41">
            <v>1.52</v>
          </cell>
        </row>
        <row r="42">
          <cell r="H42" t="str">
            <v>MOISES LOS 10 MANDAMIENTOS (REL</v>
          </cell>
          <cell r="I42">
            <v>3.57</v>
          </cell>
        </row>
        <row r="43">
          <cell r="H43" t="str">
            <v>MOISES LOS 10 MANDAMIENTOS (RED</v>
          </cell>
          <cell r="I43">
            <v>2.64</v>
          </cell>
        </row>
        <row r="44">
          <cell r="H44" t="str">
            <v>MOISES LOS 10 MANDAMIENTOS (REM</v>
          </cell>
          <cell r="I44">
            <v>2.52</v>
          </cell>
        </row>
        <row r="45">
          <cell r="H45" t="str">
            <v>MOISES LOS 10 MANDAMIENTOS (REW</v>
          </cell>
          <cell r="I45">
            <v>2.19</v>
          </cell>
        </row>
        <row r="46">
          <cell r="H46" t="str">
            <v>MOISES LOS 10 MANDAMIENTOS (REJ</v>
          </cell>
          <cell r="I46">
            <v>1.52</v>
          </cell>
        </row>
        <row r="47">
          <cell r="H47" t="str">
            <v>MOISES LOS 10 MANDAMIENTOS (RES</v>
          </cell>
          <cell r="I47">
            <v>0.57999999999999996</v>
          </cell>
        </row>
        <row r="48">
          <cell r="H48" t="str">
            <v>POR FIN SOLOS (R)V</v>
          </cell>
          <cell r="I48">
            <v>1.43</v>
          </cell>
        </row>
        <row r="49">
          <cell r="H49" t="str">
            <v>POR FIN SOLOS (R)V</v>
          </cell>
          <cell r="I49">
            <v>1.43</v>
          </cell>
        </row>
        <row r="50">
          <cell r="H50" t="str">
            <v>JOSE DE EGIPTOV</v>
          </cell>
          <cell r="I50">
            <v>1.39</v>
          </cell>
        </row>
        <row r="51">
          <cell r="H51" t="str">
            <v>JOSE DE EGIPTOV</v>
          </cell>
          <cell r="I51">
            <v>1.39</v>
          </cell>
        </row>
        <row r="52">
          <cell r="H52" t="str">
            <v>4TO MEDIOLW</v>
          </cell>
          <cell r="I52">
            <v>1.1299999999999999</v>
          </cell>
        </row>
        <row r="53">
          <cell r="H53" t="str">
            <v>4TO MEDIOW</v>
          </cell>
          <cell r="I53">
            <v>1.3</v>
          </cell>
        </row>
        <row r="54">
          <cell r="H54" t="str">
            <v>4TO MEDIOL</v>
          </cell>
          <cell r="I54">
            <v>0.22</v>
          </cell>
        </row>
        <row r="55">
          <cell r="H55" t="str">
            <v>TU MANANA 24 HORASLMWJV</v>
          </cell>
          <cell r="I55">
            <v>1.06</v>
          </cell>
        </row>
        <row r="56">
          <cell r="H56" t="str">
            <v>TU MANANA 24 HORASL</v>
          </cell>
          <cell r="I56">
            <v>1.32</v>
          </cell>
        </row>
        <row r="57">
          <cell r="H57" t="str">
            <v>TU MANANA 24 HORASW</v>
          </cell>
          <cell r="I57">
            <v>1.2</v>
          </cell>
        </row>
        <row r="58">
          <cell r="H58" t="str">
            <v>TU MANANA 24 HORASV</v>
          </cell>
          <cell r="I58">
            <v>1</v>
          </cell>
        </row>
        <row r="59">
          <cell r="H59" t="str">
            <v>TU MANANA 24 HORASM</v>
          </cell>
          <cell r="I59">
            <v>0.91</v>
          </cell>
        </row>
        <row r="60">
          <cell r="H60" t="str">
            <v>TU MANANA 24 HORASJ</v>
          </cell>
          <cell r="I60">
            <v>0.89</v>
          </cell>
        </row>
        <row r="61">
          <cell r="H61" t="str">
            <v>CHILE CONECTADO (R)D</v>
          </cell>
          <cell r="I61">
            <v>1.05</v>
          </cell>
        </row>
        <row r="62">
          <cell r="H62" t="str">
            <v>CHILE CONECTADO (R)D</v>
          </cell>
          <cell r="I62">
            <v>1.05</v>
          </cell>
        </row>
        <row r="63">
          <cell r="H63" t="str">
            <v>FRUTOS DEL PAIS (R)D</v>
          </cell>
          <cell r="I63">
            <v>1.05</v>
          </cell>
        </row>
        <row r="64">
          <cell r="H64" t="str">
            <v>FRUTOS DEL PAIS (R)D</v>
          </cell>
          <cell r="I64">
            <v>1.05</v>
          </cell>
        </row>
        <row r="65">
          <cell r="H65" t="str">
            <v>PURO CHILEV</v>
          </cell>
          <cell r="I65">
            <v>1.03</v>
          </cell>
        </row>
        <row r="66">
          <cell r="H66" t="str">
            <v>PURO CHILEV</v>
          </cell>
          <cell r="I66">
            <v>1.03</v>
          </cell>
        </row>
        <row r="67">
          <cell r="H67" t="str">
            <v>24 HORAS AL DIALMWJVSD</v>
          </cell>
          <cell r="I67">
            <v>0.99</v>
          </cell>
        </row>
        <row r="68">
          <cell r="H68" t="str">
            <v>24 HORAS AL DIAW</v>
          </cell>
          <cell r="I68">
            <v>1.46</v>
          </cell>
        </row>
        <row r="69">
          <cell r="H69" t="str">
            <v>24 HORAS AL DIAL</v>
          </cell>
          <cell r="I69">
            <v>1.1200000000000001</v>
          </cell>
        </row>
        <row r="70">
          <cell r="H70" t="str">
            <v>24 HORAS AL DIAJ</v>
          </cell>
          <cell r="I70">
            <v>1.08</v>
          </cell>
        </row>
        <row r="71">
          <cell r="H71" t="str">
            <v>24 HORAS AL DIAM</v>
          </cell>
          <cell r="I71">
            <v>0.99</v>
          </cell>
        </row>
        <row r="72">
          <cell r="H72" t="str">
            <v>24 HORAS AL DIAS</v>
          </cell>
          <cell r="I72">
            <v>0.84</v>
          </cell>
        </row>
        <row r="73">
          <cell r="H73" t="str">
            <v>24 HORAS AL DIAV</v>
          </cell>
          <cell r="I73">
            <v>0.74</v>
          </cell>
        </row>
        <row r="74">
          <cell r="H74" t="str">
            <v>24 HORAS AL DIAD</v>
          </cell>
          <cell r="I74">
            <v>0.63</v>
          </cell>
        </row>
        <row r="75">
          <cell r="H75" t="str">
            <v>ENTRE PROGRAMASLMWJVSD</v>
          </cell>
          <cell r="I75">
            <v>0.99</v>
          </cell>
        </row>
        <row r="76">
          <cell r="H76" t="str">
            <v>ENTRE PROGRAMASM</v>
          </cell>
          <cell r="I76">
            <v>1.6</v>
          </cell>
        </row>
        <row r="77">
          <cell r="H77" t="str">
            <v>ENTRE PROGRAMASL</v>
          </cell>
          <cell r="I77">
            <v>1.24</v>
          </cell>
        </row>
        <row r="78">
          <cell r="H78" t="str">
            <v>ENTRE PROGRAMASJ</v>
          </cell>
          <cell r="I78">
            <v>1.23</v>
          </cell>
        </row>
        <row r="79">
          <cell r="H79" t="str">
            <v>ENTRE PROGRAMASD</v>
          </cell>
          <cell r="I79">
            <v>0.96</v>
          </cell>
        </row>
        <row r="80">
          <cell r="H80" t="str">
            <v>ENTRE PROGRAMASS</v>
          </cell>
          <cell r="I80">
            <v>0.83</v>
          </cell>
        </row>
        <row r="81">
          <cell r="H81" t="str">
            <v>ENTRE PROGRAMASW</v>
          </cell>
          <cell r="I81">
            <v>0.45</v>
          </cell>
        </row>
        <row r="82">
          <cell r="H82" t="str">
            <v>ENTRE PROGRAMASV</v>
          </cell>
          <cell r="I82">
            <v>0.21</v>
          </cell>
        </row>
        <row r="83">
          <cell r="H83" t="str">
            <v>NUESTRO SIGLOS</v>
          </cell>
          <cell r="I83">
            <v>0.98</v>
          </cell>
        </row>
        <row r="84">
          <cell r="H84" t="str">
            <v>NUESTRO SIGLOS</v>
          </cell>
          <cell r="I84">
            <v>0.98</v>
          </cell>
        </row>
        <row r="85">
          <cell r="H85" t="str">
            <v>PURO CHILE (R)D</v>
          </cell>
          <cell r="I85">
            <v>0.96</v>
          </cell>
        </row>
        <row r="86">
          <cell r="H86" t="str">
            <v>PURO CHILE (R)D</v>
          </cell>
          <cell r="I86">
            <v>0.96</v>
          </cell>
        </row>
        <row r="87">
          <cell r="H87" t="str">
            <v>FRUTOS DEL PAISD</v>
          </cell>
          <cell r="I87">
            <v>0.95</v>
          </cell>
        </row>
        <row r="88">
          <cell r="H88" t="str">
            <v>FRUTOS DEL PAISD</v>
          </cell>
          <cell r="I88">
            <v>0.95</v>
          </cell>
        </row>
        <row r="89">
          <cell r="H89" t="str">
            <v>DOCTOR HOUSE (R)LMWJVD</v>
          </cell>
          <cell r="I89">
            <v>0.93</v>
          </cell>
        </row>
        <row r="90">
          <cell r="H90" t="str">
            <v>DOCTOR HOUSE (R)M</v>
          </cell>
          <cell r="I90">
            <v>1.29</v>
          </cell>
        </row>
        <row r="91">
          <cell r="H91" t="str">
            <v>DOCTOR HOUSE (R)D</v>
          </cell>
          <cell r="I91">
            <v>1.1100000000000001</v>
          </cell>
        </row>
        <row r="92">
          <cell r="H92" t="str">
            <v>DOCTOR HOUSE (R)L</v>
          </cell>
          <cell r="I92">
            <v>0.98</v>
          </cell>
        </row>
        <row r="93">
          <cell r="H93" t="str">
            <v>DOCTOR HOUSE (R)J</v>
          </cell>
          <cell r="I93">
            <v>0.9</v>
          </cell>
        </row>
        <row r="94">
          <cell r="H94" t="str">
            <v>DOCTOR HOUSE (R)V</v>
          </cell>
          <cell r="I94">
            <v>0.48</v>
          </cell>
        </row>
        <row r="95">
          <cell r="H95" t="str">
            <v>DOCTOR HOUSE (R)W</v>
          </cell>
          <cell r="I95">
            <v>0.46</v>
          </cell>
        </row>
        <row r="96">
          <cell r="H96" t="str">
            <v>ROMANE (R)LMWJV</v>
          </cell>
          <cell r="I96">
            <v>0.93</v>
          </cell>
        </row>
        <row r="97">
          <cell r="H97" t="str">
            <v>ROMANE (R)M</v>
          </cell>
          <cell r="I97">
            <v>1.1599999999999999</v>
          </cell>
        </row>
        <row r="98">
          <cell r="H98" t="str">
            <v>ROMANE (R)L</v>
          </cell>
          <cell r="I98">
            <v>1.1000000000000001</v>
          </cell>
        </row>
        <row r="99">
          <cell r="H99" t="str">
            <v>ROMANE (R)V</v>
          </cell>
          <cell r="I99">
            <v>0.87</v>
          </cell>
        </row>
        <row r="100">
          <cell r="H100" t="str">
            <v>ROMANE (R)J</v>
          </cell>
          <cell r="I100">
            <v>0.78</v>
          </cell>
        </row>
        <row r="101">
          <cell r="H101" t="str">
            <v>ROMANE (R)W</v>
          </cell>
          <cell r="I101">
            <v>0.78</v>
          </cell>
        </row>
        <row r="102">
          <cell r="H102" t="str">
            <v>MEDIA NOCHELMWJV</v>
          </cell>
          <cell r="I102">
            <v>0.92</v>
          </cell>
        </row>
        <row r="103">
          <cell r="H103" t="str">
            <v>MEDIA NOCHEL</v>
          </cell>
          <cell r="I103">
            <v>1.67</v>
          </cell>
        </row>
        <row r="104">
          <cell r="H104" t="str">
            <v>MEDIA NOCHEJ</v>
          </cell>
          <cell r="I104">
            <v>1.05</v>
          </cell>
        </row>
        <row r="105">
          <cell r="H105" t="str">
            <v>MEDIA NOCHEM</v>
          </cell>
          <cell r="I105">
            <v>0.98</v>
          </cell>
        </row>
        <row r="106">
          <cell r="H106" t="str">
            <v>MEDIA NOCHEW</v>
          </cell>
          <cell r="I106">
            <v>0.54</v>
          </cell>
        </row>
        <row r="107">
          <cell r="H107" t="str">
            <v>MEDIA NOCHEV</v>
          </cell>
          <cell r="I107">
            <v>0.28000000000000003</v>
          </cell>
        </row>
        <row r="108">
          <cell r="H108" t="str">
            <v>DESTILANDO AMORLMWJV</v>
          </cell>
          <cell r="I108">
            <v>0.89</v>
          </cell>
        </row>
        <row r="109">
          <cell r="H109" t="str">
            <v>DESTILANDO AMORL</v>
          </cell>
          <cell r="I109">
            <v>1.07</v>
          </cell>
        </row>
        <row r="110">
          <cell r="H110" t="str">
            <v>DESTILANDO AMORW</v>
          </cell>
          <cell r="I110">
            <v>0.97</v>
          </cell>
        </row>
        <row r="111">
          <cell r="H111" t="str">
            <v>DESTILANDO AMORM</v>
          </cell>
          <cell r="I111">
            <v>0.97</v>
          </cell>
        </row>
        <row r="112">
          <cell r="H112" t="str">
            <v>DESTILANDO AMORJ</v>
          </cell>
          <cell r="I112">
            <v>0.83</v>
          </cell>
        </row>
        <row r="113">
          <cell r="H113" t="str">
            <v>DESTILANDO AMORV</v>
          </cell>
          <cell r="I113">
            <v>0.63</v>
          </cell>
        </row>
        <row r="114">
          <cell r="H114" t="str">
            <v>HABITANTES DEL PACIFICO (R)D</v>
          </cell>
          <cell r="I114">
            <v>0.88</v>
          </cell>
        </row>
        <row r="115">
          <cell r="H115" t="str">
            <v>HABITANTES DEL PACIFICO (R)D</v>
          </cell>
          <cell r="I115">
            <v>0.88</v>
          </cell>
        </row>
        <row r="116">
          <cell r="H116" t="str">
            <v>BEST SELLERVS</v>
          </cell>
          <cell r="I116">
            <v>0.84</v>
          </cell>
        </row>
        <row r="117">
          <cell r="H117" t="str">
            <v>BEST SELLERV</v>
          </cell>
          <cell r="I117">
            <v>0.86</v>
          </cell>
        </row>
        <row r="118">
          <cell r="H118" t="str">
            <v>BEST SELLERS</v>
          </cell>
          <cell r="I118">
            <v>0.79</v>
          </cell>
        </row>
        <row r="119">
          <cell r="H119" t="str">
            <v>ESA NO SOY YOLMWJV</v>
          </cell>
          <cell r="I119">
            <v>0.81</v>
          </cell>
        </row>
        <row r="120">
          <cell r="H120" t="str">
            <v>ESA NO SOY YOV</v>
          </cell>
          <cell r="I120">
            <v>0.95</v>
          </cell>
        </row>
        <row r="121">
          <cell r="H121" t="str">
            <v>ESA NO SOY YOM</v>
          </cell>
          <cell r="I121">
            <v>0.93</v>
          </cell>
        </row>
        <row r="122">
          <cell r="H122" t="str">
            <v>ESA NO SOY YOL</v>
          </cell>
          <cell r="I122">
            <v>0.79</v>
          </cell>
        </row>
        <row r="123">
          <cell r="H123" t="str">
            <v>ESA NO SOY YOW</v>
          </cell>
          <cell r="I123">
            <v>0.76</v>
          </cell>
        </row>
        <row r="124">
          <cell r="H124" t="str">
            <v>ESA NO SOY YOJ</v>
          </cell>
          <cell r="I124">
            <v>0.67</v>
          </cell>
        </row>
        <row r="125">
          <cell r="H125" t="str">
            <v>ESTADO NACIONALD</v>
          </cell>
          <cell r="I125">
            <v>0.81</v>
          </cell>
        </row>
        <row r="126">
          <cell r="H126" t="str">
            <v>ESTADO NACIONALD</v>
          </cell>
          <cell r="I126">
            <v>0.81</v>
          </cell>
        </row>
        <row r="127">
          <cell r="H127" t="str">
            <v>ESA NO SOY YO (RESUMEN)LMWJV</v>
          </cell>
          <cell r="I127">
            <v>0.79</v>
          </cell>
        </row>
        <row r="128">
          <cell r="H128" t="str">
            <v>ESA NO SOY YO (RESUMEN)W</v>
          </cell>
          <cell r="I128">
            <v>0.99</v>
          </cell>
        </row>
        <row r="129">
          <cell r="H129" t="str">
            <v>ESA NO SOY YO (RESUMEN)L</v>
          </cell>
          <cell r="I129">
            <v>0.85</v>
          </cell>
        </row>
        <row r="130">
          <cell r="H130" t="str">
            <v>ESA NO SOY YO (RESUMEN)M</v>
          </cell>
          <cell r="I130">
            <v>0.8</v>
          </cell>
        </row>
        <row r="131">
          <cell r="H131" t="str">
            <v>ESA NO SOY YO (RESUMEN)J</v>
          </cell>
          <cell r="I131">
            <v>0.61</v>
          </cell>
        </row>
        <row r="132">
          <cell r="H132" t="str">
            <v>ESA NO SOY YO (RESUMEN)V</v>
          </cell>
          <cell r="I132">
            <v>0.55000000000000004</v>
          </cell>
        </row>
        <row r="133">
          <cell r="H133" t="str">
            <v>MELO Y ASTORGAS</v>
          </cell>
          <cell r="I133">
            <v>0.78</v>
          </cell>
        </row>
        <row r="134">
          <cell r="H134" t="str">
            <v>MELO Y ASTORGAS</v>
          </cell>
          <cell r="I134">
            <v>0.78</v>
          </cell>
        </row>
        <row r="135">
          <cell r="H135" t="str">
            <v>LA CULTURA ENTRETENIDAD</v>
          </cell>
          <cell r="I135">
            <v>0.77</v>
          </cell>
        </row>
        <row r="136">
          <cell r="H136" t="str">
            <v>LA CULTURA ENTRETENIDAD</v>
          </cell>
          <cell r="I136">
            <v>0.77</v>
          </cell>
        </row>
        <row r="137">
          <cell r="H137" t="str">
            <v>COPA DAVISVSD</v>
          </cell>
          <cell r="I137">
            <v>0.66</v>
          </cell>
        </row>
        <row r="138">
          <cell r="H138" t="str">
            <v>COPA DAVISS</v>
          </cell>
          <cell r="I138">
            <v>0.89</v>
          </cell>
        </row>
        <row r="139">
          <cell r="H139" t="str">
            <v>COPA DAVISD</v>
          </cell>
          <cell r="I139">
            <v>0.86</v>
          </cell>
        </row>
        <row r="140">
          <cell r="H140" t="str">
            <v>COPA DAVISV</v>
          </cell>
          <cell r="I140">
            <v>0.56000000000000005</v>
          </cell>
        </row>
        <row r="141">
          <cell r="H141" t="str">
            <v>EL SECRETO DE PUENTE VIEJOLMWJV</v>
          </cell>
          <cell r="I141">
            <v>0.64</v>
          </cell>
        </row>
        <row r="142">
          <cell r="H142" t="str">
            <v>EL SECRETO DE PUENTE VIEJOL</v>
          </cell>
          <cell r="I142">
            <v>0.73</v>
          </cell>
        </row>
        <row r="143">
          <cell r="H143" t="str">
            <v>EL SECRETO DE PUENTE VIEJOM</v>
          </cell>
          <cell r="I143">
            <v>0.69</v>
          </cell>
        </row>
        <row r="144">
          <cell r="H144" t="str">
            <v>EL SECRETO DE PUENTE VIEJOW</v>
          </cell>
          <cell r="I144">
            <v>0.69</v>
          </cell>
        </row>
        <row r="145">
          <cell r="H145" t="str">
            <v>EL SECRETO DE PUENTE VIEJOV</v>
          </cell>
          <cell r="I145">
            <v>0.63</v>
          </cell>
        </row>
        <row r="146">
          <cell r="H146" t="str">
            <v>EL SECRETO DE PUENTE VIEJOJ</v>
          </cell>
          <cell r="I146">
            <v>0.46</v>
          </cell>
        </row>
        <row r="147">
          <cell r="H147" t="str">
            <v>BUENOS DIAS A TODOS (A)LMWJV</v>
          </cell>
          <cell r="I147">
            <v>0.63</v>
          </cell>
        </row>
        <row r="148">
          <cell r="H148" t="str">
            <v>BUENOS DIAS A TODOS (A)V</v>
          </cell>
          <cell r="I148">
            <v>1.04</v>
          </cell>
        </row>
        <row r="149">
          <cell r="H149" t="str">
            <v>BUENOS DIAS A TODOS (A)J</v>
          </cell>
          <cell r="I149">
            <v>0.75</v>
          </cell>
        </row>
        <row r="150">
          <cell r="H150" t="str">
            <v>BUENOS DIAS A TODOS (A)M</v>
          </cell>
          <cell r="I150">
            <v>0.73</v>
          </cell>
        </row>
        <row r="151">
          <cell r="H151" t="str">
            <v>BUENOS DIAS A TODOS (A)L</v>
          </cell>
          <cell r="I151">
            <v>0.44</v>
          </cell>
        </row>
        <row r="152">
          <cell r="H152" t="str">
            <v>BUENOS DIAS A TODOS (A)W</v>
          </cell>
          <cell r="I152">
            <v>0.23</v>
          </cell>
        </row>
        <row r="153">
          <cell r="H153" t="str">
            <v>BUENOS DIAS A TODOS (B)LMWJV</v>
          </cell>
          <cell r="I153">
            <v>0.56999999999999995</v>
          </cell>
        </row>
        <row r="154">
          <cell r="H154" t="str">
            <v>BUENOS DIAS A TODOS (B)J</v>
          </cell>
          <cell r="I154">
            <v>0.71</v>
          </cell>
        </row>
        <row r="155">
          <cell r="H155" t="str">
            <v>BUENOS DIAS A TODOS (B)L</v>
          </cell>
          <cell r="I155">
            <v>0.63</v>
          </cell>
        </row>
        <row r="156">
          <cell r="H156" t="str">
            <v>BUENOS DIAS A TODOS (B)V</v>
          </cell>
          <cell r="I156">
            <v>0.56000000000000005</v>
          </cell>
        </row>
        <row r="157">
          <cell r="H157" t="str">
            <v>BUENOS DIAS A TODOS (B)W</v>
          </cell>
          <cell r="I157">
            <v>0.51</v>
          </cell>
        </row>
        <row r="158">
          <cell r="H158" t="str">
            <v>BUENOS DIAS A TODOS (B)M</v>
          </cell>
          <cell r="I158">
            <v>0.42</v>
          </cell>
        </row>
        <row r="159">
          <cell r="H159" t="str">
            <v>SUPER CINES</v>
          </cell>
          <cell r="I159">
            <v>0.56000000000000005</v>
          </cell>
        </row>
        <row r="160">
          <cell r="H160" t="str">
            <v>SUPER CINES</v>
          </cell>
          <cell r="I160">
            <v>0.56000000000000005</v>
          </cell>
        </row>
        <row r="161">
          <cell r="H161" t="str">
            <v>PODIOD</v>
          </cell>
          <cell r="I161">
            <v>0.54</v>
          </cell>
        </row>
        <row r="162">
          <cell r="H162" t="str">
            <v>PODIOD</v>
          </cell>
          <cell r="I162">
            <v>0.54</v>
          </cell>
        </row>
        <row r="163">
          <cell r="H163" t="str">
            <v>24 HORASD</v>
          </cell>
          <cell r="I163">
            <v>0.47</v>
          </cell>
        </row>
        <row r="164">
          <cell r="H164" t="str">
            <v>24 HORASD</v>
          </cell>
          <cell r="I164">
            <v>0.47</v>
          </cell>
        </row>
        <row r="165">
          <cell r="H165" t="str">
            <v>PELOTON LA HISTORIA DEL HONORW</v>
          </cell>
          <cell r="I165">
            <v>0.47</v>
          </cell>
        </row>
        <row r="166">
          <cell r="H166" t="str">
            <v>PELOTON LA HISTORIA DEL HONORW</v>
          </cell>
          <cell r="I166">
            <v>0.47</v>
          </cell>
        </row>
        <row r="167">
          <cell r="H167" t="str">
            <v>BOXEO DE OROS</v>
          </cell>
          <cell r="I167">
            <v>0.38</v>
          </cell>
        </row>
        <row r="168">
          <cell r="H168" t="str">
            <v>BOXEO DE OROS</v>
          </cell>
          <cell r="I168">
            <v>0.38</v>
          </cell>
        </row>
        <row r="169">
          <cell r="H169" t="str">
            <v>NOTICREOS</v>
          </cell>
          <cell r="I169">
            <v>0.36</v>
          </cell>
        </row>
        <row r="170">
          <cell r="H170" t="str">
            <v>NOTICREOS</v>
          </cell>
          <cell r="I170">
            <v>0.36</v>
          </cell>
        </row>
        <row r="171">
          <cell r="H171" t="str">
            <v>0,243055555555556LMWJD</v>
          </cell>
          <cell r="I171">
            <v>0.3</v>
          </cell>
        </row>
        <row r="172">
          <cell r="H172" t="str">
            <v>0,243055555555556L</v>
          </cell>
          <cell r="I172">
            <v>0.51</v>
          </cell>
        </row>
        <row r="173">
          <cell r="H173" t="str">
            <v>0,243055555555556J</v>
          </cell>
          <cell r="I173">
            <v>0.48</v>
          </cell>
        </row>
        <row r="174">
          <cell r="H174" t="str">
            <v>0,243055555555556M</v>
          </cell>
          <cell r="I174">
            <v>0.37</v>
          </cell>
        </row>
        <row r="175">
          <cell r="H175" t="str">
            <v>0,243055555555556D</v>
          </cell>
          <cell r="I175">
            <v>0.28000000000000003</v>
          </cell>
        </row>
        <row r="176">
          <cell r="H176" t="str">
            <v>0,243055555555556W</v>
          </cell>
          <cell r="I176">
            <v>0.09</v>
          </cell>
        </row>
        <row r="177">
          <cell r="H177" t="str">
            <v>GRANDES PELICULASS</v>
          </cell>
          <cell r="I177">
            <v>0.24</v>
          </cell>
        </row>
        <row r="178">
          <cell r="H178" t="str">
            <v>GRANDES PELICULASS</v>
          </cell>
          <cell r="I178">
            <v>0.24</v>
          </cell>
        </row>
        <row r="179">
          <cell r="H179" t="str">
            <v>MIRADA ECONOMICAD</v>
          </cell>
          <cell r="I179">
            <v>0.22</v>
          </cell>
        </row>
        <row r="180">
          <cell r="H180" t="str">
            <v>MIRADA ECONOMICAD</v>
          </cell>
          <cell r="I180">
            <v>0.22</v>
          </cell>
        </row>
        <row r="181">
          <cell r="H181" t="str">
            <v>PEPPA LA CERDITAS</v>
          </cell>
          <cell r="I181">
            <v>0.15</v>
          </cell>
        </row>
        <row r="182">
          <cell r="H182" t="str">
            <v>PEPPA LA CERDITAS</v>
          </cell>
          <cell r="I182">
            <v>0.15</v>
          </cell>
        </row>
        <row r="183">
          <cell r="H183" t="str">
            <v>AVANCE 24D</v>
          </cell>
          <cell r="I183">
            <v>0.12</v>
          </cell>
        </row>
        <row r="184">
          <cell r="H184" t="str">
            <v>AVANCE 24D</v>
          </cell>
          <cell r="I184">
            <v>0.12</v>
          </cell>
        </row>
        <row r="185">
          <cell r="H185" t="str">
            <v>PELICULA INFANTILS</v>
          </cell>
          <cell r="I185">
            <v>0.1</v>
          </cell>
        </row>
        <row r="186">
          <cell r="H186" t="str">
            <v>PELICULA INFANTILS</v>
          </cell>
          <cell r="I186">
            <v>0.1</v>
          </cell>
        </row>
        <row r="187">
          <cell r="H187" t="str">
            <v>HORACIO Y LOS PLASTICINESS</v>
          </cell>
          <cell r="I187">
            <v>0.06</v>
          </cell>
        </row>
        <row r="188">
          <cell r="H188" t="str">
            <v>HORACIO Y LOS PLASTICINESS</v>
          </cell>
          <cell r="I188">
            <v>0.06</v>
          </cell>
        </row>
        <row r="189">
          <cell r="H189" t="str">
            <v>SESIONES 24D</v>
          </cell>
          <cell r="I189">
            <v>0</v>
          </cell>
        </row>
        <row r="190">
          <cell r="H190" t="str">
            <v>SESIONES 24D</v>
          </cell>
          <cell r="I190">
            <v>0</v>
          </cell>
        </row>
        <row r="191">
          <cell r="H191" t="str">
            <v>CINEV</v>
          </cell>
          <cell r="I191">
            <v>0</v>
          </cell>
        </row>
        <row r="192">
          <cell r="H192" t="str">
            <v>CINEV</v>
          </cell>
          <cell r="I192">
            <v>0</v>
          </cell>
        </row>
        <row r="193">
          <cell r="H193" t="str">
            <v>MATRIARCASLMWJV</v>
          </cell>
          <cell r="I193">
            <v>0.9</v>
          </cell>
        </row>
        <row r="194">
          <cell r="H194" t="str">
            <v>HUMOR EN FESTIVAL DE OLMUE (LOJ</v>
          </cell>
          <cell r="I194">
            <v>2.6</v>
          </cell>
        </row>
        <row r="196">
          <cell r="H196" t="str">
            <v>MOISES LOS 10 MANDAMIENTOSLMWJ</v>
          </cell>
          <cell r="I196">
            <v>3.1375000000000002</v>
          </cell>
        </row>
        <row r="197">
          <cell r="H197" t="str">
            <v>24 HORAS CENTRALLMWJV</v>
          </cell>
          <cell r="I197">
            <v>1.7879999999999998</v>
          </cell>
        </row>
        <row r="198">
          <cell r="H198" t="str">
            <v>24 HORAS AL DIALMWJV</v>
          </cell>
          <cell r="I198">
            <v>1.0780000000000001</v>
          </cell>
        </row>
      </sheetData>
      <sheetData sheetId="15">
        <row r="3">
          <cell r="H3" t="str">
            <v>24 HORASD</v>
          </cell>
          <cell r="I3">
            <v>0.82</v>
          </cell>
        </row>
        <row r="4">
          <cell r="H4" t="str">
            <v>24 HORASD</v>
          </cell>
          <cell r="I4">
            <v>0.82</v>
          </cell>
        </row>
        <row r="5">
          <cell r="H5" t="str">
            <v>24 HORAS AL DIALMWJVSD</v>
          </cell>
          <cell r="I5">
            <v>1.64</v>
          </cell>
        </row>
        <row r="6">
          <cell r="H6" t="str">
            <v>24 HORAS AL DIAL</v>
          </cell>
          <cell r="I6">
            <v>2.09</v>
          </cell>
        </row>
        <row r="7">
          <cell r="H7" t="str">
            <v>24 HORAS AL DIAV</v>
          </cell>
          <cell r="I7">
            <v>1.82</v>
          </cell>
        </row>
        <row r="8">
          <cell r="H8" t="str">
            <v>24 HORAS AL DIAM</v>
          </cell>
          <cell r="I8">
            <v>1.71</v>
          </cell>
        </row>
        <row r="9">
          <cell r="H9" t="str">
            <v>24 HORAS AL DIAJ</v>
          </cell>
          <cell r="I9">
            <v>1.69</v>
          </cell>
        </row>
        <row r="10">
          <cell r="H10" t="str">
            <v>24 HORAS AL DIAW</v>
          </cell>
          <cell r="I10">
            <v>1.64</v>
          </cell>
        </row>
        <row r="11">
          <cell r="H11" t="str">
            <v>24 HORAS AL DIAS</v>
          </cell>
          <cell r="I11">
            <v>1.34</v>
          </cell>
        </row>
        <row r="12">
          <cell r="H12" t="str">
            <v>24 HORAS AL DIAD</v>
          </cell>
          <cell r="I12">
            <v>1.33</v>
          </cell>
        </row>
        <row r="13">
          <cell r="H13" t="str">
            <v>24 HORAS CENTRALLMWJVS</v>
          </cell>
          <cell r="I13">
            <v>3.05</v>
          </cell>
        </row>
        <row r="14">
          <cell r="H14" t="str">
            <v>24 HORAS CENTRALV</v>
          </cell>
          <cell r="I14">
            <v>3.41</v>
          </cell>
        </row>
        <row r="15">
          <cell r="H15" t="str">
            <v>24 HORAS CENTRALL</v>
          </cell>
          <cell r="I15">
            <v>3.38</v>
          </cell>
        </row>
        <row r="16">
          <cell r="H16" t="str">
            <v>24 HORAS CENTRALJ</v>
          </cell>
          <cell r="I16">
            <v>3.19</v>
          </cell>
        </row>
        <row r="17">
          <cell r="H17" t="str">
            <v>24 HORAS CENTRALW</v>
          </cell>
          <cell r="I17">
            <v>3.01</v>
          </cell>
        </row>
        <row r="18">
          <cell r="H18" t="str">
            <v>24 HORAS CENTRALM</v>
          </cell>
          <cell r="I18">
            <v>2.87</v>
          </cell>
        </row>
        <row r="19">
          <cell r="H19" t="str">
            <v>24 HORAS CENTRALS</v>
          </cell>
          <cell r="I19">
            <v>2.4900000000000002</v>
          </cell>
        </row>
        <row r="20">
          <cell r="H20" t="str">
            <v>24 HORAS DOMINGOD</v>
          </cell>
          <cell r="I20">
            <v>3.79</v>
          </cell>
        </row>
        <row r="21">
          <cell r="H21" t="str">
            <v>24 HORAS DOMINGOD</v>
          </cell>
          <cell r="I21">
            <v>3.79</v>
          </cell>
        </row>
        <row r="22">
          <cell r="H22" t="str">
            <v>45 ANOS DE UN COCOJ</v>
          </cell>
          <cell r="I22">
            <v>3.92</v>
          </cell>
        </row>
        <row r="23">
          <cell r="H23" t="str">
            <v>45 ANOS DE UN COCOJ</v>
          </cell>
          <cell r="I23">
            <v>3.92</v>
          </cell>
        </row>
        <row r="24">
          <cell r="H24" t="str">
            <v>4TO MEDIOLW</v>
          </cell>
          <cell r="I24">
            <v>1.68</v>
          </cell>
        </row>
        <row r="25">
          <cell r="H25" t="str">
            <v>4TO MEDIOW</v>
          </cell>
          <cell r="I25">
            <v>1.82</v>
          </cell>
        </row>
        <row r="26">
          <cell r="H26" t="str">
            <v>4TO MEDIOL</v>
          </cell>
          <cell r="I26">
            <v>0.93</v>
          </cell>
        </row>
        <row r="27">
          <cell r="H27" t="str">
            <v>0,243055555555556LMWJD</v>
          </cell>
          <cell r="I27">
            <v>0.44</v>
          </cell>
        </row>
        <row r="28">
          <cell r="H28" t="str">
            <v>0,243055555555556J</v>
          </cell>
          <cell r="I28">
            <v>0.69</v>
          </cell>
        </row>
        <row r="29">
          <cell r="H29" t="str">
            <v>0,243055555555556L</v>
          </cell>
          <cell r="I29">
            <v>0.49</v>
          </cell>
        </row>
        <row r="30">
          <cell r="H30" t="str">
            <v>0,243055555555556D</v>
          </cell>
          <cell r="I30">
            <v>0.43</v>
          </cell>
        </row>
        <row r="31">
          <cell r="H31" t="str">
            <v>0,243055555555556M</v>
          </cell>
          <cell r="I31">
            <v>0.42</v>
          </cell>
        </row>
        <row r="32">
          <cell r="H32" t="str">
            <v>0,243055555555556W</v>
          </cell>
          <cell r="I32">
            <v>0.32</v>
          </cell>
        </row>
        <row r="33">
          <cell r="H33" t="str">
            <v>AVANCE 24D</v>
          </cell>
          <cell r="I33">
            <v>0.23</v>
          </cell>
        </row>
        <row r="34">
          <cell r="H34" t="str">
            <v>AVANCE 24D</v>
          </cell>
          <cell r="I34">
            <v>0.23</v>
          </cell>
        </row>
        <row r="35">
          <cell r="H35" t="str">
            <v>BEST SELLERVS</v>
          </cell>
          <cell r="I35">
            <v>1.04</v>
          </cell>
        </row>
        <row r="36">
          <cell r="H36" t="str">
            <v>BEST SELLERS</v>
          </cell>
          <cell r="I36">
            <v>1.7</v>
          </cell>
        </row>
        <row r="37">
          <cell r="H37" t="str">
            <v>BEST SELLERV</v>
          </cell>
          <cell r="I37">
            <v>0.74</v>
          </cell>
        </row>
        <row r="38">
          <cell r="H38" t="str">
            <v>BOXEO DE OROS</v>
          </cell>
          <cell r="I38">
            <v>0.93</v>
          </cell>
        </row>
        <row r="39">
          <cell r="H39" t="str">
            <v>BOXEO DE OROS</v>
          </cell>
          <cell r="I39">
            <v>0.93</v>
          </cell>
        </row>
        <row r="40">
          <cell r="H40" t="str">
            <v>BUENOS DIAS A TODOS (A)LMWJV</v>
          </cell>
          <cell r="I40">
            <v>1.01</v>
          </cell>
        </row>
        <row r="41">
          <cell r="H41" t="str">
            <v>BUENOS DIAS A TODOS (A)V</v>
          </cell>
          <cell r="I41">
            <v>1.75</v>
          </cell>
        </row>
        <row r="42">
          <cell r="H42" t="str">
            <v>BUENOS DIAS A TODOS (A)L</v>
          </cell>
          <cell r="I42">
            <v>0.96</v>
          </cell>
        </row>
        <row r="43">
          <cell r="H43" t="str">
            <v>BUENOS DIAS A TODOS (A)J</v>
          </cell>
          <cell r="I43">
            <v>0.93</v>
          </cell>
        </row>
        <row r="44">
          <cell r="H44" t="str">
            <v>BUENOS DIAS A TODOS (A)W</v>
          </cell>
          <cell r="I44">
            <v>0.76</v>
          </cell>
        </row>
        <row r="45">
          <cell r="H45" t="str">
            <v>BUENOS DIAS A TODOS (A)M</v>
          </cell>
          <cell r="I45">
            <v>0.62</v>
          </cell>
        </row>
        <row r="46">
          <cell r="H46" t="str">
            <v>BUENOS DIAS A TODOS (B)LMWJV</v>
          </cell>
          <cell r="I46">
            <v>1.04</v>
          </cell>
        </row>
        <row r="47">
          <cell r="H47" t="str">
            <v>BUENOS DIAS A TODOS (B)J</v>
          </cell>
          <cell r="I47">
            <v>1.52</v>
          </cell>
        </row>
        <row r="48">
          <cell r="H48" t="str">
            <v>BUENOS DIAS A TODOS (B)M</v>
          </cell>
          <cell r="I48">
            <v>1.06</v>
          </cell>
        </row>
        <row r="49">
          <cell r="H49" t="str">
            <v>BUENOS DIAS A TODOS (B)V</v>
          </cell>
          <cell r="I49">
            <v>1.01</v>
          </cell>
        </row>
        <row r="50">
          <cell r="H50" t="str">
            <v>BUENOS DIAS A TODOS (B)L</v>
          </cell>
          <cell r="I50">
            <v>0.95</v>
          </cell>
        </row>
        <row r="51">
          <cell r="H51" t="str">
            <v>BUENOS DIAS A TODOS (B)W</v>
          </cell>
          <cell r="I51">
            <v>0.72</v>
          </cell>
        </row>
        <row r="52">
          <cell r="H52" t="str">
            <v>CHILE CONECTADO (R)D</v>
          </cell>
          <cell r="I52">
            <v>1.93</v>
          </cell>
        </row>
        <row r="53">
          <cell r="H53" t="str">
            <v>CHILE CONECTADO (R)D</v>
          </cell>
          <cell r="I53">
            <v>1.93</v>
          </cell>
        </row>
        <row r="54">
          <cell r="H54" t="str">
            <v>CINEV</v>
          </cell>
          <cell r="I54">
            <v>0.39</v>
          </cell>
        </row>
        <row r="55">
          <cell r="H55" t="str">
            <v>CINEV</v>
          </cell>
          <cell r="I55">
            <v>0.39</v>
          </cell>
        </row>
        <row r="56">
          <cell r="H56" t="str">
            <v>COPA DAVISVSD</v>
          </cell>
          <cell r="I56">
            <v>1.72</v>
          </cell>
        </row>
        <row r="57">
          <cell r="H57" t="str">
            <v>COPA DAVISS</v>
          </cell>
          <cell r="I57">
            <v>1.88</v>
          </cell>
        </row>
        <row r="58">
          <cell r="H58" t="str">
            <v>COPA DAVISV</v>
          </cell>
          <cell r="I58">
            <v>1.78</v>
          </cell>
        </row>
        <row r="59">
          <cell r="H59" t="str">
            <v>COPA DAVISD</v>
          </cell>
          <cell r="I59">
            <v>1.43</v>
          </cell>
        </row>
        <row r="60">
          <cell r="H60" t="str">
            <v>DESTILANDO AMORLMWJV</v>
          </cell>
          <cell r="I60">
            <v>1.55</v>
          </cell>
        </row>
        <row r="61">
          <cell r="H61" t="str">
            <v>DESTILANDO AMORL</v>
          </cell>
          <cell r="I61">
            <v>1.65</v>
          </cell>
        </row>
        <row r="62">
          <cell r="H62" t="str">
            <v>DESTILANDO AMORM</v>
          </cell>
          <cell r="I62">
            <v>1.64</v>
          </cell>
        </row>
        <row r="63">
          <cell r="H63" t="str">
            <v>DESTILANDO AMORV</v>
          </cell>
          <cell r="I63">
            <v>1.55</v>
          </cell>
        </row>
        <row r="64">
          <cell r="H64" t="str">
            <v>DESTILANDO AMORW</v>
          </cell>
          <cell r="I64">
            <v>1.54</v>
          </cell>
        </row>
        <row r="65">
          <cell r="H65" t="str">
            <v>DESTILANDO AMORJ</v>
          </cell>
          <cell r="I65">
            <v>1.38</v>
          </cell>
        </row>
        <row r="66">
          <cell r="H66" t="str">
            <v>DOCTOR HOUSE (R)LMWJVD</v>
          </cell>
          <cell r="I66">
            <v>1.71</v>
          </cell>
        </row>
        <row r="67">
          <cell r="H67" t="str">
            <v>DOCTOR HOUSE (R)M</v>
          </cell>
          <cell r="I67">
            <v>1.98</v>
          </cell>
        </row>
        <row r="68">
          <cell r="H68" t="str">
            <v>DOCTOR HOUSE (R)J</v>
          </cell>
          <cell r="I68">
            <v>1.86</v>
          </cell>
        </row>
        <row r="69">
          <cell r="H69" t="str">
            <v>DOCTOR HOUSE (R)L</v>
          </cell>
          <cell r="I69">
            <v>1.68</v>
          </cell>
        </row>
        <row r="70">
          <cell r="H70" t="str">
            <v>DOCTOR HOUSE (R)W</v>
          </cell>
          <cell r="I70">
            <v>1.56</v>
          </cell>
        </row>
        <row r="71">
          <cell r="H71" t="str">
            <v>DOCTOR HOUSE (R)D</v>
          </cell>
          <cell r="I71">
            <v>1.53</v>
          </cell>
        </row>
        <row r="72">
          <cell r="H72" t="str">
            <v>DOCTOR HOUSE (R)V</v>
          </cell>
          <cell r="I72">
            <v>0.89</v>
          </cell>
        </row>
        <row r="73">
          <cell r="H73" t="str">
            <v>EL SECRETO DE PUENTE VIEJOLMWJV</v>
          </cell>
          <cell r="I73">
            <v>1.4</v>
          </cell>
        </row>
        <row r="74">
          <cell r="H74" t="str">
            <v>EL SECRETO DE PUENTE VIEJOW</v>
          </cell>
          <cell r="I74">
            <v>1.55</v>
          </cell>
        </row>
        <row r="75">
          <cell r="H75" t="str">
            <v>EL SECRETO DE PUENTE VIEJOL</v>
          </cell>
          <cell r="I75">
            <v>1.42</v>
          </cell>
        </row>
        <row r="76">
          <cell r="H76" t="str">
            <v>EL SECRETO DE PUENTE VIEJOV</v>
          </cell>
          <cell r="I76">
            <v>1.38</v>
          </cell>
        </row>
        <row r="77">
          <cell r="H77" t="str">
            <v>EL SECRETO DE PUENTE VIEJOJ</v>
          </cell>
          <cell r="I77">
            <v>1.37</v>
          </cell>
        </row>
        <row r="78">
          <cell r="H78" t="str">
            <v>EL SECRETO DE PUENTE VIEJOM</v>
          </cell>
          <cell r="I78">
            <v>1.29</v>
          </cell>
        </row>
        <row r="79">
          <cell r="H79" t="str">
            <v>ENTRE PROGRAMASLMWJVSD</v>
          </cell>
          <cell r="I79">
            <v>1.47</v>
          </cell>
        </row>
        <row r="80">
          <cell r="H80" t="str">
            <v>ENTRE PROGRAMASM</v>
          </cell>
          <cell r="I80">
            <v>2.35</v>
          </cell>
        </row>
        <row r="81">
          <cell r="H81" t="str">
            <v>ENTRE PROGRAMASJ</v>
          </cell>
          <cell r="I81">
            <v>2.0099999999999998</v>
          </cell>
        </row>
        <row r="82">
          <cell r="H82" t="str">
            <v>ENTRE PROGRAMASD</v>
          </cell>
          <cell r="I82">
            <v>1.3</v>
          </cell>
        </row>
        <row r="83">
          <cell r="H83" t="str">
            <v>ENTRE PROGRAMASL</v>
          </cell>
          <cell r="I83">
            <v>1.25</v>
          </cell>
        </row>
        <row r="84">
          <cell r="H84" t="str">
            <v>ENTRE PROGRAMASS</v>
          </cell>
          <cell r="I84">
            <v>1.1499999999999999</v>
          </cell>
        </row>
        <row r="85">
          <cell r="H85" t="str">
            <v>ENTRE PROGRAMASW</v>
          </cell>
          <cell r="I85">
            <v>1.1200000000000001</v>
          </cell>
        </row>
        <row r="86">
          <cell r="H86" t="str">
            <v>ENTRE PROGRAMASV</v>
          </cell>
          <cell r="I86">
            <v>0.74</v>
          </cell>
        </row>
        <row r="87">
          <cell r="H87" t="str">
            <v>ESA NO SOY YOLMWJV</v>
          </cell>
          <cell r="I87">
            <v>1.53</v>
          </cell>
        </row>
        <row r="88">
          <cell r="H88" t="str">
            <v>ESA NO SOY YOV</v>
          </cell>
          <cell r="I88">
            <v>1.86</v>
          </cell>
        </row>
        <row r="89">
          <cell r="H89" t="str">
            <v>ESA NO SOY YOM</v>
          </cell>
          <cell r="I89">
            <v>1.61</v>
          </cell>
        </row>
        <row r="90">
          <cell r="H90" t="str">
            <v>ESA NO SOY YOL</v>
          </cell>
          <cell r="I90">
            <v>1.56</v>
          </cell>
        </row>
        <row r="91">
          <cell r="H91" t="str">
            <v>ESA NO SOY YOW</v>
          </cell>
          <cell r="I91">
            <v>1.45</v>
          </cell>
        </row>
        <row r="92">
          <cell r="H92" t="str">
            <v>ESA NO SOY YOJ</v>
          </cell>
          <cell r="I92">
            <v>1.33</v>
          </cell>
        </row>
        <row r="93">
          <cell r="H93" t="str">
            <v>ESA NO SOY YO (RESUMEN)LMWJV</v>
          </cell>
          <cell r="I93">
            <v>1.3</v>
          </cell>
        </row>
        <row r="94">
          <cell r="H94" t="str">
            <v>ESA NO SOY YO (RESUMEN)V</v>
          </cell>
          <cell r="I94">
            <v>1.57</v>
          </cell>
        </row>
        <row r="95">
          <cell r="H95" t="str">
            <v>ESA NO SOY YO (RESUMEN)L</v>
          </cell>
          <cell r="I95">
            <v>1.44</v>
          </cell>
        </row>
        <row r="96">
          <cell r="H96" t="str">
            <v>ESA NO SOY YO (RESUMEN)M</v>
          </cell>
          <cell r="I96">
            <v>1.37</v>
          </cell>
        </row>
        <row r="97">
          <cell r="H97" t="str">
            <v>ESA NO SOY YO (RESUMEN)W</v>
          </cell>
          <cell r="I97">
            <v>1.23</v>
          </cell>
        </row>
        <row r="98">
          <cell r="H98" t="str">
            <v>ESA NO SOY YO (RESUMEN)J</v>
          </cell>
          <cell r="I98">
            <v>1.01</v>
          </cell>
        </row>
        <row r="99">
          <cell r="H99" t="str">
            <v>ESTADO NACIONALD</v>
          </cell>
          <cell r="I99">
            <v>1.28</v>
          </cell>
        </row>
        <row r="100">
          <cell r="H100" t="str">
            <v>ESTADO NACIONALD</v>
          </cell>
          <cell r="I100">
            <v>1.28</v>
          </cell>
        </row>
        <row r="101">
          <cell r="H101" t="str">
            <v>FRUTOS DEL PAISD</v>
          </cell>
          <cell r="I101">
            <v>1.66</v>
          </cell>
        </row>
        <row r="102">
          <cell r="H102" t="str">
            <v>FRUTOS DEL PAISD</v>
          </cell>
          <cell r="I102">
            <v>1.66</v>
          </cell>
        </row>
        <row r="103">
          <cell r="H103" t="str">
            <v>FRUTOS DEL PAIS (R)D</v>
          </cell>
          <cell r="I103">
            <v>1.71</v>
          </cell>
        </row>
        <row r="104">
          <cell r="H104" t="str">
            <v>FRUTOS DEL PAIS (R)D</v>
          </cell>
          <cell r="I104">
            <v>1.71</v>
          </cell>
        </row>
        <row r="105">
          <cell r="H105" t="str">
            <v>GRANDES PELICULASS</v>
          </cell>
          <cell r="I105">
            <v>1.25</v>
          </cell>
        </row>
        <row r="106">
          <cell r="H106" t="str">
            <v>GRANDES PELICULASS</v>
          </cell>
          <cell r="I106">
            <v>1.25</v>
          </cell>
        </row>
        <row r="107">
          <cell r="H107" t="str">
            <v>HABITANTES DEL PACIFICO (R)D</v>
          </cell>
          <cell r="I107">
            <v>1.43</v>
          </cell>
        </row>
        <row r="108">
          <cell r="H108" t="str">
            <v>HABITANTES DEL PACIFICO (R)D</v>
          </cell>
          <cell r="I108">
            <v>1.43</v>
          </cell>
        </row>
        <row r="109">
          <cell r="H109" t="str">
            <v>HISTORIA DE UN OSOS</v>
          </cell>
          <cell r="I109">
            <v>3.36</v>
          </cell>
        </row>
        <row r="110">
          <cell r="H110" t="str">
            <v>HISTORIA DE UN OSOS</v>
          </cell>
          <cell r="I110">
            <v>3.36</v>
          </cell>
        </row>
        <row r="111">
          <cell r="H111" t="str">
            <v>HORACIO Y LOS PLASTICINESS</v>
          </cell>
          <cell r="I111">
            <v>0.42</v>
          </cell>
        </row>
        <row r="112">
          <cell r="H112" t="str">
            <v>HORACIO Y LOS PLASTICINESS</v>
          </cell>
          <cell r="I112">
            <v>0.42</v>
          </cell>
        </row>
        <row r="113">
          <cell r="H113" t="str">
            <v>JOSE DE EGIPTOV</v>
          </cell>
          <cell r="I113">
            <v>2.62</v>
          </cell>
        </row>
        <row r="114">
          <cell r="H114" t="str">
            <v>JOSE DE EGIPTOV</v>
          </cell>
          <cell r="I114">
            <v>2.62</v>
          </cell>
        </row>
        <row r="115">
          <cell r="H115" t="str">
            <v>LA CULTURA ENTRETENIDAD</v>
          </cell>
          <cell r="I115">
            <v>1.22</v>
          </cell>
        </row>
        <row r="116">
          <cell r="H116" t="str">
            <v>LA CULTURA ENTRETENIDAD</v>
          </cell>
          <cell r="I116">
            <v>1.22</v>
          </cell>
        </row>
        <row r="117">
          <cell r="H117" t="str">
            <v>MEDIA NOCHELMWJV</v>
          </cell>
          <cell r="I117">
            <v>1.65</v>
          </cell>
        </row>
        <row r="118">
          <cell r="H118" t="str">
            <v>MEDIA NOCHEJ</v>
          </cell>
          <cell r="I118">
            <v>2.15</v>
          </cell>
        </row>
        <row r="119">
          <cell r="H119" t="str">
            <v>MEDIA NOCHEM</v>
          </cell>
          <cell r="I119">
            <v>1.89</v>
          </cell>
        </row>
        <row r="120">
          <cell r="H120" t="str">
            <v>MEDIA NOCHEL</v>
          </cell>
          <cell r="I120">
            <v>1.86</v>
          </cell>
        </row>
        <row r="121">
          <cell r="H121" t="str">
            <v>MEDIA NOCHEW</v>
          </cell>
          <cell r="I121">
            <v>1.31</v>
          </cell>
        </row>
        <row r="122">
          <cell r="H122" t="str">
            <v>MEDIA NOCHEV</v>
          </cell>
          <cell r="I122">
            <v>0.77</v>
          </cell>
        </row>
        <row r="123">
          <cell r="H123" t="str">
            <v>MELO Y ASTORGAS</v>
          </cell>
          <cell r="I123">
            <v>1.1200000000000001</v>
          </cell>
        </row>
        <row r="124">
          <cell r="H124" t="str">
            <v>MELO Y ASTORGAS</v>
          </cell>
          <cell r="I124">
            <v>1.1200000000000001</v>
          </cell>
        </row>
        <row r="125">
          <cell r="H125" t="str">
            <v>MIRADA ECONOMICAD</v>
          </cell>
          <cell r="I125">
            <v>0.28999999999999998</v>
          </cell>
        </row>
        <row r="126">
          <cell r="H126" t="str">
            <v>MIRADA ECONOMICAD</v>
          </cell>
          <cell r="I126">
            <v>0.28999999999999998</v>
          </cell>
        </row>
        <row r="127">
          <cell r="H127" t="str">
            <v>MOISES LOS 10 MANDAMIENTOSLMWJD</v>
          </cell>
          <cell r="I127">
            <v>6.05</v>
          </cell>
        </row>
        <row r="128">
          <cell r="H128" t="str">
            <v>MOISES LOS 10 MANDAMIENTOSD</v>
          </cell>
          <cell r="I128">
            <v>6.4</v>
          </cell>
        </row>
        <row r="129">
          <cell r="H129" t="str">
            <v>MOISES LOS 10 MANDAMIENTOSL</v>
          </cell>
          <cell r="I129">
            <v>6.4</v>
          </cell>
        </row>
        <row r="130">
          <cell r="H130" t="str">
            <v>MOISES LOS 10 MANDAMIENTOSW</v>
          </cell>
          <cell r="I130">
            <v>6.03</v>
          </cell>
        </row>
        <row r="131">
          <cell r="H131" t="str">
            <v>MOISES LOS 10 MANDAMIENTOSJ</v>
          </cell>
          <cell r="I131">
            <v>5.87</v>
          </cell>
        </row>
        <row r="132">
          <cell r="H132" t="str">
            <v>MOISES LOS 10 MANDAMIENTOSM</v>
          </cell>
          <cell r="I132">
            <v>5.62</v>
          </cell>
        </row>
        <row r="133">
          <cell r="H133" t="str">
            <v>MOISES LOS 10 MANDAMIENTOS (RELMWJSD</v>
          </cell>
          <cell r="I133">
            <v>2.9</v>
          </cell>
        </row>
        <row r="134">
          <cell r="H134" t="str">
            <v>MOISES LOS 10 MANDAMIENTOS (RED</v>
          </cell>
          <cell r="I134">
            <v>5.39</v>
          </cell>
        </row>
        <row r="135">
          <cell r="H135" t="str">
            <v>MOISES LOS 10 MANDAMIENTOS (REL</v>
          </cell>
          <cell r="I135">
            <v>5.31</v>
          </cell>
        </row>
        <row r="136">
          <cell r="H136" t="str">
            <v>MOISES LOS 10 MANDAMIENTOS (REW</v>
          </cell>
          <cell r="I136">
            <v>4.8</v>
          </cell>
        </row>
        <row r="137">
          <cell r="H137" t="str">
            <v>MOISES LOS 10 MANDAMIENTOS (REM</v>
          </cell>
          <cell r="I137">
            <v>4.5599999999999996</v>
          </cell>
        </row>
        <row r="138">
          <cell r="H138" t="str">
            <v>MOISES LOS 10 MANDAMIENTOS (REJ</v>
          </cell>
          <cell r="I138">
            <v>3.65</v>
          </cell>
        </row>
        <row r="139">
          <cell r="H139" t="str">
            <v>MOISES LOS 10 MANDAMIENTOS (RES</v>
          </cell>
          <cell r="I139">
            <v>1</v>
          </cell>
        </row>
        <row r="140">
          <cell r="H140" t="str">
            <v>NOTICREOS</v>
          </cell>
          <cell r="I140">
            <v>0.53</v>
          </cell>
        </row>
        <row r="141">
          <cell r="H141" t="str">
            <v>NOTICREOS</v>
          </cell>
          <cell r="I141">
            <v>0.53</v>
          </cell>
        </row>
        <row r="142">
          <cell r="H142" t="str">
            <v>NUESTRO SIGLOS</v>
          </cell>
          <cell r="I142">
            <v>1.51</v>
          </cell>
        </row>
        <row r="143">
          <cell r="H143" t="str">
            <v>NUESTRO SIGLOS</v>
          </cell>
          <cell r="I143">
            <v>1.51</v>
          </cell>
        </row>
        <row r="144">
          <cell r="H144" t="str">
            <v>PELICULA INFANTILS</v>
          </cell>
          <cell r="I144">
            <v>0.45</v>
          </cell>
        </row>
        <row r="145">
          <cell r="H145" t="str">
            <v>PELICULA INFANTILS</v>
          </cell>
          <cell r="I145">
            <v>0.45</v>
          </cell>
        </row>
        <row r="146">
          <cell r="H146" t="str">
            <v>PELOTON LA HISTORIA DEL HONORW</v>
          </cell>
          <cell r="I146">
            <v>1.03</v>
          </cell>
        </row>
        <row r="147">
          <cell r="H147" t="str">
            <v>PELOTON LA HISTORIA DEL HONORW</v>
          </cell>
          <cell r="I147">
            <v>1.03</v>
          </cell>
        </row>
        <row r="148">
          <cell r="H148" t="str">
            <v>PEPPA LA CERDITAS</v>
          </cell>
          <cell r="I148">
            <v>0.48</v>
          </cell>
        </row>
        <row r="149">
          <cell r="H149" t="str">
            <v>PEPPA LA CERDITAS</v>
          </cell>
          <cell r="I149">
            <v>0.48</v>
          </cell>
        </row>
        <row r="150">
          <cell r="H150" t="str">
            <v>PODIOD</v>
          </cell>
          <cell r="I150">
            <v>0.8</v>
          </cell>
        </row>
        <row r="151">
          <cell r="H151" t="str">
            <v>PODIOD</v>
          </cell>
          <cell r="I151">
            <v>0.8</v>
          </cell>
        </row>
        <row r="152">
          <cell r="H152" t="str">
            <v>POR FIN SOLOSLD</v>
          </cell>
          <cell r="I152">
            <v>2.0699999999999998</v>
          </cell>
        </row>
        <row r="153">
          <cell r="H153" t="str">
            <v>POR FIN SOLOSD</v>
          </cell>
          <cell r="I153">
            <v>2.2400000000000002</v>
          </cell>
        </row>
        <row r="154">
          <cell r="H154" t="str">
            <v>POR FIN SOLOSL</v>
          </cell>
          <cell r="I154">
            <v>1.96</v>
          </cell>
        </row>
        <row r="155">
          <cell r="H155" t="str">
            <v>POR FIN SOLOS (R)V</v>
          </cell>
          <cell r="I155">
            <v>1.76</v>
          </cell>
        </row>
        <row r="156">
          <cell r="H156" t="str">
            <v>POR FIN SOLOS (R)V</v>
          </cell>
          <cell r="I156">
            <v>1.76</v>
          </cell>
        </row>
        <row r="157">
          <cell r="H157" t="str">
            <v>POR FIN SOLOS (RESUMEN)L</v>
          </cell>
          <cell r="I157">
            <v>1.97</v>
          </cell>
        </row>
        <row r="158">
          <cell r="H158" t="str">
            <v>POR FIN SOLOS (RESUMEN)L</v>
          </cell>
          <cell r="I158">
            <v>1.97</v>
          </cell>
        </row>
        <row r="159">
          <cell r="H159" t="str">
            <v>PURO CHILEV</v>
          </cell>
          <cell r="I159">
            <v>1.1200000000000001</v>
          </cell>
        </row>
        <row r="160">
          <cell r="H160" t="str">
            <v>PURO CHILEV</v>
          </cell>
          <cell r="I160">
            <v>1.1200000000000001</v>
          </cell>
        </row>
        <row r="161">
          <cell r="H161" t="str">
            <v>PURO CHILE (R)D</v>
          </cell>
          <cell r="I161">
            <v>0.54</v>
          </cell>
        </row>
        <row r="162">
          <cell r="H162" t="str">
            <v>PURO CHILE (R)D</v>
          </cell>
          <cell r="I162">
            <v>0.54</v>
          </cell>
        </row>
        <row r="163">
          <cell r="H163" t="str">
            <v>ROMANE (R)LMWJV</v>
          </cell>
          <cell r="I163">
            <v>1.31</v>
          </cell>
        </row>
        <row r="164">
          <cell r="H164" t="str">
            <v>ROMANE (R)M</v>
          </cell>
          <cell r="I164">
            <v>1.59</v>
          </cell>
        </row>
        <row r="165">
          <cell r="H165" t="str">
            <v>ROMANE (R)L</v>
          </cell>
          <cell r="I165">
            <v>1.28</v>
          </cell>
        </row>
        <row r="166">
          <cell r="H166" t="str">
            <v>ROMANE (R)W</v>
          </cell>
          <cell r="I166">
            <v>1.27</v>
          </cell>
        </row>
        <row r="167">
          <cell r="H167" t="str">
            <v>ROMANE (R)J</v>
          </cell>
          <cell r="I167">
            <v>1.1599999999999999</v>
          </cell>
        </row>
        <row r="168">
          <cell r="H168" t="str">
            <v>ROMANE (R)V</v>
          </cell>
          <cell r="I168">
            <v>1.1499999999999999</v>
          </cell>
        </row>
        <row r="169">
          <cell r="H169" t="str">
            <v>SABADO DE K OS</v>
          </cell>
          <cell r="I169">
            <v>2.2200000000000002</v>
          </cell>
        </row>
        <row r="170">
          <cell r="H170" t="str">
            <v>SABADO DE K OS</v>
          </cell>
          <cell r="I170">
            <v>2.2200000000000002</v>
          </cell>
        </row>
        <row r="171">
          <cell r="H171" t="str">
            <v>SEMANA SANTAV</v>
          </cell>
          <cell r="I171">
            <v>3.14</v>
          </cell>
        </row>
        <row r="172">
          <cell r="H172" t="str">
            <v>SEMANA SANTAV</v>
          </cell>
          <cell r="I172">
            <v>3.14</v>
          </cell>
        </row>
        <row r="173">
          <cell r="H173" t="str">
            <v>SESIONES 24D</v>
          </cell>
          <cell r="I173">
            <v>0.11</v>
          </cell>
        </row>
        <row r="174">
          <cell r="H174" t="str">
            <v>SESIONES 24D</v>
          </cell>
          <cell r="I174">
            <v>0.11</v>
          </cell>
        </row>
        <row r="175">
          <cell r="H175" t="str">
            <v>SUPER CINES</v>
          </cell>
          <cell r="I175">
            <v>0.54</v>
          </cell>
        </row>
        <row r="176">
          <cell r="H176" t="str">
            <v>SUPER CINES</v>
          </cell>
          <cell r="I176">
            <v>0.54</v>
          </cell>
        </row>
        <row r="177">
          <cell r="H177" t="str">
            <v>TU MANANA 24 HORASLMWJV</v>
          </cell>
          <cell r="I177">
            <v>1.4</v>
          </cell>
        </row>
        <row r="178">
          <cell r="H178" t="str">
            <v>TU MANANA 24 HORASW</v>
          </cell>
          <cell r="I178">
            <v>1.59</v>
          </cell>
        </row>
        <row r="179">
          <cell r="H179" t="str">
            <v>TU MANANA 24 HORASL</v>
          </cell>
          <cell r="I179">
            <v>1.5</v>
          </cell>
        </row>
        <row r="180">
          <cell r="H180" t="str">
            <v>TU MANANA 24 HORASJ</v>
          </cell>
          <cell r="I180">
            <v>1.48</v>
          </cell>
        </row>
        <row r="181">
          <cell r="H181" t="str">
            <v>TU MANANA 24 HORASV</v>
          </cell>
          <cell r="I181">
            <v>1.32</v>
          </cell>
        </row>
        <row r="182">
          <cell r="H182" t="str">
            <v>TU MANANA 24 HORASM</v>
          </cell>
          <cell r="I182">
            <v>1.1399999999999999</v>
          </cell>
        </row>
        <row r="183">
          <cell r="H183" t="str">
            <v>TV TIEMPOLMWJVSD</v>
          </cell>
          <cell r="I183">
            <v>4.05</v>
          </cell>
        </row>
        <row r="184">
          <cell r="H184" t="str">
            <v>TV TIEMPOD</v>
          </cell>
          <cell r="I184">
            <v>4.8499999999999996</v>
          </cell>
        </row>
        <row r="185">
          <cell r="H185" t="str">
            <v>TV TIEMPOJ</v>
          </cell>
          <cell r="I185">
            <v>4.49</v>
          </cell>
        </row>
        <row r="186">
          <cell r="H186" t="str">
            <v>TV TIEMPOM</v>
          </cell>
          <cell r="I186">
            <v>4.49</v>
          </cell>
        </row>
        <row r="187">
          <cell r="H187" t="str">
            <v>TV TIEMPOL</v>
          </cell>
          <cell r="I187">
            <v>4.3</v>
          </cell>
        </row>
        <row r="188">
          <cell r="H188" t="str">
            <v>TV TIEMPOW</v>
          </cell>
          <cell r="I188">
            <v>4.16</v>
          </cell>
        </row>
        <row r="189">
          <cell r="H189" t="str">
            <v>TV TIEMPOV</v>
          </cell>
          <cell r="I189">
            <v>2.87</v>
          </cell>
        </row>
        <row r="190">
          <cell r="H190" t="str">
            <v>TV TIEMPOS</v>
          </cell>
          <cell r="I190">
            <v>2.5</v>
          </cell>
        </row>
        <row r="191">
          <cell r="H191" t="str">
            <v>VIRALM</v>
          </cell>
          <cell r="I191">
            <v>2.91</v>
          </cell>
        </row>
        <row r="192">
          <cell r="H192" t="str">
            <v>VIRALM</v>
          </cell>
          <cell r="I192">
            <v>2.91</v>
          </cell>
        </row>
        <row r="193">
          <cell r="H193" t="str">
            <v>MATRIARCASLMWJV</v>
          </cell>
          <cell r="I193">
            <v>1.7</v>
          </cell>
        </row>
        <row r="194">
          <cell r="H194" t="str">
            <v>HUMOR EN FESTIVAL DE OLMUE (LOJ</v>
          </cell>
          <cell r="I194">
            <v>3.4</v>
          </cell>
        </row>
        <row r="196">
          <cell r="H196" t="str">
            <v>MOISES LOS 10 MANDAMIENTOSLMWJ</v>
          </cell>
          <cell r="I196">
            <v>5.98</v>
          </cell>
        </row>
        <row r="197">
          <cell r="H197" t="str">
            <v>24 HORAS CENTRALLMWJV</v>
          </cell>
          <cell r="I197">
            <v>3.1719999999999997</v>
          </cell>
        </row>
        <row r="198">
          <cell r="H198" t="str">
            <v>24 HORAS AL DIALMWJV</v>
          </cell>
          <cell r="I198">
            <v>1.7899999999999998</v>
          </cell>
        </row>
      </sheetData>
      <sheetData sheetId="16">
        <row r="3">
          <cell r="H3" t="str">
            <v>MOISES LOS 10 MANDAMIENTOSLMWJD</v>
          </cell>
          <cell r="I3">
            <v>7.18</v>
          </cell>
        </row>
        <row r="4">
          <cell r="H4" t="str">
            <v>MOISES LOS 10 MANDAMIENTOSD</v>
          </cell>
          <cell r="I4">
            <v>7.81</v>
          </cell>
        </row>
        <row r="5">
          <cell r="H5" t="str">
            <v>MOISES LOS 10 MANDAMIENTOSL</v>
          </cell>
          <cell r="I5">
            <v>7.49</v>
          </cell>
        </row>
        <row r="6">
          <cell r="H6" t="str">
            <v>MOISES LOS 10 MANDAMIENTOSW</v>
          </cell>
          <cell r="I6">
            <v>7.09</v>
          </cell>
        </row>
        <row r="7">
          <cell r="H7" t="str">
            <v>MOISES LOS 10 MANDAMIENTOSJ</v>
          </cell>
          <cell r="I7">
            <v>7</v>
          </cell>
        </row>
        <row r="8">
          <cell r="H8" t="str">
            <v>MOISES LOS 10 MANDAMIENTOSM</v>
          </cell>
          <cell r="I8">
            <v>6.64</v>
          </cell>
        </row>
        <row r="9">
          <cell r="H9" t="str">
            <v>TV TIEMPOLMWJVSD</v>
          </cell>
          <cell r="I9">
            <v>4.8600000000000003</v>
          </cell>
        </row>
        <row r="10">
          <cell r="H10" t="str">
            <v>TV TIEMPOD</v>
          </cell>
          <cell r="I10">
            <v>5.67</v>
          </cell>
        </row>
        <row r="11">
          <cell r="H11" t="str">
            <v>TV TIEMPOW</v>
          </cell>
          <cell r="I11">
            <v>5.56</v>
          </cell>
        </row>
        <row r="12">
          <cell r="H12" t="str">
            <v>TV TIEMPOJ</v>
          </cell>
          <cell r="I12">
            <v>5.27</v>
          </cell>
        </row>
        <row r="13">
          <cell r="H13" t="str">
            <v>TV TIEMPOM</v>
          </cell>
          <cell r="I13">
            <v>5.24</v>
          </cell>
        </row>
        <row r="14">
          <cell r="H14" t="str">
            <v>TV TIEMPOL</v>
          </cell>
          <cell r="I14">
            <v>4.67</v>
          </cell>
        </row>
        <row r="15">
          <cell r="H15" t="str">
            <v>TV TIEMPOV</v>
          </cell>
          <cell r="I15">
            <v>3.78</v>
          </cell>
        </row>
        <row r="16">
          <cell r="H16" t="str">
            <v>TV TIEMPOS</v>
          </cell>
          <cell r="I16">
            <v>2.9</v>
          </cell>
        </row>
        <row r="17">
          <cell r="H17" t="str">
            <v>24 HORAS DOMINGOD</v>
          </cell>
          <cell r="I17">
            <v>4.46</v>
          </cell>
        </row>
        <row r="18">
          <cell r="H18" t="str">
            <v>24 HORAS DOMINGOD</v>
          </cell>
          <cell r="I18">
            <v>4.46</v>
          </cell>
        </row>
        <row r="19">
          <cell r="H19" t="str">
            <v>HISTORIA DE UN OSOS</v>
          </cell>
          <cell r="I19">
            <v>4.22</v>
          </cell>
        </row>
        <row r="20">
          <cell r="H20" t="str">
            <v>HISTORIA DE UN OSOS</v>
          </cell>
          <cell r="I20">
            <v>4.22</v>
          </cell>
        </row>
        <row r="21">
          <cell r="H21" t="str">
            <v>45 ANOS DE UN COCOJ</v>
          </cell>
          <cell r="I21">
            <v>4.1500000000000004</v>
          </cell>
        </row>
        <row r="22">
          <cell r="H22" t="str">
            <v>45 ANOS DE UN COCOJ</v>
          </cell>
          <cell r="I22">
            <v>4.1500000000000004</v>
          </cell>
        </row>
        <row r="23">
          <cell r="H23" t="str">
            <v>MOISES LOS 10 MANDAMIENTOS (RELMWJSD</v>
          </cell>
          <cell r="I23">
            <v>3.64</v>
          </cell>
        </row>
        <row r="24">
          <cell r="H24" t="str">
            <v>MOISES LOS 10 MANDAMIENTOS (RED</v>
          </cell>
          <cell r="I24">
            <v>6.79</v>
          </cell>
        </row>
        <row r="25">
          <cell r="H25" t="str">
            <v>MOISES LOS 10 MANDAMIENTOS (REW</v>
          </cell>
          <cell r="I25">
            <v>6.01</v>
          </cell>
        </row>
        <row r="26">
          <cell r="H26" t="str">
            <v>MOISES LOS 10 MANDAMIENTOS (REL</v>
          </cell>
          <cell r="I26">
            <v>5.94</v>
          </cell>
        </row>
        <row r="27">
          <cell r="H27" t="str">
            <v>MOISES LOS 10 MANDAMIENTOS (REM</v>
          </cell>
          <cell r="I27">
            <v>5.53</v>
          </cell>
        </row>
        <row r="28">
          <cell r="H28" t="str">
            <v>MOISES LOS 10 MANDAMIENTOS (REJ</v>
          </cell>
          <cell r="I28">
            <v>4.5999999999999996</v>
          </cell>
        </row>
        <row r="29">
          <cell r="H29" t="str">
            <v>MOISES LOS 10 MANDAMIENTOS (RES</v>
          </cell>
          <cell r="I29">
            <v>1.43</v>
          </cell>
        </row>
        <row r="30">
          <cell r="H30" t="str">
            <v>24 HORAS CENTRALLMWJVS</v>
          </cell>
          <cell r="I30">
            <v>3.53</v>
          </cell>
        </row>
        <row r="31">
          <cell r="H31" t="str">
            <v>24 HORAS CENTRALV</v>
          </cell>
          <cell r="I31">
            <v>3.99</v>
          </cell>
        </row>
        <row r="32">
          <cell r="H32" t="str">
            <v>24 HORAS CENTRALW</v>
          </cell>
          <cell r="I32">
            <v>3.79</v>
          </cell>
        </row>
        <row r="33">
          <cell r="H33" t="str">
            <v>24 HORAS CENTRALL</v>
          </cell>
          <cell r="I33">
            <v>3.73</v>
          </cell>
        </row>
        <row r="34">
          <cell r="H34" t="str">
            <v>24 HORAS CENTRALJ</v>
          </cell>
          <cell r="I34">
            <v>3.66</v>
          </cell>
        </row>
        <row r="35">
          <cell r="H35" t="str">
            <v>24 HORAS CENTRALM</v>
          </cell>
          <cell r="I35">
            <v>3.4</v>
          </cell>
        </row>
        <row r="36">
          <cell r="H36" t="str">
            <v>24 HORAS CENTRALS</v>
          </cell>
          <cell r="I36">
            <v>2.4700000000000002</v>
          </cell>
        </row>
        <row r="37">
          <cell r="H37" t="str">
            <v>VIRALM</v>
          </cell>
          <cell r="I37">
            <v>3.26</v>
          </cell>
        </row>
        <row r="38">
          <cell r="H38" t="str">
            <v>VIRALM</v>
          </cell>
          <cell r="I38">
            <v>3.26</v>
          </cell>
        </row>
        <row r="39">
          <cell r="H39" t="str">
            <v>SEMANA SANTAV</v>
          </cell>
          <cell r="I39">
            <v>3.14</v>
          </cell>
        </row>
        <row r="40">
          <cell r="H40" t="str">
            <v>SEMANA SANTAV</v>
          </cell>
          <cell r="I40">
            <v>3.14</v>
          </cell>
        </row>
        <row r="41">
          <cell r="H41" t="str">
            <v>JOSE DE EGIPTOV</v>
          </cell>
          <cell r="I41">
            <v>2.89</v>
          </cell>
        </row>
        <row r="42">
          <cell r="H42" t="str">
            <v>JOSE DE EGIPTOV</v>
          </cell>
          <cell r="I42">
            <v>2.89</v>
          </cell>
        </row>
        <row r="43">
          <cell r="H43" t="str">
            <v>POR FIN SOLOSLD</v>
          </cell>
          <cell r="I43">
            <v>2.77</v>
          </cell>
        </row>
        <row r="44">
          <cell r="H44" t="str">
            <v>POR FIN SOLOSD</v>
          </cell>
          <cell r="I44">
            <v>3.28</v>
          </cell>
        </row>
        <row r="45">
          <cell r="H45" t="str">
            <v>POR FIN SOLOSL</v>
          </cell>
          <cell r="I45">
            <v>2.44</v>
          </cell>
        </row>
        <row r="46">
          <cell r="H46" t="str">
            <v>SABADO DE K OS</v>
          </cell>
          <cell r="I46">
            <v>2.7</v>
          </cell>
        </row>
        <row r="47">
          <cell r="H47" t="str">
            <v>SABADO DE K OS</v>
          </cell>
          <cell r="I47">
            <v>2.7</v>
          </cell>
        </row>
        <row r="48">
          <cell r="H48" t="str">
            <v>POR FIN SOLOS (RESUMEN)L</v>
          </cell>
          <cell r="I48">
            <v>2.35</v>
          </cell>
        </row>
        <row r="49">
          <cell r="H49" t="str">
            <v>POR FIN SOLOS (RESUMEN)L</v>
          </cell>
          <cell r="I49">
            <v>2.35</v>
          </cell>
        </row>
        <row r="50">
          <cell r="H50" t="str">
            <v>DESTILANDO AMORLMWJV</v>
          </cell>
          <cell r="I50">
            <v>2.33</v>
          </cell>
        </row>
        <row r="51">
          <cell r="H51" t="str">
            <v>DESTILANDO AMORL</v>
          </cell>
          <cell r="I51">
            <v>2.72</v>
          </cell>
        </row>
        <row r="52">
          <cell r="H52" t="str">
            <v>DESTILANDO AMORM</v>
          </cell>
          <cell r="I52">
            <v>2.66</v>
          </cell>
        </row>
        <row r="53">
          <cell r="H53" t="str">
            <v>DESTILANDO AMORW</v>
          </cell>
          <cell r="I53">
            <v>2.38</v>
          </cell>
        </row>
        <row r="54">
          <cell r="H54" t="str">
            <v>DESTILANDO AMORV</v>
          </cell>
          <cell r="I54">
            <v>1.97</v>
          </cell>
        </row>
        <row r="55">
          <cell r="H55" t="str">
            <v>DESTILANDO AMORJ</v>
          </cell>
          <cell r="I55">
            <v>1.9</v>
          </cell>
        </row>
        <row r="56">
          <cell r="H56" t="str">
            <v>HABITANTES DEL PACIFICO (R)D</v>
          </cell>
          <cell r="I56">
            <v>2.11</v>
          </cell>
        </row>
        <row r="57">
          <cell r="H57" t="str">
            <v>HABITANTES DEL PACIFICO (R)D</v>
          </cell>
          <cell r="I57">
            <v>2.11</v>
          </cell>
        </row>
        <row r="58">
          <cell r="H58" t="str">
            <v>EL SECRETO DE PUENTE VIEJOLMWJV</v>
          </cell>
          <cell r="I58">
            <v>2.1</v>
          </cell>
        </row>
        <row r="59">
          <cell r="H59" t="str">
            <v>EL SECRETO DE PUENTE VIEJOW</v>
          </cell>
          <cell r="I59">
            <v>2.2799999999999998</v>
          </cell>
        </row>
        <row r="60">
          <cell r="H60" t="str">
            <v>EL SECRETO DE PUENTE VIEJOM</v>
          </cell>
          <cell r="I60">
            <v>2.2400000000000002</v>
          </cell>
        </row>
        <row r="61">
          <cell r="H61" t="str">
            <v>EL SECRETO DE PUENTE VIEJOV</v>
          </cell>
          <cell r="I61">
            <v>2.11</v>
          </cell>
        </row>
        <row r="62">
          <cell r="H62" t="str">
            <v>EL SECRETO DE PUENTE VIEJOL</v>
          </cell>
          <cell r="I62">
            <v>1.91</v>
          </cell>
        </row>
        <row r="63">
          <cell r="H63" t="str">
            <v>EL SECRETO DE PUENTE VIEJOJ</v>
          </cell>
          <cell r="I63">
            <v>1.89</v>
          </cell>
        </row>
        <row r="64">
          <cell r="H64" t="str">
            <v>CHILE CONECTADO (R)D</v>
          </cell>
          <cell r="I64">
            <v>2.08</v>
          </cell>
        </row>
        <row r="65">
          <cell r="H65" t="str">
            <v>CHILE CONECTADO (R)D</v>
          </cell>
          <cell r="I65">
            <v>2.08</v>
          </cell>
        </row>
        <row r="66">
          <cell r="H66" t="str">
            <v>ESA NO SOY YOLMWJV</v>
          </cell>
          <cell r="I66">
            <v>2.06</v>
          </cell>
        </row>
        <row r="67">
          <cell r="H67" t="str">
            <v>ESA NO SOY YOM</v>
          </cell>
          <cell r="I67">
            <v>2.38</v>
          </cell>
        </row>
        <row r="68">
          <cell r="H68" t="str">
            <v>ESA NO SOY YOL</v>
          </cell>
          <cell r="I68">
            <v>2.0699999999999998</v>
          </cell>
        </row>
        <row r="69">
          <cell r="H69" t="str">
            <v>ESA NO SOY YOW</v>
          </cell>
          <cell r="I69">
            <v>2.04</v>
          </cell>
        </row>
        <row r="70">
          <cell r="H70" t="str">
            <v>ESA NO SOY YOV</v>
          </cell>
          <cell r="I70">
            <v>2.0299999999999998</v>
          </cell>
        </row>
        <row r="71">
          <cell r="H71" t="str">
            <v>ESA NO SOY YOJ</v>
          </cell>
          <cell r="I71">
            <v>1.71</v>
          </cell>
        </row>
        <row r="72">
          <cell r="H72" t="str">
            <v>FRUTOS DEL PAIS (R)D</v>
          </cell>
          <cell r="I72">
            <v>2</v>
          </cell>
        </row>
        <row r="73">
          <cell r="H73" t="str">
            <v>FRUTOS DEL PAIS (R)D</v>
          </cell>
          <cell r="I73">
            <v>2</v>
          </cell>
        </row>
        <row r="74">
          <cell r="H74" t="str">
            <v>24 HORAS AL DIALMWJVSD</v>
          </cell>
          <cell r="I74">
            <v>1.99</v>
          </cell>
        </row>
        <row r="75">
          <cell r="H75" t="str">
            <v>24 HORAS AL DIAL</v>
          </cell>
          <cell r="I75">
            <v>2.64</v>
          </cell>
        </row>
        <row r="76">
          <cell r="H76" t="str">
            <v>24 HORAS AL DIAM</v>
          </cell>
          <cell r="I76">
            <v>2.2999999999999998</v>
          </cell>
        </row>
        <row r="77">
          <cell r="H77" t="str">
            <v>24 HORAS AL DIAV</v>
          </cell>
          <cell r="I77">
            <v>2.2200000000000002</v>
          </cell>
        </row>
        <row r="78">
          <cell r="H78" t="str">
            <v>24 HORAS AL DIAJ</v>
          </cell>
          <cell r="I78">
            <v>2.16</v>
          </cell>
        </row>
        <row r="79">
          <cell r="H79" t="str">
            <v>24 HORAS AL DIAW</v>
          </cell>
          <cell r="I79">
            <v>2.0299999999999998</v>
          </cell>
        </row>
        <row r="80">
          <cell r="H80" t="str">
            <v>24 HORAS AL DIAS</v>
          </cell>
          <cell r="I80">
            <v>1.54</v>
          </cell>
        </row>
        <row r="81">
          <cell r="H81" t="str">
            <v>24 HORAS AL DIAD</v>
          </cell>
          <cell r="I81">
            <v>1.2</v>
          </cell>
        </row>
        <row r="82">
          <cell r="H82" t="str">
            <v>FRUTOS DEL PAISD</v>
          </cell>
          <cell r="I82">
            <v>1.96</v>
          </cell>
        </row>
        <row r="83">
          <cell r="H83" t="str">
            <v>FRUTOS DEL PAISD</v>
          </cell>
          <cell r="I83">
            <v>1.96</v>
          </cell>
        </row>
        <row r="84">
          <cell r="H84" t="str">
            <v>POR FIN SOLOS (R)V</v>
          </cell>
          <cell r="I84">
            <v>1.93</v>
          </cell>
        </row>
        <row r="85">
          <cell r="H85" t="str">
            <v>POR FIN SOLOS (R)V</v>
          </cell>
          <cell r="I85">
            <v>1.93</v>
          </cell>
        </row>
        <row r="86">
          <cell r="H86" t="str">
            <v>4TO MEDIOLW</v>
          </cell>
          <cell r="I86">
            <v>1.79</v>
          </cell>
        </row>
        <row r="87">
          <cell r="H87" t="str">
            <v>4TO MEDIOW</v>
          </cell>
          <cell r="I87">
            <v>1.96</v>
          </cell>
        </row>
        <row r="88">
          <cell r="H88" t="str">
            <v>4TO MEDIOL</v>
          </cell>
          <cell r="I88">
            <v>0.84</v>
          </cell>
        </row>
        <row r="89">
          <cell r="H89" t="str">
            <v>TU MANANA 24 HORASLMWJV</v>
          </cell>
          <cell r="I89">
            <v>1.76</v>
          </cell>
        </row>
        <row r="90">
          <cell r="H90" t="str">
            <v>TU MANANA 24 HORASW</v>
          </cell>
          <cell r="I90">
            <v>2.0099999999999998</v>
          </cell>
        </row>
        <row r="91">
          <cell r="H91" t="str">
            <v>TU MANANA 24 HORASV</v>
          </cell>
          <cell r="I91">
            <v>1.82</v>
          </cell>
        </row>
        <row r="92">
          <cell r="H92" t="str">
            <v>TU MANANA 24 HORASJ</v>
          </cell>
          <cell r="I92">
            <v>1.8</v>
          </cell>
        </row>
        <row r="93">
          <cell r="H93" t="str">
            <v>TU MANANA 24 HORASL</v>
          </cell>
          <cell r="I93">
            <v>1.76</v>
          </cell>
        </row>
        <row r="94">
          <cell r="H94" t="str">
            <v>TU MANANA 24 HORASM</v>
          </cell>
          <cell r="I94">
            <v>1.46</v>
          </cell>
        </row>
        <row r="95">
          <cell r="H95" t="str">
            <v>ROMANE (R)LMWJV</v>
          </cell>
          <cell r="I95">
            <v>1.66</v>
          </cell>
        </row>
        <row r="96">
          <cell r="H96" t="str">
            <v>ROMANE (R)M</v>
          </cell>
          <cell r="I96">
            <v>2.1800000000000002</v>
          </cell>
        </row>
        <row r="97">
          <cell r="H97" t="str">
            <v>ROMANE (R)L</v>
          </cell>
          <cell r="I97">
            <v>1.88</v>
          </cell>
        </row>
        <row r="98">
          <cell r="H98" t="str">
            <v>ROMANE (R)V</v>
          </cell>
          <cell r="I98">
            <v>1.58</v>
          </cell>
        </row>
        <row r="99">
          <cell r="H99" t="str">
            <v>ROMANE (R)J</v>
          </cell>
          <cell r="I99">
            <v>1.51</v>
          </cell>
        </row>
        <row r="100">
          <cell r="H100" t="str">
            <v>ROMANE (R)W</v>
          </cell>
          <cell r="I100">
            <v>1.22</v>
          </cell>
        </row>
        <row r="101">
          <cell r="H101" t="str">
            <v>ESTADO NACIONALD</v>
          </cell>
          <cell r="I101">
            <v>1.64</v>
          </cell>
        </row>
        <row r="102">
          <cell r="H102" t="str">
            <v>ESTADO NACIONALD</v>
          </cell>
          <cell r="I102">
            <v>1.64</v>
          </cell>
        </row>
        <row r="103">
          <cell r="H103" t="str">
            <v>GRANDES PELICULASS</v>
          </cell>
          <cell r="I103">
            <v>1.64</v>
          </cell>
        </row>
        <row r="104">
          <cell r="H104" t="str">
            <v>GRANDES PELICULASS</v>
          </cell>
          <cell r="I104">
            <v>1.64</v>
          </cell>
        </row>
        <row r="105">
          <cell r="H105" t="str">
            <v>ENTRE PROGRAMASLMWJVSD</v>
          </cell>
          <cell r="I105">
            <v>1.63</v>
          </cell>
        </row>
        <row r="106">
          <cell r="H106" t="str">
            <v>ENTRE PROGRAMASM</v>
          </cell>
          <cell r="I106">
            <v>2.68</v>
          </cell>
        </row>
        <row r="107">
          <cell r="H107" t="str">
            <v>ENTRE PROGRAMASJ</v>
          </cell>
          <cell r="I107">
            <v>2.08</v>
          </cell>
        </row>
        <row r="108">
          <cell r="H108" t="str">
            <v>ENTRE PROGRAMASD</v>
          </cell>
          <cell r="I108">
            <v>1.59</v>
          </cell>
        </row>
        <row r="109">
          <cell r="H109" t="str">
            <v>ENTRE PROGRAMASL</v>
          </cell>
          <cell r="I109">
            <v>1.39</v>
          </cell>
        </row>
        <row r="110">
          <cell r="H110" t="str">
            <v>ENTRE PROGRAMASW</v>
          </cell>
          <cell r="I110">
            <v>1.1200000000000001</v>
          </cell>
        </row>
        <row r="111">
          <cell r="H111" t="str">
            <v>ENTRE PROGRAMASS</v>
          </cell>
          <cell r="I111">
            <v>0.99</v>
          </cell>
        </row>
        <row r="112">
          <cell r="H112" t="str">
            <v>ENTRE PROGRAMASV</v>
          </cell>
          <cell r="I112">
            <v>0.59</v>
          </cell>
        </row>
        <row r="113">
          <cell r="H113" t="str">
            <v>MEDIA NOCHELMWJV</v>
          </cell>
          <cell r="I113">
            <v>1.63</v>
          </cell>
        </row>
        <row r="114">
          <cell r="H114" t="str">
            <v>MEDIA NOCHEJ</v>
          </cell>
          <cell r="I114">
            <v>2.4500000000000002</v>
          </cell>
        </row>
        <row r="115">
          <cell r="H115" t="str">
            <v>MEDIA NOCHEM</v>
          </cell>
          <cell r="I115">
            <v>1.95</v>
          </cell>
        </row>
        <row r="116">
          <cell r="H116" t="str">
            <v>MEDIA NOCHEL</v>
          </cell>
          <cell r="I116">
            <v>1.77</v>
          </cell>
        </row>
        <row r="117">
          <cell r="H117" t="str">
            <v>MEDIA NOCHEW</v>
          </cell>
          <cell r="I117">
            <v>1.01</v>
          </cell>
        </row>
        <row r="118">
          <cell r="H118" t="str">
            <v>MEDIA NOCHEV</v>
          </cell>
          <cell r="I118">
            <v>0.79</v>
          </cell>
        </row>
        <row r="119">
          <cell r="H119" t="str">
            <v>ESA NO SOY YO (RESUMEN)LMWJV</v>
          </cell>
          <cell r="I119">
            <v>1.61</v>
          </cell>
        </row>
        <row r="120">
          <cell r="H120" t="str">
            <v>ESA NO SOY YO (RESUMEN)M</v>
          </cell>
          <cell r="I120">
            <v>1.81</v>
          </cell>
        </row>
        <row r="121">
          <cell r="H121" t="str">
            <v>ESA NO SOY YO (RESUMEN)V</v>
          </cell>
          <cell r="I121">
            <v>1.74</v>
          </cell>
        </row>
        <row r="122">
          <cell r="H122" t="str">
            <v>ESA NO SOY YO (RESUMEN)W</v>
          </cell>
          <cell r="I122">
            <v>1.72</v>
          </cell>
        </row>
        <row r="123">
          <cell r="H123" t="str">
            <v>ESA NO SOY YO (RESUMEN)L</v>
          </cell>
          <cell r="I123">
            <v>1.6</v>
          </cell>
        </row>
        <row r="124">
          <cell r="H124" t="str">
            <v>ESA NO SOY YO (RESUMEN)J</v>
          </cell>
          <cell r="I124">
            <v>1.17</v>
          </cell>
        </row>
        <row r="125">
          <cell r="H125" t="str">
            <v>DOCTOR HOUSE (R)LMWJVD</v>
          </cell>
          <cell r="I125">
            <v>1.6</v>
          </cell>
        </row>
        <row r="126">
          <cell r="H126" t="str">
            <v>DOCTOR HOUSE (R)M</v>
          </cell>
          <cell r="I126">
            <v>2.0099999999999998</v>
          </cell>
        </row>
        <row r="127">
          <cell r="H127" t="str">
            <v>DOCTOR HOUSE (R)J</v>
          </cell>
          <cell r="I127">
            <v>1.96</v>
          </cell>
        </row>
        <row r="128">
          <cell r="H128" t="str">
            <v>DOCTOR HOUSE (R)D</v>
          </cell>
          <cell r="I128">
            <v>1.63</v>
          </cell>
        </row>
        <row r="129">
          <cell r="H129" t="str">
            <v>DOCTOR HOUSE (R)L</v>
          </cell>
          <cell r="I129">
            <v>1.47</v>
          </cell>
        </row>
        <row r="130">
          <cell r="H130" t="str">
            <v>DOCTOR HOUSE (R)V</v>
          </cell>
          <cell r="I130">
            <v>1.17</v>
          </cell>
        </row>
        <row r="131">
          <cell r="H131" t="str">
            <v>DOCTOR HOUSE (R)W</v>
          </cell>
          <cell r="I131">
            <v>0.91</v>
          </cell>
        </row>
        <row r="132">
          <cell r="H132" t="str">
            <v>LA CULTURA ENTRETENIDAD</v>
          </cell>
          <cell r="I132">
            <v>1.6</v>
          </cell>
        </row>
        <row r="133">
          <cell r="H133" t="str">
            <v>LA CULTURA ENTRETENIDAD</v>
          </cell>
          <cell r="I133">
            <v>1.6</v>
          </cell>
        </row>
        <row r="134">
          <cell r="H134" t="str">
            <v>MELO Y ASTORGAS</v>
          </cell>
          <cell r="I134">
            <v>1.59</v>
          </cell>
        </row>
        <row r="135">
          <cell r="H135" t="str">
            <v>MELO Y ASTORGAS</v>
          </cell>
          <cell r="I135">
            <v>1.59</v>
          </cell>
        </row>
        <row r="136">
          <cell r="H136" t="str">
            <v>NUESTRO SIGLOS</v>
          </cell>
          <cell r="I136">
            <v>1.59</v>
          </cell>
        </row>
        <row r="137">
          <cell r="H137" t="str">
            <v>NUESTRO SIGLOS</v>
          </cell>
          <cell r="I137">
            <v>1.59</v>
          </cell>
        </row>
        <row r="138">
          <cell r="H138" t="str">
            <v>COPA DAVISVSD</v>
          </cell>
          <cell r="I138">
            <v>1.34</v>
          </cell>
        </row>
        <row r="139">
          <cell r="H139" t="str">
            <v>COPA DAVISS</v>
          </cell>
          <cell r="I139">
            <v>1.59</v>
          </cell>
        </row>
        <row r="140">
          <cell r="H140" t="str">
            <v>COPA DAVISV</v>
          </cell>
          <cell r="I140">
            <v>1.42</v>
          </cell>
        </row>
        <row r="141">
          <cell r="H141" t="str">
            <v>COPA DAVISD</v>
          </cell>
          <cell r="I141">
            <v>0.94</v>
          </cell>
        </row>
        <row r="142">
          <cell r="H142" t="str">
            <v>BUENOS DIAS A TODOS (B)LMWJV</v>
          </cell>
          <cell r="I142">
            <v>1.28</v>
          </cell>
        </row>
        <row r="143">
          <cell r="H143" t="str">
            <v>BUENOS DIAS A TODOS (B)J</v>
          </cell>
          <cell r="I143">
            <v>1.7</v>
          </cell>
        </row>
        <row r="144">
          <cell r="H144" t="str">
            <v>BUENOS DIAS A TODOS (B)M</v>
          </cell>
          <cell r="I144">
            <v>1.43</v>
          </cell>
        </row>
        <row r="145">
          <cell r="H145" t="str">
            <v>BUENOS DIAS A TODOS (B)V</v>
          </cell>
          <cell r="I145">
            <v>1.39</v>
          </cell>
        </row>
        <row r="146">
          <cell r="H146" t="str">
            <v>BUENOS DIAS A TODOS (B)L</v>
          </cell>
          <cell r="I146">
            <v>1.37</v>
          </cell>
        </row>
        <row r="147">
          <cell r="H147" t="str">
            <v>BUENOS DIAS A TODOS (B)W</v>
          </cell>
          <cell r="I147">
            <v>0.74</v>
          </cell>
        </row>
        <row r="148">
          <cell r="H148" t="str">
            <v>BUENOS DIAS A TODOS (A)LMWJV</v>
          </cell>
          <cell r="I148">
            <v>1.25</v>
          </cell>
        </row>
        <row r="149">
          <cell r="H149" t="str">
            <v>BUENOS DIAS A TODOS (A)V</v>
          </cell>
          <cell r="I149">
            <v>2.19</v>
          </cell>
        </row>
        <row r="150">
          <cell r="H150" t="str">
            <v>BUENOS DIAS A TODOS (A)L</v>
          </cell>
          <cell r="I150">
            <v>1.23</v>
          </cell>
        </row>
        <row r="151">
          <cell r="H151" t="str">
            <v>BUENOS DIAS A TODOS (A)W</v>
          </cell>
          <cell r="I151">
            <v>0.94</v>
          </cell>
        </row>
        <row r="152">
          <cell r="H152" t="str">
            <v>BUENOS DIAS A TODOS (A)J</v>
          </cell>
          <cell r="I152">
            <v>0.93</v>
          </cell>
        </row>
        <row r="153">
          <cell r="H153" t="str">
            <v>BUENOS DIAS A TODOS (A)M</v>
          </cell>
          <cell r="I153">
            <v>0.89</v>
          </cell>
        </row>
        <row r="154">
          <cell r="H154" t="str">
            <v>24 HORASD</v>
          </cell>
          <cell r="I154">
            <v>1.2</v>
          </cell>
        </row>
        <row r="155">
          <cell r="H155" t="str">
            <v>24 HORASD</v>
          </cell>
          <cell r="I155">
            <v>1.2</v>
          </cell>
        </row>
        <row r="156">
          <cell r="H156" t="str">
            <v>BEST SELLERVS</v>
          </cell>
          <cell r="I156">
            <v>1.18</v>
          </cell>
        </row>
        <row r="157">
          <cell r="H157" t="str">
            <v>BEST SELLERS</v>
          </cell>
          <cell r="I157">
            <v>1.73</v>
          </cell>
        </row>
        <row r="158">
          <cell r="H158" t="str">
            <v>BEST SELLERV</v>
          </cell>
          <cell r="I158">
            <v>0.93</v>
          </cell>
        </row>
        <row r="159">
          <cell r="H159" t="str">
            <v>PELOTON LA HISTORIA DEL HONORW</v>
          </cell>
          <cell r="I159">
            <v>1.05</v>
          </cell>
        </row>
        <row r="160">
          <cell r="H160" t="str">
            <v>PELOTON LA HISTORIA DEL HONORW</v>
          </cell>
          <cell r="I160">
            <v>1.05</v>
          </cell>
        </row>
        <row r="161">
          <cell r="H161" t="str">
            <v>PURO CHILEV</v>
          </cell>
          <cell r="I161">
            <v>1.01</v>
          </cell>
        </row>
        <row r="162">
          <cell r="H162" t="str">
            <v>PURO CHILEV</v>
          </cell>
          <cell r="I162">
            <v>1.01</v>
          </cell>
        </row>
        <row r="163">
          <cell r="H163" t="str">
            <v>PODIOD</v>
          </cell>
          <cell r="I163">
            <v>0.84</v>
          </cell>
        </row>
        <row r="164">
          <cell r="H164" t="str">
            <v>PODIOD</v>
          </cell>
          <cell r="I164">
            <v>0.84</v>
          </cell>
        </row>
        <row r="165">
          <cell r="H165" t="str">
            <v>BOXEO DE OROS</v>
          </cell>
          <cell r="I165">
            <v>0.8</v>
          </cell>
        </row>
        <row r="166">
          <cell r="H166" t="str">
            <v>BOXEO DE OROS</v>
          </cell>
          <cell r="I166">
            <v>0.8</v>
          </cell>
        </row>
        <row r="167">
          <cell r="H167" t="str">
            <v>SUPER CINES</v>
          </cell>
          <cell r="I167">
            <v>0.77</v>
          </cell>
        </row>
        <row r="168">
          <cell r="H168" t="str">
            <v>SUPER CINES</v>
          </cell>
          <cell r="I168">
            <v>0.77</v>
          </cell>
        </row>
        <row r="169">
          <cell r="H169" t="str">
            <v>CINEV</v>
          </cell>
          <cell r="I169">
            <v>0.71</v>
          </cell>
        </row>
        <row r="170">
          <cell r="H170" t="str">
            <v>CINEV</v>
          </cell>
          <cell r="I170">
            <v>0.71</v>
          </cell>
        </row>
        <row r="171">
          <cell r="H171" t="str">
            <v>PELICULA INFANTILS</v>
          </cell>
          <cell r="I171">
            <v>0.66</v>
          </cell>
        </row>
        <row r="172">
          <cell r="H172" t="str">
            <v>PELICULA INFANTILS</v>
          </cell>
          <cell r="I172">
            <v>0.66</v>
          </cell>
        </row>
        <row r="173">
          <cell r="H173" t="str">
            <v>HORACIO Y LOS PLASTICINESS</v>
          </cell>
          <cell r="I173">
            <v>0.63</v>
          </cell>
        </row>
        <row r="174">
          <cell r="H174" t="str">
            <v>HORACIO Y LOS PLASTICINESS</v>
          </cell>
          <cell r="I174">
            <v>0.63</v>
          </cell>
        </row>
        <row r="175">
          <cell r="H175" t="str">
            <v>NOTICREOS</v>
          </cell>
          <cell r="I175">
            <v>0.57999999999999996</v>
          </cell>
        </row>
        <row r="176">
          <cell r="H176" t="str">
            <v>NOTICREOS</v>
          </cell>
          <cell r="I176">
            <v>0.57999999999999996</v>
          </cell>
        </row>
        <row r="177">
          <cell r="H177" t="str">
            <v>PEPPA LA CERDITAS</v>
          </cell>
          <cell r="I177">
            <v>0.56999999999999995</v>
          </cell>
        </row>
        <row r="178">
          <cell r="H178" t="str">
            <v>PEPPA LA CERDITAS</v>
          </cell>
          <cell r="I178">
            <v>0.56999999999999995</v>
          </cell>
        </row>
        <row r="179">
          <cell r="H179" t="str">
            <v>PURO CHILE (R)D</v>
          </cell>
          <cell r="I179">
            <v>0.52</v>
          </cell>
        </row>
        <row r="180">
          <cell r="H180" t="str">
            <v>PURO CHILE (R)D</v>
          </cell>
          <cell r="I180">
            <v>0.52</v>
          </cell>
        </row>
        <row r="181">
          <cell r="H181" t="str">
            <v>0,243055555555556LMWJD</v>
          </cell>
          <cell r="I181">
            <v>0.49</v>
          </cell>
        </row>
        <row r="182">
          <cell r="H182" t="str">
            <v>0,243055555555556J</v>
          </cell>
          <cell r="I182">
            <v>0.7</v>
          </cell>
        </row>
        <row r="183">
          <cell r="H183" t="str">
            <v>0,243055555555556L</v>
          </cell>
          <cell r="I183">
            <v>0.65</v>
          </cell>
        </row>
        <row r="184">
          <cell r="H184" t="str">
            <v>0,243055555555556M</v>
          </cell>
          <cell r="I184">
            <v>0.55000000000000004</v>
          </cell>
        </row>
        <row r="185">
          <cell r="H185" t="str">
            <v>0,243055555555556W</v>
          </cell>
          <cell r="I185">
            <v>0.44</v>
          </cell>
        </row>
        <row r="186">
          <cell r="H186" t="str">
            <v>0,243055555555556D</v>
          </cell>
          <cell r="I186">
            <v>0.26</v>
          </cell>
        </row>
        <row r="187">
          <cell r="H187" t="str">
            <v>MIRADA ECONOMICAD</v>
          </cell>
          <cell r="I187">
            <v>0.44</v>
          </cell>
        </row>
        <row r="188">
          <cell r="H188" t="str">
            <v>MIRADA ECONOMICAD</v>
          </cell>
          <cell r="I188">
            <v>0.44</v>
          </cell>
        </row>
        <row r="189">
          <cell r="H189" t="str">
            <v>AVANCE 24D</v>
          </cell>
          <cell r="I189">
            <v>0.24</v>
          </cell>
        </row>
        <row r="190">
          <cell r="H190" t="str">
            <v>AVANCE 24D</v>
          </cell>
          <cell r="I190">
            <v>0.24</v>
          </cell>
        </row>
        <row r="191">
          <cell r="H191" t="str">
            <v>SESIONES 24D</v>
          </cell>
          <cell r="I191">
            <v>0.22</v>
          </cell>
        </row>
        <row r="192">
          <cell r="H192" t="str">
            <v>SESIONES 24D</v>
          </cell>
          <cell r="I192">
            <v>0.22</v>
          </cell>
        </row>
        <row r="193">
          <cell r="H193" t="str">
            <v>MATRIARCASLMWJV</v>
          </cell>
          <cell r="I193">
            <v>1.9</v>
          </cell>
        </row>
        <row r="194">
          <cell r="H194" t="str">
            <v>HUMOR EN FESTIVAL DE OLMUE (LOJ</v>
          </cell>
          <cell r="I194">
            <v>2.8</v>
          </cell>
        </row>
        <row r="196">
          <cell r="H196" t="str">
            <v>MOISES LOS 10 MANDAMIENTOSLMWJ</v>
          </cell>
          <cell r="I196">
            <v>7.0549999999999997</v>
          </cell>
        </row>
        <row r="197">
          <cell r="H197" t="str">
            <v>24 HORAS CENTRALLMWJV</v>
          </cell>
          <cell r="I197">
            <v>3.714</v>
          </cell>
        </row>
        <row r="198">
          <cell r="H198" t="str">
            <v>24 HORAS AL DIALMWJV</v>
          </cell>
          <cell r="I198">
            <v>2.27</v>
          </cell>
        </row>
      </sheetData>
      <sheetData sheetId="17">
        <row r="3">
          <cell r="H3" t="str">
            <v>MOISES LOS 10 MANDAMIENTOSLMWJD</v>
          </cell>
          <cell r="I3">
            <v>5.35</v>
          </cell>
        </row>
        <row r="4">
          <cell r="H4" t="str">
            <v>MOISES LOS 10 MANDAMIENTOSD</v>
          </cell>
          <cell r="I4">
            <v>5.77</v>
          </cell>
        </row>
        <row r="5">
          <cell r="H5" t="str">
            <v>MOISES LOS 10 MANDAMIENTOSW</v>
          </cell>
          <cell r="I5">
            <v>5.65</v>
          </cell>
        </row>
        <row r="6">
          <cell r="H6" t="str">
            <v>MOISES LOS 10 MANDAMIENTOSL</v>
          </cell>
          <cell r="I6">
            <v>5.5</v>
          </cell>
        </row>
        <row r="7">
          <cell r="H7" t="str">
            <v>MOISES LOS 10 MANDAMIENTOSJ</v>
          </cell>
          <cell r="I7">
            <v>4.9800000000000004</v>
          </cell>
        </row>
        <row r="8">
          <cell r="H8" t="str">
            <v>MOISES LOS 10 MANDAMIENTOSM</v>
          </cell>
          <cell r="I8">
            <v>4.8099999999999996</v>
          </cell>
        </row>
        <row r="9">
          <cell r="H9" t="str">
            <v>SEMANA SANTAV</v>
          </cell>
          <cell r="I9">
            <v>4.2300000000000004</v>
          </cell>
        </row>
        <row r="10">
          <cell r="H10" t="str">
            <v>SEMANA SANTAV</v>
          </cell>
          <cell r="I10">
            <v>4.2300000000000004</v>
          </cell>
        </row>
        <row r="11">
          <cell r="H11" t="str">
            <v>TV TIEMPOLMWJVSD</v>
          </cell>
          <cell r="I11">
            <v>3.91</v>
          </cell>
        </row>
        <row r="12">
          <cell r="H12" t="str">
            <v>TV TIEMPOD</v>
          </cell>
          <cell r="I12">
            <v>4.46</v>
          </cell>
        </row>
        <row r="13">
          <cell r="H13" t="str">
            <v>TV TIEMPOL</v>
          </cell>
          <cell r="I13">
            <v>4.3099999999999996</v>
          </cell>
        </row>
        <row r="14">
          <cell r="H14" t="str">
            <v>TV TIEMPOM</v>
          </cell>
          <cell r="I14">
            <v>4.29</v>
          </cell>
        </row>
        <row r="15">
          <cell r="H15" t="str">
            <v>TV TIEMPOW</v>
          </cell>
          <cell r="I15">
            <v>4.09</v>
          </cell>
        </row>
        <row r="16">
          <cell r="H16" t="str">
            <v>TV TIEMPOJ</v>
          </cell>
          <cell r="I16">
            <v>3.83</v>
          </cell>
        </row>
        <row r="17">
          <cell r="H17" t="str">
            <v>TV TIEMPOV</v>
          </cell>
          <cell r="I17">
            <v>3.35</v>
          </cell>
        </row>
        <row r="18">
          <cell r="H18" t="str">
            <v>TV TIEMPOS</v>
          </cell>
          <cell r="I18">
            <v>2.5</v>
          </cell>
        </row>
        <row r="19">
          <cell r="H19" t="str">
            <v>45 ANOS DE UN COCOJ</v>
          </cell>
          <cell r="I19">
            <v>3.64</v>
          </cell>
        </row>
        <row r="20">
          <cell r="H20" t="str">
            <v>45 ANOS DE UN COCOJ</v>
          </cell>
          <cell r="I20">
            <v>3.64</v>
          </cell>
        </row>
        <row r="21">
          <cell r="H21" t="str">
            <v>24 HORAS DOMINGOD</v>
          </cell>
          <cell r="I21">
            <v>3.29</v>
          </cell>
        </row>
        <row r="22">
          <cell r="H22" t="str">
            <v>24 HORAS DOMINGOD</v>
          </cell>
          <cell r="I22">
            <v>3.29</v>
          </cell>
        </row>
        <row r="23">
          <cell r="H23" t="str">
            <v>24 HORAS CENTRALLMWJVS</v>
          </cell>
          <cell r="I23">
            <v>3.04</v>
          </cell>
        </row>
        <row r="24">
          <cell r="H24" t="str">
            <v>24 HORAS CENTRALV</v>
          </cell>
          <cell r="I24">
            <v>3.48</v>
          </cell>
        </row>
        <row r="25">
          <cell r="H25" t="str">
            <v>24 HORAS CENTRALL</v>
          </cell>
          <cell r="I25">
            <v>3.18</v>
          </cell>
        </row>
        <row r="26">
          <cell r="H26" t="str">
            <v>24 HORAS CENTRALJ</v>
          </cell>
          <cell r="I26">
            <v>3.13</v>
          </cell>
        </row>
        <row r="27">
          <cell r="H27" t="str">
            <v>24 HORAS CENTRALM</v>
          </cell>
          <cell r="I27">
            <v>3.05</v>
          </cell>
        </row>
        <row r="28">
          <cell r="H28" t="str">
            <v>24 HORAS CENTRALW</v>
          </cell>
          <cell r="I28">
            <v>2.98</v>
          </cell>
        </row>
        <row r="29">
          <cell r="H29" t="str">
            <v>24 HORAS CENTRALS</v>
          </cell>
          <cell r="I29">
            <v>2.4</v>
          </cell>
        </row>
        <row r="30">
          <cell r="H30" t="str">
            <v>HISTORIA DE UN OSOS</v>
          </cell>
          <cell r="I30">
            <v>2.67</v>
          </cell>
        </row>
        <row r="31">
          <cell r="H31" t="str">
            <v>HISTORIA DE UN OSOS</v>
          </cell>
          <cell r="I31">
            <v>2.67</v>
          </cell>
        </row>
        <row r="32">
          <cell r="H32" t="str">
            <v>MOISES LOS 10 MANDAMIENTOS (RELMWJSD</v>
          </cell>
          <cell r="I32">
            <v>2.6</v>
          </cell>
        </row>
        <row r="33">
          <cell r="H33" t="str">
            <v>MOISES LOS 10 MANDAMIENTOS (RED</v>
          </cell>
          <cell r="I33">
            <v>4.87</v>
          </cell>
        </row>
        <row r="34">
          <cell r="H34" t="str">
            <v>MOISES LOS 10 MANDAMIENTOS (REL</v>
          </cell>
          <cell r="I34">
            <v>4.5999999999999996</v>
          </cell>
        </row>
        <row r="35">
          <cell r="H35" t="str">
            <v>MOISES LOS 10 MANDAMIENTOS (REW</v>
          </cell>
          <cell r="I35">
            <v>4.3099999999999996</v>
          </cell>
        </row>
        <row r="36">
          <cell r="H36" t="str">
            <v>MOISES LOS 10 MANDAMIENTOS (REM</v>
          </cell>
          <cell r="I36">
            <v>4.13</v>
          </cell>
        </row>
        <row r="37">
          <cell r="H37" t="str">
            <v>MOISES LOS 10 MANDAMIENTOS (REJ</v>
          </cell>
          <cell r="I37">
            <v>3.05</v>
          </cell>
        </row>
        <row r="38">
          <cell r="H38" t="str">
            <v>MOISES LOS 10 MANDAMIENTOS (RES</v>
          </cell>
          <cell r="I38">
            <v>0.98</v>
          </cell>
        </row>
        <row r="39">
          <cell r="H39" t="str">
            <v>JOSE DE EGIPTOV</v>
          </cell>
          <cell r="I39">
            <v>2.5499999999999998</v>
          </cell>
        </row>
        <row r="40">
          <cell r="H40" t="str">
            <v>JOSE DE EGIPTOV</v>
          </cell>
          <cell r="I40">
            <v>2.5499999999999998</v>
          </cell>
        </row>
        <row r="41">
          <cell r="H41" t="str">
            <v>DESTILANDO AMORLMWJV</v>
          </cell>
          <cell r="I41">
            <v>2.4</v>
          </cell>
        </row>
        <row r="42">
          <cell r="H42" t="str">
            <v>DESTILANDO AMORM</v>
          </cell>
          <cell r="I42">
            <v>2.6</v>
          </cell>
        </row>
        <row r="43">
          <cell r="H43" t="str">
            <v>DESTILANDO AMORL</v>
          </cell>
          <cell r="I43">
            <v>2.41</v>
          </cell>
        </row>
        <row r="44">
          <cell r="H44" t="str">
            <v>DESTILANDO AMORV</v>
          </cell>
          <cell r="I44">
            <v>2.38</v>
          </cell>
        </row>
        <row r="45">
          <cell r="H45" t="str">
            <v>DESTILANDO AMORW</v>
          </cell>
          <cell r="I45">
            <v>2.37</v>
          </cell>
        </row>
        <row r="46">
          <cell r="H46" t="str">
            <v>DESTILANDO AMORJ</v>
          </cell>
          <cell r="I46">
            <v>2.2200000000000002</v>
          </cell>
        </row>
        <row r="47">
          <cell r="H47" t="str">
            <v>VIRALM</v>
          </cell>
          <cell r="I47">
            <v>2.39</v>
          </cell>
        </row>
        <row r="48">
          <cell r="H48" t="str">
            <v>VIRALM</v>
          </cell>
          <cell r="I48">
            <v>2.39</v>
          </cell>
        </row>
        <row r="49">
          <cell r="H49" t="str">
            <v>FRUTOS DEL PAISD</v>
          </cell>
          <cell r="I49">
            <v>2.12</v>
          </cell>
        </row>
        <row r="50">
          <cell r="H50" t="str">
            <v>FRUTOS DEL PAISD</v>
          </cell>
          <cell r="I50">
            <v>2.12</v>
          </cell>
        </row>
        <row r="51">
          <cell r="H51" t="str">
            <v>SABADO DE K OS</v>
          </cell>
          <cell r="I51">
            <v>2.0699999999999998</v>
          </cell>
        </row>
        <row r="52">
          <cell r="H52" t="str">
            <v>SABADO DE K OS</v>
          </cell>
          <cell r="I52">
            <v>2.0699999999999998</v>
          </cell>
        </row>
        <row r="53">
          <cell r="H53" t="str">
            <v>ESA NO SOY YOLMWJV</v>
          </cell>
          <cell r="I53">
            <v>2.06</v>
          </cell>
        </row>
        <row r="54">
          <cell r="H54" t="str">
            <v>ESA NO SOY YOV</v>
          </cell>
          <cell r="I54">
            <v>2.66</v>
          </cell>
        </row>
        <row r="55">
          <cell r="H55" t="str">
            <v>ESA NO SOY YOM</v>
          </cell>
          <cell r="I55">
            <v>2.14</v>
          </cell>
        </row>
        <row r="56">
          <cell r="H56" t="str">
            <v>ESA NO SOY YOW</v>
          </cell>
          <cell r="I56">
            <v>2.0099999999999998</v>
          </cell>
        </row>
        <row r="57">
          <cell r="H57" t="str">
            <v>ESA NO SOY YOL</v>
          </cell>
          <cell r="I57">
            <v>2.0099999999999998</v>
          </cell>
        </row>
        <row r="58">
          <cell r="H58" t="str">
            <v>ESA NO SOY YOJ</v>
          </cell>
          <cell r="I58">
            <v>1.75</v>
          </cell>
        </row>
        <row r="59">
          <cell r="H59" t="str">
            <v>FRUTOS DEL PAIS (R)D</v>
          </cell>
          <cell r="I59">
            <v>1.89</v>
          </cell>
        </row>
        <row r="60">
          <cell r="H60" t="str">
            <v>FRUTOS DEL PAIS (R)D</v>
          </cell>
          <cell r="I60">
            <v>1.89</v>
          </cell>
        </row>
        <row r="61">
          <cell r="H61" t="str">
            <v>CHILE CONECTADO (R)D</v>
          </cell>
          <cell r="I61">
            <v>1.88</v>
          </cell>
        </row>
        <row r="62">
          <cell r="H62" t="str">
            <v>CHILE CONECTADO (R)D</v>
          </cell>
          <cell r="I62">
            <v>1.88</v>
          </cell>
        </row>
        <row r="63">
          <cell r="H63" t="str">
            <v>4TO MEDIOLW</v>
          </cell>
          <cell r="I63">
            <v>1.75</v>
          </cell>
        </row>
        <row r="64">
          <cell r="H64" t="str">
            <v>4TO MEDIOW</v>
          </cell>
          <cell r="I64">
            <v>1.94</v>
          </cell>
        </row>
        <row r="65">
          <cell r="H65" t="str">
            <v>4TO MEDIOL</v>
          </cell>
          <cell r="I65">
            <v>0.69</v>
          </cell>
        </row>
        <row r="66">
          <cell r="H66" t="str">
            <v>HABITANTES DEL PACIFICO (R)D</v>
          </cell>
          <cell r="I66">
            <v>1.71</v>
          </cell>
        </row>
        <row r="67">
          <cell r="H67" t="str">
            <v>HABITANTES DEL PACIFICO (R)D</v>
          </cell>
          <cell r="I67">
            <v>1.71</v>
          </cell>
        </row>
        <row r="68">
          <cell r="H68" t="str">
            <v>POR FIN SOLOSLD</v>
          </cell>
          <cell r="I68">
            <v>1.64</v>
          </cell>
        </row>
        <row r="69">
          <cell r="H69" t="str">
            <v>POR FIN SOLOSD</v>
          </cell>
          <cell r="I69">
            <v>1.83</v>
          </cell>
        </row>
        <row r="70">
          <cell r="H70" t="str">
            <v>POR FIN SOLOSL</v>
          </cell>
          <cell r="I70">
            <v>1.52</v>
          </cell>
        </row>
        <row r="71">
          <cell r="H71" t="str">
            <v>LA CULTURA ENTRETENIDAD</v>
          </cell>
          <cell r="I71">
            <v>1.62</v>
          </cell>
        </row>
        <row r="72">
          <cell r="H72" t="str">
            <v>LA CULTURA ENTRETENIDAD</v>
          </cell>
          <cell r="I72">
            <v>1.62</v>
          </cell>
        </row>
        <row r="73">
          <cell r="H73" t="str">
            <v>TU MANANA 24 HORASLMWJV</v>
          </cell>
          <cell r="I73">
            <v>1.59</v>
          </cell>
        </row>
        <row r="74">
          <cell r="H74" t="str">
            <v>TU MANANA 24 HORASL</v>
          </cell>
          <cell r="I74">
            <v>1.88</v>
          </cell>
        </row>
        <row r="75">
          <cell r="H75" t="str">
            <v>TU MANANA 24 HORASW</v>
          </cell>
          <cell r="I75">
            <v>1.72</v>
          </cell>
        </row>
        <row r="76">
          <cell r="H76" t="str">
            <v>TU MANANA 24 HORASV</v>
          </cell>
          <cell r="I76">
            <v>1.58</v>
          </cell>
        </row>
        <row r="77">
          <cell r="H77" t="str">
            <v>TU MANANA 24 HORASJ</v>
          </cell>
          <cell r="I77">
            <v>1.57</v>
          </cell>
        </row>
        <row r="78">
          <cell r="H78" t="str">
            <v>TU MANANA 24 HORASM</v>
          </cell>
          <cell r="I78">
            <v>1.26</v>
          </cell>
        </row>
        <row r="79">
          <cell r="H79" t="str">
            <v>COPA DAVISVSD</v>
          </cell>
          <cell r="I79">
            <v>1.59</v>
          </cell>
        </row>
        <row r="80">
          <cell r="H80" t="str">
            <v>COPA DAVISS</v>
          </cell>
          <cell r="I80">
            <v>1.91</v>
          </cell>
        </row>
        <row r="81">
          <cell r="H81" t="str">
            <v>COPA DAVISV</v>
          </cell>
          <cell r="I81">
            <v>1.56</v>
          </cell>
        </row>
        <row r="82">
          <cell r="H82" t="str">
            <v>COPA DAVISD</v>
          </cell>
          <cell r="I82">
            <v>1.46</v>
          </cell>
        </row>
        <row r="83">
          <cell r="H83" t="str">
            <v>MEDIA NOCHELMWJV</v>
          </cell>
          <cell r="I83">
            <v>1.56</v>
          </cell>
        </row>
        <row r="84">
          <cell r="H84" t="str">
            <v>MEDIA NOCHEJ</v>
          </cell>
          <cell r="I84">
            <v>1.86</v>
          </cell>
        </row>
        <row r="85">
          <cell r="H85" t="str">
            <v>MEDIA NOCHEW</v>
          </cell>
          <cell r="I85">
            <v>1.65</v>
          </cell>
        </row>
        <row r="86">
          <cell r="H86" t="str">
            <v>MEDIA NOCHEM</v>
          </cell>
          <cell r="I86">
            <v>1.65</v>
          </cell>
        </row>
        <row r="87">
          <cell r="H87" t="str">
            <v>MEDIA NOCHEL</v>
          </cell>
          <cell r="I87">
            <v>1.5</v>
          </cell>
        </row>
        <row r="88">
          <cell r="H88" t="str">
            <v>MEDIA NOCHEV</v>
          </cell>
          <cell r="I88">
            <v>0.84</v>
          </cell>
        </row>
        <row r="89">
          <cell r="H89" t="str">
            <v>POR FIN SOLOS (RESUMEN)L</v>
          </cell>
          <cell r="I89">
            <v>1.55</v>
          </cell>
        </row>
        <row r="90">
          <cell r="H90" t="str">
            <v>POR FIN SOLOS (RESUMEN)L</v>
          </cell>
          <cell r="I90">
            <v>1.55</v>
          </cell>
        </row>
        <row r="91">
          <cell r="H91" t="str">
            <v>24 HORAS AL DIALMWJVSD</v>
          </cell>
          <cell r="I91">
            <v>1.52</v>
          </cell>
        </row>
        <row r="92">
          <cell r="H92" t="str">
            <v>24 HORAS AL DIAL</v>
          </cell>
          <cell r="I92">
            <v>2</v>
          </cell>
        </row>
        <row r="93">
          <cell r="H93" t="str">
            <v>24 HORAS AL DIAW</v>
          </cell>
          <cell r="I93">
            <v>1.83</v>
          </cell>
        </row>
        <row r="94">
          <cell r="H94" t="str">
            <v>24 HORAS AL DIAV</v>
          </cell>
          <cell r="I94">
            <v>1.79</v>
          </cell>
        </row>
        <row r="95">
          <cell r="H95" t="str">
            <v>24 HORAS AL DIAM</v>
          </cell>
          <cell r="I95">
            <v>1.57</v>
          </cell>
        </row>
        <row r="96">
          <cell r="H96" t="str">
            <v>24 HORAS AL DIAJ</v>
          </cell>
          <cell r="I96">
            <v>1.37</v>
          </cell>
        </row>
        <row r="97">
          <cell r="H97" t="str">
            <v>24 HORAS AL DIAD</v>
          </cell>
          <cell r="I97">
            <v>1.1599999999999999</v>
          </cell>
        </row>
        <row r="98">
          <cell r="H98" t="str">
            <v>24 HORAS AL DIAS</v>
          </cell>
          <cell r="I98">
            <v>1.1200000000000001</v>
          </cell>
        </row>
        <row r="99">
          <cell r="H99" t="str">
            <v>EL SECRETO DE PUENTE VIEJOLMWJV</v>
          </cell>
          <cell r="I99">
            <v>1.52</v>
          </cell>
        </row>
        <row r="100">
          <cell r="H100" t="str">
            <v>EL SECRETO DE PUENTE VIEJOW</v>
          </cell>
          <cell r="I100">
            <v>1.67</v>
          </cell>
        </row>
        <row r="101">
          <cell r="H101" t="str">
            <v>EL SECRETO DE PUENTE VIEJOJ</v>
          </cell>
          <cell r="I101">
            <v>1.53</v>
          </cell>
        </row>
        <row r="102">
          <cell r="H102" t="str">
            <v>EL SECRETO DE PUENTE VIEJOV</v>
          </cell>
          <cell r="I102">
            <v>1.52</v>
          </cell>
        </row>
        <row r="103">
          <cell r="H103" t="str">
            <v>EL SECRETO DE PUENTE VIEJOL</v>
          </cell>
          <cell r="I103">
            <v>1.5</v>
          </cell>
        </row>
        <row r="104">
          <cell r="H104" t="str">
            <v>EL SECRETO DE PUENTE VIEJOM</v>
          </cell>
          <cell r="I104">
            <v>1.4</v>
          </cell>
        </row>
        <row r="105">
          <cell r="H105" t="str">
            <v>DOCTOR HOUSE (R)LMWJVD</v>
          </cell>
          <cell r="I105">
            <v>1.52</v>
          </cell>
        </row>
        <row r="106">
          <cell r="H106" t="str">
            <v>DOCTOR HOUSE (R)M</v>
          </cell>
          <cell r="I106">
            <v>1.7</v>
          </cell>
        </row>
        <row r="107">
          <cell r="H107" t="str">
            <v>DOCTOR HOUSE (R)W</v>
          </cell>
          <cell r="I107">
            <v>1.67</v>
          </cell>
        </row>
        <row r="108">
          <cell r="H108" t="str">
            <v>DOCTOR HOUSE (R)J</v>
          </cell>
          <cell r="I108">
            <v>1.49</v>
          </cell>
        </row>
        <row r="109">
          <cell r="H109" t="str">
            <v>DOCTOR HOUSE (R)V</v>
          </cell>
          <cell r="I109">
            <v>1.42</v>
          </cell>
        </row>
        <row r="110">
          <cell r="H110" t="str">
            <v>DOCTOR HOUSE (R)D</v>
          </cell>
          <cell r="I110">
            <v>1.37</v>
          </cell>
        </row>
        <row r="111">
          <cell r="H111" t="str">
            <v>DOCTOR HOUSE (R)L</v>
          </cell>
          <cell r="I111">
            <v>1.33</v>
          </cell>
        </row>
        <row r="112">
          <cell r="H112" t="str">
            <v>NUESTRO SIGLOS</v>
          </cell>
          <cell r="I112">
            <v>1.47</v>
          </cell>
        </row>
        <row r="113">
          <cell r="H113" t="str">
            <v>NUESTRO SIGLOS</v>
          </cell>
          <cell r="I113">
            <v>1.47</v>
          </cell>
        </row>
        <row r="114">
          <cell r="H114" t="str">
            <v>POR FIN SOLOS (R)V</v>
          </cell>
          <cell r="I114">
            <v>1.45</v>
          </cell>
        </row>
        <row r="115">
          <cell r="H115" t="str">
            <v>POR FIN SOLOS (R)V</v>
          </cell>
          <cell r="I115">
            <v>1.45</v>
          </cell>
        </row>
        <row r="116">
          <cell r="H116" t="str">
            <v>ENTRE PROGRAMASLMWJVSD</v>
          </cell>
          <cell r="I116">
            <v>1.43</v>
          </cell>
        </row>
        <row r="117">
          <cell r="H117" t="str">
            <v>ENTRE PROGRAMASM</v>
          </cell>
          <cell r="I117">
            <v>2.14</v>
          </cell>
        </row>
        <row r="118">
          <cell r="H118" t="str">
            <v>ENTRE PROGRAMASJ</v>
          </cell>
          <cell r="I118">
            <v>1.83</v>
          </cell>
        </row>
        <row r="119">
          <cell r="H119" t="str">
            <v>ENTRE PROGRAMASW</v>
          </cell>
          <cell r="I119">
            <v>1.48</v>
          </cell>
        </row>
        <row r="120">
          <cell r="H120" t="str">
            <v>ENTRE PROGRAMASS</v>
          </cell>
          <cell r="I120">
            <v>1.24</v>
          </cell>
        </row>
        <row r="121">
          <cell r="H121" t="str">
            <v>ENTRE PROGRAMASD</v>
          </cell>
          <cell r="I121">
            <v>1.17</v>
          </cell>
        </row>
        <row r="122">
          <cell r="H122" t="str">
            <v>ENTRE PROGRAMASL</v>
          </cell>
          <cell r="I122">
            <v>1.05</v>
          </cell>
        </row>
        <row r="123">
          <cell r="H123" t="str">
            <v>ENTRE PROGRAMASV</v>
          </cell>
          <cell r="I123">
            <v>0.78</v>
          </cell>
        </row>
        <row r="124">
          <cell r="H124" t="str">
            <v>ROMANE (R)LMWJV</v>
          </cell>
          <cell r="I124">
            <v>1.41</v>
          </cell>
        </row>
        <row r="125">
          <cell r="H125" t="str">
            <v>ROMANE (R)W</v>
          </cell>
          <cell r="I125">
            <v>1.58</v>
          </cell>
        </row>
        <row r="126">
          <cell r="H126" t="str">
            <v>ROMANE (R)M</v>
          </cell>
          <cell r="I126">
            <v>1.53</v>
          </cell>
        </row>
        <row r="127">
          <cell r="H127" t="str">
            <v>ROMANE (R)V</v>
          </cell>
          <cell r="I127">
            <v>1.38</v>
          </cell>
        </row>
        <row r="128">
          <cell r="H128" t="str">
            <v>ROMANE (R)L</v>
          </cell>
          <cell r="I128">
            <v>1.37</v>
          </cell>
        </row>
        <row r="129">
          <cell r="H129" t="str">
            <v>ROMANE (R)J</v>
          </cell>
          <cell r="I129">
            <v>1.1399999999999999</v>
          </cell>
        </row>
        <row r="130">
          <cell r="H130" t="str">
            <v>ESA NO SOY YO (RESUMEN)LMWJV</v>
          </cell>
          <cell r="I130">
            <v>1.36</v>
          </cell>
        </row>
        <row r="131">
          <cell r="H131" t="str">
            <v>ESA NO SOY YO (RESUMEN)V</v>
          </cell>
          <cell r="I131">
            <v>1.67</v>
          </cell>
        </row>
        <row r="132">
          <cell r="H132" t="str">
            <v>ESA NO SOY YO (RESUMEN)W</v>
          </cell>
          <cell r="I132">
            <v>1.45</v>
          </cell>
        </row>
        <row r="133">
          <cell r="H133" t="str">
            <v>ESA NO SOY YO (RESUMEN)L</v>
          </cell>
          <cell r="I133">
            <v>1.41</v>
          </cell>
        </row>
        <row r="134">
          <cell r="H134" t="str">
            <v>ESA NO SOY YO (RESUMEN)M</v>
          </cell>
          <cell r="I134">
            <v>1.39</v>
          </cell>
        </row>
        <row r="135">
          <cell r="H135" t="str">
            <v>ESA NO SOY YO (RESUMEN)J</v>
          </cell>
          <cell r="I135">
            <v>0.99</v>
          </cell>
        </row>
        <row r="136">
          <cell r="H136" t="str">
            <v>PELOTON LA HISTORIA DEL HONORW</v>
          </cell>
          <cell r="I136">
            <v>1.35</v>
          </cell>
        </row>
        <row r="137">
          <cell r="H137" t="str">
            <v>PELOTON LA HISTORIA DEL HONORW</v>
          </cell>
          <cell r="I137">
            <v>1.35</v>
          </cell>
        </row>
        <row r="138">
          <cell r="H138" t="str">
            <v>MELO Y ASTORGAS</v>
          </cell>
          <cell r="I138">
            <v>1.1100000000000001</v>
          </cell>
        </row>
        <row r="139">
          <cell r="H139" t="str">
            <v>MELO Y ASTORGAS</v>
          </cell>
          <cell r="I139">
            <v>1.1100000000000001</v>
          </cell>
        </row>
        <row r="140">
          <cell r="H140" t="str">
            <v>ESTADO NACIONALD</v>
          </cell>
          <cell r="I140">
            <v>1.07</v>
          </cell>
        </row>
        <row r="141">
          <cell r="H141" t="str">
            <v>ESTADO NACIONALD</v>
          </cell>
          <cell r="I141">
            <v>1.07</v>
          </cell>
        </row>
        <row r="142">
          <cell r="H142" t="str">
            <v>BUENOS DIAS A TODOS (A)LMWJV</v>
          </cell>
          <cell r="I142">
            <v>1.07</v>
          </cell>
        </row>
        <row r="143">
          <cell r="H143" t="str">
            <v>BUENOS DIAS A TODOS (A)V</v>
          </cell>
          <cell r="I143">
            <v>1.55</v>
          </cell>
        </row>
        <row r="144">
          <cell r="H144" t="str">
            <v>BUENOS DIAS A TODOS (A)L</v>
          </cell>
          <cell r="I144">
            <v>1.35</v>
          </cell>
        </row>
        <row r="145">
          <cell r="H145" t="str">
            <v>BUENOS DIAS A TODOS (A)J</v>
          </cell>
          <cell r="I145">
            <v>0.98</v>
          </cell>
        </row>
        <row r="146">
          <cell r="H146" t="str">
            <v>BUENOS DIAS A TODOS (A)W</v>
          </cell>
          <cell r="I146">
            <v>0.86</v>
          </cell>
        </row>
        <row r="147">
          <cell r="H147" t="str">
            <v>BUENOS DIAS A TODOS (A)M</v>
          </cell>
          <cell r="I147">
            <v>0.62</v>
          </cell>
        </row>
        <row r="148">
          <cell r="H148" t="str">
            <v>BEST SELLERVS</v>
          </cell>
          <cell r="I148">
            <v>1.06</v>
          </cell>
        </row>
        <row r="149">
          <cell r="H149" t="str">
            <v>BEST SELLERS</v>
          </cell>
          <cell r="I149">
            <v>1.61</v>
          </cell>
        </row>
        <row r="150">
          <cell r="H150" t="str">
            <v>BEST SELLERV</v>
          </cell>
          <cell r="I150">
            <v>0.81</v>
          </cell>
        </row>
        <row r="151">
          <cell r="H151" t="str">
            <v>BUENOS DIAS A TODOS (B)LMWJV</v>
          </cell>
          <cell r="I151">
            <v>1.01</v>
          </cell>
        </row>
        <row r="152">
          <cell r="H152" t="str">
            <v>BUENOS DIAS A TODOS (B)J</v>
          </cell>
          <cell r="I152">
            <v>1.27</v>
          </cell>
        </row>
        <row r="153">
          <cell r="H153" t="str">
            <v>BUENOS DIAS A TODOS (B)L</v>
          </cell>
          <cell r="I153">
            <v>1.03</v>
          </cell>
        </row>
        <row r="154">
          <cell r="H154" t="str">
            <v>BUENOS DIAS A TODOS (B)M</v>
          </cell>
          <cell r="I154">
            <v>0.93</v>
          </cell>
        </row>
        <row r="155">
          <cell r="H155" t="str">
            <v>BUENOS DIAS A TODOS (B)W</v>
          </cell>
          <cell r="I155">
            <v>0.92</v>
          </cell>
        </row>
        <row r="156">
          <cell r="H156" t="str">
            <v>BUENOS DIAS A TODOS (B)V</v>
          </cell>
          <cell r="I156">
            <v>0.86</v>
          </cell>
        </row>
        <row r="157">
          <cell r="H157" t="str">
            <v>GRANDES PELICULASS</v>
          </cell>
          <cell r="I157">
            <v>1</v>
          </cell>
        </row>
        <row r="158">
          <cell r="H158" t="str">
            <v>GRANDES PELICULASS</v>
          </cell>
          <cell r="I158">
            <v>1</v>
          </cell>
        </row>
        <row r="159">
          <cell r="H159" t="str">
            <v>CINEV</v>
          </cell>
          <cell r="I159">
            <v>0.97</v>
          </cell>
        </row>
        <row r="160">
          <cell r="H160" t="str">
            <v>CINEV</v>
          </cell>
          <cell r="I160">
            <v>0.97</v>
          </cell>
        </row>
        <row r="161">
          <cell r="H161" t="str">
            <v>PURO CHILEV</v>
          </cell>
          <cell r="I161">
            <v>0.93</v>
          </cell>
        </row>
        <row r="162">
          <cell r="H162" t="str">
            <v>PURO CHILEV</v>
          </cell>
          <cell r="I162">
            <v>0.93</v>
          </cell>
        </row>
        <row r="163">
          <cell r="H163" t="str">
            <v>PODIOD</v>
          </cell>
          <cell r="I163">
            <v>0.84</v>
          </cell>
        </row>
        <row r="164">
          <cell r="H164" t="str">
            <v>PODIOD</v>
          </cell>
          <cell r="I164">
            <v>0.84</v>
          </cell>
        </row>
        <row r="165">
          <cell r="H165" t="str">
            <v>BOXEO DE OROS</v>
          </cell>
          <cell r="I165">
            <v>0.81</v>
          </cell>
        </row>
        <row r="166">
          <cell r="H166" t="str">
            <v>BOXEO DE OROS</v>
          </cell>
          <cell r="I166">
            <v>0.81</v>
          </cell>
        </row>
        <row r="167">
          <cell r="H167" t="str">
            <v>SUPER CINES</v>
          </cell>
          <cell r="I167">
            <v>0.7</v>
          </cell>
        </row>
        <row r="168">
          <cell r="H168" t="str">
            <v>SUPER CINES</v>
          </cell>
          <cell r="I168">
            <v>0.7</v>
          </cell>
        </row>
        <row r="169">
          <cell r="H169" t="str">
            <v>PURO CHILE (R)D</v>
          </cell>
          <cell r="I169">
            <v>0.67</v>
          </cell>
        </row>
        <row r="170">
          <cell r="H170" t="str">
            <v>PURO CHILE (R)D</v>
          </cell>
          <cell r="I170">
            <v>0.67</v>
          </cell>
        </row>
        <row r="171">
          <cell r="H171" t="str">
            <v>24 HORASD</v>
          </cell>
          <cell r="I171">
            <v>0.64</v>
          </cell>
        </row>
        <row r="172">
          <cell r="H172" t="str">
            <v>24 HORASD</v>
          </cell>
          <cell r="I172">
            <v>0.64</v>
          </cell>
        </row>
        <row r="173">
          <cell r="H173" t="str">
            <v>0,243055555555556LMWJD</v>
          </cell>
          <cell r="I173">
            <v>0.57999999999999996</v>
          </cell>
        </row>
        <row r="174">
          <cell r="H174" t="str">
            <v>0,243055555555556L</v>
          </cell>
          <cell r="I174">
            <v>0.64</v>
          </cell>
        </row>
        <row r="175">
          <cell r="H175" t="str">
            <v>0,243055555555556W</v>
          </cell>
          <cell r="I175">
            <v>0.6</v>
          </cell>
        </row>
        <row r="176">
          <cell r="H176" t="str">
            <v>0,243055555555556J</v>
          </cell>
          <cell r="I176">
            <v>0.59</v>
          </cell>
        </row>
        <row r="177">
          <cell r="H177" t="str">
            <v>0,243055555555556M</v>
          </cell>
          <cell r="I177">
            <v>0.56000000000000005</v>
          </cell>
        </row>
        <row r="178">
          <cell r="H178" t="str">
            <v>0,243055555555556D</v>
          </cell>
          <cell r="I178">
            <v>0.53</v>
          </cell>
        </row>
        <row r="179">
          <cell r="H179" t="str">
            <v>PELICULA INFANTILS</v>
          </cell>
          <cell r="I179">
            <v>0.54</v>
          </cell>
        </row>
        <row r="180">
          <cell r="H180" t="str">
            <v>PELICULA INFANTILS</v>
          </cell>
          <cell r="I180">
            <v>0.54</v>
          </cell>
        </row>
        <row r="181">
          <cell r="H181" t="str">
            <v>NOTICREOS</v>
          </cell>
          <cell r="I181">
            <v>0.39</v>
          </cell>
        </row>
        <row r="182">
          <cell r="H182" t="str">
            <v>NOTICREOS</v>
          </cell>
          <cell r="I182">
            <v>0.39</v>
          </cell>
        </row>
        <row r="183">
          <cell r="H183" t="str">
            <v>PEPPA LA CERDITAS</v>
          </cell>
          <cell r="I183">
            <v>0.32</v>
          </cell>
        </row>
        <row r="184">
          <cell r="H184" t="str">
            <v>PEPPA LA CERDITAS</v>
          </cell>
          <cell r="I184">
            <v>0.32</v>
          </cell>
        </row>
        <row r="185">
          <cell r="H185" t="str">
            <v>HORACIO Y LOS PLASTICINESS</v>
          </cell>
          <cell r="I185">
            <v>0.27</v>
          </cell>
        </row>
        <row r="186">
          <cell r="H186" t="str">
            <v>HORACIO Y LOS PLASTICINESS</v>
          </cell>
          <cell r="I186">
            <v>0.27</v>
          </cell>
        </row>
        <row r="187">
          <cell r="H187" t="str">
            <v>AVANCE 24D</v>
          </cell>
          <cell r="I187">
            <v>0.25</v>
          </cell>
        </row>
        <row r="188">
          <cell r="H188" t="str">
            <v>AVANCE 24D</v>
          </cell>
          <cell r="I188">
            <v>0.25</v>
          </cell>
        </row>
        <row r="189">
          <cell r="H189" t="str">
            <v>MIRADA ECONOMICAD</v>
          </cell>
          <cell r="I189">
            <v>0.22</v>
          </cell>
        </row>
        <row r="190">
          <cell r="H190" t="str">
            <v>MIRADA ECONOMICAD</v>
          </cell>
          <cell r="I190">
            <v>0.22</v>
          </cell>
        </row>
        <row r="191">
          <cell r="H191" t="str">
            <v>SESIONES 24D</v>
          </cell>
          <cell r="I191">
            <v>7.0000000000000007E-2</v>
          </cell>
        </row>
        <row r="192">
          <cell r="H192" t="str">
            <v>SESIONES 24D</v>
          </cell>
          <cell r="I192">
            <v>7.0000000000000007E-2</v>
          </cell>
        </row>
        <row r="193">
          <cell r="H193" t="str">
            <v>MATRIARCASLMWJV</v>
          </cell>
          <cell r="I193">
            <v>1.9</v>
          </cell>
        </row>
        <row r="194">
          <cell r="H194" t="str">
            <v>HUMOR EN FESTIVAL DE OLMUE (LOJ</v>
          </cell>
          <cell r="I194">
            <v>3.5</v>
          </cell>
        </row>
        <row r="196">
          <cell r="H196" t="str">
            <v>MOISES LOS 10 MANDAMIENTOSLMWJ</v>
          </cell>
          <cell r="I196">
            <v>5.2349999999999994</v>
          </cell>
        </row>
        <row r="197">
          <cell r="H197" t="str">
            <v>24 HORAS CENTRALLMWJV</v>
          </cell>
          <cell r="I197">
            <v>3.1640000000000001</v>
          </cell>
        </row>
        <row r="198">
          <cell r="H198" t="str">
            <v>24 HORAS AL DIALMWJV</v>
          </cell>
          <cell r="I198">
            <v>1.7120000000000002</v>
          </cell>
        </row>
      </sheetData>
      <sheetData sheetId="18">
        <row r="2">
          <cell r="D2">
            <v>2</v>
          </cell>
          <cell r="E2">
            <v>3</v>
          </cell>
          <cell r="F2">
            <v>4</v>
          </cell>
          <cell r="G2">
            <v>5</v>
          </cell>
          <cell r="H2">
            <v>6</v>
          </cell>
          <cell r="I2">
            <v>7</v>
          </cell>
          <cell r="J2">
            <v>8</v>
          </cell>
        </row>
        <row r="3">
          <cell r="D3" t="str">
            <v>M 25-64 C2C3</v>
          </cell>
          <cell r="E3" t="str">
            <v>H 25-64 ABCD</v>
          </cell>
          <cell r="F3" t="str">
            <v>HM 18-24 ABC</v>
          </cell>
          <cell r="G3" t="str">
            <v>HM 25-49 ABC1C2</v>
          </cell>
          <cell r="H3" t="str">
            <v>HM 25-64 ABC</v>
          </cell>
          <cell r="I3" t="str">
            <v>M 25-64 ABC</v>
          </cell>
          <cell r="J3" t="str">
            <v>HM 25-64 ABCD</v>
          </cell>
        </row>
        <row r="4">
          <cell r="C4" t="str">
            <v>24 HORASD</v>
          </cell>
          <cell r="D4">
            <v>1.29</v>
          </cell>
          <cell r="E4">
            <v>0.39</v>
          </cell>
          <cell r="F4">
            <v>0.23</v>
          </cell>
          <cell r="G4">
            <v>0.47</v>
          </cell>
          <cell r="H4">
            <v>0.82</v>
          </cell>
          <cell r="I4">
            <v>1.2</v>
          </cell>
          <cell r="J4">
            <v>0.64</v>
          </cell>
        </row>
        <row r="5">
          <cell r="C5" t="str">
            <v>24 HORASD</v>
          </cell>
          <cell r="D5">
            <v>1.29</v>
          </cell>
          <cell r="E5">
            <v>0.39</v>
          </cell>
          <cell r="F5">
            <v>0.23</v>
          </cell>
          <cell r="G5">
            <v>0.47</v>
          </cell>
          <cell r="H5">
            <v>0.82</v>
          </cell>
          <cell r="I5">
            <v>1.2</v>
          </cell>
          <cell r="J5">
            <v>0.64</v>
          </cell>
        </row>
        <row r="6">
          <cell r="C6" t="str">
            <v>24 HORAS AL DIALMWJVSD</v>
          </cell>
          <cell r="D6">
            <v>2.13</v>
          </cell>
          <cell r="E6">
            <v>1.17</v>
          </cell>
          <cell r="F6">
            <v>0.59</v>
          </cell>
          <cell r="G6">
            <v>0.99</v>
          </cell>
          <cell r="H6">
            <v>1.64</v>
          </cell>
          <cell r="I6">
            <v>1.99</v>
          </cell>
          <cell r="J6">
            <v>1.52</v>
          </cell>
        </row>
        <row r="7">
          <cell r="C7" t="str">
            <v>24 HORAS AL DIAL</v>
          </cell>
          <cell r="D7">
            <v>2.88</v>
          </cell>
          <cell r="E7">
            <v>1.67</v>
          </cell>
          <cell r="F7">
            <v>0.79</v>
          </cell>
          <cell r="G7">
            <v>1.1200000000000001</v>
          </cell>
          <cell r="H7">
            <v>2.09</v>
          </cell>
          <cell r="I7">
            <v>2.64</v>
          </cell>
          <cell r="J7">
            <v>2</v>
          </cell>
        </row>
        <row r="8">
          <cell r="C8" t="str">
            <v>24 HORAS AL DIAV</v>
          </cell>
          <cell r="D8">
            <v>2.29</v>
          </cell>
          <cell r="E8">
            <v>1.21</v>
          </cell>
          <cell r="F8">
            <v>0.46</v>
          </cell>
          <cell r="G8">
            <v>0.74</v>
          </cell>
          <cell r="H8">
            <v>1.82</v>
          </cell>
          <cell r="I8">
            <v>2.2200000000000002</v>
          </cell>
          <cell r="J8">
            <v>1.79</v>
          </cell>
        </row>
        <row r="9">
          <cell r="C9" t="str">
            <v>24 HORAS AL DIAM</v>
          </cell>
          <cell r="D9">
            <v>2.5499999999999998</v>
          </cell>
          <cell r="E9">
            <v>0.8</v>
          </cell>
          <cell r="F9">
            <v>0.69</v>
          </cell>
          <cell r="G9">
            <v>0.99</v>
          </cell>
          <cell r="H9">
            <v>1.71</v>
          </cell>
          <cell r="I9">
            <v>2.2999999999999998</v>
          </cell>
          <cell r="J9">
            <v>1.57</v>
          </cell>
        </row>
        <row r="10">
          <cell r="C10" t="str">
            <v>24 HORAS AL DIAJ</v>
          </cell>
          <cell r="D10">
            <v>2.42</v>
          </cell>
          <cell r="E10">
            <v>0.98</v>
          </cell>
          <cell r="F10">
            <v>1.0900000000000001</v>
          </cell>
          <cell r="G10">
            <v>1.08</v>
          </cell>
          <cell r="H10">
            <v>1.69</v>
          </cell>
          <cell r="I10">
            <v>2.16</v>
          </cell>
          <cell r="J10">
            <v>1.37</v>
          </cell>
        </row>
        <row r="11">
          <cell r="C11" t="str">
            <v>24 HORAS AL DIAW</v>
          </cell>
          <cell r="D11">
            <v>2.0499999999999998</v>
          </cell>
          <cell r="E11">
            <v>1.47</v>
          </cell>
          <cell r="F11">
            <v>0.46</v>
          </cell>
          <cell r="G11">
            <v>1.46</v>
          </cell>
          <cell r="H11">
            <v>1.64</v>
          </cell>
          <cell r="I11">
            <v>2.0299999999999998</v>
          </cell>
          <cell r="J11">
            <v>1.83</v>
          </cell>
        </row>
        <row r="12">
          <cell r="C12" t="str">
            <v>24 HORAS AL DIAS</v>
          </cell>
          <cell r="D12">
            <v>1.64</v>
          </cell>
          <cell r="E12">
            <v>1.07</v>
          </cell>
          <cell r="F12">
            <v>0.15</v>
          </cell>
          <cell r="G12">
            <v>0.84</v>
          </cell>
          <cell r="H12">
            <v>1.34</v>
          </cell>
          <cell r="I12">
            <v>1.54</v>
          </cell>
          <cell r="J12">
            <v>1.1200000000000001</v>
          </cell>
        </row>
        <row r="13">
          <cell r="C13" t="str">
            <v>24 HORAS AL DIAD</v>
          </cell>
          <cell r="D13">
            <v>1.23</v>
          </cell>
          <cell r="E13">
            <v>1.07</v>
          </cell>
          <cell r="F13">
            <v>0.52</v>
          </cell>
          <cell r="G13">
            <v>0.63</v>
          </cell>
          <cell r="H13">
            <v>1.33</v>
          </cell>
          <cell r="I13">
            <v>1.2</v>
          </cell>
          <cell r="J13">
            <v>1.1599999999999999</v>
          </cell>
        </row>
        <row r="14">
          <cell r="C14" t="str">
            <v>24 HORAS AL DIALMWJV</v>
          </cell>
          <cell r="D14">
            <v>2.4379999999999997</v>
          </cell>
          <cell r="E14">
            <v>1.226</v>
          </cell>
          <cell r="F14">
            <v>0.69800000000000006</v>
          </cell>
          <cell r="G14">
            <v>1.0780000000000001</v>
          </cell>
          <cell r="H14">
            <v>1.7899999999999998</v>
          </cell>
          <cell r="I14">
            <v>2.27</v>
          </cell>
          <cell r="J14">
            <v>1.7120000000000002</v>
          </cell>
        </row>
        <row r="15">
          <cell r="C15" t="str">
            <v>24 HORAS CENTRALLMWJVS</v>
          </cell>
          <cell r="D15">
            <v>3.97</v>
          </cell>
          <cell r="E15">
            <v>2.56</v>
          </cell>
          <cell r="F15">
            <v>0.76</v>
          </cell>
          <cell r="G15">
            <v>1.7</v>
          </cell>
          <cell r="H15">
            <v>3.05</v>
          </cell>
          <cell r="I15">
            <v>3.53</v>
          </cell>
          <cell r="J15">
            <v>3.04</v>
          </cell>
        </row>
        <row r="16">
          <cell r="C16" t="str">
            <v>24 HORAS CENTRALLMWJV</v>
          </cell>
          <cell r="D16">
            <v>4.1659999999999995</v>
          </cell>
          <cell r="E16">
            <v>2.6619999999999999</v>
          </cell>
          <cell r="F16">
            <v>0.75800000000000001</v>
          </cell>
          <cell r="G16">
            <v>1.7879999999999998</v>
          </cell>
          <cell r="H16">
            <v>3.1719999999999997</v>
          </cell>
          <cell r="I16">
            <v>3.714</v>
          </cell>
          <cell r="J16">
            <v>3.1640000000000001</v>
          </cell>
        </row>
        <row r="17">
          <cell r="C17" t="str">
            <v>24 HORAS CENTRALV</v>
          </cell>
          <cell r="D17">
            <v>4.29</v>
          </cell>
          <cell r="E17">
            <v>2.97</v>
          </cell>
          <cell r="F17">
            <v>0.63</v>
          </cell>
          <cell r="G17">
            <v>1.56</v>
          </cell>
          <cell r="H17">
            <v>3.41</v>
          </cell>
          <cell r="I17">
            <v>3.99</v>
          </cell>
          <cell r="J17">
            <v>3.48</v>
          </cell>
        </row>
        <row r="18">
          <cell r="C18" t="str">
            <v>24 HORAS CENTRALL</v>
          </cell>
          <cell r="D18">
            <v>4.17</v>
          </cell>
          <cell r="E18">
            <v>2.78</v>
          </cell>
          <cell r="F18">
            <v>0.79</v>
          </cell>
          <cell r="G18">
            <v>2.2000000000000002</v>
          </cell>
          <cell r="H18">
            <v>3.38</v>
          </cell>
          <cell r="I18">
            <v>3.73</v>
          </cell>
          <cell r="J18">
            <v>3.18</v>
          </cell>
        </row>
        <row r="19">
          <cell r="C19" t="str">
            <v>24 HORAS CENTRALJ</v>
          </cell>
          <cell r="D19">
            <v>4.1500000000000004</v>
          </cell>
          <cell r="E19">
            <v>2.85</v>
          </cell>
          <cell r="F19">
            <v>0.8</v>
          </cell>
          <cell r="G19">
            <v>1.8</v>
          </cell>
          <cell r="H19">
            <v>3.19</v>
          </cell>
          <cell r="I19">
            <v>3.66</v>
          </cell>
          <cell r="J19">
            <v>3.13</v>
          </cell>
        </row>
        <row r="20">
          <cell r="C20" t="str">
            <v>24 HORAS CENTRALW</v>
          </cell>
          <cell r="D20">
            <v>4.34</v>
          </cell>
          <cell r="E20">
            <v>2.23</v>
          </cell>
          <cell r="F20">
            <v>0.6</v>
          </cell>
          <cell r="G20">
            <v>1.8</v>
          </cell>
          <cell r="H20">
            <v>3.01</v>
          </cell>
          <cell r="I20">
            <v>3.79</v>
          </cell>
          <cell r="J20">
            <v>2.98</v>
          </cell>
        </row>
        <row r="21">
          <cell r="C21" t="str">
            <v>24 HORAS CENTRALM</v>
          </cell>
          <cell r="D21">
            <v>3.88</v>
          </cell>
          <cell r="E21">
            <v>2.48</v>
          </cell>
          <cell r="F21">
            <v>0.97</v>
          </cell>
          <cell r="G21">
            <v>1.58</v>
          </cell>
          <cell r="H21">
            <v>2.87</v>
          </cell>
          <cell r="I21">
            <v>3.4</v>
          </cell>
          <cell r="J21">
            <v>3.05</v>
          </cell>
        </row>
        <row r="22">
          <cell r="C22" t="str">
            <v>24 HORAS CENTRALS</v>
          </cell>
          <cell r="D22">
            <v>2.74</v>
          </cell>
          <cell r="E22">
            <v>2.25</v>
          </cell>
          <cell r="F22">
            <v>0.69</v>
          </cell>
          <cell r="G22">
            <v>1.19</v>
          </cell>
          <cell r="H22">
            <v>2.4900000000000002</v>
          </cell>
          <cell r="I22">
            <v>2.4700000000000002</v>
          </cell>
          <cell r="J22">
            <v>2.4</v>
          </cell>
        </row>
        <row r="23">
          <cell r="C23" t="str">
            <v>24 HORAS DOMINGOD</v>
          </cell>
          <cell r="D23">
            <v>5.01</v>
          </cell>
          <cell r="E23">
            <v>2.83</v>
          </cell>
          <cell r="F23">
            <v>1.0900000000000001</v>
          </cell>
          <cell r="G23">
            <v>1.75</v>
          </cell>
          <cell r="H23">
            <v>3.79</v>
          </cell>
          <cell r="I23">
            <v>4.46</v>
          </cell>
          <cell r="J23">
            <v>3.29</v>
          </cell>
        </row>
        <row r="24">
          <cell r="C24" t="str">
            <v>24 HORAS DOMINGOD</v>
          </cell>
          <cell r="D24">
            <v>5.01</v>
          </cell>
          <cell r="E24">
            <v>2.83</v>
          </cell>
          <cell r="F24">
            <v>1.0900000000000001</v>
          </cell>
          <cell r="G24">
            <v>1.75</v>
          </cell>
          <cell r="H24">
            <v>3.79</v>
          </cell>
          <cell r="I24">
            <v>4.46</v>
          </cell>
          <cell r="J24">
            <v>3.29</v>
          </cell>
        </row>
        <row r="25">
          <cell r="C25" t="str">
            <v>45 ANOS DE UN COCOJ</v>
          </cell>
          <cell r="D25">
            <v>4.33</v>
          </cell>
          <cell r="E25">
            <v>3.62</v>
          </cell>
          <cell r="F25">
            <v>1.44</v>
          </cell>
          <cell r="G25">
            <v>2.71</v>
          </cell>
          <cell r="H25">
            <v>3.92</v>
          </cell>
          <cell r="I25">
            <v>4.1500000000000004</v>
          </cell>
          <cell r="J25">
            <v>3.64</v>
          </cell>
        </row>
        <row r="26">
          <cell r="C26" t="str">
            <v>45 ANOS DE UN COCOJ</v>
          </cell>
          <cell r="D26">
            <v>4.33</v>
          </cell>
          <cell r="E26">
            <v>3.62</v>
          </cell>
          <cell r="F26">
            <v>1.44</v>
          </cell>
          <cell r="G26">
            <v>2.71</v>
          </cell>
          <cell r="H26">
            <v>3.92</v>
          </cell>
          <cell r="I26">
            <v>4.1500000000000004</v>
          </cell>
          <cell r="J26">
            <v>3.64</v>
          </cell>
        </row>
        <row r="27">
          <cell r="C27" t="str">
            <v>4TO MEDIOLW</v>
          </cell>
          <cell r="D27">
            <v>2.0699999999999998</v>
          </cell>
          <cell r="E27">
            <v>1.9</v>
          </cell>
          <cell r="F27">
            <v>0.43</v>
          </cell>
          <cell r="G27">
            <v>1.1299999999999999</v>
          </cell>
          <cell r="H27">
            <v>1.68</v>
          </cell>
          <cell r="I27">
            <v>1.79</v>
          </cell>
          <cell r="J27">
            <v>1.75</v>
          </cell>
        </row>
        <row r="28">
          <cell r="C28" t="str">
            <v>4TO MEDIOW</v>
          </cell>
          <cell r="D28">
            <v>2.27</v>
          </cell>
          <cell r="E28">
            <v>2.09</v>
          </cell>
          <cell r="F28">
            <v>0.3</v>
          </cell>
          <cell r="G28">
            <v>1.3</v>
          </cell>
          <cell r="H28">
            <v>1.82</v>
          </cell>
          <cell r="I28">
            <v>1.96</v>
          </cell>
          <cell r="J28">
            <v>1.94</v>
          </cell>
        </row>
        <row r="29">
          <cell r="C29" t="str">
            <v>4TO MEDIOL</v>
          </cell>
          <cell r="D29">
            <v>0.93</v>
          </cell>
          <cell r="E29">
            <v>0.85</v>
          </cell>
          <cell r="F29">
            <v>1.1599999999999999</v>
          </cell>
          <cell r="G29">
            <v>0.22</v>
          </cell>
          <cell r="H29">
            <v>0.93</v>
          </cell>
          <cell r="I29">
            <v>0.84</v>
          </cell>
          <cell r="J29">
            <v>0.69</v>
          </cell>
        </row>
        <row r="30">
          <cell r="C30" t="str">
            <v>0,243055555555556LMWJD</v>
          </cell>
          <cell r="D30">
            <v>0.51</v>
          </cell>
          <cell r="E30">
            <v>0.54</v>
          </cell>
          <cell r="F30">
            <v>0</v>
          </cell>
          <cell r="G30">
            <v>0.3</v>
          </cell>
          <cell r="H30">
            <v>0.44</v>
          </cell>
          <cell r="I30">
            <v>0.49</v>
          </cell>
          <cell r="J30">
            <v>0.57999999999999996</v>
          </cell>
        </row>
        <row r="31">
          <cell r="C31" t="str">
            <v>0,243055555555556J</v>
          </cell>
          <cell r="D31">
            <v>0.67</v>
          </cell>
          <cell r="E31">
            <v>0.59</v>
          </cell>
          <cell r="F31">
            <v>0</v>
          </cell>
          <cell r="G31">
            <v>0.48</v>
          </cell>
          <cell r="H31">
            <v>0.69</v>
          </cell>
          <cell r="I31">
            <v>0.7</v>
          </cell>
          <cell r="J31">
            <v>0.59</v>
          </cell>
        </row>
        <row r="32">
          <cell r="C32" t="str">
            <v>0,243055555555556L</v>
          </cell>
          <cell r="D32">
            <v>0.7</v>
          </cell>
          <cell r="E32">
            <v>0.55000000000000004</v>
          </cell>
          <cell r="F32">
            <v>0</v>
          </cell>
          <cell r="G32">
            <v>0.51</v>
          </cell>
          <cell r="H32">
            <v>0.49</v>
          </cell>
          <cell r="I32">
            <v>0.65</v>
          </cell>
          <cell r="J32">
            <v>0.64</v>
          </cell>
        </row>
        <row r="33">
          <cell r="C33" t="str">
            <v>0,243055555555556D</v>
          </cell>
          <cell r="D33">
            <v>0.28999999999999998</v>
          </cell>
          <cell r="E33">
            <v>0.51</v>
          </cell>
          <cell r="F33">
            <v>0</v>
          </cell>
          <cell r="G33">
            <v>0.28000000000000003</v>
          </cell>
          <cell r="H33">
            <v>0.43</v>
          </cell>
          <cell r="I33">
            <v>0.26</v>
          </cell>
          <cell r="J33">
            <v>0.53</v>
          </cell>
        </row>
        <row r="34">
          <cell r="C34" t="str">
            <v>0,243055555555556M</v>
          </cell>
          <cell r="D34">
            <v>0.62</v>
          </cell>
          <cell r="E34">
            <v>0.41</v>
          </cell>
          <cell r="F34">
            <v>0</v>
          </cell>
          <cell r="G34">
            <v>0.37</v>
          </cell>
          <cell r="H34">
            <v>0.42</v>
          </cell>
          <cell r="I34">
            <v>0.55000000000000004</v>
          </cell>
          <cell r="J34">
            <v>0.56000000000000005</v>
          </cell>
        </row>
        <row r="35">
          <cell r="C35" t="str">
            <v>0,243055555555556W</v>
          </cell>
          <cell r="D35">
            <v>0.41</v>
          </cell>
          <cell r="E35">
            <v>0.66</v>
          </cell>
          <cell r="F35">
            <v>0</v>
          </cell>
          <cell r="G35">
            <v>0.09</v>
          </cell>
          <cell r="H35">
            <v>0.32</v>
          </cell>
          <cell r="I35">
            <v>0.44</v>
          </cell>
          <cell r="J35">
            <v>0.6</v>
          </cell>
        </row>
        <row r="36">
          <cell r="C36" t="str">
            <v>AVANCE 24D</v>
          </cell>
          <cell r="D36">
            <v>0.26</v>
          </cell>
          <cell r="E36">
            <v>0.25</v>
          </cell>
          <cell r="F36">
            <v>0</v>
          </cell>
          <cell r="G36">
            <v>0.12</v>
          </cell>
          <cell r="H36">
            <v>0.23</v>
          </cell>
          <cell r="I36">
            <v>0.24</v>
          </cell>
          <cell r="J36">
            <v>0.25</v>
          </cell>
        </row>
        <row r="37">
          <cell r="C37" t="str">
            <v>AVANCE 24D</v>
          </cell>
          <cell r="D37">
            <v>0.26</v>
          </cell>
          <cell r="E37">
            <v>0.25</v>
          </cell>
          <cell r="F37">
            <v>0</v>
          </cell>
          <cell r="G37">
            <v>0.12</v>
          </cell>
          <cell r="H37">
            <v>0.23</v>
          </cell>
          <cell r="I37">
            <v>0.24</v>
          </cell>
          <cell r="J37">
            <v>0.25</v>
          </cell>
        </row>
        <row r="38">
          <cell r="C38" t="str">
            <v>BEST SELLERVS</v>
          </cell>
          <cell r="D38">
            <v>1.1100000000000001</v>
          </cell>
          <cell r="E38">
            <v>0.97</v>
          </cell>
          <cell r="F38">
            <v>0.33</v>
          </cell>
          <cell r="G38">
            <v>0.84</v>
          </cell>
          <cell r="H38">
            <v>1.04</v>
          </cell>
          <cell r="I38">
            <v>1.18</v>
          </cell>
          <cell r="J38">
            <v>1.06</v>
          </cell>
        </row>
        <row r="39">
          <cell r="C39" t="str">
            <v>BEST SELLERS</v>
          </cell>
          <cell r="D39">
            <v>1.74</v>
          </cell>
          <cell r="E39">
            <v>1.36</v>
          </cell>
          <cell r="F39">
            <v>0.96</v>
          </cell>
          <cell r="G39">
            <v>0.79</v>
          </cell>
          <cell r="H39">
            <v>1.7</v>
          </cell>
          <cell r="I39">
            <v>1.73</v>
          </cell>
          <cell r="J39">
            <v>1.61</v>
          </cell>
        </row>
        <row r="40">
          <cell r="C40" t="str">
            <v>BEST SELLERV</v>
          </cell>
          <cell r="D40">
            <v>0.82</v>
          </cell>
          <cell r="E40">
            <v>0.79</v>
          </cell>
          <cell r="F40">
            <v>0.04</v>
          </cell>
          <cell r="G40">
            <v>0.86</v>
          </cell>
          <cell r="H40">
            <v>0.74</v>
          </cell>
          <cell r="I40">
            <v>0.93</v>
          </cell>
          <cell r="J40">
            <v>0.81</v>
          </cell>
        </row>
        <row r="41">
          <cell r="C41" t="str">
            <v>BOXEO DE OROS</v>
          </cell>
          <cell r="D41">
            <v>0.9</v>
          </cell>
          <cell r="E41">
            <v>0.84</v>
          </cell>
          <cell r="F41">
            <v>0.24</v>
          </cell>
          <cell r="G41">
            <v>0.38</v>
          </cell>
          <cell r="H41">
            <v>0.93</v>
          </cell>
          <cell r="I41">
            <v>0.8</v>
          </cell>
          <cell r="J41">
            <v>0.81</v>
          </cell>
        </row>
        <row r="42">
          <cell r="C42" t="str">
            <v>BOXEO DE OROS</v>
          </cell>
          <cell r="D42">
            <v>0.9</v>
          </cell>
          <cell r="E42">
            <v>0.84</v>
          </cell>
          <cell r="F42">
            <v>0.24</v>
          </cell>
          <cell r="G42">
            <v>0.38</v>
          </cell>
          <cell r="H42">
            <v>0.93</v>
          </cell>
          <cell r="I42">
            <v>0.8</v>
          </cell>
          <cell r="J42">
            <v>0.81</v>
          </cell>
        </row>
        <row r="43">
          <cell r="C43" t="str">
            <v>BUENOS DIAS A TODOS (A)LMWJV</v>
          </cell>
          <cell r="D43">
            <v>1.36</v>
          </cell>
          <cell r="E43">
            <v>0.64</v>
          </cell>
          <cell r="F43">
            <v>0.03</v>
          </cell>
          <cell r="G43">
            <v>0.63</v>
          </cell>
          <cell r="H43">
            <v>1.01</v>
          </cell>
          <cell r="I43">
            <v>1.25</v>
          </cell>
          <cell r="J43">
            <v>1.07</v>
          </cell>
        </row>
        <row r="44">
          <cell r="C44" t="str">
            <v>BUENOS DIAS A TODOS (A)V</v>
          </cell>
          <cell r="D44">
            <v>2.44</v>
          </cell>
          <cell r="E44">
            <v>1.28</v>
          </cell>
          <cell r="F44">
            <v>0.03</v>
          </cell>
          <cell r="G44">
            <v>1.04</v>
          </cell>
          <cell r="H44">
            <v>1.75</v>
          </cell>
          <cell r="I44">
            <v>2.19</v>
          </cell>
          <cell r="J44">
            <v>1.55</v>
          </cell>
        </row>
        <row r="45">
          <cell r="C45" t="str">
            <v>BUENOS DIAS A TODOS (A)L</v>
          </cell>
          <cell r="D45">
            <v>1.34</v>
          </cell>
          <cell r="E45">
            <v>0.47</v>
          </cell>
          <cell r="F45">
            <v>0.08</v>
          </cell>
          <cell r="G45">
            <v>0.44</v>
          </cell>
          <cell r="H45">
            <v>0.96</v>
          </cell>
          <cell r="I45">
            <v>1.23</v>
          </cell>
          <cell r="J45">
            <v>1.35</v>
          </cell>
        </row>
        <row r="46">
          <cell r="C46" t="str">
            <v>BUENOS DIAS A TODOS (A)J</v>
          </cell>
          <cell r="D46">
            <v>0.96</v>
          </cell>
          <cell r="E46">
            <v>0.78</v>
          </cell>
          <cell r="F46">
            <v>0</v>
          </cell>
          <cell r="G46">
            <v>0.75</v>
          </cell>
          <cell r="H46">
            <v>0.93</v>
          </cell>
          <cell r="I46">
            <v>0.93</v>
          </cell>
          <cell r="J46">
            <v>0.98</v>
          </cell>
        </row>
        <row r="47">
          <cell r="C47" t="str">
            <v>BUENOS DIAS A TODOS (A)W</v>
          </cell>
          <cell r="D47">
            <v>1.02</v>
          </cell>
          <cell r="E47">
            <v>0.44</v>
          </cell>
          <cell r="F47">
            <v>0.05</v>
          </cell>
          <cell r="G47">
            <v>0.23</v>
          </cell>
          <cell r="H47">
            <v>0.76</v>
          </cell>
          <cell r="I47">
            <v>0.94</v>
          </cell>
          <cell r="J47">
            <v>0.86</v>
          </cell>
        </row>
        <row r="48">
          <cell r="C48" t="str">
            <v>BUENOS DIAS A TODOS (A)M</v>
          </cell>
          <cell r="D48">
            <v>0.94</v>
          </cell>
          <cell r="E48">
            <v>0.27</v>
          </cell>
          <cell r="F48">
            <v>0</v>
          </cell>
          <cell r="G48">
            <v>0.73</v>
          </cell>
          <cell r="H48">
            <v>0.62</v>
          </cell>
          <cell r="I48">
            <v>0.89</v>
          </cell>
          <cell r="J48">
            <v>0.62</v>
          </cell>
        </row>
        <row r="49">
          <cell r="C49" t="str">
            <v>BUENOS DIAS A TODOS (B)LMWJV</v>
          </cell>
          <cell r="D49">
            <v>1.36</v>
          </cell>
          <cell r="E49">
            <v>0.71</v>
          </cell>
          <cell r="F49">
            <v>0.28999999999999998</v>
          </cell>
          <cell r="G49">
            <v>0.56999999999999995</v>
          </cell>
          <cell r="H49">
            <v>1.04</v>
          </cell>
          <cell r="I49">
            <v>1.28</v>
          </cell>
          <cell r="J49">
            <v>1.01</v>
          </cell>
        </row>
        <row r="50">
          <cell r="C50" t="str">
            <v>BUENOS DIAS A TODOS (B)J</v>
          </cell>
          <cell r="D50">
            <v>1.8</v>
          </cell>
          <cell r="E50">
            <v>0.98</v>
          </cell>
          <cell r="F50">
            <v>0.22</v>
          </cell>
          <cell r="G50">
            <v>0.71</v>
          </cell>
          <cell r="H50">
            <v>1.52</v>
          </cell>
          <cell r="I50">
            <v>1.7</v>
          </cell>
          <cell r="J50">
            <v>1.27</v>
          </cell>
        </row>
        <row r="51">
          <cell r="C51" t="str">
            <v>BUENOS DIAS A TODOS (B)M</v>
          </cell>
          <cell r="D51">
            <v>1.6</v>
          </cell>
          <cell r="E51">
            <v>0.5</v>
          </cell>
          <cell r="F51">
            <v>0.09</v>
          </cell>
          <cell r="G51">
            <v>0.42</v>
          </cell>
          <cell r="H51">
            <v>1.06</v>
          </cell>
          <cell r="I51">
            <v>1.43</v>
          </cell>
          <cell r="J51">
            <v>0.93</v>
          </cell>
        </row>
        <row r="52">
          <cell r="C52" t="str">
            <v>BUENOS DIAS A TODOS (B)V</v>
          </cell>
          <cell r="D52">
            <v>1.42</v>
          </cell>
          <cell r="E52">
            <v>0.49</v>
          </cell>
          <cell r="F52">
            <v>0.56000000000000005</v>
          </cell>
          <cell r="G52">
            <v>0.56000000000000005</v>
          </cell>
          <cell r="H52">
            <v>1.01</v>
          </cell>
          <cell r="I52">
            <v>1.39</v>
          </cell>
          <cell r="J52">
            <v>0.86</v>
          </cell>
        </row>
        <row r="53">
          <cell r="C53" t="str">
            <v>BUENOS DIAS A TODOS (B)L</v>
          </cell>
          <cell r="D53">
            <v>1.41</v>
          </cell>
          <cell r="E53">
            <v>0.59</v>
          </cell>
          <cell r="F53">
            <v>0.26</v>
          </cell>
          <cell r="G53">
            <v>0.63</v>
          </cell>
          <cell r="H53">
            <v>0.95</v>
          </cell>
          <cell r="I53">
            <v>1.37</v>
          </cell>
          <cell r="J53">
            <v>1.03</v>
          </cell>
        </row>
        <row r="54">
          <cell r="C54" t="str">
            <v>BUENOS DIAS A TODOS (B)W</v>
          </cell>
          <cell r="D54">
            <v>0.79</v>
          </cell>
          <cell r="E54">
            <v>0.83</v>
          </cell>
          <cell r="F54">
            <v>0.34</v>
          </cell>
          <cell r="G54">
            <v>0.51</v>
          </cell>
          <cell r="H54">
            <v>0.72</v>
          </cell>
          <cell r="I54">
            <v>0.74</v>
          </cell>
          <cell r="J54">
            <v>0.92</v>
          </cell>
        </row>
        <row r="55">
          <cell r="C55" t="str">
            <v>CHILE CONECTADO (R)D</v>
          </cell>
          <cell r="D55">
            <v>2.35</v>
          </cell>
          <cell r="E55">
            <v>1.68</v>
          </cell>
          <cell r="F55">
            <v>0.41</v>
          </cell>
          <cell r="G55">
            <v>1.05</v>
          </cell>
          <cell r="H55">
            <v>1.93</v>
          </cell>
          <cell r="I55">
            <v>2.08</v>
          </cell>
          <cell r="J55">
            <v>1.88</v>
          </cell>
        </row>
        <row r="56">
          <cell r="C56" t="str">
            <v>CHILE CONECTADO (R)D</v>
          </cell>
          <cell r="D56">
            <v>2.35</v>
          </cell>
          <cell r="E56">
            <v>1.68</v>
          </cell>
          <cell r="F56">
            <v>0.41</v>
          </cell>
          <cell r="G56">
            <v>1.05</v>
          </cell>
          <cell r="H56">
            <v>1.93</v>
          </cell>
          <cell r="I56">
            <v>2.08</v>
          </cell>
          <cell r="J56">
            <v>1.88</v>
          </cell>
        </row>
        <row r="57">
          <cell r="C57" t="str">
            <v>CINEV</v>
          </cell>
          <cell r="D57">
            <v>0.86</v>
          </cell>
          <cell r="E57">
            <v>0.62</v>
          </cell>
          <cell r="F57">
            <v>0</v>
          </cell>
          <cell r="G57">
            <v>0</v>
          </cell>
          <cell r="H57">
            <v>0.39</v>
          </cell>
          <cell r="I57">
            <v>0.71</v>
          </cell>
          <cell r="J57">
            <v>0.97</v>
          </cell>
        </row>
        <row r="58">
          <cell r="C58" t="str">
            <v>CINEV</v>
          </cell>
          <cell r="D58">
            <v>0.86</v>
          </cell>
          <cell r="E58">
            <v>0.62</v>
          </cell>
          <cell r="F58">
            <v>0</v>
          </cell>
          <cell r="G58">
            <v>0</v>
          </cell>
          <cell r="H58">
            <v>0.39</v>
          </cell>
          <cell r="I58">
            <v>0.71</v>
          </cell>
          <cell r="J58">
            <v>0.97</v>
          </cell>
        </row>
        <row r="59">
          <cell r="C59" t="str">
            <v>COPA DAVISVSD</v>
          </cell>
          <cell r="D59">
            <v>1.5</v>
          </cell>
          <cell r="E59">
            <v>1.97</v>
          </cell>
          <cell r="F59">
            <v>0.65</v>
          </cell>
          <cell r="G59">
            <v>0.66</v>
          </cell>
          <cell r="H59">
            <v>1.72</v>
          </cell>
          <cell r="I59">
            <v>1.34</v>
          </cell>
          <cell r="J59">
            <v>1.59</v>
          </cell>
        </row>
        <row r="60">
          <cell r="C60" t="str">
            <v>COPA DAVISS</v>
          </cell>
          <cell r="D60">
            <v>1.64</v>
          </cell>
          <cell r="E60">
            <v>2.4300000000000002</v>
          </cell>
          <cell r="F60">
            <v>0.78</v>
          </cell>
          <cell r="G60">
            <v>0.89</v>
          </cell>
          <cell r="H60">
            <v>1.88</v>
          </cell>
          <cell r="I60">
            <v>1.59</v>
          </cell>
          <cell r="J60">
            <v>1.91</v>
          </cell>
        </row>
        <row r="61">
          <cell r="C61" t="str">
            <v>COPA DAVISV</v>
          </cell>
          <cell r="D61">
            <v>1.59</v>
          </cell>
          <cell r="E61">
            <v>1.91</v>
          </cell>
          <cell r="F61">
            <v>0.54</v>
          </cell>
          <cell r="G61">
            <v>0.56000000000000005</v>
          </cell>
          <cell r="H61">
            <v>1.78</v>
          </cell>
          <cell r="I61">
            <v>1.42</v>
          </cell>
          <cell r="J61">
            <v>1.56</v>
          </cell>
        </row>
        <row r="62">
          <cell r="C62" t="str">
            <v>COPA DAVISD</v>
          </cell>
          <cell r="D62">
            <v>1.1299999999999999</v>
          </cell>
          <cell r="E62">
            <v>1.84</v>
          </cell>
          <cell r="F62">
            <v>0.9</v>
          </cell>
          <cell r="G62">
            <v>0.86</v>
          </cell>
          <cell r="H62">
            <v>1.43</v>
          </cell>
          <cell r="I62">
            <v>0.94</v>
          </cell>
          <cell r="J62">
            <v>1.46</v>
          </cell>
        </row>
        <row r="63">
          <cell r="C63" t="str">
            <v>DESTILANDO AMORLMWJV</v>
          </cell>
          <cell r="D63">
            <v>2.5499999999999998</v>
          </cell>
          <cell r="E63">
            <v>0.91</v>
          </cell>
          <cell r="F63">
            <v>0.38</v>
          </cell>
          <cell r="G63">
            <v>0.89</v>
          </cell>
          <cell r="H63">
            <v>1.55</v>
          </cell>
          <cell r="I63">
            <v>2.33</v>
          </cell>
          <cell r="J63">
            <v>2.4</v>
          </cell>
        </row>
        <row r="64">
          <cell r="C64" t="str">
            <v>DESTILANDO AMORL</v>
          </cell>
          <cell r="D64">
            <v>2.95</v>
          </cell>
          <cell r="E64">
            <v>0.88</v>
          </cell>
          <cell r="F64">
            <v>0.3</v>
          </cell>
          <cell r="G64">
            <v>1.07</v>
          </cell>
          <cell r="H64">
            <v>1.65</v>
          </cell>
          <cell r="I64">
            <v>2.72</v>
          </cell>
          <cell r="J64">
            <v>2.41</v>
          </cell>
        </row>
        <row r="65">
          <cell r="C65" t="str">
            <v>DESTILANDO AMORM</v>
          </cell>
          <cell r="D65">
            <v>2.87</v>
          </cell>
          <cell r="E65">
            <v>0.85</v>
          </cell>
          <cell r="F65">
            <v>0.48</v>
          </cell>
          <cell r="G65">
            <v>0.97</v>
          </cell>
          <cell r="H65">
            <v>1.64</v>
          </cell>
          <cell r="I65">
            <v>2.66</v>
          </cell>
          <cell r="J65">
            <v>2.6</v>
          </cell>
        </row>
        <row r="66">
          <cell r="C66" t="str">
            <v>DESTILANDO AMORV</v>
          </cell>
          <cell r="D66">
            <v>2.2599999999999998</v>
          </cell>
          <cell r="E66">
            <v>1.2</v>
          </cell>
          <cell r="F66">
            <v>0.1</v>
          </cell>
          <cell r="G66">
            <v>0.63</v>
          </cell>
          <cell r="H66">
            <v>1.55</v>
          </cell>
          <cell r="I66">
            <v>1.97</v>
          </cell>
          <cell r="J66">
            <v>2.38</v>
          </cell>
        </row>
        <row r="67">
          <cell r="C67" t="str">
            <v>DESTILANDO AMORW</v>
          </cell>
          <cell r="D67">
            <v>2.54</v>
          </cell>
          <cell r="E67">
            <v>0.88</v>
          </cell>
          <cell r="F67">
            <v>0.14000000000000001</v>
          </cell>
          <cell r="G67">
            <v>0.97</v>
          </cell>
          <cell r="H67">
            <v>1.54</v>
          </cell>
          <cell r="I67">
            <v>2.38</v>
          </cell>
          <cell r="J67">
            <v>2.37</v>
          </cell>
        </row>
        <row r="68">
          <cell r="C68" t="str">
            <v>DESTILANDO AMORJ</v>
          </cell>
          <cell r="D68">
            <v>2.13</v>
          </cell>
          <cell r="E68">
            <v>0.79</v>
          </cell>
          <cell r="F68">
            <v>0.84</v>
          </cell>
          <cell r="G68">
            <v>0.83</v>
          </cell>
          <cell r="H68">
            <v>1.38</v>
          </cell>
          <cell r="I68">
            <v>1.9</v>
          </cell>
          <cell r="J68">
            <v>2.2200000000000002</v>
          </cell>
        </row>
        <row r="69">
          <cell r="C69" t="str">
            <v>DOCTOR HOUSE (R)LMWJVD</v>
          </cell>
          <cell r="D69">
            <v>1.81</v>
          </cell>
          <cell r="E69">
            <v>1.52</v>
          </cell>
          <cell r="F69">
            <v>0.33</v>
          </cell>
          <cell r="G69">
            <v>0.93</v>
          </cell>
          <cell r="H69">
            <v>1.71</v>
          </cell>
          <cell r="I69">
            <v>1.6</v>
          </cell>
          <cell r="J69">
            <v>1.52</v>
          </cell>
        </row>
        <row r="70">
          <cell r="C70" t="str">
            <v>DOCTOR HOUSE (R)M</v>
          </cell>
          <cell r="D70">
            <v>2.35</v>
          </cell>
          <cell r="E70">
            <v>1.51</v>
          </cell>
          <cell r="F70">
            <v>0.46</v>
          </cell>
          <cell r="G70">
            <v>1.29</v>
          </cell>
          <cell r="H70">
            <v>1.98</v>
          </cell>
          <cell r="I70">
            <v>2.0099999999999998</v>
          </cell>
          <cell r="J70">
            <v>1.7</v>
          </cell>
        </row>
        <row r="71">
          <cell r="C71" t="str">
            <v>DOCTOR HOUSE (R)J</v>
          </cell>
          <cell r="D71">
            <v>2.21</v>
          </cell>
          <cell r="E71">
            <v>1.43</v>
          </cell>
          <cell r="F71">
            <v>0.32</v>
          </cell>
          <cell r="G71">
            <v>0.9</v>
          </cell>
          <cell r="H71">
            <v>1.86</v>
          </cell>
          <cell r="I71">
            <v>1.96</v>
          </cell>
          <cell r="J71">
            <v>1.49</v>
          </cell>
        </row>
        <row r="72">
          <cell r="C72" t="str">
            <v>DOCTOR HOUSE (R)L</v>
          </cell>
          <cell r="D72">
            <v>1.65</v>
          </cell>
          <cell r="E72">
            <v>1.38</v>
          </cell>
          <cell r="F72">
            <v>0.61</v>
          </cell>
          <cell r="G72">
            <v>0.98</v>
          </cell>
          <cell r="H72">
            <v>1.68</v>
          </cell>
          <cell r="I72">
            <v>1.47</v>
          </cell>
          <cell r="J72">
            <v>1.33</v>
          </cell>
        </row>
        <row r="73">
          <cell r="C73" t="str">
            <v>DOCTOR HOUSE (R)W</v>
          </cell>
          <cell r="D73">
            <v>1.05</v>
          </cell>
          <cell r="E73">
            <v>2.0499999999999998</v>
          </cell>
          <cell r="F73">
            <v>0.02</v>
          </cell>
          <cell r="G73">
            <v>0.46</v>
          </cell>
          <cell r="H73">
            <v>1.56</v>
          </cell>
          <cell r="I73">
            <v>0.91</v>
          </cell>
          <cell r="J73">
            <v>1.67</v>
          </cell>
        </row>
        <row r="74">
          <cell r="C74" t="str">
            <v>DOCTOR HOUSE (R)D</v>
          </cell>
          <cell r="D74">
            <v>1.74</v>
          </cell>
          <cell r="E74">
            <v>1.18</v>
          </cell>
          <cell r="F74">
            <v>0.25</v>
          </cell>
          <cell r="G74">
            <v>1.1100000000000001</v>
          </cell>
          <cell r="H74">
            <v>1.53</v>
          </cell>
          <cell r="I74">
            <v>1.63</v>
          </cell>
          <cell r="J74">
            <v>1.37</v>
          </cell>
        </row>
        <row r="75">
          <cell r="C75" t="str">
            <v>DOCTOR HOUSE (R)V</v>
          </cell>
          <cell r="D75">
            <v>1.26</v>
          </cell>
          <cell r="E75">
            <v>1.27</v>
          </cell>
          <cell r="F75">
            <v>0</v>
          </cell>
          <cell r="G75">
            <v>0.48</v>
          </cell>
          <cell r="H75">
            <v>0.89</v>
          </cell>
          <cell r="I75">
            <v>1.17</v>
          </cell>
          <cell r="J75">
            <v>1.42</v>
          </cell>
        </row>
        <row r="76">
          <cell r="C76" t="str">
            <v>EL SECRETO DE PUENTE VIEJOLMWJV</v>
          </cell>
          <cell r="D76">
            <v>2.2999999999999998</v>
          </cell>
          <cell r="E76">
            <v>0.68</v>
          </cell>
          <cell r="F76">
            <v>0.6</v>
          </cell>
          <cell r="G76">
            <v>0.64</v>
          </cell>
          <cell r="H76">
            <v>1.4</v>
          </cell>
          <cell r="I76">
            <v>2.1</v>
          </cell>
          <cell r="J76">
            <v>1.52</v>
          </cell>
        </row>
        <row r="77">
          <cell r="C77" t="str">
            <v>EL SECRETO DE PUENTE VIEJOW</v>
          </cell>
          <cell r="D77">
            <v>2.4700000000000002</v>
          </cell>
          <cell r="E77">
            <v>0.81</v>
          </cell>
          <cell r="F77">
            <v>0.4</v>
          </cell>
          <cell r="G77">
            <v>0.69</v>
          </cell>
          <cell r="H77">
            <v>1.55</v>
          </cell>
          <cell r="I77">
            <v>2.2799999999999998</v>
          </cell>
          <cell r="J77">
            <v>1.67</v>
          </cell>
        </row>
        <row r="78">
          <cell r="C78" t="str">
            <v>EL SECRETO DE PUENTE VIEJOL</v>
          </cell>
          <cell r="D78">
            <v>2.11</v>
          </cell>
          <cell r="E78">
            <v>0.85</v>
          </cell>
          <cell r="F78">
            <v>0.46</v>
          </cell>
          <cell r="G78">
            <v>0.73</v>
          </cell>
          <cell r="H78">
            <v>1.42</v>
          </cell>
          <cell r="I78">
            <v>1.91</v>
          </cell>
          <cell r="J78">
            <v>1.5</v>
          </cell>
        </row>
        <row r="79">
          <cell r="C79" t="str">
            <v>EL SECRETO DE PUENTE VIEJOV</v>
          </cell>
          <cell r="D79">
            <v>2.44</v>
          </cell>
          <cell r="E79">
            <v>0.57999999999999996</v>
          </cell>
          <cell r="F79">
            <v>0.27</v>
          </cell>
          <cell r="G79">
            <v>0.63</v>
          </cell>
          <cell r="H79">
            <v>1.38</v>
          </cell>
          <cell r="I79">
            <v>2.11</v>
          </cell>
          <cell r="J79">
            <v>1.52</v>
          </cell>
        </row>
        <row r="80">
          <cell r="C80" t="str">
            <v>EL SECRETO DE PUENTE VIEJOJ</v>
          </cell>
          <cell r="D80">
            <v>2.02</v>
          </cell>
          <cell r="E80">
            <v>0.88</v>
          </cell>
          <cell r="F80">
            <v>1.07</v>
          </cell>
          <cell r="G80">
            <v>0.46</v>
          </cell>
          <cell r="H80">
            <v>1.37</v>
          </cell>
          <cell r="I80">
            <v>1.89</v>
          </cell>
          <cell r="J80">
            <v>1.53</v>
          </cell>
        </row>
        <row r="81">
          <cell r="C81" t="str">
            <v>EL SECRETO DE PUENTE VIEJOM</v>
          </cell>
          <cell r="D81">
            <v>2.38</v>
          </cell>
          <cell r="E81">
            <v>0.34</v>
          </cell>
          <cell r="F81">
            <v>0.75</v>
          </cell>
          <cell r="G81">
            <v>0.69</v>
          </cell>
          <cell r="H81">
            <v>1.29</v>
          </cell>
          <cell r="I81">
            <v>2.2400000000000002</v>
          </cell>
          <cell r="J81">
            <v>1.4</v>
          </cell>
        </row>
        <row r="82">
          <cell r="C82" t="str">
            <v>ENTRE PROGRAMASLMWJVSD</v>
          </cell>
          <cell r="D82">
            <v>1.79</v>
          </cell>
          <cell r="E82">
            <v>1.29</v>
          </cell>
          <cell r="F82">
            <v>0.33</v>
          </cell>
          <cell r="G82">
            <v>0.99</v>
          </cell>
          <cell r="H82">
            <v>1.47</v>
          </cell>
          <cell r="I82">
            <v>1.63</v>
          </cell>
          <cell r="J82">
            <v>1.43</v>
          </cell>
        </row>
        <row r="83">
          <cell r="C83" t="str">
            <v>ENTRE PROGRAMASM</v>
          </cell>
          <cell r="D83">
            <v>3</v>
          </cell>
          <cell r="E83">
            <v>1.77</v>
          </cell>
          <cell r="F83">
            <v>0.44</v>
          </cell>
          <cell r="G83">
            <v>1.6</v>
          </cell>
          <cell r="H83">
            <v>2.35</v>
          </cell>
          <cell r="I83">
            <v>2.68</v>
          </cell>
          <cell r="J83">
            <v>2.14</v>
          </cell>
        </row>
        <row r="84">
          <cell r="C84" t="str">
            <v>ENTRE PROGRAMASJ</v>
          </cell>
          <cell r="D84">
            <v>2.31</v>
          </cell>
          <cell r="E84">
            <v>1.77</v>
          </cell>
          <cell r="F84">
            <v>0.32</v>
          </cell>
          <cell r="G84">
            <v>1.23</v>
          </cell>
          <cell r="H84">
            <v>2.0099999999999998</v>
          </cell>
          <cell r="I84">
            <v>2.08</v>
          </cell>
          <cell r="J84">
            <v>1.83</v>
          </cell>
        </row>
        <row r="85">
          <cell r="C85" t="str">
            <v>ENTRE PROGRAMASD</v>
          </cell>
          <cell r="D85">
            <v>1.74</v>
          </cell>
          <cell r="E85">
            <v>0.87</v>
          </cell>
          <cell r="F85">
            <v>0.28999999999999998</v>
          </cell>
          <cell r="G85">
            <v>0.96</v>
          </cell>
          <cell r="H85">
            <v>1.3</v>
          </cell>
          <cell r="I85">
            <v>1.59</v>
          </cell>
          <cell r="J85">
            <v>1.17</v>
          </cell>
        </row>
        <row r="86">
          <cell r="C86" t="str">
            <v>ENTRE PROGRAMASL</v>
          </cell>
          <cell r="D86">
            <v>1.49</v>
          </cell>
          <cell r="E86">
            <v>0.99</v>
          </cell>
          <cell r="F86">
            <v>0.44</v>
          </cell>
          <cell r="G86">
            <v>1.24</v>
          </cell>
          <cell r="H86">
            <v>1.25</v>
          </cell>
          <cell r="I86">
            <v>1.39</v>
          </cell>
          <cell r="J86">
            <v>1.05</v>
          </cell>
        </row>
        <row r="87">
          <cell r="C87" t="str">
            <v>ENTRE PROGRAMASS</v>
          </cell>
          <cell r="D87">
            <v>1.1000000000000001</v>
          </cell>
          <cell r="E87">
            <v>1.42</v>
          </cell>
          <cell r="F87">
            <v>0.49</v>
          </cell>
          <cell r="G87">
            <v>0.83</v>
          </cell>
          <cell r="H87">
            <v>1.1499999999999999</v>
          </cell>
          <cell r="I87">
            <v>0.99</v>
          </cell>
          <cell r="J87">
            <v>1.24</v>
          </cell>
        </row>
        <row r="88">
          <cell r="C88" t="str">
            <v>ENTRE PROGRAMASW</v>
          </cell>
          <cell r="D88">
            <v>1.21</v>
          </cell>
          <cell r="E88">
            <v>1.51</v>
          </cell>
          <cell r="F88">
            <v>0.25</v>
          </cell>
          <cell r="G88">
            <v>0.45</v>
          </cell>
          <cell r="H88">
            <v>1.1200000000000001</v>
          </cell>
          <cell r="I88">
            <v>1.1200000000000001</v>
          </cell>
          <cell r="J88">
            <v>1.48</v>
          </cell>
        </row>
        <row r="89">
          <cell r="C89" t="str">
            <v>ENTRE PROGRAMASV</v>
          </cell>
          <cell r="D89">
            <v>0.72</v>
          </cell>
          <cell r="E89">
            <v>1.1000000000000001</v>
          </cell>
          <cell r="F89">
            <v>0</v>
          </cell>
          <cell r="G89">
            <v>0.21</v>
          </cell>
          <cell r="H89">
            <v>0.74</v>
          </cell>
          <cell r="I89">
            <v>0.59</v>
          </cell>
          <cell r="J89">
            <v>0.78</v>
          </cell>
        </row>
        <row r="90">
          <cell r="C90" t="str">
            <v>ESA NO SOY YOLMWJV</v>
          </cell>
          <cell r="D90">
            <v>2.2000000000000002</v>
          </cell>
          <cell r="E90">
            <v>1.04</v>
          </cell>
          <cell r="F90">
            <v>0.56999999999999995</v>
          </cell>
          <cell r="G90">
            <v>0.81</v>
          </cell>
          <cell r="H90">
            <v>1.53</v>
          </cell>
          <cell r="I90">
            <v>2.06</v>
          </cell>
          <cell r="J90">
            <v>2.06</v>
          </cell>
        </row>
        <row r="91">
          <cell r="C91" t="str">
            <v>ESA NO SOY YOV</v>
          </cell>
          <cell r="D91">
            <v>2.1800000000000002</v>
          </cell>
          <cell r="E91">
            <v>1.53</v>
          </cell>
          <cell r="F91">
            <v>0.43</v>
          </cell>
          <cell r="G91">
            <v>0.95</v>
          </cell>
          <cell r="H91">
            <v>1.86</v>
          </cell>
          <cell r="I91">
            <v>2.0299999999999998</v>
          </cell>
          <cell r="J91">
            <v>2.66</v>
          </cell>
        </row>
        <row r="92">
          <cell r="C92" t="str">
            <v>ESA NO SOY YOM</v>
          </cell>
          <cell r="D92">
            <v>2.5299999999999998</v>
          </cell>
          <cell r="E92">
            <v>0.91</v>
          </cell>
          <cell r="F92">
            <v>0.66</v>
          </cell>
          <cell r="G92">
            <v>0.93</v>
          </cell>
          <cell r="H92">
            <v>1.61</v>
          </cell>
          <cell r="I92">
            <v>2.38</v>
          </cell>
          <cell r="J92">
            <v>2.14</v>
          </cell>
        </row>
        <row r="93">
          <cell r="C93" t="str">
            <v>ESA NO SOY YOL</v>
          </cell>
          <cell r="D93">
            <v>2.2000000000000002</v>
          </cell>
          <cell r="E93">
            <v>1.21</v>
          </cell>
          <cell r="F93">
            <v>0.57999999999999996</v>
          </cell>
          <cell r="G93">
            <v>0.79</v>
          </cell>
          <cell r="H93">
            <v>1.56</v>
          </cell>
          <cell r="I93">
            <v>2.0699999999999998</v>
          </cell>
          <cell r="J93">
            <v>2.0099999999999998</v>
          </cell>
        </row>
        <row r="94">
          <cell r="C94" t="str">
            <v>ESA NO SOY YOW</v>
          </cell>
          <cell r="D94">
            <v>2.13</v>
          </cell>
          <cell r="E94">
            <v>0.93</v>
          </cell>
          <cell r="F94">
            <v>0.42</v>
          </cell>
          <cell r="G94">
            <v>0.76</v>
          </cell>
          <cell r="H94">
            <v>1.45</v>
          </cell>
          <cell r="I94">
            <v>2.04</v>
          </cell>
          <cell r="J94">
            <v>2.0099999999999998</v>
          </cell>
        </row>
        <row r="95">
          <cell r="C95" t="str">
            <v>ESA NO SOY YOJ</v>
          </cell>
          <cell r="D95">
            <v>1.89</v>
          </cell>
          <cell r="E95">
            <v>0.9</v>
          </cell>
          <cell r="F95">
            <v>0.72</v>
          </cell>
          <cell r="G95">
            <v>0.67</v>
          </cell>
          <cell r="H95">
            <v>1.33</v>
          </cell>
          <cell r="I95">
            <v>1.71</v>
          </cell>
          <cell r="J95">
            <v>1.75</v>
          </cell>
        </row>
        <row r="96">
          <cell r="C96" t="str">
            <v>ESA NO SOY YO (RESUMEN)LMWJV</v>
          </cell>
          <cell r="D96">
            <v>1.72</v>
          </cell>
          <cell r="E96">
            <v>0.9</v>
          </cell>
          <cell r="F96">
            <v>0.5</v>
          </cell>
          <cell r="G96">
            <v>0.79</v>
          </cell>
          <cell r="H96">
            <v>1.3</v>
          </cell>
          <cell r="I96">
            <v>1.61</v>
          </cell>
          <cell r="J96">
            <v>1.36</v>
          </cell>
        </row>
        <row r="97">
          <cell r="C97" t="str">
            <v>ESA NO SOY YO (RESUMEN)V</v>
          </cell>
          <cell r="D97">
            <v>1.87</v>
          </cell>
          <cell r="E97">
            <v>1.01</v>
          </cell>
          <cell r="F97">
            <v>0.38</v>
          </cell>
          <cell r="G97">
            <v>0.55000000000000004</v>
          </cell>
          <cell r="H97">
            <v>1.57</v>
          </cell>
          <cell r="I97">
            <v>1.74</v>
          </cell>
          <cell r="J97">
            <v>1.67</v>
          </cell>
        </row>
        <row r="98">
          <cell r="C98" t="str">
            <v>ESA NO SOY YO (RESUMEN)L</v>
          </cell>
          <cell r="D98">
            <v>1.77</v>
          </cell>
          <cell r="E98">
            <v>1.04</v>
          </cell>
          <cell r="F98">
            <v>0.36</v>
          </cell>
          <cell r="G98">
            <v>0.85</v>
          </cell>
          <cell r="H98">
            <v>1.44</v>
          </cell>
          <cell r="I98">
            <v>1.6</v>
          </cell>
          <cell r="J98">
            <v>1.41</v>
          </cell>
        </row>
        <row r="99">
          <cell r="C99" t="str">
            <v>ESA NO SOY YO (RESUMEN)M</v>
          </cell>
          <cell r="D99">
            <v>1.96</v>
          </cell>
          <cell r="E99">
            <v>0.76</v>
          </cell>
          <cell r="F99">
            <v>0.6</v>
          </cell>
          <cell r="G99">
            <v>0.8</v>
          </cell>
          <cell r="H99">
            <v>1.37</v>
          </cell>
          <cell r="I99">
            <v>1.81</v>
          </cell>
          <cell r="J99">
            <v>1.39</v>
          </cell>
        </row>
        <row r="100">
          <cell r="C100" t="str">
            <v>ESA NO SOY YO (RESUMEN)W</v>
          </cell>
          <cell r="D100">
            <v>1.72</v>
          </cell>
          <cell r="E100">
            <v>0.97</v>
          </cell>
          <cell r="F100">
            <v>0.41</v>
          </cell>
          <cell r="G100">
            <v>0.99</v>
          </cell>
          <cell r="H100">
            <v>1.23</v>
          </cell>
          <cell r="I100">
            <v>1.72</v>
          </cell>
          <cell r="J100">
            <v>1.45</v>
          </cell>
        </row>
        <row r="101">
          <cell r="C101" t="str">
            <v>ESA NO SOY YO (RESUMEN)J</v>
          </cell>
          <cell r="D101">
            <v>1.33</v>
          </cell>
          <cell r="E101">
            <v>0.72</v>
          </cell>
          <cell r="F101">
            <v>0.75</v>
          </cell>
          <cell r="G101">
            <v>0.61</v>
          </cell>
          <cell r="H101">
            <v>1.01</v>
          </cell>
          <cell r="I101">
            <v>1.17</v>
          </cell>
          <cell r="J101">
            <v>0.99</v>
          </cell>
        </row>
        <row r="102">
          <cell r="C102" t="str">
            <v>ESTADO NACIONALD</v>
          </cell>
          <cell r="D102">
            <v>1.56</v>
          </cell>
          <cell r="E102">
            <v>0.83</v>
          </cell>
          <cell r="F102">
            <v>0.12</v>
          </cell>
          <cell r="G102">
            <v>0.81</v>
          </cell>
          <cell r="H102">
            <v>1.28</v>
          </cell>
          <cell r="I102">
            <v>1.64</v>
          </cell>
          <cell r="J102">
            <v>1.07</v>
          </cell>
        </row>
        <row r="103">
          <cell r="C103" t="str">
            <v>ESTADO NACIONALD</v>
          </cell>
          <cell r="D103">
            <v>1.56</v>
          </cell>
          <cell r="E103">
            <v>0.83</v>
          </cell>
          <cell r="F103">
            <v>0.12</v>
          </cell>
          <cell r="G103">
            <v>0.81</v>
          </cell>
          <cell r="H103">
            <v>1.28</v>
          </cell>
          <cell r="I103">
            <v>1.64</v>
          </cell>
          <cell r="J103">
            <v>1.07</v>
          </cell>
        </row>
        <row r="104">
          <cell r="C104" t="str">
            <v>FRUTOS DEL PAISD</v>
          </cell>
          <cell r="D104">
            <v>2.19</v>
          </cell>
          <cell r="E104">
            <v>1.76</v>
          </cell>
          <cell r="F104">
            <v>0.14000000000000001</v>
          </cell>
          <cell r="G104">
            <v>0.95</v>
          </cell>
          <cell r="H104">
            <v>1.66</v>
          </cell>
          <cell r="I104">
            <v>1.96</v>
          </cell>
          <cell r="J104">
            <v>2.12</v>
          </cell>
        </row>
        <row r="105">
          <cell r="C105" t="str">
            <v>FRUTOS DEL PAISD</v>
          </cell>
          <cell r="D105">
            <v>2.19</v>
          </cell>
          <cell r="E105">
            <v>1.76</v>
          </cell>
          <cell r="F105">
            <v>0.14000000000000001</v>
          </cell>
          <cell r="G105">
            <v>0.95</v>
          </cell>
          <cell r="H105">
            <v>1.66</v>
          </cell>
          <cell r="I105">
            <v>1.96</v>
          </cell>
          <cell r="J105">
            <v>2.12</v>
          </cell>
        </row>
        <row r="106">
          <cell r="C106" t="str">
            <v>FRUTOS DEL PAIS (R)D</v>
          </cell>
          <cell r="D106">
            <v>2.2200000000000002</v>
          </cell>
          <cell r="E106">
            <v>1.4</v>
          </cell>
          <cell r="F106">
            <v>0.18</v>
          </cell>
          <cell r="G106">
            <v>1.05</v>
          </cell>
          <cell r="H106">
            <v>1.71</v>
          </cell>
          <cell r="I106">
            <v>2</v>
          </cell>
          <cell r="J106">
            <v>1.89</v>
          </cell>
        </row>
        <row r="107">
          <cell r="C107" t="str">
            <v>FRUTOS DEL PAIS (R)D</v>
          </cell>
          <cell r="D107">
            <v>2.2200000000000002</v>
          </cell>
          <cell r="E107">
            <v>1.4</v>
          </cell>
          <cell r="F107">
            <v>0.18</v>
          </cell>
          <cell r="G107">
            <v>1.05</v>
          </cell>
          <cell r="H107">
            <v>1.71</v>
          </cell>
          <cell r="I107">
            <v>2</v>
          </cell>
          <cell r="J107">
            <v>1.89</v>
          </cell>
        </row>
        <row r="108">
          <cell r="C108" t="str">
            <v>GRANDES PELICULASS</v>
          </cell>
          <cell r="D108">
            <v>1.79</v>
          </cell>
          <cell r="E108">
            <v>0.64</v>
          </cell>
          <cell r="F108">
            <v>0</v>
          </cell>
          <cell r="G108">
            <v>0.24</v>
          </cell>
          <cell r="H108">
            <v>1.25</v>
          </cell>
          <cell r="I108">
            <v>1.64</v>
          </cell>
          <cell r="J108">
            <v>1</v>
          </cell>
        </row>
        <row r="109">
          <cell r="C109" t="str">
            <v>GRANDES PELICULASS</v>
          </cell>
          <cell r="D109">
            <v>1.79</v>
          </cell>
          <cell r="E109">
            <v>0.64</v>
          </cell>
          <cell r="F109">
            <v>0</v>
          </cell>
          <cell r="G109">
            <v>0.24</v>
          </cell>
          <cell r="H109">
            <v>1.25</v>
          </cell>
          <cell r="I109">
            <v>1.64</v>
          </cell>
          <cell r="J109">
            <v>1</v>
          </cell>
        </row>
        <row r="110">
          <cell r="C110" t="str">
            <v>HABITANTES DEL PACIFICO (R)D</v>
          </cell>
          <cell r="D110">
            <v>2.5</v>
          </cell>
          <cell r="E110">
            <v>1.41</v>
          </cell>
          <cell r="F110">
            <v>0.3</v>
          </cell>
          <cell r="G110">
            <v>0.88</v>
          </cell>
          <cell r="H110">
            <v>1.43</v>
          </cell>
          <cell r="I110">
            <v>2.11</v>
          </cell>
          <cell r="J110">
            <v>1.71</v>
          </cell>
        </row>
        <row r="111">
          <cell r="C111" t="str">
            <v>HABITANTES DEL PACIFICO (R)D</v>
          </cell>
          <cell r="D111">
            <v>2.5</v>
          </cell>
          <cell r="E111">
            <v>1.41</v>
          </cell>
          <cell r="F111">
            <v>0.3</v>
          </cell>
          <cell r="G111">
            <v>0.88</v>
          </cell>
          <cell r="H111">
            <v>1.43</v>
          </cell>
          <cell r="I111">
            <v>2.11</v>
          </cell>
          <cell r="J111">
            <v>1.71</v>
          </cell>
        </row>
        <row r="112">
          <cell r="C112" t="str">
            <v>HISTORIA DE UN OSOS</v>
          </cell>
          <cell r="D112">
            <v>4.17</v>
          </cell>
          <cell r="E112">
            <v>2.0499999999999998</v>
          </cell>
          <cell r="F112">
            <v>0</v>
          </cell>
          <cell r="G112">
            <v>3.2</v>
          </cell>
          <cell r="H112">
            <v>3.36</v>
          </cell>
          <cell r="I112">
            <v>4.22</v>
          </cell>
          <cell r="J112">
            <v>2.67</v>
          </cell>
        </row>
        <row r="113">
          <cell r="C113" t="str">
            <v>HISTORIA DE UN OSOS</v>
          </cell>
          <cell r="D113">
            <v>4.17</v>
          </cell>
          <cell r="E113">
            <v>2.0499999999999998</v>
          </cell>
          <cell r="F113">
            <v>0</v>
          </cell>
          <cell r="G113">
            <v>3.2</v>
          </cell>
          <cell r="H113">
            <v>3.36</v>
          </cell>
          <cell r="I113">
            <v>4.22</v>
          </cell>
          <cell r="J113">
            <v>2.67</v>
          </cell>
        </row>
        <row r="114">
          <cell r="C114" t="str">
            <v>HORACIO Y LOS PLASTICINESS</v>
          </cell>
          <cell r="D114">
            <v>0.76</v>
          </cell>
          <cell r="E114">
            <v>0.13</v>
          </cell>
          <cell r="F114">
            <v>0</v>
          </cell>
          <cell r="G114">
            <v>0.06</v>
          </cell>
          <cell r="H114">
            <v>0.42</v>
          </cell>
          <cell r="I114">
            <v>0.63</v>
          </cell>
          <cell r="J114">
            <v>0.27</v>
          </cell>
        </row>
        <row r="115">
          <cell r="C115" t="str">
            <v>HORACIO Y LOS PLASTICINESS</v>
          </cell>
          <cell r="D115">
            <v>0.76</v>
          </cell>
          <cell r="E115">
            <v>0.13</v>
          </cell>
          <cell r="F115">
            <v>0</v>
          </cell>
          <cell r="G115">
            <v>0.06</v>
          </cell>
          <cell r="H115">
            <v>0.42</v>
          </cell>
          <cell r="I115">
            <v>0.63</v>
          </cell>
          <cell r="J115">
            <v>0.27</v>
          </cell>
        </row>
        <row r="116">
          <cell r="C116" t="str">
            <v>JOSE DE EGIPTOV</v>
          </cell>
          <cell r="D116">
            <v>3.22</v>
          </cell>
          <cell r="E116">
            <v>1.86</v>
          </cell>
          <cell r="F116">
            <v>1.22</v>
          </cell>
          <cell r="G116">
            <v>1.39</v>
          </cell>
          <cell r="H116">
            <v>2.62</v>
          </cell>
          <cell r="I116">
            <v>2.89</v>
          </cell>
          <cell r="J116">
            <v>2.5499999999999998</v>
          </cell>
        </row>
        <row r="117">
          <cell r="C117" t="str">
            <v>JOSE DE EGIPTOV</v>
          </cell>
          <cell r="D117">
            <v>3.22</v>
          </cell>
          <cell r="E117">
            <v>1.86</v>
          </cell>
          <cell r="F117">
            <v>1.22</v>
          </cell>
          <cell r="G117">
            <v>1.39</v>
          </cell>
          <cell r="H117">
            <v>2.62</v>
          </cell>
          <cell r="I117">
            <v>2.89</v>
          </cell>
          <cell r="J117">
            <v>2.5499999999999998</v>
          </cell>
        </row>
        <row r="118">
          <cell r="C118" t="str">
            <v>LA CULTURA ENTRETENIDAD</v>
          </cell>
          <cell r="D118">
            <v>1.78</v>
          </cell>
          <cell r="E118">
            <v>1.27</v>
          </cell>
          <cell r="F118">
            <v>0.3</v>
          </cell>
          <cell r="G118">
            <v>0.77</v>
          </cell>
          <cell r="H118">
            <v>1.22</v>
          </cell>
          <cell r="I118">
            <v>1.6</v>
          </cell>
          <cell r="J118">
            <v>1.62</v>
          </cell>
        </row>
        <row r="119">
          <cell r="C119" t="str">
            <v>LA CULTURA ENTRETENIDAD</v>
          </cell>
          <cell r="D119">
            <v>1.78</v>
          </cell>
          <cell r="E119">
            <v>1.27</v>
          </cell>
          <cell r="F119">
            <v>0.3</v>
          </cell>
          <cell r="G119">
            <v>0.77</v>
          </cell>
          <cell r="H119">
            <v>1.22</v>
          </cell>
          <cell r="I119">
            <v>1.6</v>
          </cell>
          <cell r="J119">
            <v>1.62</v>
          </cell>
        </row>
        <row r="120">
          <cell r="C120" t="str">
            <v>MEDIA NOCHELMWJV</v>
          </cell>
          <cell r="D120">
            <v>1.84</v>
          </cell>
          <cell r="E120">
            <v>1.61</v>
          </cell>
          <cell r="F120">
            <v>0.28999999999999998</v>
          </cell>
          <cell r="G120">
            <v>0.92</v>
          </cell>
          <cell r="H120">
            <v>1.65</v>
          </cell>
          <cell r="I120">
            <v>1.63</v>
          </cell>
          <cell r="J120">
            <v>1.56</v>
          </cell>
        </row>
        <row r="121">
          <cell r="C121" t="str">
            <v>MEDIA NOCHEJ</v>
          </cell>
          <cell r="D121">
            <v>2.7</v>
          </cell>
          <cell r="E121">
            <v>1.66</v>
          </cell>
          <cell r="F121">
            <v>0.53</v>
          </cell>
          <cell r="G121">
            <v>1.05</v>
          </cell>
          <cell r="H121">
            <v>2.15</v>
          </cell>
          <cell r="I121">
            <v>2.4500000000000002</v>
          </cell>
          <cell r="J121">
            <v>1.86</v>
          </cell>
        </row>
        <row r="122">
          <cell r="C122" t="str">
            <v>MEDIA NOCHEM</v>
          </cell>
          <cell r="D122">
            <v>2.3199999999999998</v>
          </cell>
          <cell r="E122">
            <v>1.57</v>
          </cell>
          <cell r="F122">
            <v>0.43</v>
          </cell>
          <cell r="G122">
            <v>0.98</v>
          </cell>
          <cell r="H122">
            <v>1.89</v>
          </cell>
          <cell r="I122">
            <v>1.95</v>
          </cell>
          <cell r="J122">
            <v>1.65</v>
          </cell>
        </row>
        <row r="123">
          <cell r="C123" t="str">
            <v>MEDIA NOCHEL</v>
          </cell>
          <cell r="D123">
            <v>1.93</v>
          </cell>
          <cell r="E123">
            <v>1.5</v>
          </cell>
          <cell r="F123">
            <v>0.27</v>
          </cell>
          <cell r="G123">
            <v>1.67</v>
          </cell>
          <cell r="H123">
            <v>1.86</v>
          </cell>
          <cell r="I123">
            <v>1.77</v>
          </cell>
          <cell r="J123">
            <v>1.5</v>
          </cell>
        </row>
        <row r="124">
          <cell r="C124" t="str">
            <v>MEDIA NOCHEW</v>
          </cell>
          <cell r="D124">
            <v>1.1499999999999999</v>
          </cell>
          <cell r="E124">
            <v>1.97</v>
          </cell>
          <cell r="F124">
            <v>0.12</v>
          </cell>
          <cell r="G124">
            <v>0.54</v>
          </cell>
          <cell r="H124">
            <v>1.31</v>
          </cell>
          <cell r="I124">
            <v>1.01</v>
          </cell>
          <cell r="J124">
            <v>1.65</v>
          </cell>
        </row>
        <row r="125">
          <cell r="C125" t="str">
            <v>MEDIA NOCHEV</v>
          </cell>
          <cell r="D125">
            <v>0.89</v>
          </cell>
          <cell r="E125">
            <v>1.02</v>
          </cell>
          <cell r="F125">
            <v>0.01</v>
          </cell>
          <cell r="G125">
            <v>0.28000000000000003</v>
          </cell>
          <cell r="H125">
            <v>0.77</v>
          </cell>
          <cell r="I125">
            <v>0.79</v>
          </cell>
          <cell r="J125">
            <v>0.84</v>
          </cell>
        </row>
        <row r="126">
          <cell r="C126" t="str">
            <v>MELO Y ASTORGAS</v>
          </cell>
          <cell r="D126">
            <v>1.7</v>
          </cell>
          <cell r="E126">
            <v>0.91</v>
          </cell>
          <cell r="F126">
            <v>0.21</v>
          </cell>
          <cell r="G126">
            <v>0.78</v>
          </cell>
          <cell r="H126">
            <v>1.1200000000000001</v>
          </cell>
          <cell r="I126">
            <v>1.59</v>
          </cell>
          <cell r="J126">
            <v>1.1100000000000001</v>
          </cell>
        </row>
        <row r="127">
          <cell r="C127" t="str">
            <v>MELO Y ASTORGAS</v>
          </cell>
          <cell r="D127">
            <v>1.7</v>
          </cell>
          <cell r="E127">
            <v>0.91</v>
          </cell>
          <cell r="F127">
            <v>0.21</v>
          </cell>
          <cell r="G127">
            <v>0.78</v>
          </cell>
          <cell r="H127">
            <v>1.1200000000000001</v>
          </cell>
          <cell r="I127">
            <v>1.59</v>
          </cell>
          <cell r="J127">
            <v>1.1100000000000001</v>
          </cell>
        </row>
        <row r="128">
          <cell r="C128" t="str">
            <v>MIRADA ECONOMICAD</v>
          </cell>
          <cell r="D128">
            <v>0.49</v>
          </cell>
          <cell r="E128">
            <v>0.09</v>
          </cell>
          <cell r="F128">
            <v>0</v>
          </cell>
          <cell r="G128">
            <v>0.22</v>
          </cell>
          <cell r="H128">
            <v>0.28999999999999998</v>
          </cell>
          <cell r="I128">
            <v>0.44</v>
          </cell>
          <cell r="J128">
            <v>0.22</v>
          </cell>
        </row>
        <row r="129">
          <cell r="C129" t="str">
            <v>MIRADA ECONOMICAD</v>
          </cell>
          <cell r="D129">
            <v>0.49</v>
          </cell>
          <cell r="E129">
            <v>0.09</v>
          </cell>
          <cell r="F129">
            <v>0</v>
          </cell>
          <cell r="G129">
            <v>0.22</v>
          </cell>
          <cell r="H129">
            <v>0.28999999999999998</v>
          </cell>
          <cell r="I129">
            <v>0.44</v>
          </cell>
          <cell r="J129">
            <v>0.22</v>
          </cell>
        </row>
        <row r="130">
          <cell r="C130" t="str">
            <v>MOISES LOS 10 MANDAMIENTOSLMWJD</v>
          </cell>
          <cell r="D130">
            <v>8.0299999999999994</v>
          </cell>
          <cell r="E130">
            <v>4.16</v>
          </cell>
          <cell r="F130">
            <v>1.4</v>
          </cell>
          <cell r="G130">
            <v>3.04</v>
          </cell>
          <cell r="H130">
            <v>6.05</v>
          </cell>
          <cell r="I130">
            <v>7.18</v>
          </cell>
          <cell r="J130">
            <v>5.35</v>
          </cell>
        </row>
        <row r="131">
          <cell r="C131" t="str">
            <v>MOISES LOS 10 MANDAMIENTOSLMWj</v>
          </cell>
          <cell r="D131">
            <v>7.8449999999999998</v>
          </cell>
          <cell r="E131">
            <v>3.9775</v>
          </cell>
          <cell r="F131">
            <v>1.3325</v>
          </cell>
          <cell r="G131">
            <v>3.1375000000000002</v>
          </cell>
          <cell r="H131">
            <v>5.98</v>
          </cell>
          <cell r="I131">
            <v>7.0549999999999997</v>
          </cell>
          <cell r="J131">
            <v>5.2349999999999994</v>
          </cell>
        </row>
        <row r="132">
          <cell r="C132" t="str">
            <v>MOISES LOS 10 MANDAMIENTOSD</v>
          </cell>
          <cell r="D132">
            <v>8.86</v>
          </cell>
          <cell r="E132">
            <v>4.87</v>
          </cell>
          <cell r="F132">
            <v>1.76</v>
          </cell>
          <cell r="G132">
            <v>3.03</v>
          </cell>
          <cell r="H132">
            <v>6.4</v>
          </cell>
          <cell r="I132">
            <v>7.81</v>
          </cell>
          <cell r="J132">
            <v>5.77</v>
          </cell>
        </row>
        <row r="133">
          <cell r="C133" t="str">
            <v>MOISES LOS 10 MANDAMIENTOSL</v>
          </cell>
          <cell r="D133">
            <v>8.32</v>
          </cell>
          <cell r="E133">
            <v>4.09</v>
          </cell>
          <cell r="F133">
            <v>1.58</v>
          </cell>
          <cell r="G133">
            <v>3.3</v>
          </cell>
          <cell r="H133">
            <v>6.4</v>
          </cell>
          <cell r="I133">
            <v>7.49</v>
          </cell>
          <cell r="J133">
            <v>5.5</v>
          </cell>
        </row>
        <row r="134">
          <cell r="C134" t="str">
            <v>MOISES LOS 10 MANDAMIENTOSW</v>
          </cell>
          <cell r="D134">
            <v>8.0299999999999994</v>
          </cell>
          <cell r="E134">
            <v>4.29</v>
          </cell>
          <cell r="F134">
            <v>1.1100000000000001</v>
          </cell>
          <cell r="G134">
            <v>2.7</v>
          </cell>
          <cell r="H134">
            <v>6.03</v>
          </cell>
          <cell r="I134">
            <v>7.09</v>
          </cell>
          <cell r="J134">
            <v>5.65</v>
          </cell>
        </row>
        <row r="135">
          <cell r="C135" t="str">
            <v>MOISES LOS 10 MANDAMIENTOSJ</v>
          </cell>
          <cell r="D135">
            <v>7.63</v>
          </cell>
          <cell r="E135">
            <v>3.75</v>
          </cell>
          <cell r="F135">
            <v>1.17</v>
          </cell>
          <cell r="G135">
            <v>3.75</v>
          </cell>
          <cell r="H135">
            <v>5.87</v>
          </cell>
          <cell r="I135">
            <v>7</v>
          </cell>
          <cell r="J135">
            <v>4.9800000000000004</v>
          </cell>
        </row>
        <row r="136">
          <cell r="C136" t="str">
            <v>MOISES LOS 10 MANDAMIENTOSM</v>
          </cell>
          <cell r="D136">
            <v>7.4</v>
          </cell>
          <cell r="E136">
            <v>3.78</v>
          </cell>
          <cell r="F136">
            <v>1.47</v>
          </cell>
          <cell r="G136">
            <v>2.8</v>
          </cell>
          <cell r="H136">
            <v>5.62</v>
          </cell>
          <cell r="I136">
            <v>6.64</v>
          </cell>
          <cell r="J136">
            <v>4.8099999999999996</v>
          </cell>
        </row>
        <row r="137">
          <cell r="C137" t="str">
            <v>MOISES LOS 10 MANDAMIENTOS (RELMWJSD</v>
          </cell>
          <cell r="D137">
            <v>4.09</v>
          </cell>
          <cell r="E137">
            <v>1.97</v>
          </cell>
          <cell r="F137">
            <v>0.75</v>
          </cell>
          <cell r="G137">
            <v>1.52</v>
          </cell>
          <cell r="H137">
            <v>2.9</v>
          </cell>
          <cell r="I137">
            <v>3.64</v>
          </cell>
          <cell r="J137">
            <v>2.6</v>
          </cell>
        </row>
        <row r="138">
          <cell r="C138" t="str">
            <v>MOISES LOS 10 MANDAMIENTOS (RED</v>
          </cell>
          <cell r="D138">
            <v>7.87</v>
          </cell>
          <cell r="E138">
            <v>3.88</v>
          </cell>
          <cell r="F138">
            <v>0.88</v>
          </cell>
          <cell r="G138">
            <v>2.64</v>
          </cell>
          <cell r="H138">
            <v>5.39</v>
          </cell>
          <cell r="I138">
            <v>6.79</v>
          </cell>
          <cell r="J138">
            <v>4.87</v>
          </cell>
        </row>
        <row r="139">
          <cell r="C139" t="str">
            <v>MOISES LOS 10 MANDAMIENTOS (REL</v>
          </cell>
          <cell r="D139">
            <v>6.52</v>
          </cell>
          <cell r="E139">
            <v>3.91</v>
          </cell>
          <cell r="F139">
            <v>1.22</v>
          </cell>
          <cell r="G139">
            <v>3.57</v>
          </cell>
          <cell r="H139">
            <v>5.31</v>
          </cell>
          <cell r="I139">
            <v>5.94</v>
          </cell>
          <cell r="J139">
            <v>4.5999999999999996</v>
          </cell>
        </row>
        <row r="140">
          <cell r="C140" t="str">
            <v>MOISES LOS 10 MANDAMIENTOS (REW</v>
          </cell>
          <cell r="D140">
            <v>6.72</v>
          </cell>
          <cell r="E140">
            <v>3.19</v>
          </cell>
          <cell r="F140">
            <v>1</v>
          </cell>
          <cell r="G140">
            <v>2.19</v>
          </cell>
          <cell r="H140">
            <v>4.8</v>
          </cell>
          <cell r="I140">
            <v>6.01</v>
          </cell>
          <cell r="J140">
            <v>4.3099999999999996</v>
          </cell>
        </row>
        <row r="141">
          <cell r="C141" t="str">
            <v>MOISES LOS 10 MANDAMIENTOS (REM</v>
          </cell>
          <cell r="D141">
            <v>6.17</v>
          </cell>
          <cell r="E141">
            <v>3.19</v>
          </cell>
          <cell r="F141">
            <v>1.1499999999999999</v>
          </cell>
          <cell r="G141">
            <v>2.52</v>
          </cell>
          <cell r="H141">
            <v>4.5599999999999996</v>
          </cell>
          <cell r="I141">
            <v>5.53</v>
          </cell>
          <cell r="J141">
            <v>4.13</v>
          </cell>
        </row>
        <row r="142">
          <cell r="C142" t="str">
            <v>MOISES LOS 10 MANDAMIENTOS (REJ</v>
          </cell>
          <cell r="D142">
            <v>5.01</v>
          </cell>
          <cell r="E142">
            <v>2.0699999999999998</v>
          </cell>
          <cell r="F142">
            <v>1.29</v>
          </cell>
          <cell r="G142">
            <v>1.52</v>
          </cell>
          <cell r="H142">
            <v>3.65</v>
          </cell>
          <cell r="I142">
            <v>4.5999999999999996</v>
          </cell>
          <cell r="J142">
            <v>3.05</v>
          </cell>
        </row>
        <row r="143">
          <cell r="C143" t="str">
            <v>MOISES LOS 10 MANDAMIENTOS (RES</v>
          </cell>
          <cell r="D143">
            <v>1.67</v>
          </cell>
          <cell r="E143">
            <v>0.71</v>
          </cell>
          <cell r="F143">
            <v>0.32</v>
          </cell>
          <cell r="G143">
            <v>0.57999999999999996</v>
          </cell>
          <cell r="H143">
            <v>1</v>
          </cell>
          <cell r="I143">
            <v>1.43</v>
          </cell>
          <cell r="J143">
            <v>0.98</v>
          </cell>
        </row>
        <row r="144">
          <cell r="C144" t="str">
            <v>NOTICREOS</v>
          </cell>
          <cell r="D144">
            <v>0.56999999999999995</v>
          </cell>
          <cell r="E144">
            <v>0.35</v>
          </cell>
          <cell r="F144">
            <v>0.05</v>
          </cell>
          <cell r="G144">
            <v>0.36</v>
          </cell>
          <cell r="H144">
            <v>0.53</v>
          </cell>
          <cell r="I144">
            <v>0.57999999999999996</v>
          </cell>
          <cell r="J144">
            <v>0.39</v>
          </cell>
        </row>
        <row r="145">
          <cell r="C145" t="str">
            <v>NOTICREOS</v>
          </cell>
          <cell r="D145">
            <v>0.56999999999999995</v>
          </cell>
          <cell r="E145">
            <v>0.35</v>
          </cell>
          <cell r="F145">
            <v>0.05</v>
          </cell>
          <cell r="G145">
            <v>0.36</v>
          </cell>
          <cell r="H145">
            <v>0.53</v>
          </cell>
          <cell r="I145">
            <v>0.57999999999999996</v>
          </cell>
          <cell r="J145">
            <v>0.39</v>
          </cell>
        </row>
        <row r="146">
          <cell r="C146" t="str">
            <v>NUESTRO SIGLOS</v>
          </cell>
          <cell r="D146">
            <v>1.66</v>
          </cell>
          <cell r="E146">
            <v>1.39</v>
          </cell>
          <cell r="F146">
            <v>0.19</v>
          </cell>
          <cell r="G146">
            <v>0.98</v>
          </cell>
          <cell r="H146">
            <v>1.51</v>
          </cell>
          <cell r="I146">
            <v>1.59</v>
          </cell>
          <cell r="J146">
            <v>1.47</v>
          </cell>
        </row>
        <row r="147">
          <cell r="C147" t="str">
            <v>NUESTRO SIGLOS</v>
          </cell>
          <cell r="D147">
            <v>1.66</v>
          </cell>
          <cell r="E147">
            <v>1.39</v>
          </cell>
          <cell r="F147">
            <v>0.19</v>
          </cell>
          <cell r="G147">
            <v>0.98</v>
          </cell>
          <cell r="H147">
            <v>1.51</v>
          </cell>
          <cell r="I147">
            <v>1.59</v>
          </cell>
          <cell r="J147">
            <v>1.47</v>
          </cell>
        </row>
        <row r="148">
          <cell r="C148" t="str">
            <v>PELICULA INFANTILS</v>
          </cell>
          <cell r="D148">
            <v>0.79</v>
          </cell>
          <cell r="E148">
            <v>0.25</v>
          </cell>
          <cell r="F148">
            <v>0</v>
          </cell>
          <cell r="G148">
            <v>0.1</v>
          </cell>
          <cell r="H148">
            <v>0.45</v>
          </cell>
          <cell r="I148">
            <v>0.66</v>
          </cell>
          <cell r="J148">
            <v>0.54</v>
          </cell>
        </row>
        <row r="149">
          <cell r="C149" t="str">
            <v>PELICULA INFANTILS</v>
          </cell>
          <cell r="D149">
            <v>0.79</v>
          </cell>
          <cell r="E149">
            <v>0.25</v>
          </cell>
          <cell r="F149">
            <v>0</v>
          </cell>
          <cell r="G149">
            <v>0.1</v>
          </cell>
          <cell r="H149">
            <v>0.45</v>
          </cell>
          <cell r="I149">
            <v>0.66</v>
          </cell>
          <cell r="J149">
            <v>0.54</v>
          </cell>
        </row>
        <row r="150">
          <cell r="C150" t="str">
            <v>PELOTON LA HISTORIA DEL HONORW</v>
          </cell>
          <cell r="D150">
            <v>1.27</v>
          </cell>
          <cell r="E150">
            <v>1.4</v>
          </cell>
          <cell r="F150">
            <v>0.08</v>
          </cell>
          <cell r="G150">
            <v>0.47</v>
          </cell>
          <cell r="H150">
            <v>1.03</v>
          </cell>
          <cell r="I150">
            <v>1.05</v>
          </cell>
          <cell r="J150">
            <v>1.35</v>
          </cell>
        </row>
        <row r="151">
          <cell r="C151" t="str">
            <v>PELOTON LA HISTORIA DEL HONORW</v>
          </cell>
          <cell r="D151">
            <v>1.27</v>
          </cell>
          <cell r="E151">
            <v>1.4</v>
          </cell>
          <cell r="F151">
            <v>0.08</v>
          </cell>
          <cell r="G151">
            <v>0.47</v>
          </cell>
          <cell r="H151">
            <v>1.03</v>
          </cell>
          <cell r="I151">
            <v>1.05</v>
          </cell>
          <cell r="J151">
            <v>1.35</v>
          </cell>
        </row>
        <row r="152">
          <cell r="C152" t="str">
            <v>PEPPA LA CERDITAS</v>
          </cell>
          <cell r="D152">
            <v>0.69</v>
          </cell>
          <cell r="E152">
            <v>0.24</v>
          </cell>
          <cell r="F152">
            <v>0</v>
          </cell>
          <cell r="G152">
            <v>0.15</v>
          </cell>
          <cell r="H152">
            <v>0.48</v>
          </cell>
          <cell r="I152">
            <v>0.56999999999999995</v>
          </cell>
          <cell r="J152">
            <v>0.32</v>
          </cell>
        </row>
        <row r="153">
          <cell r="C153" t="str">
            <v>PEPPA LA CERDITAS</v>
          </cell>
          <cell r="D153">
            <v>0.69</v>
          </cell>
          <cell r="E153">
            <v>0.24</v>
          </cell>
          <cell r="F153">
            <v>0</v>
          </cell>
          <cell r="G153">
            <v>0.15</v>
          </cell>
          <cell r="H153">
            <v>0.48</v>
          </cell>
          <cell r="I153">
            <v>0.56999999999999995</v>
          </cell>
          <cell r="J153">
            <v>0.32</v>
          </cell>
        </row>
        <row r="154">
          <cell r="C154" t="str">
            <v>PODIOD</v>
          </cell>
          <cell r="D154">
            <v>0.94</v>
          </cell>
          <cell r="E154">
            <v>0.66</v>
          </cell>
          <cell r="F154">
            <v>0.31</v>
          </cell>
          <cell r="G154">
            <v>0.54</v>
          </cell>
          <cell r="H154">
            <v>0.8</v>
          </cell>
          <cell r="I154">
            <v>0.84</v>
          </cell>
          <cell r="J154">
            <v>0.84</v>
          </cell>
        </row>
        <row r="155">
          <cell r="C155" t="str">
            <v>PODIOD</v>
          </cell>
          <cell r="D155">
            <v>0.94</v>
          </cell>
          <cell r="E155">
            <v>0.66</v>
          </cell>
          <cell r="F155">
            <v>0.31</v>
          </cell>
          <cell r="G155">
            <v>0.54</v>
          </cell>
          <cell r="H155">
            <v>0.8</v>
          </cell>
          <cell r="I155">
            <v>0.84</v>
          </cell>
          <cell r="J155">
            <v>0.84</v>
          </cell>
        </row>
        <row r="156">
          <cell r="C156" t="str">
            <v>POR FIN SOLOSLD</v>
          </cell>
          <cell r="D156">
            <v>3.11</v>
          </cell>
          <cell r="E156">
            <v>1.04</v>
          </cell>
          <cell r="F156">
            <v>0.67</v>
          </cell>
          <cell r="G156">
            <v>1.53</v>
          </cell>
          <cell r="H156">
            <v>2.0699999999999998</v>
          </cell>
          <cell r="I156">
            <v>2.77</v>
          </cell>
          <cell r="J156">
            <v>1.64</v>
          </cell>
        </row>
        <row r="157">
          <cell r="C157" t="str">
            <v>POR FIN SOLOSD</v>
          </cell>
          <cell r="D157">
            <v>3.77</v>
          </cell>
          <cell r="E157">
            <v>1</v>
          </cell>
          <cell r="F157">
            <v>0.59</v>
          </cell>
          <cell r="G157">
            <v>1.62</v>
          </cell>
          <cell r="H157">
            <v>2.2400000000000002</v>
          </cell>
          <cell r="I157">
            <v>3.28</v>
          </cell>
          <cell r="J157">
            <v>1.83</v>
          </cell>
        </row>
        <row r="158">
          <cell r="C158" t="str">
            <v>POR FIN SOLOSL</v>
          </cell>
          <cell r="D158">
            <v>2.69</v>
          </cell>
          <cell r="E158">
            <v>1.07</v>
          </cell>
          <cell r="F158">
            <v>0.72</v>
          </cell>
          <cell r="G158">
            <v>1.47</v>
          </cell>
          <cell r="H158">
            <v>1.96</v>
          </cell>
          <cell r="I158">
            <v>2.44</v>
          </cell>
          <cell r="J158">
            <v>1.52</v>
          </cell>
        </row>
        <row r="159">
          <cell r="C159" t="str">
            <v>POR FIN SOLOS (R)V</v>
          </cell>
          <cell r="D159">
            <v>2.0099999999999998</v>
          </cell>
          <cell r="E159">
            <v>1.29</v>
          </cell>
          <cell r="F159">
            <v>0.78</v>
          </cell>
          <cell r="G159">
            <v>1.43</v>
          </cell>
          <cell r="H159">
            <v>1.76</v>
          </cell>
          <cell r="I159">
            <v>1.93</v>
          </cell>
          <cell r="J159">
            <v>1.45</v>
          </cell>
        </row>
        <row r="160">
          <cell r="C160" t="str">
            <v>POR FIN SOLOS (R)V</v>
          </cell>
          <cell r="D160">
            <v>2.0099999999999998</v>
          </cell>
          <cell r="E160">
            <v>1.29</v>
          </cell>
          <cell r="F160">
            <v>0.78</v>
          </cell>
          <cell r="G160">
            <v>1.43</v>
          </cell>
          <cell r="H160">
            <v>1.76</v>
          </cell>
          <cell r="I160">
            <v>1.93</v>
          </cell>
          <cell r="J160">
            <v>1.45</v>
          </cell>
        </row>
        <row r="161">
          <cell r="C161" t="str">
            <v>POR FIN SOLOS (RESUMEN)L</v>
          </cell>
          <cell r="D161">
            <v>2.73</v>
          </cell>
          <cell r="E161">
            <v>0.99</v>
          </cell>
          <cell r="F161">
            <v>1.1200000000000001</v>
          </cell>
          <cell r="G161">
            <v>2.25</v>
          </cell>
          <cell r="H161">
            <v>1.97</v>
          </cell>
          <cell r="I161">
            <v>2.35</v>
          </cell>
          <cell r="J161">
            <v>1.55</v>
          </cell>
        </row>
        <row r="162">
          <cell r="C162" t="str">
            <v>POR FIN SOLOS (RESUMEN)L</v>
          </cell>
          <cell r="D162">
            <v>2.73</v>
          </cell>
          <cell r="E162">
            <v>0.99</v>
          </cell>
          <cell r="F162">
            <v>1.1200000000000001</v>
          </cell>
          <cell r="G162">
            <v>2.25</v>
          </cell>
          <cell r="H162">
            <v>1.97</v>
          </cell>
          <cell r="I162">
            <v>2.35</v>
          </cell>
          <cell r="J162">
            <v>1.55</v>
          </cell>
        </row>
        <row r="163">
          <cell r="C163" t="str">
            <v>PURO CHILEV</v>
          </cell>
          <cell r="D163">
            <v>1.05</v>
          </cell>
          <cell r="E163">
            <v>1</v>
          </cell>
          <cell r="F163">
            <v>0.01</v>
          </cell>
          <cell r="G163">
            <v>1.03</v>
          </cell>
          <cell r="H163">
            <v>1.1200000000000001</v>
          </cell>
          <cell r="I163">
            <v>1.01</v>
          </cell>
          <cell r="J163">
            <v>0.93</v>
          </cell>
        </row>
        <row r="164">
          <cell r="C164" t="str">
            <v>PURO CHILEV</v>
          </cell>
          <cell r="D164">
            <v>1.05</v>
          </cell>
          <cell r="E164">
            <v>1</v>
          </cell>
          <cell r="F164">
            <v>0.01</v>
          </cell>
          <cell r="G164">
            <v>1.03</v>
          </cell>
          <cell r="H164">
            <v>1.1200000000000001</v>
          </cell>
          <cell r="I164">
            <v>1.01</v>
          </cell>
          <cell r="J164">
            <v>0.93</v>
          </cell>
        </row>
        <row r="165">
          <cell r="C165" t="str">
            <v>PURO CHILE (R)D</v>
          </cell>
          <cell r="D165">
            <v>0.51</v>
          </cell>
          <cell r="E165">
            <v>0.51</v>
          </cell>
          <cell r="F165">
            <v>0.5</v>
          </cell>
          <cell r="G165">
            <v>0.96</v>
          </cell>
          <cell r="H165">
            <v>0.54</v>
          </cell>
          <cell r="I165">
            <v>0.52</v>
          </cell>
          <cell r="J165">
            <v>0.67</v>
          </cell>
        </row>
        <row r="166">
          <cell r="C166" t="str">
            <v>PURO CHILE (R)D</v>
          </cell>
          <cell r="D166">
            <v>0.51</v>
          </cell>
          <cell r="E166">
            <v>0.51</v>
          </cell>
          <cell r="F166">
            <v>0.5</v>
          </cell>
          <cell r="G166">
            <v>0.96</v>
          </cell>
          <cell r="H166">
            <v>0.54</v>
          </cell>
          <cell r="I166">
            <v>0.52</v>
          </cell>
          <cell r="J166">
            <v>0.67</v>
          </cell>
        </row>
        <row r="167">
          <cell r="C167" t="str">
            <v>ROMANE (R)LMWJV</v>
          </cell>
          <cell r="D167">
            <v>1.91</v>
          </cell>
          <cell r="E167">
            <v>0.95</v>
          </cell>
          <cell r="F167">
            <v>0.52</v>
          </cell>
          <cell r="G167">
            <v>0.93</v>
          </cell>
          <cell r="H167">
            <v>1.31</v>
          </cell>
          <cell r="I167">
            <v>1.66</v>
          </cell>
          <cell r="J167">
            <v>1.41</v>
          </cell>
        </row>
        <row r="168">
          <cell r="C168" t="str">
            <v>ROMANE (R)M</v>
          </cell>
          <cell r="D168">
            <v>2.4300000000000002</v>
          </cell>
          <cell r="E168">
            <v>0.98</v>
          </cell>
          <cell r="F168">
            <v>0.66</v>
          </cell>
          <cell r="G168">
            <v>1.1599999999999999</v>
          </cell>
          <cell r="H168">
            <v>1.59</v>
          </cell>
          <cell r="I168">
            <v>2.1800000000000002</v>
          </cell>
          <cell r="J168">
            <v>1.53</v>
          </cell>
        </row>
        <row r="169">
          <cell r="C169" t="str">
            <v>ROMANE (R)L</v>
          </cell>
          <cell r="D169">
            <v>2.12</v>
          </cell>
          <cell r="E169">
            <v>0.77</v>
          </cell>
          <cell r="F169">
            <v>0.24</v>
          </cell>
          <cell r="G169">
            <v>1.1000000000000001</v>
          </cell>
          <cell r="H169">
            <v>1.28</v>
          </cell>
          <cell r="I169">
            <v>1.88</v>
          </cell>
          <cell r="J169">
            <v>1.37</v>
          </cell>
        </row>
        <row r="170">
          <cell r="C170" t="str">
            <v>ROMANE (R)W</v>
          </cell>
          <cell r="D170">
            <v>1.42</v>
          </cell>
          <cell r="E170">
            <v>1.32</v>
          </cell>
          <cell r="F170">
            <v>0.23</v>
          </cell>
          <cell r="G170">
            <v>0.78</v>
          </cell>
          <cell r="H170">
            <v>1.27</v>
          </cell>
          <cell r="I170">
            <v>1.22</v>
          </cell>
          <cell r="J170">
            <v>1.58</v>
          </cell>
        </row>
        <row r="171">
          <cell r="C171" t="str">
            <v>ROMANE (R)J</v>
          </cell>
          <cell r="D171">
            <v>1.82</v>
          </cell>
          <cell r="E171">
            <v>0.68</v>
          </cell>
          <cell r="F171">
            <v>1.08</v>
          </cell>
          <cell r="G171">
            <v>0.78</v>
          </cell>
          <cell r="H171">
            <v>1.1599999999999999</v>
          </cell>
          <cell r="I171">
            <v>1.51</v>
          </cell>
          <cell r="J171">
            <v>1.1399999999999999</v>
          </cell>
        </row>
        <row r="172">
          <cell r="C172" t="str">
            <v>ROMANE (R)V</v>
          </cell>
          <cell r="D172">
            <v>1.83</v>
          </cell>
          <cell r="E172">
            <v>0.88</v>
          </cell>
          <cell r="F172">
            <v>0.31</v>
          </cell>
          <cell r="G172">
            <v>0.87</v>
          </cell>
          <cell r="H172">
            <v>1.1499999999999999</v>
          </cell>
          <cell r="I172">
            <v>1.58</v>
          </cell>
          <cell r="J172">
            <v>1.38</v>
          </cell>
        </row>
        <row r="173">
          <cell r="C173" t="str">
            <v>SABADO DE K OS</v>
          </cell>
          <cell r="D173">
            <v>3.05</v>
          </cell>
          <cell r="E173">
            <v>1.66</v>
          </cell>
          <cell r="F173">
            <v>0.54</v>
          </cell>
          <cell r="G173">
            <v>1.61</v>
          </cell>
          <cell r="H173">
            <v>2.2200000000000002</v>
          </cell>
          <cell r="I173">
            <v>2.7</v>
          </cell>
          <cell r="J173">
            <v>2.0699999999999998</v>
          </cell>
        </row>
        <row r="174">
          <cell r="C174" t="str">
            <v>SABADO DE K OS</v>
          </cell>
          <cell r="D174">
            <v>3.05</v>
          </cell>
          <cell r="E174">
            <v>1.66</v>
          </cell>
          <cell r="F174">
            <v>0.54</v>
          </cell>
          <cell r="G174">
            <v>1.61</v>
          </cell>
          <cell r="H174">
            <v>2.2200000000000002</v>
          </cell>
          <cell r="I174">
            <v>2.7</v>
          </cell>
          <cell r="J174">
            <v>2.0699999999999998</v>
          </cell>
        </row>
        <row r="175">
          <cell r="C175" t="str">
            <v>SEMANA SANTAV</v>
          </cell>
          <cell r="D175">
            <v>3.3</v>
          </cell>
          <cell r="E175">
            <v>3.48</v>
          </cell>
          <cell r="F175">
            <v>0.43</v>
          </cell>
          <cell r="G175">
            <v>1.88</v>
          </cell>
          <cell r="H175">
            <v>3.14</v>
          </cell>
          <cell r="I175">
            <v>3.14</v>
          </cell>
          <cell r="J175">
            <v>4.2300000000000004</v>
          </cell>
        </row>
        <row r="176">
          <cell r="C176" t="str">
            <v>SEMANA SANTAV</v>
          </cell>
          <cell r="D176">
            <v>3.3</v>
          </cell>
          <cell r="E176">
            <v>3.48</v>
          </cell>
          <cell r="F176">
            <v>0.43</v>
          </cell>
          <cell r="G176">
            <v>1.88</v>
          </cell>
          <cell r="H176">
            <v>3.14</v>
          </cell>
          <cell r="I176">
            <v>3.14</v>
          </cell>
          <cell r="J176">
            <v>4.2300000000000004</v>
          </cell>
        </row>
        <row r="177">
          <cell r="C177" t="str">
            <v>SESIONES 24D</v>
          </cell>
          <cell r="D177">
            <v>0.27</v>
          </cell>
          <cell r="E177">
            <v>0</v>
          </cell>
          <cell r="F177">
            <v>0</v>
          </cell>
          <cell r="G177">
            <v>0</v>
          </cell>
          <cell r="H177">
            <v>0.11</v>
          </cell>
          <cell r="I177">
            <v>0.22</v>
          </cell>
          <cell r="J177">
            <v>7.0000000000000007E-2</v>
          </cell>
        </row>
        <row r="178">
          <cell r="C178" t="str">
            <v>SESIONES 24D</v>
          </cell>
          <cell r="D178">
            <v>0.27</v>
          </cell>
          <cell r="E178">
            <v>0</v>
          </cell>
          <cell r="F178">
            <v>0</v>
          </cell>
          <cell r="G178">
            <v>0</v>
          </cell>
          <cell r="H178">
            <v>0.11</v>
          </cell>
          <cell r="I178">
            <v>0.22</v>
          </cell>
          <cell r="J178">
            <v>7.0000000000000007E-2</v>
          </cell>
        </row>
        <row r="179">
          <cell r="C179" t="str">
            <v>SUPER CINES</v>
          </cell>
          <cell r="D179">
            <v>0.92</v>
          </cell>
          <cell r="E179">
            <v>0.42</v>
          </cell>
          <cell r="F179">
            <v>0.05</v>
          </cell>
          <cell r="G179">
            <v>0.56000000000000005</v>
          </cell>
          <cell r="H179">
            <v>0.54</v>
          </cell>
          <cell r="I179">
            <v>0.77</v>
          </cell>
          <cell r="J179">
            <v>0.7</v>
          </cell>
        </row>
        <row r="180">
          <cell r="C180" t="str">
            <v>SUPER CINES</v>
          </cell>
          <cell r="D180">
            <v>0.92</v>
          </cell>
          <cell r="E180">
            <v>0.42</v>
          </cell>
          <cell r="F180">
            <v>0.05</v>
          </cell>
          <cell r="G180">
            <v>0.56000000000000005</v>
          </cell>
          <cell r="H180">
            <v>0.54</v>
          </cell>
          <cell r="I180">
            <v>0.77</v>
          </cell>
          <cell r="J180">
            <v>0.7</v>
          </cell>
        </row>
        <row r="181">
          <cell r="C181" t="str">
            <v>TU MANANA 24 HORASLMWJV</v>
          </cell>
          <cell r="D181">
            <v>1.89</v>
          </cell>
          <cell r="E181">
            <v>1.1399999999999999</v>
          </cell>
          <cell r="F181">
            <v>0.25</v>
          </cell>
          <cell r="G181">
            <v>1.06</v>
          </cell>
          <cell r="H181">
            <v>1.4</v>
          </cell>
          <cell r="I181">
            <v>1.76</v>
          </cell>
          <cell r="J181">
            <v>1.59</v>
          </cell>
        </row>
        <row r="182">
          <cell r="C182" t="str">
            <v>TU MANANA 24 HORASW</v>
          </cell>
          <cell r="D182">
            <v>2.19</v>
          </cell>
          <cell r="E182">
            <v>1.08</v>
          </cell>
          <cell r="F182">
            <v>0.27</v>
          </cell>
          <cell r="G182">
            <v>1.2</v>
          </cell>
          <cell r="H182">
            <v>1.59</v>
          </cell>
          <cell r="I182">
            <v>2.0099999999999998</v>
          </cell>
          <cell r="J182">
            <v>1.72</v>
          </cell>
        </row>
        <row r="183">
          <cell r="C183" t="str">
            <v>TU MANANA 24 HORASL</v>
          </cell>
          <cell r="D183">
            <v>1.91</v>
          </cell>
          <cell r="E183">
            <v>1.44</v>
          </cell>
          <cell r="F183">
            <v>0.2</v>
          </cell>
          <cell r="G183">
            <v>1.32</v>
          </cell>
          <cell r="H183">
            <v>1.5</v>
          </cell>
          <cell r="I183">
            <v>1.76</v>
          </cell>
          <cell r="J183">
            <v>1.88</v>
          </cell>
        </row>
        <row r="184">
          <cell r="C184" t="str">
            <v>TU MANANA 24 HORASJ</v>
          </cell>
          <cell r="D184">
            <v>1.98</v>
          </cell>
          <cell r="E184">
            <v>1.36</v>
          </cell>
          <cell r="F184">
            <v>0.22</v>
          </cell>
          <cell r="G184">
            <v>0.89</v>
          </cell>
          <cell r="H184">
            <v>1.48</v>
          </cell>
          <cell r="I184">
            <v>1.8</v>
          </cell>
          <cell r="J184">
            <v>1.57</v>
          </cell>
        </row>
        <row r="185">
          <cell r="C185" t="str">
            <v>TU MANANA 24 HORASV</v>
          </cell>
          <cell r="D185">
            <v>1.92</v>
          </cell>
          <cell r="E185">
            <v>1.1100000000000001</v>
          </cell>
          <cell r="F185">
            <v>0.31</v>
          </cell>
          <cell r="G185">
            <v>1</v>
          </cell>
          <cell r="H185">
            <v>1.32</v>
          </cell>
          <cell r="I185">
            <v>1.82</v>
          </cell>
          <cell r="J185">
            <v>1.58</v>
          </cell>
        </row>
        <row r="186">
          <cell r="C186" t="str">
            <v>TU MANANA 24 HORASM</v>
          </cell>
          <cell r="D186">
            <v>1.5</v>
          </cell>
          <cell r="E186">
            <v>0.81</v>
          </cell>
          <cell r="F186">
            <v>0.26</v>
          </cell>
          <cell r="G186">
            <v>0.91</v>
          </cell>
          <cell r="H186">
            <v>1.1399999999999999</v>
          </cell>
          <cell r="I186">
            <v>1.46</v>
          </cell>
          <cell r="J186">
            <v>1.26</v>
          </cell>
        </row>
        <row r="187">
          <cell r="C187" t="str">
            <v>TV TIEMPOLMWJVSD</v>
          </cell>
          <cell r="D187">
            <v>5.52</v>
          </cell>
          <cell r="E187">
            <v>3.23</v>
          </cell>
          <cell r="F187">
            <v>0.82</v>
          </cell>
          <cell r="G187">
            <v>2.0099999999999998</v>
          </cell>
          <cell r="H187">
            <v>4.05</v>
          </cell>
          <cell r="I187">
            <v>4.8600000000000003</v>
          </cell>
          <cell r="J187">
            <v>3.91</v>
          </cell>
        </row>
        <row r="188">
          <cell r="C188" t="str">
            <v>TV TIEMPOD</v>
          </cell>
          <cell r="D188">
            <v>6.7</v>
          </cell>
          <cell r="E188">
            <v>4.03</v>
          </cell>
          <cell r="F188">
            <v>0.23</v>
          </cell>
          <cell r="G188">
            <v>1.92</v>
          </cell>
          <cell r="H188">
            <v>4.8499999999999996</v>
          </cell>
          <cell r="I188">
            <v>5.67</v>
          </cell>
          <cell r="J188">
            <v>4.46</v>
          </cell>
        </row>
        <row r="189">
          <cell r="C189" t="str">
            <v>TV TIEMPOJ</v>
          </cell>
          <cell r="D189">
            <v>5.86</v>
          </cell>
          <cell r="E189">
            <v>3.22</v>
          </cell>
          <cell r="F189">
            <v>1.1599999999999999</v>
          </cell>
          <cell r="G189">
            <v>2.5</v>
          </cell>
          <cell r="H189">
            <v>4.49</v>
          </cell>
          <cell r="I189">
            <v>5.27</v>
          </cell>
          <cell r="J189">
            <v>3.83</v>
          </cell>
        </row>
        <row r="190">
          <cell r="C190" t="str">
            <v>TV TIEMPOM</v>
          </cell>
          <cell r="D190">
            <v>5.93</v>
          </cell>
          <cell r="E190">
            <v>3.42</v>
          </cell>
          <cell r="F190">
            <v>1.07</v>
          </cell>
          <cell r="G190">
            <v>2.09</v>
          </cell>
          <cell r="H190">
            <v>4.49</v>
          </cell>
          <cell r="I190">
            <v>5.24</v>
          </cell>
          <cell r="J190">
            <v>4.29</v>
          </cell>
        </row>
        <row r="191">
          <cell r="C191" t="str">
            <v>TV TIEMPOL</v>
          </cell>
          <cell r="D191">
            <v>5.14</v>
          </cell>
          <cell r="E191">
            <v>4.09</v>
          </cell>
          <cell r="F191">
            <v>1.21</v>
          </cell>
          <cell r="G191">
            <v>2.64</v>
          </cell>
          <cell r="H191">
            <v>4.3</v>
          </cell>
          <cell r="I191">
            <v>4.67</v>
          </cell>
          <cell r="J191">
            <v>4.3099999999999996</v>
          </cell>
        </row>
        <row r="192">
          <cell r="C192" t="str">
            <v>TV TIEMPOW</v>
          </cell>
          <cell r="D192">
            <v>6.54</v>
          </cell>
          <cell r="E192">
            <v>2.89</v>
          </cell>
          <cell r="F192">
            <v>0.39</v>
          </cell>
          <cell r="G192">
            <v>1.87</v>
          </cell>
          <cell r="H192">
            <v>4.16</v>
          </cell>
          <cell r="I192">
            <v>5.56</v>
          </cell>
          <cell r="J192">
            <v>4.09</v>
          </cell>
        </row>
        <row r="193">
          <cell r="C193" t="str">
            <v>TV TIEMPOV</v>
          </cell>
          <cell r="D193">
            <v>4.22</v>
          </cell>
          <cell r="E193">
            <v>2.62</v>
          </cell>
          <cell r="F193">
            <v>0.23</v>
          </cell>
          <cell r="G193">
            <v>0.89</v>
          </cell>
          <cell r="H193">
            <v>2.87</v>
          </cell>
          <cell r="I193">
            <v>3.78</v>
          </cell>
          <cell r="J193">
            <v>3.35</v>
          </cell>
        </row>
        <row r="194">
          <cell r="C194" t="str">
            <v>TV TIEMPOS</v>
          </cell>
          <cell r="D194">
            <v>3.29</v>
          </cell>
          <cell r="E194">
            <v>2.1800000000000002</v>
          </cell>
          <cell r="F194">
            <v>0.99</v>
          </cell>
          <cell r="G194">
            <v>1.57</v>
          </cell>
          <cell r="H194">
            <v>2.5</v>
          </cell>
          <cell r="I194">
            <v>2.9</v>
          </cell>
          <cell r="J194">
            <v>2.5</v>
          </cell>
        </row>
        <row r="195">
          <cell r="C195" t="str">
            <v>VIRALM</v>
          </cell>
          <cell r="D195">
            <v>3.78</v>
          </cell>
          <cell r="E195">
            <v>2.04</v>
          </cell>
          <cell r="F195">
            <v>0.99</v>
          </cell>
          <cell r="G195">
            <v>2.75</v>
          </cell>
          <cell r="H195">
            <v>2.91</v>
          </cell>
          <cell r="I195">
            <v>3.26</v>
          </cell>
          <cell r="J195">
            <v>2.39</v>
          </cell>
        </row>
        <row r="196">
          <cell r="C196" t="str">
            <v>VIRALM</v>
          </cell>
          <cell r="D196">
            <v>3.78</v>
          </cell>
          <cell r="E196">
            <v>2.04</v>
          </cell>
          <cell r="F196">
            <v>0.99</v>
          </cell>
          <cell r="G196">
            <v>2.75</v>
          </cell>
          <cell r="H196">
            <v>2.91</v>
          </cell>
          <cell r="I196">
            <v>3.26</v>
          </cell>
          <cell r="J196">
            <v>2.39</v>
          </cell>
        </row>
        <row r="197">
          <cell r="C197" t="str">
            <v>MATRIARCASLMWJV</v>
          </cell>
          <cell r="D197">
            <v>1.8</v>
          </cell>
          <cell r="E197">
            <v>1.3</v>
          </cell>
          <cell r="F197">
            <v>1.2</v>
          </cell>
          <cell r="G197">
            <v>0.9</v>
          </cell>
          <cell r="H197">
            <v>1.7</v>
          </cell>
          <cell r="I197">
            <v>1.9</v>
          </cell>
          <cell r="J197">
            <v>1.9</v>
          </cell>
        </row>
        <row r="198">
          <cell r="C198" t="str">
            <v>HUMOR EN FESTIVAL DE OLMUE (LOJ</v>
          </cell>
          <cell r="D198">
            <v>2.8</v>
          </cell>
          <cell r="E198">
            <v>4.3</v>
          </cell>
          <cell r="F198">
            <v>0.9</v>
          </cell>
          <cell r="G198">
            <v>2.6</v>
          </cell>
          <cell r="H198">
            <v>3.4</v>
          </cell>
          <cell r="I198">
            <v>2.8</v>
          </cell>
          <cell r="J198">
            <v>3.5</v>
          </cell>
        </row>
        <row r="199">
          <cell r="D199" t="e">
            <v>#N/A</v>
          </cell>
          <cell r="E199" t="e">
            <v>#N/A</v>
          </cell>
          <cell r="F199" t="e">
            <v>#N/A</v>
          </cell>
          <cell r="G199" t="e">
            <v>#N/A</v>
          </cell>
          <cell r="H199" t="e">
            <v>#N/A</v>
          </cell>
          <cell r="I199" t="e">
            <v>#N/A</v>
          </cell>
          <cell r="J199" t="e">
            <v>#N/A</v>
          </cell>
        </row>
        <row r="200">
          <cell r="D200" t="e">
            <v>#N/A</v>
          </cell>
          <cell r="E200" t="e">
            <v>#N/A</v>
          </cell>
          <cell r="F200" t="e">
            <v>#N/A</v>
          </cell>
          <cell r="G200" t="e">
            <v>#N/A</v>
          </cell>
          <cell r="H200" t="e">
            <v>#N/A</v>
          </cell>
          <cell r="I200" t="e">
            <v>#N/A</v>
          </cell>
          <cell r="J200" t="e">
            <v>#N/A</v>
          </cell>
        </row>
        <row r="201">
          <cell r="D201" t="e">
            <v>#N/A</v>
          </cell>
          <cell r="E201" t="e">
            <v>#N/A</v>
          </cell>
          <cell r="F201" t="e">
            <v>#N/A</v>
          </cell>
          <cell r="G201" t="e">
            <v>#N/A</v>
          </cell>
          <cell r="H201" t="e">
            <v>#N/A</v>
          </cell>
          <cell r="I201" t="e">
            <v>#N/A</v>
          </cell>
          <cell r="J201" t="e">
            <v>#N/A</v>
          </cell>
        </row>
        <row r="202">
          <cell r="D202" t="e">
            <v>#N/A</v>
          </cell>
          <cell r="E202" t="e">
            <v>#N/A</v>
          </cell>
          <cell r="F202" t="e">
            <v>#N/A</v>
          </cell>
          <cell r="G202" t="e">
            <v>#N/A</v>
          </cell>
          <cell r="H202" t="e">
            <v>#N/A</v>
          </cell>
          <cell r="I202" t="e">
            <v>#N/A</v>
          </cell>
          <cell r="J202" t="e">
            <v>#N/A</v>
          </cell>
        </row>
        <row r="203">
          <cell r="D203" t="e">
            <v>#N/A</v>
          </cell>
          <cell r="E203" t="e">
            <v>#N/A</v>
          </cell>
          <cell r="F203" t="e">
            <v>#N/A</v>
          </cell>
          <cell r="G203" t="e">
            <v>#N/A</v>
          </cell>
          <cell r="H203" t="e">
            <v>#N/A</v>
          </cell>
          <cell r="I203" t="e">
            <v>#N/A</v>
          </cell>
          <cell r="J203" t="e">
            <v>#N/A</v>
          </cell>
        </row>
        <row r="204">
          <cell r="D204" t="e">
            <v>#N/A</v>
          </cell>
          <cell r="E204" t="e">
            <v>#N/A</v>
          </cell>
          <cell r="F204" t="e">
            <v>#N/A</v>
          </cell>
          <cell r="G204" t="e">
            <v>#N/A</v>
          </cell>
          <cell r="H204" t="e">
            <v>#N/A</v>
          </cell>
          <cell r="I204" t="e">
            <v>#N/A</v>
          </cell>
          <cell r="J204" t="e">
            <v>#N/A</v>
          </cell>
        </row>
        <row r="205">
          <cell r="D205" t="e">
            <v>#N/A</v>
          </cell>
          <cell r="E205" t="e">
            <v>#N/A</v>
          </cell>
          <cell r="F205" t="e">
            <v>#N/A</v>
          </cell>
          <cell r="G205" t="e">
            <v>#N/A</v>
          </cell>
          <cell r="H205" t="e">
            <v>#N/A</v>
          </cell>
          <cell r="I205" t="e">
            <v>#N/A</v>
          </cell>
          <cell r="J205" t="e">
            <v>#N/A</v>
          </cell>
        </row>
        <row r="206">
          <cell r="D206" t="e">
            <v>#N/A</v>
          </cell>
          <cell r="E206" t="e">
            <v>#N/A</v>
          </cell>
          <cell r="F206" t="e">
            <v>#N/A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</row>
        <row r="207">
          <cell r="D207" t="e">
            <v>#N/A</v>
          </cell>
          <cell r="E207" t="e">
            <v>#N/A</v>
          </cell>
          <cell r="F207" t="e">
            <v>#N/A</v>
          </cell>
          <cell r="G207" t="e">
            <v>#N/A</v>
          </cell>
          <cell r="H207" t="e">
            <v>#N/A</v>
          </cell>
          <cell r="I207" t="e">
            <v>#N/A</v>
          </cell>
          <cell r="J207" t="e">
            <v>#N/A</v>
          </cell>
        </row>
        <row r="208">
          <cell r="D208" t="e">
            <v>#N/A</v>
          </cell>
          <cell r="E208" t="e">
            <v>#N/A</v>
          </cell>
          <cell r="F208" t="e">
            <v>#N/A</v>
          </cell>
          <cell r="G208" t="e">
            <v>#N/A</v>
          </cell>
          <cell r="H208" t="e">
            <v>#N/A</v>
          </cell>
          <cell r="I208" t="e">
            <v>#N/A</v>
          </cell>
          <cell r="J208" t="e">
            <v>#N/A</v>
          </cell>
        </row>
        <row r="209">
          <cell r="D209" t="e">
            <v>#N/A</v>
          </cell>
          <cell r="E209" t="e">
            <v>#N/A</v>
          </cell>
          <cell r="F209" t="e">
            <v>#N/A</v>
          </cell>
          <cell r="G209" t="e">
            <v>#N/A</v>
          </cell>
          <cell r="H209" t="e">
            <v>#N/A</v>
          </cell>
          <cell r="I209" t="e">
            <v>#N/A</v>
          </cell>
          <cell r="J209" t="e">
            <v>#N/A</v>
          </cell>
        </row>
        <row r="210">
          <cell r="D210" t="e">
            <v>#N/A</v>
          </cell>
          <cell r="E210" t="e">
            <v>#N/A</v>
          </cell>
          <cell r="F210" t="e">
            <v>#N/A</v>
          </cell>
          <cell r="G210" t="e">
            <v>#N/A</v>
          </cell>
          <cell r="H210" t="e">
            <v>#N/A</v>
          </cell>
          <cell r="I210" t="e">
            <v>#N/A</v>
          </cell>
          <cell r="J210" t="e">
            <v>#N/A</v>
          </cell>
        </row>
        <row r="211">
          <cell r="D211" t="e">
            <v>#N/A</v>
          </cell>
          <cell r="E211" t="e">
            <v>#N/A</v>
          </cell>
          <cell r="F211" t="e">
            <v>#N/A</v>
          </cell>
          <cell r="G211" t="e">
            <v>#N/A</v>
          </cell>
          <cell r="H211" t="e">
            <v>#N/A</v>
          </cell>
          <cell r="I211" t="e">
            <v>#N/A</v>
          </cell>
          <cell r="J211" t="e">
            <v>#N/A</v>
          </cell>
        </row>
        <row r="212">
          <cell r="D212" t="e">
            <v>#N/A</v>
          </cell>
          <cell r="E212" t="e">
            <v>#N/A</v>
          </cell>
          <cell r="F212" t="e">
            <v>#N/A</v>
          </cell>
          <cell r="G212" t="e">
            <v>#N/A</v>
          </cell>
          <cell r="H212" t="e">
            <v>#N/A</v>
          </cell>
          <cell r="I212" t="e">
            <v>#N/A</v>
          </cell>
          <cell r="J212" t="e">
            <v>#N/A</v>
          </cell>
        </row>
        <row r="213">
          <cell r="D213" t="e">
            <v>#N/A</v>
          </cell>
          <cell r="E213" t="e">
            <v>#N/A</v>
          </cell>
          <cell r="F213" t="e">
            <v>#N/A</v>
          </cell>
          <cell r="G213" t="e">
            <v>#N/A</v>
          </cell>
          <cell r="H213" t="e">
            <v>#N/A</v>
          </cell>
          <cell r="I213" t="e">
            <v>#N/A</v>
          </cell>
          <cell r="J213" t="e">
            <v>#N/A</v>
          </cell>
        </row>
        <row r="214">
          <cell r="D214" t="e">
            <v>#N/A</v>
          </cell>
          <cell r="E214" t="e">
            <v>#N/A</v>
          </cell>
          <cell r="F214" t="e">
            <v>#N/A</v>
          </cell>
          <cell r="G214" t="e">
            <v>#N/A</v>
          </cell>
          <cell r="H214" t="e">
            <v>#N/A</v>
          </cell>
          <cell r="I214" t="e">
            <v>#N/A</v>
          </cell>
          <cell r="J214" t="e">
            <v>#N/A</v>
          </cell>
        </row>
        <row r="215">
          <cell r="D215" t="e">
            <v>#N/A</v>
          </cell>
          <cell r="E215" t="e">
            <v>#N/A</v>
          </cell>
          <cell r="F215" t="e">
            <v>#N/A</v>
          </cell>
          <cell r="G215" t="e">
            <v>#N/A</v>
          </cell>
          <cell r="H215" t="e">
            <v>#N/A</v>
          </cell>
          <cell r="I215" t="e">
            <v>#N/A</v>
          </cell>
          <cell r="J215" t="e">
            <v>#N/A</v>
          </cell>
        </row>
        <row r="216">
          <cell r="D216" t="e">
            <v>#N/A</v>
          </cell>
          <cell r="E216" t="e">
            <v>#N/A</v>
          </cell>
          <cell r="F216" t="e">
            <v>#N/A</v>
          </cell>
          <cell r="G216" t="e">
            <v>#N/A</v>
          </cell>
          <cell r="H216" t="e">
            <v>#N/A</v>
          </cell>
          <cell r="I216" t="e">
            <v>#N/A</v>
          </cell>
          <cell r="J216" t="e">
            <v>#N/A</v>
          </cell>
        </row>
        <row r="217">
          <cell r="D217" t="e">
            <v>#N/A</v>
          </cell>
          <cell r="E217" t="e">
            <v>#N/A</v>
          </cell>
          <cell r="F217" t="e">
            <v>#N/A</v>
          </cell>
          <cell r="G217" t="e">
            <v>#N/A</v>
          </cell>
          <cell r="H217" t="e">
            <v>#N/A</v>
          </cell>
          <cell r="I217" t="e">
            <v>#N/A</v>
          </cell>
          <cell r="J217" t="e">
            <v>#N/A</v>
          </cell>
        </row>
        <row r="218">
          <cell r="D218" t="e">
            <v>#N/A</v>
          </cell>
          <cell r="E218" t="e">
            <v>#N/A</v>
          </cell>
          <cell r="F218" t="e">
            <v>#N/A</v>
          </cell>
          <cell r="G218" t="e">
            <v>#N/A</v>
          </cell>
          <cell r="H218" t="e">
            <v>#N/A</v>
          </cell>
          <cell r="I218" t="e">
            <v>#N/A</v>
          </cell>
          <cell r="J218" t="e">
            <v>#N/A</v>
          </cell>
        </row>
        <row r="219">
          <cell r="D219" t="e">
            <v>#N/A</v>
          </cell>
          <cell r="E219" t="e">
            <v>#N/A</v>
          </cell>
          <cell r="F219" t="e">
            <v>#N/A</v>
          </cell>
          <cell r="G219" t="e">
            <v>#N/A</v>
          </cell>
          <cell r="H219" t="e">
            <v>#N/A</v>
          </cell>
          <cell r="I219" t="e">
            <v>#N/A</v>
          </cell>
          <cell r="J219" t="e">
            <v>#N/A</v>
          </cell>
        </row>
        <row r="220">
          <cell r="D220" t="e">
            <v>#N/A</v>
          </cell>
          <cell r="E220" t="e">
            <v>#N/A</v>
          </cell>
          <cell r="F220" t="e">
            <v>#N/A</v>
          </cell>
          <cell r="G220" t="e">
            <v>#N/A</v>
          </cell>
          <cell r="H220" t="e">
            <v>#N/A</v>
          </cell>
          <cell r="I220" t="e">
            <v>#N/A</v>
          </cell>
          <cell r="J220" t="e">
            <v>#N/A</v>
          </cell>
        </row>
        <row r="221">
          <cell r="D221" t="e">
            <v>#N/A</v>
          </cell>
          <cell r="E221" t="e">
            <v>#N/A</v>
          </cell>
          <cell r="F221" t="e">
            <v>#N/A</v>
          </cell>
          <cell r="G221" t="e">
            <v>#N/A</v>
          </cell>
          <cell r="H221" t="e">
            <v>#N/A</v>
          </cell>
          <cell r="I221" t="e">
            <v>#N/A</v>
          </cell>
          <cell r="J221" t="e">
            <v>#N/A</v>
          </cell>
        </row>
        <row r="222">
          <cell r="D222" t="e">
            <v>#N/A</v>
          </cell>
          <cell r="E222" t="e">
            <v>#N/A</v>
          </cell>
          <cell r="F222" t="e">
            <v>#N/A</v>
          </cell>
          <cell r="G222" t="e">
            <v>#N/A</v>
          </cell>
          <cell r="H222" t="e">
            <v>#N/A</v>
          </cell>
          <cell r="I222" t="e">
            <v>#N/A</v>
          </cell>
          <cell r="J222" t="e">
            <v>#N/A</v>
          </cell>
        </row>
        <row r="223">
          <cell r="D223" t="e">
            <v>#N/A</v>
          </cell>
          <cell r="E223" t="e">
            <v>#N/A</v>
          </cell>
          <cell r="F223" t="e">
            <v>#N/A</v>
          </cell>
          <cell r="G223" t="e">
            <v>#N/A</v>
          </cell>
          <cell r="H223" t="e">
            <v>#N/A</v>
          </cell>
          <cell r="I223" t="e">
            <v>#N/A</v>
          </cell>
          <cell r="J223" t="e">
            <v>#N/A</v>
          </cell>
        </row>
        <row r="224">
          <cell r="D224" t="e">
            <v>#N/A</v>
          </cell>
          <cell r="E224" t="e">
            <v>#N/A</v>
          </cell>
          <cell r="F224" t="e">
            <v>#N/A</v>
          </cell>
          <cell r="G224" t="e">
            <v>#N/A</v>
          </cell>
          <cell r="H224" t="e">
            <v>#N/A</v>
          </cell>
          <cell r="I224" t="e">
            <v>#N/A</v>
          </cell>
          <cell r="J224" t="e">
            <v>#N/A</v>
          </cell>
        </row>
        <row r="225">
          <cell r="D225" t="e">
            <v>#N/A</v>
          </cell>
          <cell r="E225" t="e">
            <v>#N/A</v>
          </cell>
          <cell r="F225" t="e">
            <v>#N/A</v>
          </cell>
          <cell r="G225" t="e">
            <v>#N/A</v>
          </cell>
          <cell r="H225" t="e">
            <v>#N/A</v>
          </cell>
          <cell r="I225" t="e">
            <v>#N/A</v>
          </cell>
          <cell r="J225" t="e">
            <v>#N/A</v>
          </cell>
        </row>
        <row r="226">
          <cell r="D226" t="e">
            <v>#N/A</v>
          </cell>
          <cell r="E226" t="e">
            <v>#N/A</v>
          </cell>
          <cell r="F226" t="e">
            <v>#N/A</v>
          </cell>
          <cell r="G226" t="e">
            <v>#N/A</v>
          </cell>
          <cell r="H226" t="e">
            <v>#N/A</v>
          </cell>
          <cell r="I226" t="e">
            <v>#N/A</v>
          </cell>
          <cell r="J226" t="e">
            <v>#N/A</v>
          </cell>
        </row>
        <row r="227">
          <cell r="D227" t="e">
            <v>#N/A</v>
          </cell>
          <cell r="E227" t="e">
            <v>#N/A</v>
          </cell>
          <cell r="F227" t="e">
            <v>#N/A</v>
          </cell>
          <cell r="G227" t="e">
            <v>#N/A</v>
          </cell>
          <cell r="H227" t="e">
            <v>#N/A</v>
          </cell>
          <cell r="I227" t="e">
            <v>#N/A</v>
          </cell>
          <cell r="J227" t="e">
            <v>#N/A</v>
          </cell>
        </row>
        <row r="228">
          <cell r="D228" t="e">
            <v>#N/A</v>
          </cell>
          <cell r="E228" t="e">
            <v>#N/A</v>
          </cell>
          <cell r="F228" t="e">
            <v>#N/A</v>
          </cell>
          <cell r="G228" t="e">
            <v>#N/A</v>
          </cell>
          <cell r="H228" t="e">
            <v>#N/A</v>
          </cell>
          <cell r="I228" t="e">
            <v>#N/A</v>
          </cell>
          <cell r="J228" t="e">
            <v>#N/A</v>
          </cell>
        </row>
        <row r="229">
          <cell r="D229" t="e">
            <v>#N/A</v>
          </cell>
          <cell r="E229" t="e">
            <v>#N/A</v>
          </cell>
          <cell r="F229" t="e">
            <v>#N/A</v>
          </cell>
          <cell r="G229" t="e">
            <v>#N/A</v>
          </cell>
          <cell r="H229" t="e">
            <v>#N/A</v>
          </cell>
          <cell r="I229" t="e">
            <v>#N/A</v>
          </cell>
          <cell r="J229" t="e">
            <v>#N/A</v>
          </cell>
        </row>
        <row r="230">
          <cell r="D230" t="e">
            <v>#N/A</v>
          </cell>
          <cell r="E230" t="e">
            <v>#N/A</v>
          </cell>
          <cell r="F230" t="e">
            <v>#N/A</v>
          </cell>
          <cell r="G230" t="e">
            <v>#N/A</v>
          </cell>
          <cell r="H230" t="e">
            <v>#N/A</v>
          </cell>
          <cell r="I230" t="e">
            <v>#N/A</v>
          </cell>
          <cell r="J230" t="e">
            <v>#N/A</v>
          </cell>
        </row>
        <row r="231">
          <cell r="D231" t="e">
            <v>#N/A</v>
          </cell>
          <cell r="E231" t="e">
            <v>#N/A</v>
          </cell>
          <cell r="F231" t="e">
            <v>#N/A</v>
          </cell>
          <cell r="G231" t="e">
            <v>#N/A</v>
          </cell>
          <cell r="H231" t="e">
            <v>#N/A</v>
          </cell>
          <cell r="I231" t="e">
            <v>#N/A</v>
          </cell>
          <cell r="J231" t="e">
            <v>#N/A</v>
          </cell>
        </row>
        <row r="232">
          <cell r="D232" t="e">
            <v>#N/A</v>
          </cell>
          <cell r="E232" t="e">
            <v>#N/A</v>
          </cell>
          <cell r="F232" t="e">
            <v>#N/A</v>
          </cell>
          <cell r="G232" t="e">
            <v>#N/A</v>
          </cell>
          <cell r="H232" t="e">
            <v>#N/A</v>
          </cell>
          <cell r="I232" t="e">
            <v>#N/A</v>
          </cell>
          <cell r="J232" t="e">
            <v>#N/A</v>
          </cell>
        </row>
        <row r="233">
          <cell r="D233" t="e">
            <v>#N/A</v>
          </cell>
          <cell r="E233" t="e">
            <v>#N/A</v>
          </cell>
          <cell r="F233" t="e">
            <v>#N/A</v>
          </cell>
          <cell r="G233" t="e">
            <v>#N/A</v>
          </cell>
          <cell r="H233" t="e">
            <v>#N/A</v>
          </cell>
          <cell r="I233" t="e">
            <v>#N/A</v>
          </cell>
          <cell r="J233" t="e">
            <v>#N/A</v>
          </cell>
        </row>
        <row r="234">
          <cell r="D234" t="e">
            <v>#N/A</v>
          </cell>
          <cell r="E234" t="e">
            <v>#N/A</v>
          </cell>
          <cell r="F234" t="e">
            <v>#N/A</v>
          </cell>
          <cell r="G234" t="e">
            <v>#N/A</v>
          </cell>
          <cell r="H234" t="e">
            <v>#N/A</v>
          </cell>
          <cell r="I234" t="e">
            <v>#N/A</v>
          </cell>
          <cell r="J234" t="e">
            <v>#N/A</v>
          </cell>
        </row>
        <row r="235">
          <cell r="D235" t="e">
            <v>#N/A</v>
          </cell>
          <cell r="E235" t="e">
            <v>#N/A</v>
          </cell>
          <cell r="F235" t="e">
            <v>#N/A</v>
          </cell>
          <cell r="G235" t="e">
            <v>#N/A</v>
          </cell>
          <cell r="H235" t="e">
            <v>#N/A</v>
          </cell>
          <cell r="I235" t="e">
            <v>#N/A</v>
          </cell>
          <cell r="J235" t="e">
            <v>#N/A</v>
          </cell>
        </row>
        <row r="236">
          <cell r="D236" t="e">
            <v>#N/A</v>
          </cell>
          <cell r="E236" t="e">
            <v>#N/A</v>
          </cell>
          <cell r="F236" t="e">
            <v>#N/A</v>
          </cell>
          <cell r="G236" t="e">
            <v>#N/A</v>
          </cell>
          <cell r="H236" t="e">
            <v>#N/A</v>
          </cell>
          <cell r="I236" t="e">
            <v>#N/A</v>
          </cell>
          <cell r="J236" t="e">
            <v>#N/A</v>
          </cell>
        </row>
        <row r="237">
          <cell r="D237" t="e">
            <v>#N/A</v>
          </cell>
          <cell r="E237" t="e">
            <v>#N/A</v>
          </cell>
          <cell r="F237" t="e">
            <v>#N/A</v>
          </cell>
          <cell r="G237" t="e">
            <v>#N/A</v>
          </cell>
          <cell r="H237" t="e">
            <v>#N/A</v>
          </cell>
          <cell r="I237" t="e">
            <v>#N/A</v>
          </cell>
          <cell r="J237" t="e">
            <v>#N/A</v>
          </cell>
        </row>
        <row r="238">
          <cell r="D238" t="e">
            <v>#N/A</v>
          </cell>
          <cell r="E238" t="e">
            <v>#N/A</v>
          </cell>
          <cell r="F238" t="e">
            <v>#N/A</v>
          </cell>
          <cell r="G238" t="e">
            <v>#N/A</v>
          </cell>
          <cell r="H238" t="e">
            <v>#N/A</v>
          </cell>
          <cell r="I238" t="e">
            <v>#N/A</v>
          </cell>
          <cell r="J238" t="e">
            <v>#N/A</v>
          </cell>
        </row>
        <row r="239">
          <cell r="D239" t="e">
            <v>#N/A</v>
          </cell>
          <cell r="E239" t="e">
            <v>#N/A</v>
          </cell>
          <cell r="F239" t="e">
            <v>#N/A</v>
          </cell>
          <cell r="G239" t="e">
            <v>#N/A</v>
          </cell>
          <cell r="H239" t="e">
            <v>#N/A</v>
          </cell>
          <cell r="I239" t="e">
            <v>#N/A</v>
          </cell>
          <cell r="J239" t="e">
            <v>#N/A</v>
          </cell>
        </row>
        <row r="240">
          <cell r="D240" t="e">
            <v>#N/A</v>
          </cell>
          <cell r="E240" t="e">
            <v>#N/A</v>
          </cell>
          <cell r="F240" t="e">
            <v>#N/A</v>
          </cell>
          <cell r="G240" t="e">
            <v>#N/A</v>
          </cell>
          <cell r="H240" t="e">
            <v>#N/A</v>
          </cell>
          <cell r="I240" t="e">
            <v>#N/A</v>
          </cell>
          <cell r="J240" t="e">
            <v>#N/A</v>
          </cell>
        </row>
        <row r="241">
          <cell r="D241" t="e">
            <v>#N/A</v>
          </cell>
          <cell r="E241" t="e">
            <v>#N/A</v>
          </cell>
          <cell r="F241" t="e">
            <v>#N/A</v>
          </cell>
          <cell r="G241" t="e">
            <v>#N/A</v>
          </cell>
          <cell r="H241" t="e">
            <v>#N/A</v>
          </cell>
          <cell r="I241" t="e">
            <v>#N/A</v>
          </cell>
          <cell r="J241" t="e">
            <v>#N/A</v>
          </cell>
        </row>
        <row r="242">
          <cell r="D242" t="e">
            <v>#N/A</v>
          </cell>
          <cell r="E242" t="e">
            <v>#N/A</v>
          </cell>
          <cell r="F242" t="e">
            <v>#N/A</v>
          </cell>
          <cell r="G242" t="e">
            <v>#N/A</v>
          </cell>
          <cell r="H242" t="e">
            <v>#N/A</v>
          </cell>
          <cell r="I242" t="e">
            <v>#N/A</v>
          </cell>
          <cell r="J242" t="e">
            <v>#N/A</v>
          </cell>
        </row>
        <row r="243">
          <cell r="D243" t="e">
            <v>#N/A</v>
          </cell>
          <cell r="E243" t="e">
            <v>#N/A</v>
          </cell>
          <cell r="F243" t="e">
            <v>#N/A</v>
          </cell>
          <cell r="G243" t="e">
            <v>#N/A</v>
          </cell>
          <cell r="H243" t="e">
            <v>#N/A</v>
          </cell>
          <cell r="I243" t="e">
            <v>#N/A</v>
          </cell>
          <cell r="J243" t="e">
            <v>#N/A</v>
          </cell>
        </row>
        <row r="244">
          <cell r="D244" t="e">
            <v>#N/A</v>
          </cell>
          <cell r="E244" t="e">
            <v>#N/A</v>
          </cell>
          <cell r="F244" t="e">
            <v>#N/A</v>
          </cell>
          <cell r="G244" t="e">
            <v>#N/A</v>
          </cell>
          <cell r="H244" t="e">
            <v>#N/A</v>
          </cell>
          <cell r="I244" t="e">
            <v>#N/A</v>
          </cell>
          <cell r="J244" t="e">
            <v>#N/A</v>
          </cell>
        </row>
        <row r="245">
          <cell r="D245" t="e">
            <v>#N/A</v>
          </cell>
          <cell r="E245" t="e">
            <v>#N/A</v>
          </cell>
          <cell r="F245" t="e">
            <v>#N/A</v>
          </cell>
          <cell r="G245" t="e">
            <v>#N/A</v>
          </cell>
          <cell r="H245" t="e">
            <v>#N/A</v>
          </cell>
          <cell r="I245" t="e">
            <v>#N/A</v>
          </cell>
          <cell r="J245" t="e">
            <v>#N/A</v>
          </cell>
        </row>
        <row r="246">
          <cell r="D246" t="e">
            <v>#N/A</v>
          </cell>
          <cell r="E246" t="e">
            <v>#N/A</v>
          </cell>
          <cell r="F246" t="e">
            <v>#N/A</v>
          </cell>
          <cell r="G246" t="e">
            <v>#N/A</v>
          </cell>
          <cell r="H246" t="e">
            <v>#N/A</v>
          </cell>
          <cell r="I246" t="e">
            <v>#N/A</v>
          </cell>
          <cell r="J246" t="e">
            <v>#N/A</v>
          </cell>
        </row>
        <row r="247">
          <cell r="D247" t="e">
            <v>#N/A</v>
          </cell>
          <cell r="E247" t="e">
            <v>#N/A</v>
          </cell>
          <cell r="F247" t="e">
            <v>#N/A</v>
          </cell>
          <cell r="G247" t="e">
            <v>#N/A</v>
          </cell>
          <cell r="H247" t="e">
            <v>#N/A</v>
          </cell>
          <cell r="I247" t="e">
            <v>#N/A</v>
          </cell>
          <cell r="J247" t="e">
            <v>#N/A</v>
          </cell>
        </row>
        <row r="248">
          <cell r="D248" t="e">
            <v>#N/A</v>
          </cell>
          <cell r="E248" t="e">
            <v>#N/A</v>
          </cell>
          <cell r="F248" t="e">
            <v>#N/A</v>
          </cell>
          <cell r="G248" t="e">
            <v>#N/A</v>
          </cell>
          <cell r="H248" t="e">
            <v>#N/A</v>
          </cell>
          <cell r="I248" t="e">
            <v>#N/A</v>
          </cell>
          <cell r="J248" t="e">
            <v>#N/A</v>
          </cell>
        </row>
        <row r="249">
          <cell r="D249" t="e">
            <v>#N/A</v>
          </cell>
          <cell r="E249" t="e">
            <v>#N/A</v>
          </cell>
          <cell r="F249" t="e">
            <v>#N/A</v>
          </cell>
          <cell r="G249" t="e">
            <v>#N/A</v>
          </cell>
          <cell r="H249" t="e">
            <v>#N/A</v>
          </cell>
          <cell r="I249" t="e">
            <v>#N/A</v>
          </cell>
          <cell r="J249" t="e">
            <v>#N/A</v>
          </cell>
        </row>
        <row r="250">
          <cell r="D250" t="e">
            <v>#N/A</v>
          </cell>
          <cell r="E250" t="e">
            <v>#N/A</v>
          </cell>
          <cell r="F250" t="e">
            <v>#N/A</v>
          </cell>
          <cell r="G250" t="e">
            <v>#N/A</v>
          </cell>
          <cell r="H250" t="e">
            <v>#N/A</v>
          </cell>
          <cell r="I250" t="e">
            <v>#N/A</v>
          </cell>
          <cell r="J250" t="e">
            <v>#N/A</v>
          </cell>
        </row>
        <row r="251">
          <cell r="D251" t="e">
            <v>#N/A</v>
          </cell>
          <cell r="E251" t="e">
            <v>#N/A</v>
          </cell>
          <cell r="F251" t="e">
            <v>#N/A</v>
          </cell>
          <cell r="G251" t="e">
            <v>#N/A</v>
          </cell>
          <cell r="H251" t="e">
            <v>#N/A</v>
          </cell>
          <cell r="I251" t="e">
            <v>#N/A</v>
          </cell>
          <cell r="J251" t="e">
            <v>#N/A</v>
          </cell>
        </row>
        <row r="252">
          <cell r="D252" t="e">
            <v>#N/A</v>
          </cell>
          <cell r="E252" t="e">
            <v>#N/A</v>
          </cell>
          <cell r="F252" t="e">
            <v>#N/A</v>
          </cell>
          <cell r="G252" t="e">
            <v>#N/A</v>
          </cell>
          <cell r="H252" t="e">
            <v>#N/A</v>
          </cell>
          <cell r="I252" t="e">
            <v>#N/A</v>
          </cell>
          <cell r="J252" t="e">
            <v>#N/A</v>
          </cell>
        </row>
        <row r="253">
          <cell r="D253" t="e">
            <v>#N/A</v>
          </cell>
          <cell r="E253" t="e">
            <v>#N/A</v>
          </cell>
          <cell r="F253" t="e">
            <v>#N/A</v>
          </cell>
          <cell r="G253" t="e">
            <v>#N/A</v>
          </cell>
          <cell r="H253" t="e">
            <v>#N/A</v>
          </cell>
          <cell r="I253" t="e">
            <v>#N/A</v>
          </cell>
          <cell r="J253" t="e">
            <v>#N/A</v>
          </cell>
        </row>
        <row r="254">
          <cell r="D254" t="e">
            <v>#N/A</v>
          </cell>
          <cell r="E254" t="e">
            <v>#N/A</v>
          </cell>
          <cell r="F254" t="e">
            <v>#N/A</v>
          </cell>
          <cell r="G254" t="e">
            <v>#N/A</v>
          </cell>
          <cell r="H254" t="e">
            <v>#N/A</v>
          </cell>
          <cell r="I254" t="e">
            <v>#N/A</v>
          </cell>
          <cell r="J254" t="e">
            <v>#N/A</v>
          </cell>
        </row>
        <row r="255">
          <cell r="D255" t="e">
            <v>#N/A</v>
          </cell>
          <cell r="E255" t="e">
            <v>#N/A</v>
          </cell>
          <cell r="F255" t="e">
            <v>#N/A</v>
          </cell>
          <cell r="G255" t="e">
            <v>#N/A</v>
          </cell>
          <cell r="H255" t="e">
            <v>#N/A</v>
          </cell>
          <cell r="I255" t="e">
            <v>#N/A</v>
          </cell>
          <cell r="J255" t="e">
            <v>#N/A</v>
          </cell>
        </row>
        <row r="256">
          <cell r="D256" t="e">
            <v>#N/A</v>
          </cell>
          <cell r="E256" t="e">
            <v>#N/A</v>
          </cell>
          <cell r="F256" t="e">
            <v>#N/A</v>
          </cell>
          <cell r="G256" t="e">
            <v>#N/A</v>
          </cell>
          <cell r="H256" t="e">
            <v>#N/A</v>
          </cell>
          <cell r="I256" t="e">
            <v>#N/A</v>
          </cell>
          <cell r="J256" t="e">
            <v>#N/A</v>
          </cell>
        </row>
        <row r="257">
          <cell r="D257" t="e">
            <v>#N/A</v>
          </cell>
          <cell r="E257" t="e">
            <v>#N/A</v>
          </cell>
          <cell r="F257" t="e">
            <v>#N/A</v>
          </cell>
          <cell r="G257" t="e">
            <v>#N/A</v>
          </cell>
          <cell r="H257" t="e">
            <v>#N/A</v>
          </cell>
          <cell r="I257" t="e">
            <v>#N/A</v>
          </cell>
          <cell r="J257" t="e">
            <v>#N/A</v>
          </cell>
        </row>
        <row r="258">
          <cell r="D258" t="e">
            <v>#N/A</v>
          </cell>
          <cell r="E258" t="e">
            <v>#N/A</v>
          </cell>
          <cell r="F258" t="e">
            <v>#N/A</v>
          </cell>
          <cell r="G258" t="e">
            <v>#N/A</v>
          </cell>
          <cell r="H258" t="e">
            <v>#N/A</v>
          </cell>
          <cell r="I258" t="e">
            <v>#N/A</v>
          </cell>
          <cell r="J258" t="e">
            <v>#N/A</v>
          </cell>
        </row>
        <row r="259">
          <cell r="D259" t="e">
            <v>#N/A</v>
          </cell>
          <cell r="E259" t="e">
            <v>#N/A</v>
          </cell>
          <cell r="F259" t="e">
            <v>#N/A</v>
          </cell>
          <cell r="G259" t="e">
            <v>#N/A</v>
          </cell>
          <cell r="H259" t="e">
            <v>#N/A</v>
          </cell>
          <cell r="I259" t="e">
            <v>#N/A</v>
          </cell>
          <cell r="J259" t="e">
            <v>#N/A</v>
          </cell>
        </row>
        <row r="260">
          <cell r="D260" t="e">
            <v>#N/A</v>
          </cell>
          <cell r="E260" t="e">
            <v>#N/A</v>
          </cell>
          <cell r="F260" t="e">
            <v>#N/A</v>
          </cell>
          <cell r="G260" t="e">
            <v>#N/A</v>
          </cell>
          <cell r="H260" t="e">
            <v>#N/A</v>
          </cell>
          <cell r="I260" t="e">
            <v>#N/A</v>
          </cell>
          <cell r="J260" t="e">
            <v>#N/A</v>
          </cell>
        </row>
        <row r="261">
          <cell r="D261" t="e">
            <v>#N/A</v>
          </cell>
          <cell r="E261" t="e">
            <v>#N/A</v>
          </cell>
          <cell r="F261" t="e">
            <v>#N/A</v>
          </cell>
          <cell r="G261" t="e">
            <v>#N/A</v>
          </cell>
          <cell r="H261" t="e">
            <v>#N/A</v>
          </cell>
          <cell r="I261" t="e">
            <v>#N/A</v>
          </cell>
          <cell r="J261" t="e">
            <v>#N/A</v>
          </cell>
        </row>
        <row r="262">
          <cell r="D262" t="e">
            <v>#N/A</v>
          </cell>
          <cell r="E262" t="e">
            <v>#N/A</v>
          </cell>
          <cell r="F262" t="e">
            <v>#N/A</v>
          </cell>
          <cell r="G262" t="e">
            <v>#N/A</v>
          </cell>
          <cell r="H262" t="e">
            <v>#N/A</v>
          </cell>
          <cell r="I262" t="e">
            <v>#N/A</v>
          </cell>
          <cell r="J262" t="e">
            <v>#N/A</v>
          </cell>
        </row>
        <row r="263">
          <cell r="D263" t="e">
            <v>#N/A</v>
          </cell>
          <cell r="E263" t="e">
            <v>#N/A</v>
          </cell>
          <cell r="F263" t="e">
            <v>#N/A</v>
          </cell>
          <cell r="G263" t="e">
            <v>#N/A</v>
          </cell>
          <cell r="H263" t="e">
            <v>#N/A</v>
          </cell>
          <cell r="I263" t="e">
            <v>#N/A</v>
          </cell>
          <cell r="J263" t="e">
            <v>#N/A</v>
          </cell>
        </row>
        <row r="264">
          <cell r="D264" t="e">
            <v>#N/A</v>
          </cell>
          <cell r="E264" t="e">
            <v>#N/A</v>
          </cell>
          <cell r="F264" t="e">
            <v>#N/A</v>
          </cell>
          <cell r="G264" t="e">
            <v>#N/A</v>
          </cell>
          <cell r="H264" t="e">
            <v>#N/A</v>
          </cell>
          <cell r="I264" t="e">
            <v>#N/A</v>
          </cell>
          <cell r="J264" t="e">
            <v>#N/A</v>
          </cell>
        </row>
        <row r="265">
          <cell r="D265" t="e">
            <v>#N/A</v>
          </cell>
          <cell r="E265" t="e">
            <v>#N/A</v>
          </cell>
          <cell r="F265" t="e">
            <v>#N/A</v>
          </cell>
          <cell r="G265" t="e">
            <v>#N/A</v>
          </cell>
          <cell r="H265" t="e">
            <v>#N/A</v>
          </cell>
          <cell r="I265" t="e">
            <v>#N/A</v>
          </cell>
          <cell r="J265" t="e">
            <v>#N/A</v>
          </cell>
        </row>
        <row r="266">
          <cell r="D266" t="e">
            <v>#N/A</v>
          </cell>
          <cell r="E266" t="e">
            <v>#N/A</v>
          </cell>
          <cell r="F266" t="e">
            <v>#N/A</v>
          </cell>
          <cell r="G266" t="e">
            <v>#N/A</v>
          </cell>
          <cell r="H266" t="e">
            <v>#N/A</v>
          </cell>
          <cell r="I266" t="e">
            <v>#N/A</v>
          </cell>
          <cell r="J266" t="e">
            <v>#N/A</v>
          </cell>
        </row>
        <row r="267">
          <cell r="D267" t="e">
            <v>#N/A</v>
          </cell>
          <cell r="E267" t="e">
            <v>#N/A</v>
          </cell>
          <cell r="F267" t="e">
            <v>#N/A</v>
          </cell>
          <cell r="G267" t="e">
            <v>#N/A</v>
          </cell>
          <cell r="H267" t="e">
            <v>#N/A</v>
          </cell>
          <cell r="I267" t="e">
            <v>#N/A</v>
          </cell>
          <cell r="J267" t="e">
            <v>#N/A</v>
          </cell>
        </row>
        <row r="268">
          <cell r="D268" t="e">
            <v>#N/A</v>
          </cell>
          <cell r="E268" t="e">
            <v>#N/A</v>
          </cell>
          <cell r="F268" t="e">
            <v>#N/A</v>
          </cell>
          <cell r="G268" t="e">
            <v>#N/A</v>
          </cell>
          <cell r="H268" t="e">
            <v>#N/A</v>
          </cell>
          <cell r="I268" t="e">
            <v>#N/A</v>
          </cell>
          <cell r="J268" t="e">
            <v>#N/A</v>
          </cell>
        </row>
        <row r="269">
          <cell r="D269" t="e">
            <v>#N/A</v>
          </cell>
          <cell r="E269" t="e">
            <v>#N/A</v>
          </cell>
          <cell r="F269" t="e">
            <v>#N/A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</row>
        <row r="270">
          <cell r="D270" t="e">
            <v>#N/A</v>
          </cell>
          <cell r="E270" t="e">
            <v>#N/A</v>
          </cell>
          <cell r="F270" t="e">
            <v>#N/A</v>
          </cell>
          <cell r="G270" t="e">
            <v>#N/A</v>
          </cell>
          <cell r="H270" t="e">
            <v>#N/A</v>
          </cell>
          <cell r="I270" t="e">
            <v>#N/A</v>
          </cell>
          <cell r="J270" t="e">
            <v>#N/A</v>
          </cell>
        </row>
        <row r="271">
          <cell r="D271" t="e">
            <v>#N/A</v>
          </cell>
          <cell r="E271" t="e">
            <v>#N/A</v>
          </cell>
          <cell r="F271" t="e">
            <v>#N/A</v>
          </cell>
          <cell r="G271" t="e">
            <v>#N/A</v>
          </cell>
          <cell r="H271" t="e">
            <v>#N/A</v>
          </cell>
          <cell r="I271" t="e">
            <v>#N/A</v>
          </cell>
          <cell r="J271" t="e">
            <v>#N/A</v>
          </cell>
        </row>
        <row r="272">
          <cell r="D272" t="e">
            <v>#N/A</v>
          </cell>
          <cell r="E272" t="e">
            <v>#N/A</v>
          </cell>
          <cell r="F272" t="e">
            <v>#N/A</v>
          </cell>
          <cell r="G272" t="e">
            <v>#N/A</v>
          </cell>
          <cell r="H272" t="e">
            <v>#N/A</v>
          </cell>
          <cell r="I272" t="e">
            <v>#N/A</v>
          </cell>
          <cell r="J272" t="e">
            <v>#N/A</v>
          </cell>
        </row>
        <row r="273">
          <cell r="D273" t="e">
            <v>#N/A</v>
          </cell>
          <cell r="E273" t="e">
            <v>#N/A</v>
          </cell>
          <cell r="F273" t="e">
            <v>#N/A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</row>
        <row r="274">
          <cell r="D274" t="e">
            <v>#N/A</v>
          </cell>
          <cell r="E274" t="e">
            <v>#N/A</v>
          </cell>
          <cell r="F274" t="e">
            <v>#N/A</v>
          </cell>
          <cell r="G274" t="e">
            <v>#N/A</v>
          </cell>
          <cell r="H274" t="e">
            <v>#N/A</v>
          </cell>
          <cell r="I274" t="e">
            <v>#N/A</v>
          </cell>
          <cell r="J274" t="e">
            <v>#N/A</v>
          </cell>
        </row>
        <row r="275">
          <cell r="D275" t="e">
            <v>#N/A</v>
          </cell>
          <cell r="E275" t="e">
            <v>#N/A</v>
          </cell>
          <cell r="F275" t="e">
            <v>#N/A</v>
          </cell>
          <cell r="G275" t="e">
            <v>#N/A</v>
          </cell>
          <cell r="H275" t="e">
            <v>#N/A</v>
          </cell>
          <cell r="I275" t="e">
            <v>#N/A</v>
          </cell>
          <cell r="J275" t="e">
            <v>#N/A</v>
          </cell>
        </row>
        <row r="276">
          <cell r="D276" t="e">
            <v>#N/A</v>
          </cell>
          <cell r="E276" t="e">
            <v>#N/A</v>
          </cell>
          <cell r="F276" t="e">
            <v>#N/A</v>
          </cell>
          <cell r="G276" t="e">
            <v>#N/A</v>
          </cell>
          <cell r="H276" t="e">
            <v>#N/A</v>
          </cell>
          <cell r="I276" t="e">
            <v>#N/A</v>
          </cell>
          <cell r="J276" t="e">
            <v>#N/A</v>
          </cell>
        </row>
        <row r="277">
          <cell r="D277" t="e">
            <v>#N/A</v>
          </cell>
          <cell r="E277" t="e">
            <v>#N/A</v>
          </cell>
          <cell r="F277" t="e">
            <v>#N/A</v>
          </cell>
          <cell r="G277" t="e">
            <v>#N/A</v>
          </cell>
          <cell r="H277" t="e">
            <v>#N/A</v>
          </cell>
          <cell r="I277" t="e">
            <v>#N/A</v>
          </cell>
          <cell r="J277" t="e">
            <v>#N/A</v>
          </cell>
        </row>
        <row r="278">
          <cell r="D278" t="e">
            <v>#N/A</v>
          </cell>
          <cell r="E278" t="e">
            <v>#N/A</v>
          </cell>
          <cell r="F278" t="e">
            <v>#N/A</v>
          </cell>
          <cell r="G278" t="e">
            <v>#N/A</v>
          </cell>
          <cell r="H278" t="e">
            <v>#N/A</v>
          </cell>
          <cell r="I278" t="e">
            <v>#N/A</v>
          </cell>
          <cell r="J278" t="e">
            <v>#N/A</v>
          </cell>
        </row>
        <row r="279">
          <cell r="D279" t="e">
            <v>#N/A</v>
          </cell>
          <cell r="E279" t="e">
            <v>#N/A</v>
          </cell>
          <cell r="F279" t="e">
            <v>#N/A</v>
          </cell>
          <cell r="G279" t="e">
            <v>#N/A</v>
          </cell>
          <cell r="H279" t="e">
            <v>#N/A</v>
          </cell>
          <cell r="I279" t="e">
            <v>#N/A</v>
          </cell>
          <cell r="J279" t="e">
            <v>#N/A</v>
          </cell>
        </row>
        <row r="280">
          <cell r="D280" t="e">
            <v>#N/A</v>
          </cell>
          <cell r="E280" t="e">
            <v>#N/A</v>
          </cell>
          <cell r="F280" t="e">
            <v>#N/A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</row>
        <row r="281">
          <cell r="D281" t="e">
            <v>#N/A</v>
          </cell>
          <cell r="E281" t="e">
            <v>#N/A</v>
          </cell>
          <cell r="F281" t="e">
            <v>#N/A</v>
          </cell>
          <cell r="G281" t="e">
            <v>#N/A</v>
          </cell>
          <cell r="H281" t="e">
            <v>#N/A</v>
          </cell>
          <cell r="I281" t="e">
            <v>#N/A</v>
          </cell>
          <cell r="J281" t="e">
            <v>#N/A</v>
          </cell>
        </row>
        <row r="282">
          <cell r="D282" t="e">
            <v>#N/A</v>
          </cell>
          <cell r="E282" t="e">
            <v>#N/A</v>
          </cell>
          <cell r="F282" t="e">
            <v>#N/A</v>
          </cell>
          <cell r="G282" t="e">
            <v>#N/A</v>
          </cell>
          <cell r="H282" t="e">
            <v>#N/A</v>
          </cell>
          <cell r="I282" t="e">
            <v>#N/A</v>
          </cell>
          <cell r="J282" t="e">
            <v>#N/A</v>
          </cell>
        </row>
        <row r="283">
          <cell r="D283" t="e">
            <v>#N/A</v>
          </cell>
          <cell r="E283" t="e">
            <v>#N/A</v>
          </cell>
          <cell r="F283" t="e">
            <v>#N/A</v>
          </cell>
          <cell r="G283" t="e">
            <v>#N/A</v>
          </cell>
          <cell r="I283" t="e">
            <v>#N/A</v>
          </cell>
          <cell r="J283" t="e">
            <v>#N/A</v>
          </cell>
        </row>
        <row r="284">
          <cell r="D284" t="e">
            <v>#N/A</v>
          </cell>
          <cell r="E284" t="e">
            <v>#N/A</v>
          </cell>
          <cell r="F284" t="e">
            <v>#N/A</v>
          </cell>
          <cell r="G284" t="e">
            <v>#N/A</v>
          </cell>
          <cell r="H284" t="e">
            <v>#N/A</v>
          </cell>
          <cell r="I284" t="e">
            <v>#N/A</v>
          </cell>
          <cell r="J284" t="e">
            <v>#N/A</v>
          </cell>
        </row>
        <row r="285">
          <cell r="D285" t="e">
            <v>#N/A</v>
          </cell>
          <cell r="E285" t="e">
            <v>#N/A</v>
          </cell>
          <cell r="F285" t="e">
            <v>#N/A</v>
          </cell>
          <cell r="G285" t="e">
            <v>#N/A</v>
          </cell>
          <cell r="H285" t="e">
            <v>#N/A</v>
          </cell>
          <cell r="I285" t="e">
            <v>#N/A</v>
          </cell>
          <cell r="J285" t="e">
            <v>#N/A</v>
          </cell>
        </row>
        <row r="286">
          <cell r="D286" t="e">
            <v>#N/A</v>
          </cell>
          <cell r="E286" t="e">
            <v>#N/A</v>
          </cell>
          <cell r="F286" t="e">
            <v>#N/A</v>
          </cell>
          <cell r="G286" t="e">
            <v>#N/A</v>
          </cell>
          <cell r="H286" t="e">
            <v>#N/A</v>
          </cell>
          <cell r="I286" t="e">
            <v>#N/A</v>
          </cell>
          <cell r="J286" t="e">
            <v>#N/A</v>
          </cell>
        </row>
        <row r="287">
          <cell r="D287" t="e">
            <v>#N/A</v>
          </cell>
          <cell r="E287" t="e">
            <v>#N/A</v>
          </cell>
          <cell r="F287" t="e">
            <v>#N/A</v>
          </cell>
          <cell r="G287" t="e">
            <v>#N/A</v>
          </cell>
          <cell r="H287" t="e">
            <v>#N/A</v>
          </cell>
          <cell r="I287" t="e">
            <v>#N/A</v>
          </cell>
          <cell r="J287" t="e">
            <v>#N/A</v>
          </cell>
        </row>
        <row r="288">
          <cell r="D288" t="e">
            <v>#N/A</v>
          </cell>
          <cell r="E288" t="e">
            <v>#N/A</v>
          </cell>
          <cell r="F288" t="e">
            <v>#N/A</v>
          </cell>
          <cell r="G288" t="e">
            <v>#N/A</v>
          </cell>
          <cell r="H288" t="e">
            <v>#N/A</v>
          </cell>
          <cell r="I288" t="e">
            <v>#N/A</v>
          </cell>
          <cell r="J288" t="e">
            <v>#N/A</v>
          </cell>
        </row>
        <row r="289">
          <cell r="D289" t="e">
            <v>#N/A</v>
          </cell>
          <cell r="E289" t="e">
            <v>#N/A</v>
          </cell>
          <cell r="F289" t="e">
            <v>#N/A</v>
          </cell>
          <cell r="G289" t="e">
            <v>#N/A</v>
          </cell>
          <cell r="H289" t="e">
            <v>#N/A</v>
          </cell>
          <cell r="I289" t="e">
            <v>#N/A</v>
          </cell>
          <cell r="J289" t="e">
            <v>#N/A</v>
          </cell>
        </row>
        <row r="290">
          <cell r="D290" t="e">
            <v>#N/A</v>
          </cell>
          <cell r="E290" t="e">
            <v>#N/A</v>
          </cell>
          <cell r="F290" t="e">
            <v>#N/A</v>
          </cell>
          <cell r="G290" t="e">
            <v>#N/A</v>
          </cell>
          <cell r="H290" t="e">
            <v>#N/A</v>
          </cell>
          <cell r="I290" t="e">
            <v>#N/A</v>
          </cell>
          <cell r="J290" t="e">
            <v>#N/A</v>
          </cell>
        </row>
        <row r="291">
          <cell r="D291" t="e">
            <v>#N/A</v>
          </cell>
          <cell r="E291" t="e">
            <v>#N/A</v>
          </cell>
          <cell r="F291" t="e">
            <v>#N/A</v>
          </cell>
          <cell r="G291" t="e">
            <v>#N/A</v>
          </cell>
          <cell r="H291" t="e">
            <v>#N/A</v>
          </cell>
          <cell r="I291" t="e">
            <v>#N/A</v>
          </cell>
          <cell r="J291" t="e">
            <v>#N/A</v>
          </cell>
        </row>
        <row r="292">
          <cell r="D292" t="e">
            <v>#N/A</v>
          </cell>
          <cell r="E292" t="e">
            <v>#N/A</v>
          </cell>
          <cell r="F292" t="e">
            <v>#N/A</v>
          </cell>
          <cell r="G292" t="e">
            <v>#N/A</v>
          </cell>
          <cell r="H292" t="e">
            <v>#N/A</v>
          </cell>
          <cell r="I292" t="e">
            <v>#N/A</v>
          </cell>
          <cell r="J292" t="e">
            <v>#N/A</v>
          </cell>
        </row>
        <row r="293">
          <cell r="D293" t="e">
            <v>#N/A</v>
          </cell>
          <cell r="E293" t="e">
            <v>#N/A</v>
          </cell>
          <cell r="F293" t="e">
            <v>#N/A</v>
          </cell>
          <cell r="G293" t="e">
            <v>#N/A</v>
          </cell>
          <cell r="H293" t="e">
            <v>#N/A</v>
          </cell>
          <cell r="I293" t="e">
            <v>#N/A</v>
          </cell>
          <cell r="J293" t="e">
            <v>#N/A</v>
          </cell>
        </row>
        <row r="294">
          <cell r="D294" t="e">
            <v>#N/A</v>
          </cell>
          <cell r="E294" t="e">
            <v>#N/A</v>
          </cell>
          <cell r="F294" t="e">
            <v>#N/A</v>
          </cell>
          <cell r="G294" t="e">
            <v>#N/A</v>
          </cell>
          <cell r="H294" t="e">
            <v>#N/A</v>
          </cell>
          <cell r="I294" t="e">
            <v>#N/A</v>
          </cell>
          <cell r="J294" t="e">
            <v>#N/A</v>
          </cell>
        </row>
        <row r="295">
          <cell r="D295" t="e">
            <v>#N/A</v>
          </cell>
          <cell r="E295" t="e">
            <v>#N/A</v>
          </cell>
          <cell r="F295" t="e">
            <v>#N/A</v>
          </cell>
          <cell r="G295" t="e">
            <v>#N/A</v>
          </cell>
          <cell r="H295" t="e">
            <v>#N/A</v>
          </cell>
          <cell r="I295" t="e">
            <v>#N/A</v>
          </cell>
          <cell r="J295" t="e">
            <v>#N/A</v>
          </cell>
        </row>
        <row r="296">
          <cell r="D296" t="e">
            <v>#N/A</v>
          </cell>
          <cell r="E296" t="e">
            <v>#N/A</v>
          </cell>
          <cell r="F296" t="e">
            <v>#N/A</v>
          </cell>
          <cell r="G296" t="e">
            <v>#N/A</v>
          </cell>
          <cell r="H296" t="e">
            <v>#N/A</v>
          </cell>
          <cell r="I296" t="e">
            <v>#N/A</v>
          </cell>
          <cell r="J296" t="e">
            <v>#N/A</v>
          </cell>
        </row>
        <row r="297">
          <cell r="D297" t="e">
            <v>#N/A</v>
          </cell>
          <cell r="E297" t="e">
            <v>#N/A</v>
          </cell>
          <cell r="F297" t="e">
            <v>#N/A</v>
          </cell>
          <cell r="G297" t="e">
            <v>#N/A</v>
          </cell>
          <cell r="H297" t="e">
            <v>#N/A</v>
          </cell>
          <cell r="I297" t="e">
            <v>#N/A</v>
          </cell>
          <cell r="J297" t="e">
            <v>#N/A</v>
          </cell>
        </row>
        <row r="298">
          <cell r="D298" t="e">
            <v>#N/A</v>
          </cell>
          <cell r="E298" t="e">
            <v>#N/A</v>
          </cell>
          <cell r="F298" t="e">
            <v>#N/A</v>
          </cell>
          <cell r="G298" t="e">
            <v>#N/A</v>
          </cell>
          <cell r="H298" t="e">
            <v>#N/A</v>
          </cell>
          <cell r="I298" t="e">
            <v>#N/A</v>
          </cell>
          <cell r="J298" t="e">
            <v>#N/A</v>
          </cell>
        </row>
        <row r="299">
          <cell r="D299" t="e">
            <v>#N/A</v>
          </cell>
          <cell r="E299" t="e">
            <v>#N/A</v>
          </cell>
          <cell r="F299" t="e">
            <v>#N/A</v>
          </cell>
          <cell r="G299" t="e">
            <v>#N/A</v>
          </cell>
          <cell r="H299" t="e">
            <v>#N/A</v>
          </cell>
          <cell r="I299" t="e">
            <v>#N/A</v>
          </cell>
          <cell r="J299" t="e">
            <v>#N/A</v>
          </cell>
        </row>
        <row r="300">
          <cell r="D300" t="e">
            <v>#N/A</v>
          </cell>
          <cell r="E300" t="e">
            <v>#N/A</v>
          </cell>
          <cell r="F300" t="e">
            <v>#N/A</v>
          </cell>
          <cell r="G300" t="e">
            <v>#N/A</v>
          </cell>
          <cell r="H300" t="e">
            <v>#N/A</v>
          </cell>
          <cell r="I300" t="e">
            <v>#N/A</v>
          </cell>
          <cell r="J300" t="e">
            <v>#N/A</v>
          </cell>
        </row>
        <row r="301">
          <cell r="D301" t="e">
            <v>#N/A</v>
          </cell>
          <cell r="E301" t="e">
            <v>#N/A</v>
          </cell>
          <cell r="F301" t="e">
            <v>#N/A</v>
          </cell>
          <cell r="G301" t="e">
            <v>#N/A</v>
          </cell>
          <cell r="H301" t="e">
            <v>#N/A</v>
          </cell>
          <cell r="I301" t="e">
            <v>#N/A</v>
          </cell>
          <cell r="J301" t="e">
            <v>#N/A</v>
          </cell>
        </row>
        <row r="302">
          <cell r="D302" t="e">
            <v>#N/A</v>
          </cell>
          <cell r="E302" t="e">
            <v>#N/A</v>
          </cell>
          <cell r="F302" t="e">
            <v>#N/A</v>
          </cell>
          <cell r="G302" t="e">
            <v>#N/A</v>
          </cell>
          <cell r="H302" t="e">
            <v>#N/A</v>
          </cell>
          <cell r="I302" t="e">
            <v>#N/A</v>
          </cell>
          <cell r="J302" t="e">
            <v>#N/A</v>
          </cell>
        </row>
        <row r="303">
          <cell r="D303" t="e">
            <v>#N/A</v>
          </cell>
          <cell r="E303" t="e">
            <v>#N/A</v>
          </cell>
          <cell r="F303" t="e">
            <v>#N/A</v>
          </cell>
          <cell r="G303" t="e">
            <v>#N/A</v>
          </cell>
          <cell r="H303" t="e">
            <v>#N/A</v>
          </cell>
          <cell r="I303" t="e">
            <v>#N/A</v>
          </cell>
          <cell r="J303" t="e">
            <v>#N/A</v>
          </cell>
        </row>
        <row r="304">
          <cell r="D304" t="e">
            <v>#N/A</v>
          </cell>
          <cell r="E304" t="e">
            <v>#N/A</v>
          </cell>
          <cell r="F304" t="e">
            <v>#N/A</v>
          </cell>
          <cell r="G304" t="e">
            <v>#N/A</v>
          </cell>
          <cell r="H304" t="e">
            <v>#N/A</v>
          </cell>
          <cell r="I304" t="e">
            <v>#N/A</v>
          </cell>
          <cell r="J304" t="e">
            <v>#N/A</v>
          </cell>
        </row>
        <row r="305">
          <cell r="D305" t="e">
            <v>#N/A</v>
          </cell>
          <cell r="E305" t="e">
            <v>#N/A</v>
          </cell>
          <cell r="F305" t="e">
            <v>#N/A</v>
          </cell>
          <cell r="G305" t="e">
            <v>#N/A</v>
          </cell>
          <cell r="H305" t="e">
            <v>#N/A</v>
          </cell>
          <cell r="I305" t="e">
            <v>#N/A</v>
          </cell>
          <cell r="J305" t="e">
            <v>#N/A</v>
          </cell>
        </row>
        <row r="306">
          <cell r="D306" t="e">
            <v>#N/A</v>
          </cell>
          <cell r="E306" t="e">
            <v>#N/A</v>
          </cell>
          <cell r="F306" t="e">
            <v>#N/A</v>
          </cell>
          <cell r="G306" t="e">
            <v>#N/A</v>
          </cell>
          <cell r="H306" t="e">
            <v>#N/A</v>
          </cell>
          <cell r="I306" t="e">
            <v>#N/A</v>
          </cell>
          <cell r="J306" t="e">
            <v>#N/A</v>
          </cell>
        </row>
      </sheetData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H3" t="str">
            <v>MOISES LOS 10 MANDAMIENTOSLMWJD</v>
          </cell>
        </row>
      </sheetData>
      <sheetData sheetId="31">
        <row r="3">
          <cell r="H3" t="str">
            <v>MOISES LOS 10 MANDAMIENTOSLMWJD</v>
          </cell>
        </row>
      </sheetData>
      <sheetData sheetId="32">
        <row r="3">
          <cell r="H3" t="str">
            <v>MOISES LOS 10 MANDAMIENTOSLMWJD</v>
          </cell>
        </row>
      </sheetData>
      <sheetData sheetId="33">
        <row r="3">
          <cell r="H3" t="str">
            <v>MOISES LOS 10 MANDAMIENTOSLMWJD</v>
          </cell>
        </row>
      </sheetData>
      <sheetData sheetId="34">
        <row r="3">
          <cell r="H3" t="str">
            <v>45 ANOS DE UN COCOJ</v>
          </cell>
        </row>
      </sheetData>
      <sheetData sheetId="35">
        <row r="3">
          <cell r="H3" t="str">
            <v>HISTORIA DE UN OSOS</v>
          </cell>
        </row>
      </sheetData>
      <sheetData sheetId="36">
        <row r="3">
          <cell r="H3" t="str">
            <v>24 HORASD</v>
          </cell>
        </row>
      </sheetData>
      <sheetData sheetId="37">
        <row r="2">
          <cell r="D2">
            <v>2</v>
          </cell>
        </row>
      </sheetData>
      <sheetData sheetId="38">
        <row r="3">
          <cell r="H3" t="str">
            <v>MOISES LOS 10 MANDAMIENTOSLMWJD</v>
          </cell>
        </row>
      </sheetData>
      <sheetData sheetId="39">
        <row r="2">
          <cell r="D2">
            <v>2</v>
          </cell>
        </row>
      </sheetData>
      <sheetData sheetId="40">
        <row r="3">
          <cell r="H3" t="str">
            <v>MOISES LOS 10 MANDAMIENTOSLMWJD</v>
          </cell>
        </row>
      </sheetData>
      <sheetData sheetId="41">
        <row r="2">
          <cell r="D2">
            <v>2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>
        <row r="3">
          <cell r="H3" t="str">
            <v>MOISES LOS 10 MANDAMIENTOSLMWJD</v>
          </cell>
        </row>
      </sheetData>
      <sheetData sheetId="82">
        <row r="3">
          <cell r="H3" t="str">
            <v>MOISES LOS 10 MANDAMIENTOSLMWJD</v>
          </cell>
        </row>
      </sheetData>
      <sheetData sheetId="83">
        <row r="3">
          <cell r="H3" t="str">
            <v>45 ANOS DE UN COCOJ</v>
          </cell>
        </row>
      </sheetData>
      <sheetData sheetId="84">
        <row r="3">
          <cell r="H3" t="str">
            <v>HISTORIA DE UN OSOS</v>
          </cell>
        </row>
      </sheetData>
      <sheetData sheetId="85">
        <row r="3">
          <cell r="H3" t="str">
            <v>24 HORASD</v>
          </cell>
        </row>
      </sheetData>
      <sheetData sheetId="86">
        <row r="3">
          <cell r="H3" t="str">
            <v>MOISES LOS 10 MANDAMIENTOSLMWJD</v>
          </cell>
        </row>
      </sheetData>
      <sheetData sheetId="87">
        <row r="3">
          <cell r="H3" t="str">
            <v>MOISES LOS 10 MANDAMIENTOSLMWJD</v>
          </cell>
        </row>
      </sheetData>
      <sheetData sheetId="88">
        <row r="2">
          <cell r="D2">
            <v>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Tarifa PLUS"/>
      <sheetName val="Tarifa Preferencial (2)"/>
      <sheetName val="Pauta"/>
      <sheetName val="Rating1"/>
      <sheetName val="COL"/>
      <sheetName val="Tarifa Preferencial"/>
    </sheetNames>
    <sheetDataSet>
      <sheetData sheetId="0">
        <row r="4">
          <cell r="C4" t="str">
            <v>Zona</v>
          </cell>
        </row>
        <row r="7">
          <cell r="C7" t="str">
            <v>Región Metropolitana</v>
          </cell>
          <cell r="D7">
            <v>10</v>
          </cell>
          <cell r="E7">
            <v>14</v>
          </cell>
          <cell r="F7">
            <v>624215.05525049428</v>
          </cell>
          <cell r="G7">
            <v>9.2573900504686377E-2</v>
          </cell>
          <cell r="H7">
            <v>311294.76683102903</v>
          </cell>
          <cell r="I7">
            <v>9.4610418210920963E-2</v>
          </cell>
          <cell r="J7">
            <v>312920.28841946519</v>
          </cell>
          <cell r="K7">
            <v>9.0560547165402835E-2</v>
          </cell>
          <cell r="L7">
            <v>6745650.9999999991</v>
          </cell>
          <cell r="M7">
            <v>0</v>
          </cell>
        </row>
        <row r="8">
          <cell r="C8" t="str">
            <v>Región Metropolitana</v>
          </cell>
          <cell r="D8">
            <v>15</v>
          </cell>
          <cell r="E8">
            <v>19</v>
          </cell>
          <cell r="F8">
            <v>636412.00133465219</v>
          </cell>
          <cell r="G8">
            <v>9.4512537050388534E-2</v>
          </cell>
          <cell r="H8">
            <v>340702.87924199941</v>
          </cell>
          <cell r="I8">
            <v>0.10354829353185729</v>
          </cell>
          <cell r="J8">
            <v>295709.12209265277</v>
          </cell>
          <cell r="K8">
            <v>8.5579557764608419E-2</v>
          </cell>
          <cell r="L8">
            <v>6745650.9999999991</v>
          </cell>
          <cell r="M8">
            <v>0</v>
          </cell>
        </row>
        <row r="9">
          <cell r="C9" t="str">
            <v>Región Metropolitana</v>
          </cell>
          <cell r="D9">
            <v>20</v>
          </cell>
          <cell r="E9">
            <v>24</v>
          </cell>
          <cell r="F9">
            <v>553363.99897271232</v>
          </cell>
          <cell r="G9">
            <v>8.2052925311757327E-2</v>
          </cell>
          <cell r="H9">
            <v>273544.93022656225</v>
          </cell>
          <cell r="I9">
            <v>8.3137280178757503E-2</v>
          </cell>
          <cell r="J9">
            <v>279819.06874615012</v>
          </cell>
          <cell r="K9">
            <v>8.0980904437222542E-2</v>
          </cell>
          <cell r="L9">
            <v>6745650.9999999991</v>
          </cell>
          <cell r="M9">
            <v>0</v>
          </cell>
        </row>
        <row r="10">
          <cell r="C10" t="str">
            <v>Región Metropolitana</v>
          </cell>
          <cell r="D10">
            <v>25</v>
          </cell>
          <cell r="E10">
            <v>29</v>
          </cell>
          <cell r="F10">
            <v>529280.93915182713</v>
          </cell>
          <cell r="G10">
            <v>7.8448022644129353E-2</v>
          </cell>
          <cell r="H10">
            <v>255553.6691482162</v>
          </cell>
          <cell r="I10">
            <v>7.7669277127848144E-2</v>
          </cell>
          <cell r="J10">
            <v>273727.27000361093</v>
          </cell>
          <cell r="K10">
            <v>7.9217910320949894E-2</v>
          </cell>
          <cell r="L10">
            <v>6745650.9999999991</v>
          </cell>
          <cell r="M10">
            <v>0</v>
          </cell>
        </row>
        <row r="11">
          <cell r="C11" t="str">
            <v>Región Metropolitana</v>
          </cell>
          <cell r="D11">
            <v>30</v>
          </cell>
          <cell r="E11">
            <v>34</v>
          </cell>
          <cell r="F11">
            <v>522985.67113496154</v>
          </cell>
          <cell r="G11">
            <v>7.7508077652273757E-2</v>
          </cell>
          <cell r="H11">
            <v>251276.7681846015</v>
          </cell>
          <cell r="I11">
            <v>7.6369417856413893E-2</v>
          </cell>
          <cell r="J11">
            <v>271708.90295036003</v>
          </cell>
          <cell r="K11">
            <v>7.8633785764353537E-2</v>
          </cell>
          <cell r="L11">
            <v>6745650.9999999991</v>
          </cell>
          <cell r="M11">
            <v>0</v>
          </cell>
        </row>
        <row r="12">
          <cell r="C12" t="str">
            <v>Región Metropolitana</v>
          </cell>
          <cell r="D12">
            <v>35</v>
          </cell>
          <cell r="E12">
            <v>39</v>
          </cell>
          <cell r="F12">
            <v>515963.78402566025</v>
          </cell>
          <cell r="G12">
            <v>7.6407914764079155E-2</v>
          </cell>
          <cell r="H12">
            <v>237208.9451803152</v>
          </cell>
          <cell r="I12">
            <v>7.2093847690869836E-2</v>
          </cell>
          <cell r="J12">
            <v>278754.83884534502</v>
          </cell>
          <cell r="K12">
            <v>8.0672911489199001E-2</v>
          </cell>
          <cell r="L12">
            <v>6745650.9999999991</v>
          </cell>
          <cell r="M12">
            <v>0</v>
          </cell>
        </row>
        <row r="13">
          <cell r="C13" t="str">
            <v>Región Metropolitana</v>
          </cell>
          <cell r="D13">
            <v>40</v>
          </cell>
          <cell r="E13">
            <v>44</v>
          </cell>
          <cell r="F13">
            <v>477089.74635161168</v>
          </cell>
          <cell r="G13">
            <v>7.0672114075142192E-2</v>
          </cell>
          <cell r="H13">
            <v>223105.7758870734</v>
          </cell>
          <cell r="I13">
            <v>6.7807534886718882E-2</v>
          </cell>
          <cell r="J13">
            <v>253983.97046453832</v>
          </cell>
          <cell r="K13">
            <v>7.3504110112789137E-2</v>
          </cell>
          <cell r="L13">
            <v>6745650.9999999991</v>
          </cell>
          <cell r="M13">
            <v>0</v>
          </cell>
        </row>
        <row r="14">
          <cell r="C14" t="str">
            <v>Región Metropolitana</v>
          </cell>
          <cell r="D14">
            <v>45</v>
          </cell>
          <cell r="E14">
            <v>49</v>
          </cell>
          <cell r="F14">
            <v>426000.53073795332</v>
          </cell>
          <cell r="G14">
            <v>6.3184597719565277E-2</v>
          </cell>
          <cell r="H14">
            <v>213668.31673595667</v>
          </cell>
          <cell r="I14">
            <v>6.493925037867801E-2</v>
          </cell>
          <cell r="J14">
            <v>212332.21400199665</v>
          </cell>
          <cell r="K14">
            <v>6.1449903353936998E-2</v>
          </cell>
          <cell r="L14">
            <v>6745650.9999999991</v>
          </cell>
          <cell r="M14">
            <v>0</v>
          </cell>
        </row>
        <row r="15">
          <cell r="C15" t="str">
            <v>Región Metropolitana</v>
          </cell>
          <cell r="D15">
            <v>50</v>
          </cell>
          <cell r="E15">
            <v>54</v>
          </cell>
          <cell r="F15">
            <v>353977.71714703296</v>
          </cell>
          <cell r="G15">
            <v>5.2455339261395499E-2</v>
          </cell>
          <cell r="H15">
            <v>169131.9926520352</v>
          </cell>
          <cell r="I15">
            <v>5.1403525733990783E-2</v>
          </cell>
          <cell r="J15">
            <v>184845.72449499779</v>
          </cell>
          <cell r="K15">
            <v>5.3495188937742945E-2</v>
          </cell>
          <cell r="L15">
            <v>6745650.9999999991</v>
          </cell>
          <cell r="M15">
            <v>0</v>
          </cell>
        </row>
        <row r="16">
          <cell r="C16" t="str">
            <v>Región Metropolitana</v>
          </cell>
          <cell r="D16">
            <v>55</v>
          </cell>
          <cell r="E16">
            <v>59</v>
          </cell>
          <cell r="F16">
            <v>286875.569389774</v>
          </cell>
          <cell r="G16">
            <v>4.2521829688376193E-2</v>
          </cell>
          <cell r="H16">
            <v>138910.91559508847</v>
          </cell>
          <cell r="I16">
            <v>4.2218569725095877E-2</v>
          </cell>
          <cell r="J16">
            <v>147964.65379468552</v>
          </cell>
          <cell r="K16">
            <v>4.2821640221754921E-2</v>
          </cell>
          <cell r="L16">
            <v>6745650.9999999991</v>
          </cell>
          <cell r="M16">
            <v>0</v>
          </cell>
        </row>
        <row r="17">
          <cell r="C17" t="str">
            <v>Región Metropolitana</v>
          </cell>
          <cell r="D17">
            <v>60</v>
          </cell>
          <cell r="E17">
            <v>64</v>
          </cell>
          <cell r="F17">
            <v>222765.76994697028</v>
          </cell>
          <cell r="G17">
            <v>3.3010227242382971E-2</v>
          </cell>
          <cell r="H17">
            <v>106250.94460021269</v>
          </cell>
          <cell r="I17">
            <v>3.2292371652325243E-2</v>
          </cell>
          <cell r="J17">
            <v>116514.82534675759</v>
          </cell>
          <cell r="K17">
            <v>3.3719917585335289E-2</v>
          </cell>
          <cell r="L17">
            <v>6745650.9999999991</v>
          </cell>
          <cell r="M17">
            <v>0</v>
          </cell>
        </row>
        <row r="18">
          <cell r="C18" t="str">
            <v>Región Metropolitana</v>
          </cell>
          <cell r="D18">
            <v>65</v>
          </cell>
          <cell r="E18">
            <v>69</v>
          </cell>
          <cell r="F18">
            <v>173727.07793523188</v>
          </cell>
          <cell r="G18">
            <v>2.574167534513605E-2</v>
          </cell>
          <cell r="H18">
            <v>82533.584711076735</v>
          </cell>
          <cell r="I18">
            <v>2.5084061147098949E-2</v>
          </cell>
          <cell r="J18">
            <v>91193.493224155143</v>
          </cell>
          <cell r="K18">
            <v>2.639180951167187E-2</v>
          </cell>
          <cell r="L18">
            <v>6745650.9999999991</v>
          </cell>
          <cell r="M18">
            <v>0</v>
          </cell>
        </row>
        <row r="19">
          <cell r="C19" t="str">
            <v>Región Metropolitana</v>
          </cell>
          <cell r="D19">
            <v>70</v>
          </cell>
          <cell r="E19">
            <v>74</v>
          </cell>
          <cell r="F19">
            <v>140764.3417245211</v>
          </cell>
          <cell r="G19">
            <v>2.0839007717162007E-2</v>
          </cell>
          <cell r="H19">
            <v>63552.627541976857</v>
          </cell>
          <cell r="I19">
            <v>1.9315264215196536E-2</v>
          </cell>
          <cell r="J19">
            <v>77211.714182544238</v>
          </cell>
          <cell r="K19">
            <v>2.2345419401431636E-2</v>
          </cell>
          <cell r="L19">
            <v>6745650.9999999991</v>
          </cell>
          <cell r="M19">
            <v>0</v>
          </cell>
        </row>
        <row r="20">
          <cell r="C20" t="str">
            <v>Región Metropolitana</v>
          </cell>
          <cell r="D20">
            <v>75</v>
          </cell>
          <cell r="E20">
            <v>79</v>
          </cell>
          <cell r="F20">
            <v>80843.396496971982</v>
          </cell>
          <cell r="G20">
            <v>1.1968276856524874E-2</v>
          </cell>
          <cell r="H20">
            <v>36512.716491024526</v>
          </cell>
          <cell r="I20">
            <v>1.1097145680922148E-2</v>
          </cell>
          <cell r="J20">
            <v>44330.680005947448</v>
          </cell>
          <cell r="K20">
            <v>1.2829499352152765E-2</v>
          </cell>
          <cell r="L20">
            <v>6745650.9999999991</v>
          </cell>
          <cell r="M20">
            <v>0</v>
          </cell>
        </row>
        <row r="21">
          <cell r="C21" t="str">
            <v>Región Metropolitana</v>
          </cell>
          <cell r="D21">
            <v>80</v>
          </cell>
          <cell r="E21">
            <v>84</v>
          </cell>
          <cell r="F21">
            <v>44316.940874489635</v>
          </cell>
          <cell r="G21">
            <v>6.5475713637213277E-3</v>
          </cell>
          <cell r="H21">
            <v>17637.79818879113</v>
          </cell>
          <cell r="I21">
            <v>5.3605766648404177E-3</v>
          </cell>
          <cell r="J21">
            <v>26679.142685698509</v>
          </cell>
          <cell r="K21">
            <v>7.7210645935555135E-3</v>
          </cell>
          <cell r="L21">
            <v>6745650.9999999991</v>
          </cell>
          <cell r="M21">
            <v>0</v>
          </cell>
        </row>
        <row r="22">
          <cell r="C22" t="str">
            <v>Región Metropolitana</v>
          </cell>
          <cell r="D22">
            <v>85</v>
          </cell>
          <cell r="E22">
            <v>89</v>
          </cell>
          <cell r="F22">
            <v>24907.410911646126</v>
          </cell>
          <cell r="G22">
            <v>3.6743304227082165E-3</v>
          </cell>
          <cell r="H22">
            <v>8907.2648167842981</v>
          </cell>
          <cell r="I22">
            <v>2.7071449289374455E-3</v>
          </cell>
          <cell r="J22">
            <v>16000.146094861826</v>
          </cell>
          <cell r="K22">
            <v>4.6305146668365934E-3</v>
          </cell>
          <cell r="L22">
            <v>6745650.9999999991</v>
          </cell>
          <cell r="M22">
            <v>0</v>
          </cell>
        </row>
        <row r="23">
          <cell r="C23" t="str">
            <v>Región Metropolitana</v>
          </cell>
          <cell r="D23">
            <v>90</v>
          </cell>
          <cell r="E23">
            <v>94</v>
          </cell>
          <cell r="F23">
            <v>10250.286545456927</v>
          </cell>
          <cell r="G23">
            <v>1.5113888221314322E-3</v>
          </cell>
          <cell r="H23">
            <v>3534.6288955493251</v>
          </cell>
          <cell r="I23">
            <v>1.0742638606894626E-3</v>
          </cell>
          <cell r="J23">
            <v>6715.6576499076027</v>
          </cell>
          <cell r="K23">
            <v>1.9435417064933411E-3</v>
          </cell>
          <cell r="L23">
            <v>6745650.9999999991</v>
          </cell>
          <cell r="M23">
            <v>0</v>
          </cell>
        </row>
        <row r="24">
          <cell r="C24" t="str">
            <v>Región Metropolitana</v>
          </cell>
          <cell r="D24">
            <v>95</v>
          </cell>
          <cell r="E24">
            <v>99</v>
          </cell>
          <cell r="F24">
            <v>3951.3899458035221</v>
          </cell>
          <cell r="G24">
            <v>5.8212502336510983E-4</v>
          </cell>
          <cell r="H24">
            <v>1272.4664023977568</v>
          </cell>
          <cell r="I24">
            <v>3.8673498984820651E-4</v>
          </cell>
          <cell r="J24">
            <v>2678.923543405765</v>
          </cell>
          <cell r="K24">
            <v>7.7529259330062241E-4</v>
          </cell>
          <cell r="L24">
            <v>6745650.9999999991</v>
          </cell>
          <cell r="M24">
            <v>0</v>
          </cell>
        </row>
        <row r="25">
          <cell r="C25" t="str">
            <v>Región Metropolitana</v>
          </cell>
          <cell r="D25">
            <v>100</v>
          </cell>
          <cell r="E25">
            <v>104</v>
          </cell>
          <cell r="F25">
            <v>361.57065254025503</v>
          </cell>
          <cell r="G25">
            <v>5.3405965446340353E-5</v>
          </cell>
          <cell r="H25">
            <v>141.385155821973</v>
          </cell>
          <cell r="I25">
            <v>4.2970554427578504E-5</v>
          </cell>
          <cell r="J25">
            <v>220.18549671828202</v>
          </cell>
          <cell r="K25">
            <v>6.3722678901421013E-5</v>
          </cell>
          <cell r="L25">
            <v>6745650.9999999991</v>
          </cell>
          <cell r="M25">
            <v>0</v>
          </cell>
        </row>
        <row r="26">
          <cell r="C26" t="str">
            <v>Región Metropolitana</v>
          </cell>
          <cell r="D26">
            <v>105</v>
          </cell>
          <cell r="E26">
            <v>109</v>
          </cell>
          <cell r="F26">
            <v>286.82419313660728</v>
          </cell>
          <cell r="G26">
            <v>4.2724772357072287E-5</v>
          </cell>
          <cell r="H26">
            <v>176.73144477746624</v>
          </cell>
          <cell r="I26">
            <v>5.371319303447313E-5</v>
          </cell>
          <cell r="J26">
            <v>110.09274835914101</v>
          </cell>
          <cell r="K26">
            <v>3.1861339450710506E-5</v>
          </cell>
          <cell r="L26">
            <v>6745650.9999999991</v>
          </cell>
          <cell r="M26">
            <v>0</v>
          </cell>
        </row>
        <row r="27">
          <cell r="C27" t="str">
            <v>Total</v>
          </cell>
          <cell r="D27">
            <v>0</v>
          </cell>
          <cell r="E27">
            <v>0</v>
          </cell>
          <cell r="F27">
            <v>6745650.9999999991</v>
          </cell>
          <cell r="G27">
            <v>0</v>
          </cell>
          <cell r="H27">
            <v>3290280.0000000009</v>
          </cell>
          <cell r="I27">
            <v>0</v>
          </cell>
          <cell r="J27">
            <v>3455371</v>
          </cell>
          <cell r="K27">
            <v>0</v>
          </cell>
          <cell r="L27">
            <v>6745650.9999999991</v>
          </cell>
          <cell r="M27">
            <v>0</v>
          </cell>
        </row>
        <row r="32">
          <cell r="C32" t="str">
            <v>Región Metropolitana</v>
          </cell>
          <cell r="D32" t="str">
            <v>ABC1</v>
          </cell>
          <cell r="E32">
            <v>8.9121348149851454E-2</v>
          </cell>
        </row>
        <row r="33">
          <cell r="C33" t="str">
            <v>Región Metropolitana</v>
          </cell>
          <cell r="D33" t="str">
            <v>ABC1C2</v>
          </cell>
          <cell r="E33">
            <v>0.28361501713763931</v>
          </cell>
        </row>
        <row r="34">
          <cell r="C34" t="str">
            <v>Región Metropolitana</v>
          </cell>
          <cell r="D34" t="str">
            <v>ABC</v>
          </cell>
          <cell r="E34">
            <v>0.53168630371862613</v>
          </cell>
        </row>
        <row r="35">
          <cell r="C35" t="str">
            <v>Región Metropolitana</v>
          </cell>
          <cell r="D35" t="str">
            <v>ABCD</v>
          </cell>
          <cell r="E35">
            <v>0.87630531825021118</v>
          </cell>
        </row>
        <row r="36">
          <cell r="C36" t="str">
            <v>Región Metropolitana</v>
          </cell>
          <cell r="D36" t="str">
            <v>C2</v>
          </cell>
          <cell r="E36">
            <v>0.19449366898778786</v>
          </cell>
        </row>
        <row r="37">
          <cell r="C37" t="str">
            <v>Región Metropolitana</v>
          </cell>
          <cell r="D37" t="str">
            <v>C2C3</v>
          </cell>
          <cell r="E37">
            <v>0.44256495556877468</v>
          </cell>
        </row>
        <row r="38">
          <cell r="C38" t="str">
            <v>Región Metropolitana</v>
          </cell>
          <cell r="D38" t="str">
            <v>C2C3D</v>
          </cell>
          <cell r="E38">
            <v>0.78718397010035979</v>
          </cell>
        </row>
        <row r="39">
          <cell r="C39" t="str">
            <v>Región Metropolitana</v>
          </cell>
          <cell r="D39" t="str">
            <v>C3</v>
          </cell>
          <cell r="E39">
            <v>0.24807128658098679</v>
          </cell>
        </row>
        <row r="40">
          <cell r="C40" t="str">
            <v>Región Metropolitana</v>
          </cell>
          <cell r="D40" t="str">
            <v>C3D</v>
          </cell>
          <cell r="E40">
            <v>0.59269030111257193</v>
          </cell>
        </row>
        <row r="41">
          <cell r="C41" t="str">
            <v>Región Metropolitana</v>
          </cell>
          <cell r="D41" t="str">
            <v>D</v>
          </cell>
          <cell r="E41">
            <v>0.34461901453158506</v>
          </cell>
        </row>
      </sheetData>
      <sheetData sheetId="1"/>
      <sheetData sheetId="2">
        <row r="4">
          <cell r="C4" t="str">
            <v>Zona</v>
          </cell>
        </row>
      </sheetData>
      <sheetData sheetId="3"/>
      <sheetData sheetId="4">
        <row r="7">
          <cell r="A7" t="str">
            <v>Valor por segundaje</v>
          </cell>
        </row>
      </sheetData>
      <sheetData sheetId="5">
        <row r="7">
          <cell r="A7" t="str">
            <v>Valor por segundaje</v>
          </cell>
        </row>
      </sheetData>
      <sheetData sheetId="6">
        <row r="20">
          <cell r="B20" t="str">
            <v>5:50</v>
          </cell>
        </row>
      </sheetData>
      <sheetData sheetId="7">
        <row r="3">
          <cell r="H3" t="str">
            <v>24 HORAS A LA HORALMWJD</v>
          </cell>
        </row>
      </sheetData>
      <sheetData sheetId="8">
        <row r="5">
          <cell r="C5">
            <v>5</v>
          </cell>
        </row>
      </sheetData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Tarifa PLUS"/>
      <sheetName val="Tarifa Preferencial"/>
      <sheetName val="Pauta"/>
      <sheetName val="Rating1"/>
      <sheetName val="COL"/>
      <sheetName val="Cuantificador_RM"/>
      <sheetName val="Cuantificador_TP"/>
      <sheetName val="Tarifa_PLUS"/>
      <sheetName val="Tarifa_Preferencial"/>
      <sheetName val="Cuantificador_RM2"/>
      <sheetName val="Cuantificador_TP2"/>
      <sheetName val="Tarifa_PLUS2"/>
      <sheetName val="Tarifa_Preferencial2"/>
      <sheetName val="Cuantificador_RM1"/>
      <sheetName val="Cuantificador_TP1"/>
      <sheetName val="Tarifa_PLUS1"/>
      <sheetName val="Tarifa_Preferencial1"/>
      <sheetName val="Cuantificador_RM3"/>
      <sheetName val="Cuantificador_TP3"/>
      <sheetName val="Tarifa_PLUS3"/>
      <sheetName val="Tarifa_Preferencial3"/>
      <sheetName val="Hoja1"/>
      <sheetName val="Cuantificador_RM4"/>
      <sheetName val="Cuantificador_TP4"/>
      <sheetName val="Tarifa_PLUS4"/>
      <sheetName val="Tarifa_Preferencial4"/>
      <sheetName val="Cuantificador_RM5"/>
      <sheetName val="Cuantificador_TP5"/>
      <sheetName val="Tarifa_PLUS5"/>
      <sheetName val="Tarifa_Preferencial5"/>
      <sheetName val="Cuantificador_RM6"/>
      <sheetName val="Cuantificador_TP6"/>
      <sheetName val="Tarifa_PLUS6"/>
      <sheetName val="Tarifa_Preferencial6"/>
      <sheetName val="Cuantificador_RM8"/>
      <sheetName val="Cuantificador_TP8"/>
      <sheetName val="Tarifa_PLUS8"/>
      <sheetName val="Tarifa_Preferencial8"/>
      <sheetName val="Cuantificador_RM7"/>
      <sheetName val="Cuantificador_TP7"/>
      <sheetName val="Tarifa_PLUS7"/>
      <sheetName val="Tarifa_Preferencial7"/>
      <sheetName val="Cuantificador_RM9"/>
      <sheetName val="Cuantificador_TP9"/>
      <sheetName val="Tarifa_PLUS9"/>
      <sheetName val="Tarifa_Preferencial9"/>
      <sheetName val="Cuantificador_RM10"/>
      <sheetName val="Cuantificador_TP10"/>
      <sheetName val="Tarifa_PLUS10"/>
      <sheetName val="Tarifa_Preferencial10"/>
    </sheetNames>
    <sheetDataSet>
      <sheetData sheetId="0">
        <row r="4">
          <cell r="C4" t="str">
            <v>Zona</v>
          </cell>
        </row>
      </sheetData>
      <sheetData sheetId="1"/>
      <sheetData sheetId="2">
        <row r="4">
          <cell r="C4" t="str">
            <v>Zona</v>
          </cell>
        </row>
      </sheetData>
      <sheetData sheetId="3"/>
      <sheetData sheetId="4">
        <row r="7">
          <cell r="A7" t="str">
            <v>Valor por segundaje</v>
          </cell>
        </row>
        <row r="8">
          <cell r="A8" t="str">
            <v>24 HORAS LU-VI PLUS</v>
          </cell>
          <cell r="B8">
            <v>0</v>
          </cell>
          <cell r="C8">
            <v>12000</v>
          </cell>
          <cell r="D8">
            <v>26000</v>
          </cell>
          <cell r="E8">
            <v>29000</v>
          </cell>
          <cell r="F8">
            <v>34000</v>
          </cell>
          <cell r="G8">
            <v>38000</v>
          </cell>
          <cell r="H8">
            <v>40000</v>
          </cell>
          <cell r="I8">
            <v>46000</v>
          </cell>
          <cell r="J8">
            <v>54000</v>
          </cell>
          <cell r="K8">
            <v>60000</v>
          </cell>
          <cell r="L8">
            <v>70000</v>
          </cell>
          <cell r="M8">
            <v>80000</v>
          </cell>
          <cell r="N8">
            <v>92000</v>
          </cell>
          <cell r="O8">
            <v>99000</v>
          </cell>
        </row>
        <row r="9">
          <cell r="A9" t="str">
            <v>24 Horas Sábado Plus</v>
          </cell>
          <cell r="B9">
            <v>0</v>
          </cell>
          <cell r="C9">
            <v>13000</v>
          </cell>
          <cell r="D9">
            <v>25000</v>
          </cell>
          <cell r="E9">
            <v>29000</v>
          </cell>
          <cell r="F9">
            <v>35000</v>
          </cell>
          <cell r="G9">
            <v>37000</v>
          </cell>
          <cell r="H9">
            <v>40000</v>
          </cell>
          <cell r="I9">
            <v>47000</v>
          </cell>
          <cell r="J9">
            <v>53000</v>
          </cell>
          <cell r="K9">
            <v>60000</v>
          </cell>
          <cell r="L9">
            <v>70000</v>
          </cell>
          <cell r="M9">
            <v>81000</v>
          </cell>
          <cell r="N9">
            <v>92000</v>
          </cell>
          <cell r="O9">
            <v>100000</v>
          </cell>
        </row>
        <row r="10">
          <cell r="A10" t="str">
            <v>24 Horas Domingo Plus</v>
          </cell>
          <cell r="B10">
            <v>0</v>
          </cell>
          <cell r="C10">
            <v>13000</v>
          </cell>
          <cell r="D10">
            <v>25000</v>
          </cell>
          <cell r="E10">
            <v>29000</v>
          </cell>
          <cell r="F10">
            <v>35000</v>
          </cell>
          <cell r="G10">
            <v>37000</v>
          </cell>
          <cell r="H10">
            <v>40000</v>
          </cell>
          <cell r="I10">
            <v>47000</v>
          </cell>
          <cell r="J10">
            <v>53000</v>
          </cell>
          <cell r="K10">
            <v>60000</v>
          </cell>
          <cell r="L10">
            <v>70000</v>
          </cell>
          <cell r="M10">
            <v>81000</v>
          </cell>
          <cell r="N10">
            <v>92000</v>
          </cell>
          <cell r="O10">
            <v>100000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DOMINGO DE GOLES PLUS</v>
          </cell>
          <cell r="B12">
            <v>0</v>
          </cell>
          <cell r="C12">
            <v>16000</v>
          </cell>
          <cell r="D12">
            <v>32000</v>
          </cell>
          <cell r="E12">
            <v>36000</v>
          </cell>
          <cell r="F12">
            <v>43000</v>
          </cell>
          <cell r="G12">
            <v>47000</v>
          </cell>
          <cell r="H12">
            <v>50000</v>
          </cell>
          <cell r="I12">
            <v>58000</v>
          </cell>
          <cell r="J12">
            <v>67000</v>
          </cell>
          <cell r="K12">
            <v>75000</v>
          </cell>
          <cell r="L12">
            <v>88000</v>
          </cell>
          <cell r="M12">
            <v>101000</v>
          </cell>
          <cell r="N12">
            <v>115000</v>
          </cell>
          <cell r="O12">
            <v>125000</v>
          </cell>
        </row>
        <row r="13">
          <cell r="A13" t="str">
            <v>TU MAÑANA A PLUS</v>
          </cell>
          <cell r="B13">
            <v>0</v>
          </cell>
          <cell r="C13">
            <v>7000</v>
          </cell>
          <cell r="D13">
            <v>13000</v>
          </cell>
          <cell r="E13">
            <v>14000</v>
          </cell>
          <cell r="F13">
            <v>17000</v>
          </cell>
          <cell r="G13">
            <v>19000</v>
          </cell>
          <cell r="H13">
            <v>20000</v>
          </cell>
          <cell r="I13">
            <v>23000</v>
          </cell>
          <cell r="J13">
            <v>27000</v>
          </cell>
          <cell r="K13">
            <v>30000</v>
          </cell>
          <cell r="L13">
            <v>35000</v>
          </cell>
          <cell r="M13">
            <v>41000</v>
          </cell>
          <cell r="N13">
            <v>46000</v>
          </cell>
          <cell r="O13">
            <v>50000</v>
          </cell>
        </row>
        <row r="14">
          <cell r="A14" t="str">
            <v>TU MAÑANA B PLUS</v>
          </cell>
          <cell r="B14">
            <v>0</v>
          </cell>
          <cell r="C14">
            <v>6000</v>
          </cell>
          <cell r="D14">
            <v>13000</v>
          </cell>
          <cell r="E14">
            <v>14000</v>
          </cell>
          <cell r="F14">
            <v>17000</v>
          </cell>
          <cell r="G14">
            <v>19000</v>
          </cell>
          <cell r="H14">
            <v>20000</v>
          </cell>
          <cell r="I14">
            <v>23000</v>
          </cell>
          <cell r="J14">
            <v>27000</v>
          </cell>
          <cell r="K14">
            <v>30000</v>
          </cell>
          <cell r="L14">
            <v>35000</v>
          </cell>
          <cell r="M14">
            <v>40000</v>
          </cell>
          <cell r="N14">
            <v>46000</v>
          </cell>
          <cell r="O14">
            <v>50000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 t="str">
            <v>24 Horas al día Plus</v>
          </cell>
          <cell r="B16">
            <v>0</v>
          </cell>
          <cell r="C16">
            <v>9000</v>
          </cell>
          <cell r="D16">
            <v>19000</v>
          </cell>
          <cell r="E16">
            <v>22000</v>
          </cell>
          <cell r="F16">
            <v>26000</v>
          </cell>
          <cell r="G16">
            <v>28000</v>
          </cell>
          <cell r="H16">
            <v>30000</v>
          </cell>
          <cell r="I16">
            <v>35000</v>
          </cell>
          <cell r="J16">
            <v>40000</v>
          </cell>
          <cell r="K16">
            <v>45000</v>
          </cell>
          <cell r="L16">
            <v>52000</v>
          </cell>
          <cell r="M16">
            <v>60000</v>
          </cell>
          <cell r="N16">
            <v>69000</v>
          </cell>
          <cell r="O16">
            <v>75000</v>
          </cell>
        </row>
        <row r="17">
          <cell r="A17" t="str">
            <v>24 horas Día Sá Plus</v>
          </cell>
          <cell r="B17">
            <v>0</v>
          </cell>
          <cell r="C17">
            <v>9000</v>
          </cell>
          <cell r="D17">
            <v>19000</v>
          </cell>
          <cell r="E17">
            <v>22000</v>
          </cell>
          <cell r="F17">
            <v>26000</v>
          </cell>
          <cell r="G17">
            <v>28000</v>
          </cell>
          <cell r="H17">
            <v>30000</v>
          </cell>
          <cell r="I17">
            <v>35000</v>
          </cell>
          <cell r="J17">
            <v>40000</v>
          </cell>
          <cell r="K17">
            <v>45000</v>
          </cell>
          <cell r="L17">
            <v>52000</v>
          </cell>
          <cell r="M17">
            <v>60000</v>
          </cell>
          <cell r="N17">
            <v>69000</v>
          </cell>
          <cell r="O17">
            <v>74000</v>
          </cell>
        </row>
        <row r="18">
          <cell r="A18" t="str">
            <v>24 horas Día Do Plus</v>
          </cell>
          <cell r="B18">
            <v>0</v>
          </cell>
          <cell r="C18">
            <v>9000</v>
          </cell>
          <cell r="D18">
            <v>19000</v>
          </cell>
          <cell r="E18">
            <v>22000</v>
          </cell>
          <cell r="F18">
            <v>26000</v>
          </cell>
          <cell r="G18">
            <v>28000</v>
          </cell>
          <cell r="H18">
            <v>30000</v>
          </cell>
          <cell r="I18">
            <v>35000</v>
          </cell>
          <cell r="J18">
            <v>40000</v>
          </cell>
          <cell r="K18">
            <v>45000</v>
          </cell>
          <cell r="L18">
            <v>52000</v>
          </cell>
          <cell r="M18">
            <v>60000</v>
          </cell>
          <cell r="N18">
            <v>69000</v>
          </cell>
          <cell r="O18">
            <v>74000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</sheetData>
      <sheetData sheetId="5"/>
      <sheetData sheetId="6">
        <row r="20">
          <cell r="B20" t="str">
            <v>5:50</v>
          </cell>
        </row>
      </sheetData>
      <sheetData sheetId="7">
        <row r="3">
          <cell r="H3" t="str">
            <v>24 HORASLJSD</v>
          </cell>
        </row>
      </sheetData>
      <sheetData sheetId="8">
        <row r="5">
          <cell r="C5">
            <v>5</v>
          </cell>
        </row>
      </sheetData>
      <sheetData sheetId="9"/>
      <sheetData sheetId="10"/>
      <sheetData sheetId="11">
        <row r="7">
          <cell r="A7" t="str">
            <v>Valor por segundaje</v>
          </cell>
        </row>
      </sheetData>
      <sheetData sheetId="12"/>
      <sheetData sheetId="13"/>
      <sheetData sheetId="14"/>
      <sheetData sheetId="15">
        <row r="7">
          <cell r="A7" t="str">
            <v>Valor por segundaje</v>
          </cell>
        </row>
      </sheetData>
      <sheetData sheetId="16"/>
      <sheetData sheetId="17"/>
      <sheetData sheetId="18"/>
      <sheetData sheetId="19">
        <row r="7">
          <cell r="A7" t="str">
            <v>Valor por segundaje</v>
          </cell>
        </row>
      </sheetData>
      <sheetData sheetId="20"/>
      <sheetData sheetId="21"/>
      <sheetData sheetId="22"/>
      <sheetData sheetId="23">
        <row r="7">
          <cell r="A7" t="str">
            <v>Valor por segundaje</v>
          </cell>
        </row>
      </sheetData>
      <sheetData sheetId="24"/>
      <sheetData sheetId="25" refreshError="1"/>
      <sheetData sheetId="26"/>
      <sheetData sheetId="27"/>
      <sheetData sheetId="28">
        <row r="7">
          <cell r="A7" t="str">
            <v>Valor por segundaje</v>
          </cell>
        </row>
      </sheetData>
      <sheetData sheetId="29"/>
      <sheetData sheetId="30"/>
      <sheetData sheetId="31"/>
      <sheetData sheetId="32">
        <row r="7">
          <cell r="A7" t="str">
            <v>Valor por segundaje</v>
          </cell>
        </row>
      </sheetData>
      <sheetData sheetId="33"/>
      <sheetData sheetId="34"/>
      <sheetData sheetId="35"/>
      <sheetData sheetId="36">
        <row r="7">
          <cell r="A7" t="str">
            <v>Valor por segundaje</v>
          </cell>
        </row>
      </sheetData>
      <sheetData sheetId="37"/>
      <sheetData sheetId="38"/>
      <sheetData sheetId="39"/>
      <sheetData sheetId="40">
        <row r="7">
          <cell r="A7" t="str">
            <v>Valor por segundaje</v>
          </cell>
        </row>
      </sheetData>
      <sheetData sheetId="41"/>
      <sheetData sheetId="42"/>
      <sheetData sheetId="43"/>
      <sheetData sheetId="44">
        <row r="7">
          <cell r="A7" t="str">
            <v>Valor por segundaje</v>
          </cell>
        </row>
      </sheetData>
      <sheetData sheetId="45"/>
      <sheetData sheetId="46"/>
      <sheetData sheetId="47"/>
      <sheetData sheetId="48">
        <row r="7">
          <cell r="A7" t="str">
            <v>Valor por segundaje</v>
          </cell>
        </row>
      </sheetData>
      <sheetData sheetId="49"/>
      <sheetData sheetId="50"/>
      <sheetData sheetId="51"/>
      <sheetData sheetId="52">
        <row r="7">
          <cell r="A7" t="str">
            <v>Valor por segundaje</v>
          </cell>
        </row>
      </sheetData>
      <sheetData sheetId="5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codigos"/>
      <sheetName val="2015 Netas"/>
      <sheetName val="Niveles"/>
      <sheetName val="Niveles (2)"/>
      <sheetName val="x - aBRIL"/>
      <sheetName val="Pauta"/>
      <sheetName val="Rating1"/>
      <sheetName val="COL"/>
      <sheetName val="Hoja1"/>
      <sheetName val="Hoja2"/>
      <sheetName val="Cuantificador_RM"/>
      <sheetName val="Cuantificador_TP"/>
      <sheetName val="2015_Netas"/>
      <sheetName val="Niveles_(2)"/>
      <sheetName val="x_-_aBRIL"/>
      <sheetName val="an-r"/>
      <sheetName val="ventas"/>
      <sheetName val="RATGA"/>
      <sheetName val="Cuantificador_RM1"/>
      <sheetName val="Cuantificador_TP1"/>
      <sheetName val="2015_Netas1"/>
      <sheetName val="Niveles_(2)1"/>
      <sheetName val="x_-_aBRIL1"/>
    </sheetNames>
    <sheetDataSet>
      <sheetData sheetId="0">
        <row r="4">
          <cell r="C4" t="str">
            <v>Zona</v>
          </cell>
        </row>
      </sheetData>
      <sheetData sheetId="1"/>
      <sheetData sheetId="2">
        <row r="4">
          <cell r="C4" t="str">
            <v>Zona</v>
          </cell>
        </row>
      </sheetData>
      <sheetData sheetId="3"/>
      <sheetData sheetId="4"/>
      <sheetData sheetId="5">
        <row r="4">
          <cell r="G4" t="str">
            <v>BLOQUES</v>
          </cell>
        </row>
      </sheetData>
      <sheetData sheetId="6"/>
      <sheetData sheetId="7"/>
      <sheetData sheetId="8"/>
      <sheetData sheetId="9"/>
      <sheetData sheetId="10">
        <row r="3">
          <cell r="H3" t="str">
            <v>0,243055555555556LMWJD</v>
          </cell>
        </row>
        <row r="5">
          <cell r="J5" t="str">
            <v>24 HORAS AL DIALMWJV</v>
          </cell>
          <cell r="K5">
            <v>1.782</v>
          </cell>
        </row>
        <row r="6">
          <cell r="J6" t="str">
            <v>24 HORAS AL DIAL</v>
          </cell>
          <cell r="K6">
            <v>2.31</v>
          </cell>
        </row>
        <row r="7">
          <cell r="J7" t="str">
            <v>24 HORAS AL DIAM</v>
          </cell>
          <cell r="K7">
            <v>1.37</v>
          </cell>
        </row>
        <row r="8">
          <cell r="J8" t="str">
            <v>24 HORAS AL DIAW</v>
          </cell>
          <cell r="K8">
            <v>1.41</v>
          </cell>
        </row>
        <row r="9">
          <cell r="J9" t="str">
            <v>24 HORAS AL DIAJ</v>
          </cell>
          <cell r="K9">
            <v>1.74</v>
          </cell>
        </row>
        <row r="10">
          <cell r="J10" t="str">
            <v>24 HORAS AL DIAV</v>
          </cell>
          <cell r="K10">
            <v>2.08</v>
          </cell>
        </row>
        <row r="12">
          <cell r="J12" t="str">
            <v>24 HORAS CENTRALMWJV</v>
          </cell>
          <cell r="K12">
            <v>3.5100000000000002</v>
          </cell>
        </row>
        <row r="13">
          <cell r="J13" t="str">
            <v>24 HORAS CENTRALLJV</v>
          </cell>
          <cell r="K13">
            <v>3.5266666666666668</v>
          </cell>
        </row>
        <row r="14">
          <cell r="J14" t="str">
            <v>24 HORAS CENTRALL</v>
          </cell>
          <cell r="K14">
            <v>3.4</v>
          </cell>
        </row>
        <row r="15">
          <cell r="J15" t="str">
            <v>24 HORAS CENTRALM</v>
          </cell>
          <cell r="K15">
            <v>3.38</v>
          </cell>
        </row>
        <row r="16">
          <cell r="J16" t="str">
            <v>24 HORAS CENTRALW</v>
          </cell>
          <cell r="K16">
            <v>3.59</v>
          </cell>
        </row>
        <row r="17">
          <cell r="J17" t="str">
            <v>24 HORAS CENTRALJ</v>
          </cell>
          <cell r="K17">
            <v>3.49</v>
          </cell>
        </row>
        <row r="18">
          <cell r="J18" t="str">
            <v>24 HORAS CENTRALV</v>
          </cell>
          <cell r="K18">
            <v>3.69</v>
          </cell>
        </row>
        <row r="19">
          <cell r="J19" t="str">
            <v>24 HORAS CENTRALMW</v>
          </cell>
          <cell r="K19">
            <v>3.4849999999999999</v>
          </cell>
        </row>
        <row r="21">
          <cell r="J21" t="str">
            <v>DOCTOR HOUSE L-V</v>
          </cell>
          <cell r="K21">
            <v>1.5639999999999998</v>
          </cell>
        </row>
        <row r="22">
          <cell r="J22" t="str">
            <v>DOCTOR HOUSE (R)M</v>
          </cell>
          <cell r="K22">
            <v>1.94</v>
          </cell>
        </row>
        <row r="23">
          <cell r="J23" t="str">
            <v>DOCTOR HOUSE (R)J</v>
          </cell>
          <cell r="K23">
            <v>1.94</v>
          </cell>
        </row>
        <row r="24">
          <cell r="J24" t="str">
            <v>DOCTOR HOUSE (R)W</v>
          </cell>
          <cell r="K24">
            <v>1.61</v>
          </cell>
        </row>
        <row r="25">
          <cell r="J25" t="str">
            <v>DOCTOR HOUSE (R)L</v>
          </cell>
          <cell r="K25">
            <v>1.44</v>
          </cell>
        </row>
        <row r="26">
          <cell r="J26" t="str">
            <v>DOCTOR HOUSE (R)V</v>
          </cell>
          <cell r="K26">
            <v>0.89</v>
          </cell>
        </row>
        <row r="28">
          <cell r="J28" t="str">
            <v>MOISES LOS 10 MANDAMIENTOSLMWJ</v>
          </cell>
          <cell r="K28">
            <v>6.0550000000000006</v>
          </cell>
        </row>
        <row r="29">
          <cell r="J29" t="str">
            <v>MOISES LOS 10 MANDAMIENTOSL</v>
          </cell>
          <cell r="K29">
            <v>6.79</v>
          </cell>
        </row>
        <row r="30">
          <cell r="J30" t="str">
            <v>MOISES LOS 10 MANDAMIENTOSM</v>
          </cell>
          <cell r="K30">
            <v>5.92</v>
          </cell>
        </row>
        <row r="31">
          <cell r="J31" t="str">
            <v>MOISES LOS 10 MANDAMIENTOSW</v>
          </cell>
          <cell r="K31">
            <v>5.64</v>
          </cell>
        </row>
        <row r="32">
          <cell r="J32" t="str">
            <v>MOISES LOS 10 MANDAMIENTOSJ</v>
          </cell>
          <cell r="K32">
            <v>5.87</v>
          </cell>
        </row>
      </sheetData>
      <sheetData sheetId="11">
        <row r="5">
          <cell r="C5">
            <v>5</v>
          </cell>
        </row>
      </sheetData>
      <sheetData sheetId="12">
        <row r="13">
          <cell r="D13" t="str">
            <v>SEG</v>
          </cell>
        </row>
      </sheetData>
      <sheetData sheetId="13"/>
      <sheetData sheetId="14"/>
      <sheetData sheetId="15">
        <row r="4">
          <cell r="G4" t="str">
            <v>BLOQUES</v>
          </cell>
        </row>
      </sheetData>
      <sheetData sheetId="16">
        <row r="4">
          <cell r="G4" t="str">
            <v>BLOQUES</v>
          </cell>
        </row>
      </sheetData>
      <sheetData sheetId="17">
        <row r="4">
          <cell r="G4" t="str">
            <v>BLOQUES</v>
          </cell>
        </row>
      </sheetData>
      <sheetData sheetId="18"/>
      <sheetData sheetId="19" refreshError="1"/>
      <sheetData sheetId="20" refreshError="1"/>
      <sheetData sheetId="21" refreshError="1"/>
      <sheetData sheetId="22"/>
      <sheetData sheetId="23"/>
      <sheetData sheetId="24">
        <row r="4">
          <cell r="G4" t="str">
            <v>BLOQUES</v>
          </cell>
        </row>
      </sheetData>
      <sheetData sheetId="25"/>
      <sheetData sheetId="2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a Prime 2330 1 spot"/>
      <sheetName val="Programa Prime 2330 2 spots"/>
      <sheetName val="Resumen (2)"/>
      <sheetName val="L-V 1200 a 1330 (2)"/>
      <sheetName val="L-V 1700 a 2000 (2)"/>
      <sheetName val="Hoja3"/>
      <sheetName val="Cronograma"/>
      <sheetName val="Resumen"/>
      <sheetName val="Auspicio resto auspiciadores"/>
      <sheetName val="Auspicio Base"/>
      <sheetName val="Tarifas Febrero 2013"/>
      <sheetName val="Detalle regiones"/>
      <sheetName val="regiones"/>
      <sheetName val="L-V 1200 a 1330"/>
      <sheetName val="L-V 1700 a 2000"/>
      <sheetName val="SAB 1100 a 1330"/>
      <sheetName val="SAB 1430 a 2100"/>
      <sheetName val="DOM  1130 a 1330"/>
      <sheetName val="DOM  1430 a 2100"/>
      <sheetName val="Ceremonia Inaugural"/>
      <sheetName val="Hoja1"/>
      <sheetName val="Ceremonia clausura"/>
      <sheetName val="Programa Prime 2230 a 2400"/>
      <sheetName val="MINUTO OLIMPICO"/>
      <sheetName val="CAPSULAS DEPORT TVN"/>
      <sheetName val="Pauta capsulas 24 horas"/>
      <sheetName val="rating JJOO londres"/>
      <sheetName val="Auspicio Básico"/>
      <sheetName val="Hoja2"/>
      <sheetName val="Programa_Prime_2330_1_spot"/>
      <sheetName val="Programa_Prime_2330_2_spots"/>
      <sheetName val="Resumen_(2)"/>
      <sheetName val="L-V_1200_a_1330_(2)"/>
      <sheetName val="L-V_1700_a_2000_(2)"/>
      <sheetName val="Auspicio_resto_auspiciadores"/>
      <sheetName val="Auspicio_Base"/>
      <sheetName val="Tarifas_Febrero_2013"/>
      <sheetName val="Detalle_regiones"/>
      <sheetName val="L-V_1200_a_1330"/>
      <sheetName val="L-V_1700_a_2000"/>
      <sheetName val="SAB_1100_a_1330"/>
      <sheetName val="SAB_1430_a_2100"/>
      <sheetName val="DOM__1130_a_1330"/>
      <sheetName val="DOM__1430_a_2100"/>
      <sheetName val="Ceremonia_Inaugural"/>
      <sheetName val="Ceremonia_clausura"/>
      <sheetName val="Programa_Prime_2230_a_2400"/>
      <sheetName val="MINUTO_OLIMPICO"/>
      <sheetName val="CAPSULAS_DEPORT_TVN"/>
      <sheetName val="Pauta_capsulas_24_horas"/>
      <sheetName val="rating_JJOO_londres"/>
      <sheetName val="Auspicio_Básico"/>
      <sheetName val="Programa_Prime_2330_1_spot2"/>
      <sheetName val="Programa_Prime_2330_2_spots2"/>
      <sheetName val="Resumen_(2)2"/>
      <sheetName val="L-V_1200_a_1330_(2)2"/>
      <sheetName val="L-V_1700_a_2000_(2)2"/>
      <sheetName val="Auspicio_resto_auspiciadores2"/>
      <sheetName val="Auspicio_Base2"/>
      <sheetName val="Tarifas_Febrero_20132"/>
      <sheetName val="Detalle_regiones2"/>
      <sheetName val="L-V_1200_a_13302"/>
      <sheetName val="L-V_1700_a_20002"/>
      <sheetName val="SAB_1100_a_13302"/>
      <sheetName val="SAB_1430_a_21002"/>
      <sheetName val="DOM__1130_a_13302"/>
      <sheetName val="DOM__1430_a_21002"/>
      <sheetName val="Ceremonia_Inaugural2"/>
      <sheetName val="Ceremonia_clausura2"/>
      <sheetName val="Programa_Prime_2230_a_24002"/>
      <sheetName val="MINUTO_OLIMPICO2"/>
      <sheetName val="CAPSULAS_DEPORT_TVN2"/>
      <sheetName val="Pauta_capsulas_24_horas2"/>
      <sheetName val="rating_JJOO_londres2"/>
      <sheetName val="Auspicio_Básico2"/>
      <sheetName val="Programa_Prime_2330_1_spot1"/>
      <sheetName val="Programa_Prime_2330_2_spots1"/>
      <sheetName val="Resumen_(2)1"/>
      <sheetName val="L-V_1200_a_1330_(2)1"/>
      <sheetName val="L-V_1700_a_2000_(2)1"/>
      <sheetName val="Auspicio_resto_auspiciadores1"/>
      <sheetName val="Auspicio_Base1"/>
      <sheetName val="Tarifas_Febrero_20131"/>
      <sheetName val="Detalle_regiones1"/>
      <sheetName val="L-V_1200_a_13301"/>
      <sheetName val="L-V_1700_a_20001"/>
      <sheetName val="SAB_1100_a_13301"/>
      <sheetName val="SAB_1430_a_21001"/>
      <sheetName val="DOM__1130_a_13301"/>
      <sheetName val="DOM__1430_a_21001"/>
      <sheetName val="Ceremonia_Inaugural1"/>
      <sheetName val="Ceremonia_clausura1"/>
      <sheetName val="Programa_Prime_2230_a_24001"/>
      <sheetName val="MINUTO_OLIMPICO1"/>
      <sheetName val="CAPSULAS_DEPORT_TVN1"/>
      <sheetName val="Pauta_capsulas_24_horas1"/>
      <sheetName val="rating_JJOO_londres1"/>
      <sheetName val="Auspicio_Básico1"/>
      <sheetName val="Programa_Prime_2330_1_spot3"/>
      <sheetName val="Programa_Prime_2330_2_spots3"/>
      <sheetName val="Resumen_(2)3"/>
      <sheetName val="L-V_1200_a_1330_(2)3"/>
      <sheetName val="L-V_1700_a_2000_(2)3"/>
      <sheetName val="Auspicio_resto_auspiciadores3"/>
      <sheetName val="Auspicio_Base3"/>
      <sheetName val="Tarifas_Febrero_20133"/>
      <sheetName val="Detalle_regiones3"/>
      <sheetName val="L-V_1200_a_13303"/>
      <sheetName val="L-V_1700_a_20003"/>
      <sheetName val="SAB_1100_a_13303"/>
      <sheetName val="SAB_1430_a_21003"/>
      <sheetName val="DOM__1130_a_13303"/>
      <sheetName val="DOM__1430_a_21003"/>
      <sheetName val="Ceremonia_Inaugural3"/>
      <sheetName val="Ceremonia_clausura3"/>
      <sheetName val="Programa_Prime_2230_a_24003"/>
      <sheetName val="MINUTO_OLIMPICO3"/>
      <sheetName val="CAPSULAS_DEPORT_TVN3"/>
      <sheetName val="Pauta_capsulas_24_horas3"/>
      <sheetName val="rating_JJOO_londres3"/>
      <sheetName val="Auspicio_Básico3"/>
      <sheetName val="Rat M25-64C2C3"/>
      <sheetName val="Rat H25-64ABCD"/>
      <sheetName val="Rat HM18-24ABC"/>
      <sheetName val="Rat HM25-49ABC1C2"/>
      <sheetName val="Rat HM25-64ABC"/>
      <sheetName val="Rat M25-64ABC"/>
      <sheetName val="Rat HM25-64ABCD"/>
      <sheetName val="RANGOS"/>
      <sheetName val="res rat"/>
      <sheetName val="Programa_Prime_2330_1_spot4"/>
      <sheetName val="Programa_Prime_2330_2_spots4"/>
      <sheetName val="Resumen_(2)4"/>
      <sheetName val="L-V_1200_a_1330_(2)4"/>
      <sheetName val="L-V_1700_a_2000_(2)4"/>
      <sheetName val="Auspicio_resto_auspiciadores4"/>
      <sheetName val="Auspicio_Base4"/>
      <sheetName val="Tarifas_Febrero_20134"/>
      <sheetName val="Detalle_regiones4"/>
      <sheetName val="L-V_1200_a_13304"/>
      <sheetName val="L-V_1700_a_20004"/>
      <sheetName val="SAB_1100_a_13304"/>
      <sheetName val="SAB_1430_a_21004"/>
      <sheetName val="DOM__1130_a_13304"/>
      <sheetName val="DOM__1430_a_21004"/>
      <sheetName val="Ceremonia_Inaugural4"/>
      <sheetName val="Ceremonia_clausura4"/>
      <sheetName val="Programa_Prime_2230_a_24004"/>
      <sheetName val="MINUTO_OLIMPICO4"/>
      <sheetName val="CAPSULAS_DEPORT_TVN4"/>
      <sheetName val="Pauta_capsulas_24_horas4"/>
      <sheetName val="rating_JJOO_londres4"/>
      <sheetName val="Auspicio_Básico4"/>
      <sheetName val="Rat_M25-64C2C3"/>
      <sheetName val="Rat_H25-64ABCD"/>
      <sheetName val="Rat_HM18-24ABC"/>
      <sheetName val="Rat_HM25-49ABC1C2"/>
      <sheetName val="Rat_HM25-64ABC"/>
      <sheetName val="Rat_M25-64ABC"/>
      <sheetName val="Rat_HM25-64ABCD"/>
      <sheetName val="res_rat"/>
      <sheetName val="Programa_Prime_2330_1_spot5"/>
      <sheetName val="Programa_Prime_2330_2_spots5"/>
      <sheetName val="Resumen_(2)5"/>
      <sheetName val="L-V_1200_a_1330_(2)5"/>
      <sheetName val="L-V_1700_a_2000_(2)5"/>
      <sheetName val="Auspicio_resto_auspiciadores5"/>
      <sheetName val="Auspicio_Base5"/>
      <sheetName val="Tarifas_Febrero_20135"/>
      <sheetName val="Detalle_regiones5"/>
      <sheetName val="L-V_1200_a_13305"/>
      <sheetName val="L-V_1700_a_20005"/>
      <sheetName val="SAB_1100_a_13305"/>
      <sheetName val="SAB_1430_a_21005"/>
      <sheetName val="DOM__1130_a_13305"/>
      <sheetName val="DOM__1430_a_21005"/>
      <sheetName val="Ceremonia_Inaugural5"/>
      <sheetName val="Ceremonia_clausura5"/>
      <sheetName val="Programa_Prime_2230_a_24005"/>
      <sheetName val="MINUTO_OLIMPICO5"/>
      <sheetName val="CAPSULAS_DEPORT_TVN5"/>
      <sheetName val="Pauta_capsulas_24_horas5"/>
      <sheetName val="rating_JJOO_londres5"/>
      <sheetName val="Auspicio_Básico5"/>
      <sheetName val="Rat_M25-64C2C31"/>
      <sheetName val="Rat_H25-64ABCD1"/>
      <sheetName val="Rat_HM18-24ABC1"/>
      <sheetName val="Rat_HM25-49ABC1C21"/>
      <sheetName val="Rat_HM25-64ABC1"/>
      <sheetName val="Rat_M25-64ABC1"/>
      <sheetName val="Rat_HM25-64ABCD1"/>
      <sheetName val="res_rat1"/>
      <sheetName val="Programa_Prime_2330_1_spot6"/>
      <sheetName val="Programa_Prime_2330_2_spots6"/>
      <sheetName val="Resumen_(2)6"/>
      <sheetName val="L-V_1200_a_1330_(2)6"/>
      <sheetName val="L-V_1700_a_2000_(2)6"/>
      <sheetName val="Auspicio_resto_auspiciadores6"/>
      <sheetName val="Auspicio_Base6"/>
      <sheetName val="Tarifas_Febrero_20136"/>
      <sheetName val="Detalle_regiones6"/>
      <sheetName val="L-V_1200_a_13306"/>
      <sheetName val="L-V_1700_a_20006"/>
      <sheetName val="SAB_1100_a_13306"/>
      <sheetName val="SAB_1430_a_21006"/>
      <sheetName val="DOM__1130_a_13306"/>
      <sheetName val="DOM__1430_a_21006"/>
      <sheetName val="Ceremonia_Inaugural6"/>
      <sheetName val="Ceremonia_clausura6"/>
      <sheetName val="Programa_Prime_2230_a_24006"/>
      <sheetName val="MINUTO_OLIMPICO6"/>
      <sheetName val="CAPSULAS_DEPORT_TVN6"/>
      <sheetName val="Pauta_capsulas_24_horas6"/>
      <sheetName val="rating_JJOO_londres6"/>
      <sheetName val="Auspicio_Básico6"/>
      <sheetName val="Rat_M25-64C2C32"/>
      <sheetName val="Rat_H25-64ABCD2"/>
      <sheetName val="Rat_HM18-24ABC2"/>
      <sheetName val="Rat_HM25-49ABC1C22"/>
      <sheetName val="Rat_HM25-64ABC2"/>
      <sheetName val="Rat_M25-64ABC2"/>
      <sheetName val="Rat_HM25-64ABCD2"/>
      <sheetName val="res_rat2"/>
      <sheetName val="Programa_Prime_2330_1_spot8"/>
      <sheetName val="Programa_Prime_2330_2_spots8"/>
      <sheetName val="Resumen_(2)8"/>
      <sheetName val="L-V_1200_a_1330_(2)8"/>
      <sheetName val="L-V_1700_a_2000_(2)8"/>
      <sheetName val="Auspicio_resto_auspiciadores8"/>
      <sheetName val="Auspicio_Base8"/>
      <sheetName val="Tarifas_Febrero_20138"/>
      <sheetName val="Detalle_regiones8"/>
      <sheetName val="L-V_1200_a_13308"/>
      <sheetName val="L-V_1700_a_20008"/>
      <sheetName val="SAB_1100_a_13308"/>
      <sheetName val="SAB_1430_a_21008"/>
      <sheetName val="DOM__1130_a_13308"/>
      <sheetName val="DOM__1430_a_21008"/>
      <sheetName val="Ceremonia_Inaugural8"/>
      <sheetName val="Ceremonia_clausura8"/>
      <sheetName val="Programa_Prime_2230_a_24008"/>
      <sheetName val="MINUTO_OLIMPICO8"/>
      <sheetName val="CAPSULAS_DEPORT_TVN8"/>
      <sheetName val="Pauta_capsulas_24_horas8"/>
      <sheetName val="rating_JJOO_londres8"/>
      <sheetName val="Auspicio_Básico8"/>
      <sheetName val="Rat_M25-64C2C34"/>
      <sheetName val="Rat_H25-64ABCD4"/>
      <sheetName val="Rat_HM18-24ABC4"/>
      <sheetName val="Rat_HM25-49ABC1C24"/>
      <sheetName val="Rat_HM25-64ABC4"/>
      <sheetName val="Rat_M25-64ABC4"/>
      <sheetName val="Rat_HM25-64ABCD4"/>
      <sheetName val="res_rat4"/>
      <sheetName val="Programa_Prime_2330_1_spot7"/>
      <sheetName val="Programa_Prime_2330_2_spots7"/>
      <sheetName val="Resumen_(2)7"/>
      <sheetName val="L-V_1200_a_1330_(2)7"/>
      <sheetName val="L-V_1700_a_2000_(2)7"/>
      <sheetName val="Auspicio_resto_auspiciadores7"/>
      <sheetName val="Auspicio_Base7"/>
      <sheetName val="Tarifas_Febrero_20137"/>
      <sheetName val="Detalle_regiones7"/>
      <sheetName val="L-V_1200_a_13307"/>
      <sheetName val="L-V_1700_a_20007"/>
      <sheetName val="SAB_1100_a_13307"/>
      <sheetName val="SAB_1430_a_21007"/>
      <sheetName val="DOM__1130_a_13307"/>
      <sheetName val="DOM__1430_a_21007"/>
      <sheetName val="Ceremonia_Inaugural7"/>
      <sheetName val="Ceremonia_clausura7"/>
      <sheetName val="Programa_Prime_2230_a_24007"/>
      <sheetName val="MINUTO_OLIMPICO7"/>
      <sheetName val="CAPSULAS_DEPORT_TVN7"/>
      <sheetName val="Pauta_capsulas_24_horas7"/>
      <sheetName val="rating_JJOO_londres7"/>
      <sheetName val="Auspicio_Básico7"/>
      <sheetName val="Rat_M25-64C2C33"/>
      <sheetName val="Rat_H25-64ABCD3"/>
      <sheetName val="Rat_HM18-24ABC3"/>
      <sheetName val="Rat_HM25-49ABC1C23"/>
      <sheetName val="Rat_HM25-64ABC3"/>
      <sheetName val="Rat_M25-64ABC3"/>
      <sheetName val="Rat_HM25-64ABCD3"/>
      <sheetName val="res_rat3"/>
      <sheetName val="Programa_Prime_2330_1_spot9"/>
      <sheetName val="Programa_Prime_2330_2_spots9"/>
      <sheetName val="Resumen_(2)9"/>
      <sheetName val="L-V_1200_a_1330_(2)9"/>
      <sheetName val="L-V_1700_a_2000_(2)9"/>
      <sheetName val="Auspicio_resto_auspiciadores9"/>
      <sheetName val="Auspicio_Base9"/>
      <sheetName val="Tarifas_Febrero_20139"/>
      <sheetName val="Detalle_regiones9"/>
      <sheetName val="L-V_1200_a_13309"/>
      <sheetName val="L-V_1700_a_20009"/>
      <sheetName val="SAB_1100_a_13309"/>
      <sheetName val="SAB_1430_a_21009"/>
      <sheetName val="DOM__1130_a_13309"/>
      <sheetName val="DOM__1430_a_21009"/>
      <sheetName val="Ceremonia_Inaugural9"/>
      <sheetName val="Ceremonia_clausura9"/>
      <sheetName val="Programa_Prime_2230_a_24009"/>
      <sheetName val="MINUTO_OLIMPICO9"/>
      <sheetName val="CAPSULAS_DEPORT_TVN9"/>
      <sheetName val="Pauta_capsulas_24_horas9"/>
      <sheetName val="rating_JJOO_londres9"/>
      <sheetName val="Auspicio_Básico9"/>
      <sheetName val="Rat_M25-64C2C35"/>
      <sheetName val="Rat_H25-64ABCD5"/>
      <sheetName val="Rat_HM18-24ABC5"/>
      <sheetName val="Rat_HM25-49ABC1C25"/>
      <sheetName val="Rat_HM25-64ABC5"/>
      <sheetName val="Rat_M25-64ABC5"/>
      <sheetName val="Rat_HM25-64ABCD5"/>
      <sheetName val="res_rat5"/>
      <sheetName val="Programa_Prime_2330_1_spot10"/>
      <sheetName val="Programa_Prime_2330_2_spots10"/>
      <sheetName val="Resumen_(2)10"/>
      <sheetName val="L-V_1200_a_1330_(2)10"/>
      <sheetName val="L-V_1700_a_2000_(2)10"/>
      <sheetName val="Auspicio_resto_auspiciadores10"/>
      <sheetName val="Auspicio_Base10"/>
      <sheetName val="Tarifas_Febrero_201310"/>
      <sheetName val="Detalle_regiones10"/>
      <sheetName val="L-V_1200_a_133010"/>
      <sheetName val="L-V_1700_a_200010"/>
      <sheetName val="SAB_1100_a_133010"/>
      <sheetName val="SAB_1430_a_210010"/>
      <sheetName val="DOM__1130_a_133010"/>
      <sheetName val="DOM__1430_a_210010"/>
      <sheetName val="Ceremonia_Inaugural10"/>
      <sheetName val="Ceremonia_clausura10"/>
      <sheetName val="Programa_Prime_2230_a_240010"/>
      <sheetName val="MINUTO_OLIMPICO10"/>
      <sheetName val="CAPSULAS_DEPORT_TVN10"/>
      <sheetName val="Pauta_capsulas_24_horas10"/>
      <sheetName val="rating_JJOO_londres10"/>
      <sheetName val="Auspicio_Básico10"/>
      <sheetName val="Rat_M25-64C2C36"/>
      <sheetName val="Rat_H25-64ABCD6"/>
      <sheetName val="Rat_HM18-24ABC6"/>
      <sheetName val="Rat_HM25-49ABC1C26"/>
      <sheetName val="Rat_HM25-64ABC6"/>
      <sheetName val="Rat_M25-64ABC6"/>
      <sheetName val="Rat_HM25-64ABCD6"/>
      <sheetName val="res_ra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B3">
            <v>0</v>
          </cell>
          <cell r="C3">
            <v>1000</v>
          </cell>
          <cell r="D3">
            <v>2000</v>
          </cell>
          <cell r="E3">
            <v>2000</v>
          </cell>
          <cell r="F3">
            <v>3000</v>
          </cell>
          <cell r="G3">
            <v>3000</v>
          </cell>
          <cell r="H3">
            <v>3000</v>
          </cell>
          <cell r="I3">
            <v>0</v>
          </cell>
          <cell r="J3">
            <v>0</v>
          </cell>
          <cell r="K3">
            <v>1000</v>
          </cell>
          <cell r="L3">
            <v>2000</v>
          </cell>
          <cell r="M3">
            <v>3000</v>
          </cell>
          <cell r="N3">
            <v>3000</v>
          </cell>
          <cell r="O3">
            <v>3000</v>
          </cell>
          <cell r="P3">
            <v>4000</v>
          </cell>
          <cell r="Q3">
            <v>0</v>
          </cell>
          <cell r="R3">
            <v>0</v>
          </cell>
          <cell r="S3">
            <v>1000</v>
          </cell>
          <cell r="T3">
            <v>1000</v>
          </cell>
          <cell r="U3">
            <v>2000</v>
          </cell>
          <cell r="V3">
            <v>2000</v>
          </cell>
          <cell r="W3">
            <v>2000</v>
          </cell>
          <cell r="X3">
            <v>2000</v>
          </cell>
          <cell r="Y3">
            <v>0</v>
          </cell>
          <cell r="Z3">
            <v>0</v>
          </cell>
          <cell r="AA3">
            <v>2000</v>
          </cell>
          <cell r="AB3">
            <v>3000</v>
          </cell>
          <cell r="AC3">
            <v>3000</v>
          </cell>
          <cell r="AD3">
            <v>4000</v>
          </cell>
          <cell r="AE3">
            <v>4000</v>
          </cell>
          <cell r="AF3">
            <v>4000</v>
          </cell>
          <cell r="AG3">
            <v>0</v>
          </cell>
          <cell r="AH3">
            <v>0</v>
          </cell>
          <cell r="AI3">
            <v>1000</v>
          </cell>
          <cell r="AJ3">
            <v>2000</v>
          </cell>
          <cell r="AK3">
            <v>2000</v>
          </cell>
          <cell r="AL3">
            <v>2000</v>
          </cell>
          <cell r="AM3">
            <v>2000</v>
          </cell>
          <cell r="AN3">
            <v>3000</v>
          </cell>
          <cell r="AO3">
            <v>0</v>
          </cell>
          <cell r="AP3">
            <v>0</v>
          </cell>
          <cell r="AQ3">
            <v>3000</v>
          </cell>
          <cell r="AR3">
            <v>4000</v>
          </cell>
          <cell r="AS3">
            <v>5000</v>
          </cell>
          <cell r="AT3">
            <v>6000</v>
          </cell>
          <cell r="AU3">
            <v>6000</v>
          </cell>
          <cell r="AV3">
            <v>7000</v>
          </cell>
          <cell r="AW3">
            <v>0</v>
          </cell>
          <cell r="AX3">
            <v>0</v>
          </cell>
          <cell r="AY3">
            <v>4000</v>
          </cell>
          <cell r="AZ3">
            <v>7000</v>
          </cell>
          <cell r="BA3">
            <v>9000</v>
          </cell>
          <cell r="BB3">
            <v>10000</v>
          </cell>
          <cell r="BC3">
            <v>11000</v>
          </cell>
          <cell r="BD3">
            <v>11000</v>
          </cell>
        </row>
        <row r="4">
          <cell r="B4">
            <v>1</v>
          </cell>
          <cell r="C4">
            <v>1000</v>
          </cell>
          <cell r="D4">
            <v>2000</v>
          </cell>
          <cell r="E4">
            <v>3000</v>
          </cell>
          <cell r="F4">
            <v>3000</v>
          </cell>
          <cell r="G4">
            <v>3000</v>
          </cell>
          <cell r="H4">
            <v>3000</v>
          </cell>
          <cell r="I4">
            <v>0</v>
          </cell>
          <cell r="J4">
            <v>1</v>
          </cell>
          <cell r="K4">
            <v>2000</v>
          </cell>
          <cell r="L4">
            <v>3000</v>
          </cell>
          <cell r="M4">
            <v>4000</v>
          </cell>
          <cell r="N4">
            <v>4000</v>
          </cell>
          <cell r="O4">
            <v>4000</v>
          </cell>
          <cell r="P4">
            <v>4000</v>
          </cell>
          <cell r="Q4">
            <v>0</v>
          </cell>
          <cell r="R4">
            <v>1</v>
          </cell>
          <cell r="S4">
            <v>1000</v>
          </cell>
          <cell r="T4">
            <v>2000</v>
          </cell>
          <cell r="U4">
            <v>2000</v>
          </cell>
          <cell r="V4">
            <v>2000</v>
          </cell>
          <cell r="W4">
            <v>3000</v>
          </cell>
          <cell r="X4">
            <v>3000</v>
          </cell>
          <cell r="Y4">
            <v>0</v>
          </cell>
          <cell r="Z4">
            <v>1</v>
          </cell>
          <cell r="AA4">
            <v>2000</v>
          </cell>
          <cell r="AB4">
            <v>3000</v>
          </cell>
          <cell r="AC4">
            <v>4000</v>
          </cell>
          <cell r="AD4">
            <v>4000</v>
          </cell>
          <cell r="AE4">
            <v>5000</v>
          </cell>
          <cell r="AF4">
            <v>5000</v>
          </cell>
          <cell r="AG4">
            <v>0</v>
          </cell>
          <cell r="AH4">
            <v>1</v>
          </cell>
          <cell r="AI4">
            <v>1000</v>
          </cell>
          <cell r="AJ4">
            <v>2000</v>
          </cell>
          <cell r="AK4">
            <v>3000</v>
          </cell>
          <cell r="AL4">
            <v>3000</v>
          </cell>
          <cell r="AM4">
            <v>3000</v>
          </cell>
          <cell r="AN4">
            <v>3000</v>
          </cell>
          <cell r="AO4">
            <v>0</v>
          </cell>
          <cell r="AP4">
            <v>1</v>
          </cell>
          <cell r="AQ4">
            <v>3000</v>
          </cell>
          <cell r="AR4">
            <v>6000</v>
          </cell>
          <cell r="AS4">
            <v>7000</v>
          </cell>
          <cell r="AT4">
            <v>7000</v>
          </cell>
          <cell r="AU4">
            <v>8000</v>
          </cell>
          <cell r="AV4">
            <v>9000</v>
          </cell>
          <cell r="AW4">
            <v>0</v>
          </cell>
          <cell r="AX4">
            <v>1</v>
          </cell>
          <cell r="AY4">
            <v>5000</v>
          </cell>
          <cell r="AZ4">
            <v>9000</v>
          </cell>
          <cell r="BA4">
            <v>11000</v>
          </cell>
          <cell r="BB4">
            <v>12000</v>
          </cell>
          <cell r="BC4">
            <v>13000</v>
          </cell>
          <cell r="BD4">
            <v>14000</v>
          </cell>
        </row>
        <row r="5">
          <cell r="B5">
            <v>2</v>
          </cell>
          <cell r="C5">
            <v>2000</v>
          </cell>
          <cell r="D5">
            <v>3000</v>
          </cell>
          <cell r="E5">
            <v>3000</v>
          </cell>
          <cell r="F5">
            <v>4000</v>
          </cell>
          <cell r="G5">
            <v>4000</v>
          </cell>
          <cell r="H5">
            <v>4000</v>
          </cell>
          <cell r="I5">
            <v>0</v>
          </cell>
          <cell r="J5">
            <v>2</v>
          </cell>
          <cell r="K5">
            <v>2000</v>
          </cell>
          <cell r="L5">
            <v>4000</v>
          </cell>
          <cell r="M5">
            <v>4000</v>
          </cell>
          <cell r="N5">
            <v>5000</v>
          </cell>
          <cell r="O5">
            <v>5000</v>
          </cell>
          <cell r="P5">
            <v>6000</v>
          </cell>
          <cell r="Q5">
            <v>0</v>
          </cell>
          <cell r="R5">
            <v>2</v>
          </cell>
          <cell r="S5">
            <v>1000</v>
          </cell>
          <cell r="T5">
            <v>2000</v>
          </cell>
          <cell r="U5">
            <v>3000</v>
          </cell>
          <cell r="V5">
            <v>3000</v>
          </cell>
          <cell r="W5">
            <v>3000</v>
          </cell>
          <cell r="X5">
            <v>3000</v>
          </cell>
          <cell r="Y5">
            <v>0</v>
          </cell>
          <cell r="Z5">
            <v>2</v>
          </cell>
          <cell r="AA5">
            <v>2000</v>
          </cell>
          <cell r="AB5">
            <v>4000</v>
          </cell>
          <cell r="AC5">
            <v>5000</v>
          </cell>
          <cell r="AD5">
            <v>6000</v>
          </cell>
          <cell r="AE5">
            <v>6000</v>
          </cell>
          <cell r="AF5">
            <v>6000</v>
          </cell>
          <cell r="AG5">
            <v>0</v>
          </cell>
          <cell r="AH5">
            <v>2</v>
          </cell>
          <cell r="AI5">
            <v>1000</v>
          </cell>
          <cell r="AJ5">
            <v>3000</v>
          </cell>
          <cell r="AK5">
            <v>3000</v>
          </cell>
          <cell r="AL5">
            <v>3000</v>
          </cell>
          <cell r="AM5">
            <v>4000</v>
          </cell>
          <cell r="AN5">
            <v>4000</v>
          </cell>
          <cell r="AO5">
            <v>0</v>
          </cell>
          <cell r="AP5">
            <v>2</v>
          </cell>
          <cell r="AQ5">
            <v>4000</v>
          </cell>
          <cell r="AR5">
            <v>7000</v>
          </cell>
          <cell r="AS5">
            <v>8000</v>
          </cell>
          <cell r="AT5">
            <v>9000</v>
          </cell>
          <cell r="AU5">
            <v>10000</v>
          </cell>
          <cell r="AV5">
            <v>11000</v>
          </cell>
          <cell r="AW5">
            <v>0</v>
          </cell>
          <cell r="AX5">
            <v>2</v>
          </cell>
          <cell r="AY5">
            <v>6000</v>
          </cell>
          <cell r="AZ5">
            <v>12000</v>
          </cell>
          <cell r="BA5">
            <v>13000</v>
          </cell>
          <cell r="BB5">
            <v>15000</v>
          </cell>
          <cell r="BC5">
            <v>16000</v>
          </cell>
          <cell r="BD5">
            <v>17000</v>
          </cell>
        </row>
        <row r="6">
          <cell r="B6">
            <v>3</v>
          </cell>
          <cell r="C6">
            <v>2000</v>
          </cell>
          <cell r="D6">
            <v>3000</v>
          </cell>
          <cell r="E6">
            <v>4000</v>
          </cell>
          <cell r="F6">
            <v>4000</v>
          </cell>
          <cell r="G6">
            <v>5000</v>
          </cell>
          <cell r="H6">
            <v>5000</v>
          </cell>
          <cell r="I6">
            <v>0</v>
          </cell>
          <cell r="J6">
            <v>3</v>
          </cell>
          <cell r="K6">
            <v>3000</v>
          </cell>
          <cell r="L6">
            <v>4000</v>
          </cell>
          <cell r="M6">
            <v>5000</v>
          </cell>
          <cell r="N6">
            <v>6000</v>
          </cell>
          <cell r="O6">
            <v>6000</v>
          </cell>
          <cell r="P6">
            <v>7000</v>
          </cell>
          <cell r="Q6">
            <v>0</v>
          </cell>
          <cell r="R6">
            <v>3</v>
          </cell>
          <cell r="S6">
            <v>2000</v>
          </cell>
          <cell r="T6">
            <v>3000</v>
          </cell>
          <cell r="U6">
            <v>3000</v>
          </cell>
          <cell r="V6">
            <v>4000</v>
          </cell>
          <cell r="W6">
            <v>4000</v>
          </cell>
          <cell r="X6">
            <v>4000</v>
          </cell>
          <cell r="Y6">
            <v>0</v>
          </cell>
          <cell r="Z6">
            <v>3</v>
          </cell>
          <cell r="AA6">
            <v>3000</v>
          </cell>
          <cell r="AB6">
            <v>5000</v>
          </cell>
          <cell r="AC6">
            <v>6000</v>
          </cell>
          <cell r="AD6">
            <v>6000</v>
          </cell>
          <cell r="AE6">
            <v>7000</v>
          </cell>
          <cell r="AF6">
            <v>7000</v>
          </cell>
          <cell r="AG6">
            <v>0</v>
          </cell>
          <cell r="AH6">
            <v>3</v>
          </cell>
          <cell r="AI6">
            <v>2000</v>
          </cell>
          <cell r="AJ6">
            <v>3000</v>
          </cell>
          <cell r="AK6">
            <v>4000</v>
          </cell>
          <cell r="AL6">
            <v>4000</v>
          </cell>
          <cell r="AM6">
            <v>4000</v>
          </cell>
          <cell r="AN6">
            <v>5000</v>
          </cell>
          <cell r="AO6">
            <v>0</v>
          </cell>
          <cell r="AP6">
            <v>3</v>
          </cell>
          <cell r="AQ6">
            <v>5000</v>
          </cell>
          <cell r="AR6">
            <v>8000</v>
          </cell>
          <cell r="AS6">
            <v>10000</v>
          </cell>
          <cell r="AT6">
            <v>11000</v>
          </cell>
          <cell r="AU6">
            <v>12000</v>
          </cell>
          <cell r="AV6">
            <v>13000</v>
          </cell>
          <cell r="AW6">
            <v>0</v>
          </cell>
          <cell r="AX6">
            <v>3</v>
          </cell>
          <cell r="AY6">
            <v>8000</v>
          </cell>
          <cell r="AZ6">
            <v>14000</v>
          </cell>
          <cell r="BA6">
            <v>16000</v>
          </cell>
          <cell r="BB6">
            <v>18000</v>
          </cell>
          <cell r="BC6">
            <v>19000</v>
          </cell>
          <cell r="BD6">
            <v>20000</v>
          </cell>
        </row>
        <row r="7">
          <cell r="B7">
            <v>4</v>
          </cell>
          <cell r="C7">
            <v>2000</v>
          </cell>
          <cell r="D7">
            <v>4000</v>
          </cell>
          <cell r="E7">
            <v>4000</v>
          </cell>
          <cell r="F7">
            <v>5000</v>
          </cell>
          <cell r="G7">
            <v>5000</v>
          </cell>
          <cell r="H7">
            <v>6000</v>
          </cell>
          <cell r="I7">
            <v>0</v>
          </cell>
          <cell r="J7">
            <v>4</v>
          </cell>
          <cell r="K7">
            <v>3000</v>
          </cell>
          <cell r="L7">
            <v>5000</v>
          </cell>
          <cell r="M7">
            <v>6000</v>
          </cell>
          <cell r="N7">
            <v>6000</v>
          </cell>
          <cell r="O7">
            <v>7000</v>
          </cell>
          <cell r="P7">
            <v>7000</v>
          </cell>
          <cell r="Q7">
            <v>0</v>
          </cell>
          <cell r="R7">
            <v>4</v>
          </cell>
          <cell r="S7">
            <v>2000</v>
          </cell>
          <cell r="T7">
            <v>3000</v>
          </cell>
          <cell r="U7">
            <v>4000</v>
          </cell>
          <cell r="V7">
            <v>4000</v>
          </cell>
          <cell r="W7">
            <v>4000</v>
          </cell>
          <cell r="X7">
            <v>4000</v>
          </cell>
          <cell r="Y7">
            <v>0</v>
          </cell>
          <cell r="Z7">
            <v>4</v>
          </cell>
          <cell r="AA7">
            <v>3000</v>
          </cell>
          <cell r="AB7">
            <v>6000</v>
          </cell>
          <cell r="AC7">
            <v>6000</v>
          </cell>
          <cell r="AD7">
            <v>7000</v>
          </cell>
          <cell r="AE7">
            <v>8000</v>
          </cell>
          <cell r="AF7">
            <v>8000</v>
          </cell>
          <cell r="AG7">
            <v>0</v>
          </cell>
          <cell r="AH7">
            <v>4</v>
          </cell>
          <cell r="AI7">
            <v>2000</v>
          </cell>
          <cell r="AJ7">
            <v>3000</v>
          </cell>
          <cell r="AK7">
            <v>4000</v>
          </cell>
          <cell r="AL7">
            <v>4000</v>
          </cell>
          <cell r="AM7">
            <v>5000</v>
          </cell>
          <cell r="AN7">
            <v>5000</v>
          </cell>
          <cell r="AO7">
            <v>0</v>
          </cell>
          <cell r="AP7">
            <v>4</v>
          </cell>
          <cell r="AQ7">
            <v>5000</v>
          </cell>
          <cell r="AR7">
            <v>9000</v>
          </cell>
          <cell r="AS7">
            <v>11000</v>
          </cell>
          <cell r="AT7">
            <v>12000</v>
          </cell>
          <cell r="AU7">
            <v>13000</v>
          </cell>
          <cell r="AV7">
            <v>14000</v>
          </cell>
          <cell r="AW7">
            <v>0</v>
          </cell>
          <cell r="AX7">
            <v>4</v>
          </cell>
          <cell r="AY7">
            <v>8000</v>
          </cell>
          <cell r="AZ7">
            <v>15000</v>
          </cell>
          <cell r="BA7">
            <v>18000</v>
          </cell>
          <cell r="BB7">
            <v>19000</v>
          </cell>
          <cell r="BC7">
            <v>21000</v>
          </cell>
          <cell r="BD7">
            <v>22000</v>
          </cell>
        </row>
        <row r="8">
          <cell r="B8">
            <v>5</v>
          </cell>
          <cell r="C8">
            <v>2000</v>
          </cell>
          <cell r="D8">
            <v>4000</v>
          </cell>
          <cell r="E8">
            <v>5000</v>
          </cell>
          <cell r="F8">
            <v>5000</v>
          </cell>
          <cell r="G8">
            <v>6000</v>
          </cell>
          <cell r="H8">
            <v>6000</v>
          </cell>
          <cell r="I8">
            <v>0</v>
          </cell>
          <cell r="J8">
            <v>5</v>
          </cell>
          <cell r="K8">
            <v>3000</v>
          </cell>
          <cell r="L8">
            <v>5000</v>
          </cell>
          <cell r="M8">
            <v>6000</v>
          </cell>
          <cell r="N8">
            <v>7000</v>
          </cell>
          <cell r="O8">
            <v>8000</v>
          </cell>
          <cell r="P8">
            <v>8000</v>
          </cell>
          <cell r="Q8">
            <v>0</v>
          </cell>
          <cell r="R8">
            <v>5</v>
          </cell>
          <cell r="S8">
            <v>2000</v>
          </cell>
          <cell r="T8">
            <v>3000</v>
          </cell>
          <cell r="U8">
            <v>4000</v>
          </cell>
          <cell r="V8">
            <v>4000</v>
          </cell>
          <cell r="W8">
            <v>5000</v>
          </cell>
          <cell r="X8">
            <v>5000</v>
          </cell>
          <cell r="Y8">
            <v>0</v>
          </cell>
          <cell r="Z8">
            <v>5</v>
          </cell>
          <cell r="AA8">
            <v>3000</v>
          </cell>
          <cell r="AB8">
            <v>6000</v>
          </cell>
          <cell r="AC8">
            <v>7000</v>
          </cell>
          <cell r="AD8">
            <v>8000</v>
          </cell>
          <cell r="AE8">
            <v>9000</v>
          </cell>
          <cell r="AF8">
            <v>9000</v>
          </cell>
          <cell r="AG8">
            <v>0</v>
          </cell>
          <cell r="AH8">
            <v>5</v>
          </cell>
          <cell r="AI8">
            <v>2000</v>
          </cell>
          <cell r="AJ8">
            <v>4000</v>
          </cell>
          <cell r="AK8">
            <v>4000</v>
          </cell>
          <cell r="AL8">
            <v>5000</v>
          </cell>
          <cell r="AM8">
            <v>5000</v>
          </cell>
          <cell r="AN8">
            <v>6000</v>
          </cell>
          <cell r="AO8">
            <v>0</v>
          </cell>
          <cell r="AP8">
            <v>5</v>
          </cell>
          <cell r="AQ8">
            <v>6000</v>
          </cell>
          <cell r="AR8">
            <v>10000</v>
          </cell>
          <cell r="AS8">
            <v>12000</v>
          </cell>
          <cell r="AT8">
            <v>13000</v>
          </cell>
          <cell r="AU8">
            <v>15000</v>
          </cell>
          <cell r="AV8">
            <v>15000</v>
          </cell>
          <cell r="AW8">
            <v>0</v>
          </cell>
          <cell r="AX8">
            <v>5</v>
          </cell>
          <cell r="AY8">
            <v>9000</v>
          </cell>
          <cell r="AZ8">
            <v>16000</v>
          </cell>
          <cell r="BA8">
            <v>19000</v>
          </cell>
          <cell r="BB8">
            <v>21000</v>
          </cell>
          <cell r="BC8">
            <v>23000</v>
          </cell>
          <cell r="BD8">
            <v>25000</v>
          </cell>
        </row>
        <row r="9">
          <cell r="B9">
            <v>6</v>
          </cell>
          <cell r="C9">
            <v>3000</v>
          </cell>
          <cell r="D9">
            <v>4000</v>
          </cell>
          <cell r="E9">
            <v>5000</v>
          </cell>
          <cell r="F9">
            <v>6000</v>
          </cell>
          <cell r="G9">
            <v>6000</v>
          </cell>
          <cell r="H9">
            <v>7000</v>
          </cell>
          <cell r="I9">
            <v>0</v>
          </cell>
          <cell r="J9">
            <v>6</v>
          </cell>
          <cell r="K9">
            <v>3000</v>
          </cell>
          <cell r="L9">
            <v>6000</v>
          </cell>
          <cell r="M9">
            <v>7000</v>
          </cell>
          <cell r="N9">
            <v>8000</v>
          </cell>
          <cell r="O9">
            <v>8000</v>
          </cell>
          <cell r="P9">
            <v>9000</v>
          </cell>
          <cell r="Q9">
            <v>0</v>
          </cell>
          <cell r="R9">
            <v>6</v>
          </cell>
          <cell r="S9">
            <v>2000</v>
          </cell>
          <cell r="T9">
            <v>4000</v>
          </cell>
          <cell r="U9">
            <v>4000</v>
          </cell>
          <cell r="V9">
            <v>5000</v>
          </cell>
          <cell r="W9">
            <v>5000</v>
          </cell>
          <cell r="X9">
            <v>5000</v>
          </cell>
          <cell r="Y9">
            <v>0</v>
          </cell>
          <cell r="Z9">
            <v>6</v>
          </cell>
          <cell r="AA9">
            <v>4000</v>
          </cell>
          <cell r="AB9">
            <v>7000</v>
          </cell>
          <cell r="AC9">
            <v>8000</v>
          </cell>
          <cell r="AD9">
            <v>9000</v>
          </cell>
          <cell r="AE9">
            <v>9000</v>
          </cell>
          <cell r="AF9">
            <v>10000</v>
          </cell>
          <cell r="AG9">
            <v>0</v>
          </cell>
          <cell r="AH9">
            <v>6</v>
          </cell>
          <cell r="AI9">
            <v>2000</v>
          </cell>
          <cell r="AJ9">
            <v>4000</v>
          </cell>
          <cell r="AK9">
            <v>5000</v>
          </cell>
          <cell r="AL9">
            <v>5000</v>
          </cell>
          <cell r="AM9">
            <v>6000</v>
          </cell>
          <cell r="AN9">
            <v>6000</v>
          </cell>
          <cell r="AO9">
            <v>0</v>
          </cell>
          <cell r="AP9">
            <v>6</v>
          </cell>
          <cell r="AQ9">
            <v>6000</v>
          </cell>
          <cell r="AR9">
            <v>11000</v>
          </cell>
          <cell r="AS9">
            <v>13000</v>
          </cell>
          <cell r="AT9">
            <v>15000</v>
          </cell>
          <cell r="AU9">
            <v>16000</v>
          </cell>
          <cell r="AV9">
            <v>17000</v>
          </cell>
          <cell r="AW9">
            <v>0</v>
          </cell>
          <cell r="AX9">
            <v>6</v>
          </cell>
          <cell r="AY9">
            <v>10000</v>
          </cell>
          <cell r="AZ9">
            <v>18000</v>
          </cell>
          <cell r="BA9">
            <v>21000</v>
          </cell>
          <cell r="BB9">
            <v>23000</v>
          </cell>
          <cell r="BC9">
            <v>26000</v>
          </cell>
          <cell r="BD9">
            <v>27000</v>
          </cell>
        </row>
        <row r="10">
          <cell r="B10">
            <v>7</v>
          </cell>
          <cell r="C10">
            <v>3000</v>
          </cell>
          <cell r="D10">
            <v>5000</v>
          </cell>
          <cell r="E10">
            <v>6000</v>
          </cell>
          <cell r="F10">
            <v>6000</v>
          </cell>
          <cell r="G10">
            <v>7000</v>
          </cell>
          <cell r="H10">
            <v>7000</v>
          </cell>
          <cell r="I10">
            <v>0</v>
          </cell>
          <cell r="J10">
            <v>7</v>
          </cell>
          <cell r="K10">
            <v>4000</v>
          </cell>
          <cell r="L10">
            <v>6000</v>
          </cell>
          <cell r="M10">
            <v>8000</v>
          </cell>
          <cell r="N10">
            <v>8000</v>
          </cell>
          <cell r="O10">
            <v>9000</v>
          </cell>
          <cell r="P10">
            <v>10000</v>
          </cell>
          <cell r="Q10">
            <v>0</v>
          </cell>
          <cell r="R10">
            <v>7</v>
          </cell>
          <cell r="S10">
            <v>2000</v>
          </cell>
          <cell r="T10">
            <v>4000</v>
          </cell>
          <cell r="U10">
            <v>5000</v>
          </cell>
          <cell r="V10">
            <v>5000</v>
          </cell>
          <cell r="W10">
            <v>6000</v>
          </cell>
          <cell r="X10">
            <v>6000</v>
          </cell>
          <cell r="Y10">
            <v>0</v>
          </cell>
          <cell r="Z10">
            <v>7</v>
          </cell>
          <cell r="AA10">
            <v>4000</v>
          </cell>
          <cell r="AB10">
            <v>7000</v>
          </cell>
          <cell r="AC10">
            <v>8000</v>
          </cell>
          <cell r="AD10">
            <v>9000</v>
          </cell>
          <cell r="AE10">
            <v>10000</v>
          </cell>
          <cell r="AF10">
            <v>11000</v>
          </cell>
          <cell r="AG10">
            <v>0</v>
          </cell>
          <cell r="AH10">
            <v>7</v>
          </cell>
          <cell r="AI10">
            <v>3000</v>
          </cell>
          <cell r="AJ10">
            <v>5000</v>
          </cell>
          <cell r="AK10">
            <v>5000</v>
          </cell>
          <cell r="AL10">
            <v>6000</v>
          </cell>
          <cell r="AM10">
            <v>7000</v>
          </cell>
          <cell r="AN10">
            <v>7000</v>
          </cell>
          <cell r="AO10">
            <v>0</v>
          </cell>
          <cell r="AP10">
            <v>7</v>
          </cell>
          <cell r="AQ10">
            <v>7000</v>
          </cell>
          <cell r="AR10">
            <v>12000</v>
          </cell>
          <cell r="AS10">
            <v>14000</v>
          </cell>
          <cell r="AT10">
            <v>16000</v>
          </cell>
          <cell r="AU10">
            <v>18000</v>
          </cell>
          <cell r="AV10">
            <v>18000</v>
          </cell>
          <cell r="AW10">
            <v>0</v>
          </cell>
          <cell r="AX10">
            <v>7</v>
          </cell>
          <cell r="AY10">
            <v>11000</v>
          </cell>
          <cell r="AZ10">
            <v>20000</v>
          </cell>
          <cell r="BA10">
            <v>23000</v>
          </cell>
          <cell r="BB10">
            <v>26000</v>
          </cell>
          <cell r="BC10">
            <v>28000</v>
          </cell>
          <cell r="BD10">
            <v>30000</v>
          </cell>
        </row>
        <row r="11">
          <cell r="B11">
            <v>8</v>
          </cell>
          <cell r="C11">
            <v>3000</v>
          </cell>
          <cell r="D11">
            <v>6000</v>
          </cell>
          <cell r="E11">
            <v>6000</v>
          </cell>
          <cell r="F11">
            <v>7000</v>
          </cell>
          <cell r="G11">
            <v>8000</v>
          </cell>
          <cell r="H11">
            <v>8000</v>
          </cell>
          <cell r="I11">
            <v>0</v>
          </cell>
          <cell r="J11">
            <v>8</v>
          </cell>
          <cell r="K11">
            <v>4000</v>
          </cell>
          <cell r="L11">
            <v>7000</v>
          </cell>
          <cell r="M11">
            <v>8000</v>
          </cell>
          <cell r="N11">
            <v>9000</v>
          </cell>
          <cell r="O11">
            <v>10000</v>
          </cell>
          <cell r="P11">
            <v>11000</v>
          </cell>
          <cell r="Q11">
            <v>0</v>
          </cell>
          <cell r="R11">
            <v>8</v>
          </cell>
          <cell r="S11">
            <v>3000</v>
          </cell>
          <cell r="T11">
            <v>4000</v>
          </cell>
          <cell r="U11">
            <v>5000</v>
          </cell>
          <cell r="V11">
            <v>6000</v>
          </cell>
          <cell r="W11">
            <v>6000</v>
          </cell>
          <cell r="X11">
            <v>7000</v>
          </cell>
          <cell r="Y11">
            <v>0</v>
          </cell>
          <cell r="Z11">
            <v>8</v>
          </cell>
          <cell r="AA11">
            <v>4000</v>
          </cell>
          <cell r="AB11">
            <v>8000</v>
          </cell>
          <cell r="AC11">
            <v>9000</v>
          </cell>
          <cell r="AD11">
            <v>10000</v>
          </cell>
          <cell r="AE11">
            <v>11000</v>
          </cell>
          <cell r="AF11">
            <v>12000</v>
          </cell>
          <cell r="AG11">
            <v>0</v>
          </cell>
          <cell r="AH11">
            <v>8</v>
          </cell>
          <cell r="AI11">
            <v>3000</v>
          </cell>
          <cell r="AJ11">
            <v>5000</v>
          </cell>
          <cell r="AK11">
            <v>6000</v>
          </cell>
          <cell r="AL11">
            <v>6000</v>
          </cell>
          <cell r="AM11">
            <v>7000</v>
          </cell>
          <cell r="AN11">
            <v>8000</v>
          </cell>
          <cell r="AO11">
            <v>0</v>
          </cell>
          <cell r="AP11">
            <v>8</v>
          </cell>
          <cell r="AQ11">
            <v>8000</v>
          </cell>
          <cell r="AR11">
            <v>14000</v>
          </cell>
          <cell r="AS11">
            <v>16000</v>
          </cell>
          <cell r="AT11">
            <v>18000</v>
          </cell>
          <cell r="AU11">
            <v>19000</v>
          </cell>
          <cell r="AV11">
            <v>20000</v>
          </cell>
          <cell r="AW11">
            <v>0</v>
          </cell>
          <cell r="AX11">
            <v>8</v>
          </cell>
          <cell r="AY11">
            <v>12000</v>
          </cell>
          <cell r="AZ11">
            <v>22000</v>
          </cell>
          <cell r="BA11">
            <v>26000</v>
          </cell>
          <cell r="BB11">
            <v>28000</v>
          </cell>
          <cell r="BC11">
            <v>31000</v>
          </cell>
          <cell r="BD11">
            <v>33000</v>
          </cell>
        </row>
        <row r="12">
          <cell r="B12">
            <v>9</v>
          </cell>
          <cell r="C12">
            <v>3000</v>
          </cell>
          <cell r="D12">
            <v>6000</v>
          </cell>
          <cell r="E12">
            <v>7000</v>
          </cell>
          <cell r="F12">
            <v>8000</v>
          </cell>
          <cell r="G12">
            <v>9000</v>
          </cell>
          <cell r="H12">
            <v>9000</v>
          </cell>
          <cell r="I12">
            <v>0</v>
          </cell>
          <cell r="J12">
            <v>9</v>
          </cell>
          <cell r="K12">
            <v>4000</v>
          </cell>
          <cell r="L12">
            <v>8000</v>
          </cell>
          <cell r="M12">
            <v>9000</v>
          </cell>
          <cell r="N12">
            <v>10000</v>
          </cell>
          <cell r="O12">
            <v>11000</v>
          </cell>
          <cell r="P12">
            <v>12000</v>
          </cell>
          <cell r="Q12">
            <v>0</v>
          </cell>
          <cell r="R12">
            <v>9</v>
          </cell>
          <cell r="S12">
            <v>3000</v>
          </cell>
          <cell r="T12">
            <v>5000</v>
          </cell>
          <cell r="U12">
            <v>6000</v>
          </cell>
          <cell r="V12">
            <v>6000</v>
          </cell>
          <cell r="W12">
            <v>7000</v>
          </cell>
          <cell r="X12">
            <v>7000</v>
          </cell>
          <cell r="Y12">
            <v>0</v>
          </cell>
          <cell r="Z12">
            <v>9</v>
          </cell>
          <cell r="AA12">
            <v>5000</v>
          </cell>
          <cell r="AB12">
            <v>9000</v>
          </cell>
          <cell r="AC12">
            <v>10000</v>
          </cell>
          <cell r="AD12">
            <v>11000</v>
          </cell>
          <cell r="AE12">
            <v>13000</v>
          </cell>
          <cell r="AF12">
            <v>13000</v>
          </cell>
          <cell r="AG12">
            <v>0</v>
          </cell>
          <cell r="AH12">
            <v>9</v>
          </cell>
          <cell r="AI12">
            <v>3000</v>
          </cell>
          <cell r="AJ12">
            <v>6000</v>
          </cell>
          <cell r="AK12">
            <v>6000</v>
          </cell>
          <cell r="AL12">
            <v>7000</v>
          </cell>
          <cell r="AM12">
            <v>8000</v>
          </cell>
          <cell r="AN12">
            <v>8000</v>
          </cell>
          <cell r="AO12">
            <v>0</v>
          </cell>
          <cell r="AP12">
            <v>9</v>
          </cell>
          <cell r="AQ12">
            <v>8000</v>
          </cell>
          <cell r="AR12">
            <v>15000</v>
          </cell>
          <cell r="AS12">
            <v>17000</v>
          </cell>
          <cell r="AT12">
            <v>19000</v>
          </cell>
          <cell r="AU12">
            <v>21000</v>
          </cell>
          <cell r="AV12">
            <v>22000</v>
          </cell>
          <cell r="AW12">
            <v>0</v>
          </cell>
          <cell r="AX12">
            <v>9</v>
          </cell>
          <cell r="AY12">
            <v>13000</v>
          </cell>
          <cell r="AZ12">
            <v>24000</v>
          </cell>
          <cell r="BA12">
            <v>28000</v>
          </cell>
          <cell r="BB12">
            <v>31000</v>
          </cell>
          <cell r="BC12">
            <v>34000</v>
          </cell>
          <cell r="BD12">
            <v>36000</v>
          </cell>
        </row>
        <row r="13">
          <cell r="B13">
            <v>10</v>
          </cell>
          <cell r="C13">
            <v>4000</v>
          </cell>
          <cell r="D13">
            <v>7000</v>
          </cell>
          <cell r="E13">
            <v>8000</v>
          </cell>
          <cell r="F13">
            <v>9000</v>
          </cell>
          <cell r="G13">
            <v>9000</v>
          </cell>
          <cell r="H13">
            <v>10000</v>
          </cell>
          <cell r="I13">
            <v>0</v>
          </cell>
          <cell r="J13">
            <v>10</v>
          </cell>
          <cell r="K13">
            <v>5000</v>
          </cell>
          <cell r="L13">
            <v>9000</v>
          </cell>
          <cell r="M13">
            <v>10000</v>
          </cell>
          <cell r="N13">
            <v>11000</v>
          </cell>
          <cell r="O13">
            <v>12000</v>
          </cell>
          <cell r="P13">
            <v>13000</v>
          </cell>
          <cell r="Q13">
            <v>0</v>
          </cell>
          <cell r="R13">
            <v>10</v>
          </cell>
          <cell r="S13">
            <v>3000</v>
          </cell>
          <cell r="T13">
            <v>5000</v>
          </cell>
          <cell r="U13">
            <v>6000</v>
          </cell>
          <cell r="V13">
            <v>7000</v>
          </cell>
          <cell r="W13">
            <v>8000</v>
          </cell>
          <cell r="X13">
            <v>8000</v>
          </cell>
          <cell r="Y13">
            <v>0</v>
          </cell>
          <cell r="Z13">
            <v>10</v>
          </cell>
          <cell r="AA13">
            <v>5000</v>
          </cell>
          <cell r="AB13">
            <v>10000</v>
          </cell>
          <cell r="AC13">
            <v>11000</v>
          </cell>
          <cell r="AD13">
            <v>13000</v>
          </cell>
          <cell r="AE13">
            <v>14000</v>
          </cell>
          <cell r="AF13">
            <v>15000</v>
          </cell>
          <cell r="AG13">
            <v>0</v>
          </cell>
          <cell r="AH13">
            <v>10</v>
          </cell>
          <cell r="AI13">
            <v>3000</v>
          </cell>
          <cell r="AJ13">
            <v>6000</v>
          </cell>
          <cell r="AK13">
            <v>7000</v>
          </cell>
          <cell r="AL13">
            <v>8000</v>
          </cell>
          <cell r="AM13">
            <v>9000</v>
          </cell>
          <cell r="AN13">
            <v>9000</v>
          </cell>
          <cell r="AO13">
            <v>0</v>
          </cell>
          <cell r="AP13">
            <v>10</v>
          </cell>
          <cell r="AQ13">
            <v>9000</v>
          </cell>
          <cell r="AR13">
            <v>16000</v>
          </cell>
          <cell r="AS13">
            <v>19000</v>
          </cell>
          <cell r="AT13">
            <v>21000</v>
          </cell>
          <cell r="AU13">
            <v>23000</v>
          </cell>
          <cell r="AV13">
            <v>25000</v>
          </cell>
          <cell r="AW13">
            <v>0</v>
          </cell>
          <cell r="AX13">
            <v>10</v>
          </cell>
          <cell r="AY13">
            <v>15000</v>
          </cell>
          <cell r="AZ13">
            <v>26000</v>
          </cell>
          <cell r="BA13">
            <v>31000</v>
          </cell>
          <cell r="BB13">
            <v>34000</v>
          </cell>
          <cell r="BC13">
            <v>38000</v>
          </cell>
          <cell r="BD13">
            <v>40000</v>
          </cell>
        </row>
        <row r="14">
          <cell r="B14">
            <v>11</v>
          </cell>
          <cell r="C14">
            <v>4000</v>
          </cell>
          <cell r="D14">
            <v>7000</v>
          </cell>
          <cell r="E14">
            <v>9000</v>
          </cell>
          <cell r="F14">
            <v>9000</v>
          </cell>
          <cell r="G14">
            <v>10000</v>
          </cell>
          <cell r="H14">
            <v>11000</v>
          </cell>
          <cell r="I14">
            <v>0</v>
          </cell>
          <cell r="J14">
            <v>11</v>
          </cell>
          <cell r="K14">
            <v>5000</v>
          </cell>
          <cell r="L14">
            <v>9000</v>
          </cell>
          <cell r="M14">
            <v>11000</v>
          </cell>
          <cell r="N14">
            <v>12000</v>
          </cell>
          <cell r="O14">
            <v>13000</v>
          </cell>
          <cell r="P14">
            <v>14000</v>
          </cell>
          <cell r="Q14">
            <v>0</v>
          </cell>
          <cell r="R14">
            <v>11</v>
          </cell>
          <cell r="S14">
            <v>3000</v>
          </cell>
          <cell r="T14">
            <v>6000</v>
          </cell>
          <cell r="U14">
            <v>7000</v>
          </cell>
          <cell r="V14">
            <v>8000</v>
          </cell>
          <cell r="W14">
            <v>8000</v>
          </cell>
          <cell r="X14">
            <v>9000</v>
          </cell>
          <cell r="Y14">
            <v>0</v>
          </cell>
          <cell r="Z14">
            <v>11</v>
          </cell>
          <cell r="AA14">
            <v>6000</v>
          </cell>
          <cell r="AB14">
            <v>11000</v>
          </cell>
          <cell r="AC14">
            <v>12000</v>
          </cell>
          <cell r="AD14">
            <v>14000</v>
          </cell>
          <cell r="AE14">
            <v>15000</v>
          </cell>
          <cell r="AF14">
            <v>16000</v>
          </cell>
          <cell r="AG14">
            <v>0</v>
          </cell>
          <cell r="AH14">
            <v>11</v>
          </cell>
          <cell r="AI14">
            <v>4000</v>
          </cell>
          <cell r="AJ14">
            <v>7000</v>
          </cell>
          <cell r="AK14">
            <v>8000</v>
          </cell>
          <cell r="AL14">
            <v>9000</v>
          </cell>
          <cell r="AM14">
            <v>9000</v>
          </cell>
          <cell r="AN14">
            <v>10000</v>
          </cell>
          <cell r="AO14">
            <v>0</v>
          </cell>
          <cell r="AP14">
            <v>11</v>
          </cell>
          <cell r="AQ14">
            <v>10000</v>
          </cell>
          <cell r="AR14">
            <v>18000</v>
          </cell>
          <cell r="AS14">
            <v>21000</v>
          </cell>
          <cell r="AT14">
            <v>23000</v>
          </cell>
          <cell r="AU14">
            <v>26000</v>
          </cell>
          <cell r="AV14">
            <v>27000</v>
          </cell>
          <cell r="AW14">
            <v>0</v>
          </cell>
          <cell r="AX14">
            <v>11</v>
          </cell>
          <cell r="AY14">
            <v>16000</v>
          </cell>
          <cell r="AZ14">
            <v>29000</v>
          </cell>
          <cell r="BA14">
            <v>34000</v>
          </cell>
          <cell r="BB14">
            <v>38000</v>
          </cell>
          <cell r="BC14">
            <v>41000</v>
          </cell>
          <cell r="BD14">
            <v>44000</v>
          </cell>
        </row>
        <row r="15">
          <cell r="B15">
            <v>12</v>
          </cell>
          <cell r="C15">
            <v>4000</v>
          </cell>
          <cell r="D15">
            <v>8000</v>
          </cell>
          <cell r="E15">
            <v>9000</v>
          </cell>
          <cell r="F15">
            <v>10000</v>
          </cell>
          <cell r="G15">
            <v>11000</v>
          </cell>
          <cell r="H15">
            <v>12000</v>
          </cell>
          <cell r="I15">
            <v>0</v>
          </cell>
          <cell r="J15">
            <v>12</v>
          </cell>
          <cell r="K15">
            <v>6000</v>
          </cell>
          <cell r="L15">
            <v>10000</v>
          </cell>
          <cell r="M15">
            <v>12000</v>
          </cell>
          <cell r="N15">
            <v>14000</v>
          </cell>
          <cell r="O15">
            <v>15000</v>
          </cell>
          <cell r="P15">
            <v>16000</v>
          </cell>
          <cell r="Q15">
            <v>0</v>
          </cell>
          <cell r="R15">
            <v>12</v>
          </cell>
          <cell r="S15">
            <v>4000</v>
          </cell>
          <cell r="T15">
            <v>6000</v>
          </cell>
          <cell r="U15">
            <v>8000</v>
          </cell>
          <cell r="V15">
            <v>8000</v>
          </cell>
          <cell r="W15">
            <v>9000</v>
          </cell>
          <cell r="X15">
            <v>10000</v>
          </cell>
          <cell r="Y15">
            <v>0</v>
          </cell>
          <cell r="Z15">
            <v>12</v>
          </cell>
          <cell r="AA15">
            <v>7000</v>
          </cell>
          <cell r="AB15">
            <v>12000</v>
          </cell>
          <cell r="AC15">
            <v>14000</v>
          </cell>
          <cell r="AD15">
            <v>15000</v>
          </cell>
          <cell r="AE15">
            <v>17000</v>
          </cell>
          <cell r="AF15">
            <v>18000</v>
          </cell>
          <cell r="AG15">
            <v>0</v>
          </cell>
          <cell r="AH15">
            <v>12</v>
          </cell>
          <cell r="AI15">
            <v>4000</v>
          </cell>
          <cell r="AJ15">
            <v>7000</v>
          </cell>
          <cell r="AK15">
            <v>9000</v>
          </cell>
          <cell r="AL15">
            <v>10000</v>
          </cell>
          <cell r="AM15">
            <v>11000</v>
          </cell>
          <cell r="AN15">
            <v>11000</v>
          </cell>
          <cell r="AO15">
            <v>0</v>
          </cell>
          <cell r="AP15">
            <v>12</v>
          </cell>
          <cell r="AQ15">
            <v>11000</v>
          </cell>
          <cell r="AR15">
            <v>20000</v>
          </cell>
          <cell r="AS15">
            <v>23000</v>
          </cell>
          <cell r="AT15">
            <v>26000</v>
          </cell>
          <cell r="AU15">
            <v>28000</v>
          </cell>
          <cell r="AV15">
            <v>30000</v>
          </cell>
          <cell r="AW15">
            <v>0</v>
          </cell>
          <cell r="AX15">
            <v>12</v>
          </cell>
          <cell r="AY15">
            <v>18000</v>
          </cell>
          <cell r="AZ15">
            <v>32000</v>
          </cell>
          <cell r="BA15">
            <v>38000</v>
          </cell>
          <cell r="BB15">
            <v>42000</v>
          </cell>
          <cell r="BC15">
            <v>46000</v>
          </cell>
          <cell r="BD15">
            <v>48000</v>
          </cell>
        </row>
        <row r="16">
          <cell r="B16">
            <v>13</v>
          </cell>
          <cell r="C16">
            <v>5000</v>
          </cell>
          <cell r="D16">
            <v>9000</v>
          </cell>
          <cell r="E16">
            <v>10000</v>
          </cell>
          <cell r="F16">
            <v>11000</v>
          </cell>
          <cell r="G16">
            <v>13000</v>
          </cell>
          <cell r="H16">
            <v>13000</v>
          </cell>
          <cell r="I16">
            <v>0</v>
          </cell>
          <cell r="J16">
            <v>13</v>
          </cell>
          <cell r="K16">
            <v>6000</v>
          </cell>
          <cell r="L16">
            <v>11000</v>
          </cell>
          <cell r="M16">
            <v>13000</v>
          </cell>
          <cell r="N16">
            <v>15000</v>
          </cell>
          <cell r="O16">
            <v>16000</v>
          </cell>
          <cell r="P16">
            <v>17000</v>
          </cell>
          <cell r="Q16">
            <v>0</v>
          </cell>
          <cell r="R16">
            <v>13</v>
          </cell>
          <cell r="S16">
            <v>4000</v>
          </cell>
          <cell r="T16">
            <v>7000</v>
          </cell>
          <cell r="U16">
            <v>8000</v>
          </cell>
          <cell r="V16">
            <v>9000</v>
          </cell>
          <cell r="W16">
            <v>10000</v>
          </cell>
          <cell r="X16">
            <v>11000</v>
          </cell>
          <cell r="Y16">
            <v>0</v>
          </cell>
          <cell r="Z16">
            <v>13</v>
          </cell>
          <cell r="AA16">
            <v>7000</v>
          </cell>
          <cell r="AB16">
            <v>13000</v>
          </cell>
          <cell r="AC16">
            <v>15000</v>
          </cell>
          <cell r="AD16">
            <v>17000</v>
          </cell>
          <cell r="AE16">
            <v>18000</v>
          </cell>
          <cell r="AF16">
            <v>19000</v>
          </cell>
          <cell r="AG16">
            <v>0</v>
          </cell>
          <cell r="AH16">
            <v>13</v>
          </cell>
          <cell r="AI16">
            <v>5000</v>
          </cell>
          <cell r="AJ16">
            <v>8000</v>
          </cell>
          <cell r="AK16">
            <v>9000</v>
          </cell>
          <cell r="AL16">
            <v>11000</v>
          </cell>
          <cell r="AM16">
            <v>11000</v>
          </cell>
          <cell r="AN16">
            <v>12000</v>
          </cell>
          <cell r="AO16">
            <v>0</v>
          </cell>
          <cell r="AP16">
            <v>13</v>
          </cell>
          <cell r="AQ16">
            <v>12000</v>
          </cell>
          <cell r="AR16">
            <v>22000</v>
          </cell>
          <cell r="AS16">
            <v>25000</v>
          </cell>
          <cell r="AT16">
            <v>28000</v>
          </cell>
          <cell r="AU16">
            <v>31000</v>
          </cell>
          <cell r="AV16">
            <v>33000</v>
          </cell>
          <cell r="AW16">
            <v>0</v>
          </cell>
          <cell r="AX16">
            <v>13</v>
          </cell>
          <cell r="AY16">
            <v>20000</v>
          </cell>
          <cell r="AZ16">
            <v>35000</v>
          </cell>
          <cell r="BA16">
            <v>41000</v>
          </cell>
          <cell r="BB16">
            <v>46000</v>
          </cell>
          <cell r="BC16">
            <v>50000</v>
          </cell>
          <cell r="BD16">
            <v>53000</v>
          </cell>
        </row>
        <row r="17">
          <cell r="B17">
            <v>14</v>
          </cell>
          <cell r="C17">
            <v>5000</v>
          </cell>
          <cell r="D17">
            <v>10000</v>
          </cell>
          <cell r="E17">
            <v>11000</v>
          </cell>
          <cell r="F17">
            <v>13000</v>
          </cell>
          <cell r="G17">
            <v>14000</v>
          </cell>
          <cell r="H17">
            <v>15000</v>
          </cell>
          <cell r="I17">
            <v>0</v>
          </cell>
          <cell r="J17">
            <v>14</v>
          </cell>
          <cell r="K17">
            <v>7000</v>
          </cell>
          <cell r="L17">
            <v>13000</v>
          </cell>
          <cell r="M17">
            <v>15000</v>
          </cell>
          <cell r="N17">
            <v>16000</v>
          </cell>
          <cell r="O17">
            <v>18000</v>
          </cell>
          <cell r="P17">
            <v>19000</v>
          </cell>
          <cell r="Q17">
            <v>0</v>
          </cell>
          <cell r="R17">
            <v>14</v>
          </cell>
          <cell r="S17">
            <v>4000</v>
          </cell>
          <cell r="T17">
            <v>8000</v>
          </cell>
          <cell r="U17">
            <v>9000</v>
          </cell>
          <cell r="V17">
            <v>10000</v>
          </cell>
          <cell r="W17">
            <v>11000</v>
          </cell>
          <cell r="X17">
            <v>12000</v>
          </cell>
          <cell r="Y17">
            <v>0</v>
          </cell>
          <cell r="Z17">
            <v>14</v>
          </cell>
          <cell r="AA17">
            <v>8000</v>
          </cell>
          <cell r="AB17">
            <v>14000</v>
          </cell>
          <cell r="AC17">
            <v>16000</v>
          </cell>
          <cell r="AD17">
            <v>18000</v>
          </cell>
          <cell r="AE17">
            <v>20000</v>
          </cell>
          <cell r="AF17">
            <v>21000</v>
          </cell>
          <cell r="AG17">
            <v>0</v>
          </cell>
          <cell r="AH17">
            <v>14</v>
          </cell>
          <cell r="AI17">
            <v>5000</v>
          </cell>
          <cell r="AJ17">
            <v>9000</v>
          </cell>
          <cell r="AK17">
            <v>10000</v>
          </cell>
          <cell r="AL17">
            <v>12000</v>
          </cell>
          <cell r="AM17">
            <v>13000</v>
          </cell>
          <cell r="AN17">
            <v>13000</v>
          </cell>
          <cell r="AO17">
            <v>0</v>
          </cell>
          <cell r="AP17">
            <v>14</v>
          </cell>
          <cell r="AQ17">
            <v>13000</v>
          </cell>
          <cell r="AR17">
            <v>24000</v>
          </cell>
          <cell r="AS17">
            <v>28000</v>
          </cell>
          <cell r="AT17">
            <v>31000</v>
          </cell>
          <cell r="AU17">
            <v>34000</v>
          </cell>
          <cell r="AV17">
            <v>36000</v>
          </cell>
          <cell r="AW17">
            <v>0</v>
          </cell>
          <cell r="AX17">
            <v>14</v>
          </cell>
          <cell r="AY17">
            <v>22000</v>
          </cell>
          <cell r="AZ17">
            <v>39000</v>
          </cell>
          <cell r="BA17">
            <v>45000</v>
          </cell>
          <cell r="BB17">
            <v>50000</v>
          </cell>
          <cell r="BC17">
            <v>55000</v>
          </cell>
          <cell r="BD17">
            <v>58000</v>
          </cell>
        </row>
        <row r="18">
          <cell r="B18">
            <v>15</v>
          </cell>
          <cell r="C18">
            <v>6000</v>
          </cell>
          <cell r="D18">
            <v>11000</v>
          </cell>
          <cell r="E18">
            <v>13000</v>
          </cell>
          <cell r="F18">
            <v>14000</v>
          </cell>
          <cell r="G18">
            <v>15000</v>
          </cell>
          <cell r="H18">
            <v>16000</v>
          </cell>
          <cell r="I18">
            <v>0</v>
          </cell>
          <cell r="J18">
            <v>15</v>
          </cell>
          <cell r="K18">
            <v>8000</v>
          </cell>
          <cell r="L18">
            <v>14000</v>
          </cell>
          <cell r="M18">
            <v>16000</v>
          </cell>
          <cell r="N18">
            <v>18000</v>
          </cell>
          <cell r="O18">
            <v>20000</v>
          </cell>
          <cell r="P18">
            <v>21000</v>
          </cell>
          <cell r="Q18">
            <v>0</v>
          </cell>
          <cell r="R18">
            <v>15</v>
          </cell>
          <cell r="S18">
            <v>5000</v>
          </cell>
          <cell r="T18">
            <v>9000</v>
          </cell>
          <cell r="U18">
            <v>10000</v>
          </cell>
          <cell r="V18">
            <v>11000</v>
          </cell>
          <cell r="W18">
            <v>12000</v>
          </cell>
          <cell r="X18">
            <v>13000</v>
          </cell>
          <cell r="Y18">
            <v>0</v>
          </cell>
          <cell r="Z18">
            <v>15</v>
          </cell>
          <cell r="AA18">
            <v>9000</v>
          </cell>
          <cell r="AB18">
            <v>16000</v>
          </cell>
          <cell r="AC18">
            <v>18000</v>
          </cell>
          <cell r="AD18">
            <v>20000</v>
          </cell>
          <cell r="AE18">
            <v>22000</v>
          </cell>
          <cell r="AF18">
            <v>23000</v>
          </cell>
          <cell r="AG18">
            <v>0</v>
          </cell>
          <cell r="AH18">
            <v>15</v>
          </cell>
          <cell r="AI18">
            <v>6000</v>
          </cell>
          <cell r="AJ18">
            <v>10000</v>
          </cell>
          <cell r="AK18">
            <v>11000</v>
          </cell>
          <cell r="AL18">
            <v>13000</v>
          </cell>
          <cell r="AM18">
            <v>14000</v>
          </cell>
          <cell r="AN18">
            <v>15000</v>
          </cell>
          <cell r="AO18">
            <v>0</v>
          </cell>
          <cell r="AP18">
            <v>15</v>
          </cell>
          <cell r="AQ18">
            <v>15000</v>
          </cell>
          <cell r="AR18">
            <v>26000</v>
          </cell>
          <cell r="AS18">
            <v>31000</v>
          </cell>
          <cell r="AT18">
            <v>34000</v>
          </cell>
          <cell r="AU18">
            <v>38000</v>
          </cell>
          <cell r="AV18">
            <v>40000</v>
          </cell>
          <cell r="AW18">
            <v>0</v>
          </cell>
          <cell r="AX18">
            <v>15</v>
          </cell>
          <cell r="AY18">
            <v>24000</v>
          </cell>
          <cell r="AZ18">
            <v>43000</v>
          </cell>
          <cell r="BA18">
            <v>50000</v>
          </cell>
          <cell r="BB18">
            <v>56000</v>
          </cell>
          <cell r="BC18">
            <v>61000</v>
          </cell>
          <cell r="BD18">
            <v>64000</v>
          </cell>
        </row>
        <row r="19">
          <cell r="B19">
            <v>16</v>
          </cell>
          <cell r="C19">
            <v>7000</v>
          </cell>
          <cell r="D19">
            <v>12000</v>
          </cell>
          <cell r="E19">
            <v>14000</v>
          </cell>
          <cell r="F19">
            <v>15000</v>
          </cell>
          <cell r="G19">
            <v>17000</v>
          </cell>
          <cell r="H19">
            <v>18000</v>
          </cell>
          <cell r="I19">
            <v>0</v>
          </cell>
          <cell r="J19">
            <v>16</v>
          </cell>
          <cell r="K19">
            <v>9000</v>
          </cell>
          <cell r="L19">
            <v>15000</v>
          </cell>
          <cell r="M19">
            <v>18000</v>
          </cell>
          <cell r="N19">
            <v>20000</v>
          </cell>
          <cell r="O19">
            <v>22000</v>
          </cell>
          <cell r="P19">
            <v>23000</v>
          </cell>
          <cell r="Q19">
            <v>0</v>
          </cell>
          <cell r="R19">
            <v>16</v>
          </cell>
          <cell r="S19">
            <v>5000</v>
          </cell>
          <cell r="T19">
            <v>9000</v>
          </cell>
          <cell r="U19">
            <v>11000</v>
          </cell>
          <cell r="V19">
            <v>12000</v>
          </cell>
          <cell r="W19">
            <v>13000</v>
          </cell>
          <cell r="X19">
            <v>14000</v>
          </cell>
          <cell r="Y19">
            <v>0</v>
          </cell>
          <cell r="Z19">
            <v>16</v>
          </cell>
          <cell r="AA19">
            <v>10000</v>
          </cell>
          <cell r="AB19">
            <v>17000</v>
          </cell>
          <cell r="AC19">
            <v>20000</v>
          </cell>
          <cell r="AD19">
            <v>22000</v>
          </cell>
          <cell r="AE19">
            <v>24000</v>
          </cell>
          <cell r="AF19">
            <v>26000</v>
          </cell>
          <cell r="AG19">
            <v>0</v>
          </cell>
          <cell r="AH19">
            <v>16</v>
          </cell>
          <cell r="AI19">
            <v>6000</v>
          </cell>
          <cell r="AJ19">
            <v>11000</v>
          </cell>
          <cell r="AK19">
            <v>13000</v>
          </cell>
          <cell r="AL19">
            <v>14000</v>
          </cell>
          <cell r="AM19">
            <v>15000</v>
          </cell>
          <cell r="AN19">
            <v>16000</v>
          </cell>
          <cell r="AO19">
            <v>0</v>
          </cell>
          <cell r="AP19">
            <v>16</v>
          </cell>
          <cell r="AQ19">
            <v>16000</v>
          </cell>
          <cell r="AR19">
            <v>29000</v>
          </cell>
          <cell r="AS19">
            <v>34000</v>
          </cell>
          <cell r="AT19">
            <v>38000</v>
          </cell>
          <cell r="AU19">
            <v>41000</v>
          </cell>
          <cell r="AV19">
            <v>44000</v>
          </cell>
          <cell r="AW19">
            <v>0</v>
          </cell>
          <cell r="AX19">
            <v>16</v>
          </cell>
          <cell r="AY19">
            <v>26000</v>
          </cell>
          <cell r="AZ19">
            <v>47000</v>
          </cell>
          <cell r="BA19">
            <v>55000</v>
          </cell>
          <cell r="BB19">
            <v>61000</v>
          </cell>
          <cell r="BC19">
            <v>67000</v>
          </cell>
          <cell r="BD19">
            <v>70000</v>
          </cell>
        </row>
        <row r="20">
          <cell r="B20">
            <v>17</v>
          </cell>
          <cell r="C20">
            <v>7000</v>
          </cell>
          <cell r="D20">
            <v>13000</v>
          </cell>
          <cell r="E20">
            <v>15000</v>
          </cell>
          <cell r="F20">
            <v>17000</v>
          </cell>
          <cell r="G20">
            <v>18000</v>
          </cell>
          <cell r="H20">
            <v>19000</v>
          </cell>
          <cell r="I20">
            <v>0</v>
          </cell>
          <cell r="J20">
            <v>17</v>
          </cell>
          <cell r="K20">
            <v>9000</v>
          </cell>
          <cell r="L20">
            <v>17000</v>
          </cell>
          <cell r="M20">
            <v>20000</v>
          </cell>
          <cell r="N20">
            <v>22000</v>
          </cell>
          <cell r="O20">
            <v>24000</v>
          </cell>
          <cell r="P20">
            <v>25000</v>
          </cell>
          <cell r="Q20">
            <v>0</v>
          </cell>
          <cell r="R20">
            <v>17</v>
          </cell>
          <cell r="S20">
            <v>6000</v>
          </cell>
          <cell r="T20">
            <v>10000</v>
          </cell>
          <cell r="U20">
            <v>12000</v>
          </cell>
          <cell r="V20">
            <v>13000</v>
          </cell>
          <cell r="W20">
            <v>15000</v>
          </cell>
          <cell r="X20">
            <v>16000</v>
          </cell>
          <cell r="Y20">
            <v>0</v>
          </cell>
          <cell r="Z20">
            <v>17</v>
          </cell>
          <cell r="AA20">
            <v>11000</v>
          </cell>
          <cell r="AB20">
            <v>19000</v>
          </cell>
          <cell r="AC20">
            <v>22000</v>
          </cell>
          <cell r="AD20">
            <v>25000</v>
          </cell>
          <cell r="AE20">
            <v>27000</v>
          </cell>
          <cell r="AF20">
            <v>28000</v>
          </cell>
          <cell r="AG20">
            <v>0</v>
          </cell>
          <cell r="AH20">
            <v>17</v>
          </cell>
          <cell r="AI20">
            <v>7000</v>
          </cell>
          <cell r="AJ20">
            <v>12000</v>
          </cell>
          <cell r="AK20">
            <v>14000</v>
          </cell>
          <cell r="AL20">
            <v>15000</v>
          </cell>
          <cell r="AM20">
            <v>17000</v>
          </cell>
          <cell r="AN20">
            <v>18000</v>
          </cell>
          <cell r="AO20">
            <v>0</v>
          </cell>
          <cell r="AP20">
            <v>17</v>
          </cell>
          <cell r="AQ20">
            <v>18000</v>
          </cell>
          <cell r="AR20">
            <v>32000</v>
          </cell>
          <cell r="AS20">
            <v>37000</v>
          </cell>
          <cell r="AT20">
            <v>42000</v>
          </cell>
          <cell r="AU20">
            <v>45000</v>
          </cell>
          <cell r="AV20">
            <v>48000</v>
          </cell>
          <cell r="AW20">
            <v>0</v>
          </cell>
          <cell r="AX20">
            <v>17</v>
          </cell>
          <cell r="AY20">
            <v>29000</v>
          </cell>
          <cell r="AZ20">
            <v>52000</v>
          </cell>
          <cell r="BA20">
            <v>61000</v>
          </cell>
          <cell r="BB20">
            <v>67000</v>
          </cell>
          <cell r="BC20">
            <v>74000</v>
          </cell>
          <cell r="BD20">
            <v>78000</v>
          </cell>
        </row>
        <row r="21">
          <cell r="B21">
            <v>18</v>
          </cell>
          <cell r="C21">
            <v>8000</v>
          </cell>
          <cell r="D21">
            <v>14000</v>
          </cell>
          <cell r="E21">
            <v>17000</v>
          </cell>
          <cell r="F21">
            <v>19000</v>
          </cell>
          <cell r="G21">
            <v>20000</v>
          </cell>
          <cell r="H21">
            <v>21000</v>
          </cell>
          <cell r="I21">
            <v>0</v>
          </cell>
          <cell r="J21">
            <v>18</v>
          </cell>
          <cell r="K21">
            <v>10000</v>
          </cell>
          <cell r="L21">
            <v>18000</v>
          </cell>
          <cell r="M21">
            <v>22000</v>
          </cell>
          <cell r="N21">
            <v>24000</v>
          </cell>
          <cell r="O21">
            <v>26000</v>
          </cell>
          <cell r="P21">
            <v>28000</v>
          </cell>
          <cell r="Q21">
            <v>0</v>
          </cell>
          <cell r="R21">
            <v>18</v>
          </cell>
          <cell r="S21">
            <v>6000</v>
          </cell>
          <cell r="T21">
            <v>11000</v>
          </cell>
          <cell r="U21">
            <v>13000</v>
          </cell>
          <cell r="V21">
            <v>15000</v>
          </cell>
          <cell r="W21">
            <v>16000</v>
          </cell>
          <cell r="X21">
            <v>17000</v>
          </cell>
          <cell r="Y21">
            <v>0</v>
          </cell>
          <cell r="Z21">
            <v>18</v>
          </cell>
          <cell r="AA21">
            <v>12000</v>
          </cell>
          <cell r="AB21">
            <v>21000</v>
          </cell>
          <cell r="AC21">
            <v>24000</v>
          </cell>
          <cell r="AD21">
            <v>27000</v>
          </cell>
          <cell r="AE21">
            <v>30000</v>
          </cell>
          <cell r="AF21">
            <v>31000</v>
          </cell>
          <cell r="AG21">
            <v>0</v>
          </cell>
          <cell r="AH21">
            <v>18</v>
          </cell>
          <cell r="AI21">
            <v>7000</v>
          </cell>
          <cell r="AJ21">
            <v>13000</v>
          </cell>
          <cell r="AK21">
            <v>15000</v>
          </cell>
          <cell r="AL21">
            <v>17000</v>
          </cell>
          <cell r="AM21">
            <v>19000</v>
          </cell>
          <cell r="AN21">
            <v>20000</v>
          </cell>
          <cell r="AO21">
            <v>0</v>
          </cell>
          <cell r="AP21">
            <v>18</v>
          </cell>
          <cell r="AQ21">
            <v>20000</v>
          </cell>
          <cell r="AR21">
            <v>35000</v>
          </cell>
          <cell r="AS21">
            <v>41000</v>
          </cell>
          <cell r="AT21">
            <v>46000</v>
          </cell>
          <cell r="AU21">
            <v>50000</v>
          </cell>
          <cell r="AV21">
            <v>53000</v>
          </cell>
          <cell r="AW21">
            <v>0</v>
          </cell>
          <cell r="AX21">
            <v>18</v>
          </cell>
          <cell r="AY21">
            <v>32000</v>
          </cell>
          <cell r="AZ21">
            <v>57000</v>
          </cell>
          <cell r="BA21">
            <v>67000</v>
          </cell>
          <cell r="BB21">
            <v>74000</v>
          </cell>
          <cell r="BC21">
            <v>81000</v>
          </cell>
          <cell r="BD21">
            <v>85000</v>
          </cell>
        </row>
        <row r="22">
          <cell r="B22">
            <v>19</v>
          </cell>
          <cell r="C22">
            <v>9000</v>
          </cell>
          <cell r="D22">
            <v>16000</v>
          </cell>
          <cell r="E22">
            <v>18000</v>
          </cell>
          <cell r="F22">
            <v>20000</v>
          </cell>
          <cell r="G22">
            <v>22000</v>
          </cell>
          <cell r="H22">
            <v>23000</v>
          </cell>
          <cell r="I22">
            <v>0</v>
          </cell>
          <cell r="J22">
            <v>19</v>
          </cell>
          <cell r="K22">
            <v>11000</v>
          </cell>
          <cell r="L22">
            <v>20000</v>
          </cell>
          <cell r="M22">
            <v>24000</v>
          </cell>
          <cell r="N22">
            <v>26000</v>
          </cell>
          <cell r="O22">
            <v>29000</v>
          </cell>
          <cell r="P22">
            <v>30000</v>
          </cell>
          <cell r="Q22">
            <v>0</v>
          </cell>
          <cell r="R22">
            <v>19</v>
          </cell>
          <cell r="S22">
            <v>7000</v>
          </cell>
          <cell r="T22">
            <v>13000</v>
          </cell>
          <cell r="U22">
            <v>15000</v>
          </cell>
          <cell r="V22">
            <v>16000</v>
          </cell>
          <cell r="W22">
            <v>18000</v>
          </cell>
          <cell r="X22">
            <v>19000</v>
          </cell>
          <cell r="Y22">
            <v>0</v>
          </cell>
          <cell r="Z22">
            <v>19</v>
          </cell>
          <cell r="AA22">
            <v>13000</v>
          </cell>
          <cell r="AB22">
            <v>23000</v>
          </cell>
          <cell r="AC22">
            <v>27000</v>
          </cell>
          <cell r="AD22">
            <v>30000</v>
          </cell>
          <cell r="AE22">
            <v>33000</v>
          </cell>
          <cell r="AF22">
            <v>34000</v>
          </cell>
          <cell r="AG22">
            <v>0</v>
          </cell>
          <cell r="AH22">
            <v>19</v>
          </cell>
          <cell r="AI22">
            <v>8000</v>
          </cell>
          <cell r="AJ22">
            <v>14000</v>
          </cell>
          <cell r="AK22">
            <v>17000</v>
          </cell>
          <cell r="AL22">
            <v>19000</v>
          </cell>
          <cell r="AM22">
            <v>20000</v>
          </cell>
          <cell r="AN22">
            <v>21000</v>
          </cell>
          <cell r="AO22">
            <v>0</v>
          </cell>
          <cell r="AP22">
            <v>19</v>
          </cell>
          <cell r="AQ22">
            <v>22000</v>
          </cell>
          <cell r="AR22">
            <v>39000</v>
          </cell>
          <cell r="AS22">
            <v>45000</v>
          </cell>
          <cell r="AT22">
            <v>50000</v>
          </cell>
          <cell r="AU22">
            <v>55000</v>
          </cell>
          <cell r="AV22">
            <v>58000</v>
          </cell>
          <cell r="AW22">
            <v>0</v>
          </cell>
          <cell r="AX22">
            <v>19</v>
          </cell>
          <cell r="AY22">
            <v>35000</v>
          </cell>
          <cell r="AZ22">
            <v>62000</v>
          </cell>
          <cell r="BA22">
            <v>73000</v>
          </cell>
          <cell r="BB22">
            <v>81000</v>
          </cell>
          <cell r="BC22">
            <v>89000</v>
          </cell>
          <cell r="BD22">
            <v>94000</v>
          </cell>
        </row>
        <row r="23">
          <cell r="B23">
            <v>20</v>
          </cell>
          <cell r="C23">
            <v>10000</v>
          </cell>
          <cell r="D23">
            <v>17000</v>
          </cell>
          <cell r="E23">
            <v>20000</v>
          </cell>
          <cell r="F23">
            <v>22000</v>
          </cell>
          <cell r="G23">
            <v>25000</v>
          </cell>
          <cell r="H23">
            <v>26000</v>
          </cell>
          <cell r="I23">
            <v>0</v>
          </cell>
          <cell r="J23">
            <v>20</v>
          </cell>
          <cell r="K23">
            <v>13000</v>
          </cell>
          <cell r="L23">
            <v>22000</v>
          </cell>
          <cell r="M23">
            <v>26000</v>
          </cell>
          <cell r="N23">
            <v>29000</v>
          </cell>
          <cell r="O23">
            <v>32000</v>
          </cell>
          <cell r="P23">
            <v>33000</v>
          </cell>
          <cell r="Q23">
            <v>0</v>
          </cell>
          <cell r="R23">
            <v>20</v>
          </cell>
          <cell r="S23">
            <v>8000</v>
          </cell>
          <cell r="T23">
            <v>14000</v>
          </cell>
          <cell r="U23">
            <v>16000</v>
          </cell>
          <cell r="V23">
            <v>18000</v>
          </cell>
          <cell r="W23">
            <v>20000</v>
          </cell>
          <cell r="X23">
            <v>21000</v>
          </cell>
          <cell r="Y23">
            <v>0</v>
          </cell>
          <cell r="Z23">
            <v>20</v>
          </cell>
          <cell r="AA23">
            <v>14000</v>
          </cell>
          <cell r="AB23">
            <v>25000</v>
          </cell>
          <cell r="AC23">
            <v>29000</v>
          </cell>
          <cell r="AD23">
            <v>33000</v>
          </cell>
          <cell r="AE23">
            <v>36000</v>
          </cell>
          <cell r="AF23">
            <v>38000</v>
          </cell>
          <cell r="AG23">
            <v>0</v>
          </cell>
          <cell r="AH23">
            <v>20</v>
          </cell>
          <cell r="AI23">
            <v>9000</v>
          </cell>
          <cell r="AJ23">
            <v>16000</v>
          </cell>
          <cell r="AK23">
            <v>18000</v>
          </cell>
          <cell r="AL23">
            <v>21000</v>
          </cell>
          <cell r="AM23">
            <v>23000</v>
          </cell>
          <cell r="AN23">
            <v>24000</v>
          </cell>
          <cell r="AO23">
            <v>0</v>
          </cell>
          <cell r="AP23">
            <v>20</v>
          </cell>
          <cell r="AQ23">
            <v>24000</v>
          </cell>
          <cell r="AR23">
            <v>42000</v>
          </cell>
          <cell r="AS23">
            <v>50000</v>
          </cell>
          <cell r="AT23">
            <v>55000</v>
          </cell>
          <cell r="AU23">
            <v>61000</v>
          </cell>
          <cell r="AV23">
            <v>64000</v>
          </cell>
          <cell r="AW23">
            <v>0</v>
          </cell>
          <cell r="AX23">
            <v>20</v>
          </cell>
          <cell r="AY23">
            <v>39000</v>
          </cell>
          <cell r="AZ23">
            <v>69000</v>
          </cell>
          <cell r="BA23">
            <v>80000</v>
          </cell>
          <cell r="BB23">
            <v>89000</v>
          </cell>
          <cell r="BC23">
            <v>98000</v>
          </cell>
          <cell r="BD23">
            <v>103000</v>
          </cell>
        </row>
        <row r="24">
          <cell r="B24">
            <v>21</v>
          </cell>
          <cell r="C24">
            <v>11000</v>
          </cell>
          <cell r="D24">
            <v>19000</v>
          </cell>
          <cell r="E24">
            <v>22000</v>
          </cell>
          <cell r="F24">
            <v>25000</v>
          </cell>
          <cell r="G24">
            <v>27000</v>
          </cell>
          <cell r="H24">
            <v>28000</v>
          </cell>
          <cell r="I24">
            <v>0</v>
          </cell>
          <cell r="J24">
            <v>21</v>
          </cell>
          <cell r="K24">
            <v>14000</v>
          </cell>
          <cell r="L24">
            <v>25000</v>
          </cell>
          <cell r="M24">
            <v>29000</v>
          </cell>
          <cell r="N24">
            <v>32000</v>
          </cell>
          <cell r="O24">
            <v>35000</v>
          </cell>
          <cell r="P24">
            <v>37000</v>
          </cell>
          <cell r="Q24">
            <v>0</v>
          </cell>
          <cell r="R24">
            <v>21</v>
          </cell>
          <cell r="S24">
            <v>9000</v>
          </cell>
          <cell r="T24">
            <v>15000</v>
          </cell>
          <cell r="U24">
            <v>18000</v>
          </cell>
          <cell r="V24">
            <v>20000</v>
          </cell>
          <cell r="W24">
            <v>22000</v>
          </cell>
          <cell r="X24">
            <v>23000</v>
          </cell>
          <cell r="Y24">
            <v>0</v>
          </cell>
          <cell r="Z24">
            <v>21</v>
          </cell>
          <cell r="AA24">
            <v>16000</v>
          </cell>
          <cell r="AB24">
            <v>28000</v>
          </cell>
          <cell r="AC24">
            <v>32000</v>
          </cell>
          <cell r="AD24">
            <v>36000</v>
          </cell>
          <cell r="AE24">
            <v>39000</v>
          </cell>
          <cell r="AF24">
            <v>41000</v>
          </cell>
          <cell r="AG24">
            <v>0</v>
          </cell>
          <cell r="AH24">
            <v>21</v>
          </cell>
          <cell r="AI24">
            <v>10000</v>
          </cell>
          <cell r="AJ24">
            <v>17000</v>
          </cell>
          <cell r="AK24">
            <v>20000</v>
          </cell>
          <cell r="AL24">
            <v>23000</v>
          </cell>
          <cell r="AM24">
            <v>25000</v>
          </cell>
          <cell r="AN24">
            <v>26000</v>
          </cell>
          <cell r="AO24">
            <v>0</v>
          </cell>
          <cell r="AP24">
            <v>21</v>
          </cell>
          <cell r="AQ24">
            <v>26000</v>
          </cell>
          <cell r="AR24">
            <v>47000</v>
          </cell>
          <cell r="AS24">
            <v>55000</v>
          </cell>
          <cell r="AT24">
            <v>61000</v>
          </cell>
          <cell r="AU24">
            <v>67000</v>
          </cell>
          <cell r="AV24">
            <v>70000</v>
          </cell>
          <cell r="AW24">
            <v>0</v>
          </cell>
          <cell r="AX24">
            <v>21</v>
          </cell>
          <cell r="AY24">
            <v>43000</v>
          </cell>
          <cell r="AZ24">
            <v>76000</v>
          </cell>
          <cell r="BA24">
            <v>88000</v>
          </cell>
          <cell r="BB24">
            <v>98000</v>
          </cell>
          <cell r="BC24">
            <v>108000</v>
          </cell>
          <cell r="BD24">
            <v>113000</v>
          </cell>
        </row>
        <row r="25">
          <cell r="B25">
            <v>22</v>
          </cell>
          <cell r="C25">
            <v>12000</v>
          </cell>
          <cell r="D25">
            <v>21000</v>
          </cell>
          <cell r="E25">
            <v>24000</v>
          </cell>
          <cell r="F25">
            <v>27000</v>
          </cell>
          <cell r="G25">
            <v>30000</v>
          </cell>
          <cell r="H25">
            <v>31000</v>
          </cell>
          <cell r="I25">
            <v>0</v>
          </cell>
          <cell r="J25">
            <v>22</v>
          </cell>
          <cell r="K25">
            <v>15000</v>
          </cell>
          <cell r="L25">
            <v>27000</v>
          </cell>
          <cell r="M25">
            <v>32000</v>
          </cell>
          <cell r="N25">
            <v>35000</v>
          </cell>
          <cell r="O25">
            <v>38000</v>
          </cell>
          <cell r="P25">
            <v>40000</v>
          </cell>
          <cell r="Q25">
            <v>0</v>
          </cell>
          <cell r="R25">
            <v>22</v>
          </cell>
          <cell r="S25">
            <v>9000</v>
          </cell>
          <cell r="T25">
            <v>17000</v>
          </cell>
          <cell r="U25">
            <v>20000</v>
          </cell>
          <cell r="V25">
            <v>22000</v>
          </cell>
          <cell r="W25">
            <v>24000</v>
          </cell>
          <cell r="X25">
            <v>25000</v>
          </cell>
          <cell r="Y25">
            <v>0</v>
          </cell>
          <cell r="Z25">
            <v>22</v>
          </cell>
          <cell r="AA25">
            <v>17000</v>
          </cell>
          <cell r="AB25">
            <v>30000</v>
          </cell>
          <cell r="AC25">
            <v>36000</v>
          </cell>
          <cell r="AD25">
            <v>40000</v>
          </cell>
          <cell r="AE25">
            <v>43000</v>
          </cell>
          <cell r="AF25">
            <v>46000</v>
          </cell>
          <cell r="AG25">
            <v>0</v>
          </cell>
          <cell r="AH25">
            <v>22</v>
          </cell>
          <cell r="AI25">
            <v>11000</v>
          </cell>
          <cell r="AJ25">
            <v>19000</v>
          </cell>
          <cell r="AK25">
            <v>22000</v>
          </cell>
          <cell r="AL25">
            <v>25000</v>
          </cell>
          <cell r="AM25">
            <v>27000</v>
          </cell>
          <cell r="AN25">
            <v>29000</v>
          </cell>
          <cell r="AO25">
            <v>0</v>
          </cell>
          <cell r="AP25">
            <v>22</v>
          </cell>
          <cell r="AQ25">
            <v>29000</v>
          </cell>
          <cell r="AR25">
            <v>51000</v>
          </cell>
          <cell r="AS25">
            <v>60000</v>
          </cell>
          <cell r="AT25">
            <v>67000</v>
          </cell>
          <cell r="AU25">
            <v>73000</v>
          </cell>
          <cell r="AV25">
            <v>77000</v>
          </cell>
          <cell r="AW25">
            <v>0</v>
          </cell>
          <cell r="AX25">
            <v>22</v>
          </cell>
          <cell r="AY25">
            <v>47000</v>
          </cell>
          <cell r="AZ25">
            <v>83000</v>
          </cell>
          <cell r="BA25">
            <v>97000</v>
          </cell>
          <cell r="BB25">
            <v>108000</v>
          </cell>
          <cell r="BC25">
            <v>118000</v>
          </cell>
          <cell r="BD25">
            <v>125000</v>
          </cell>
        </row>
        <row r="26">
          <cell r="B26">
            <v>23</v>
          </cell>
          <cell r="C26">
            <v>13000</v>
          </cell>
          <cell r="D26">
            <v>23000</v>
          </cell>
          <cell r="E26">
            <v>27000</v>
          </cell>
          <cell r="F26">
            <v>30000</v>
          </cell>
          <cell r="G26">
            <v>33000</v>
          </cell>
          <cell r="H26">
            <v>34000</v>
          </cell>
          <cell r="I26">
            <v>0</v>
          </cell>
          <cell r="J26">
            <v>23</v>
          </cell>
          <cell r="K26">
            <v>17000</v>
          </cell>
          <cell r="L26">
            <v>30000</v>
          </cell>
          <cell r="M26">
            <v>35000</v>
          </cell>
          <cell r="N26">
            <v>38000</v>
          </cell>
          <cell r="O26">
            <v>42000</v>
          </cell>
          <cell r="P26">
            <v>44000</v>
          </cell>
          <cell r="Q26">
            <v>0</v>
          </cell>
          <cell r="R26">
            <v>23</v>
          </cell>
          <cell r="S26">
            <v>10000</v>
          </cell>
          <cell r="T26">
            <v>18000</v>
          </cell>
          <cell r="U26">
            <v>21000</v>
          </cell>
          <cell r="V26">
            <v>24000</v>
          </cell>
          <cell r="W26">
            <v>26000</v>
          </cell>
          <cell r="X26">
            <v>28000</v>
          </cell>
          <cell r="Y26">
            <v>0</v>
          </cell>
          <cell r="Z26">
            <v>23</v>
          </cell>
          <cell r="AA26">
            <v>19000</v>
          </cell>
          <cell r="AB26">
            <v>33000</v>
          </cell>
          <cell r="AC26">
            <v>39000</v>
          </cell>
          <cell r="AD26">
            <v>43000</v>
          </cell>
          <cell r="AE26">
            <v>48000</v>
          </cell>
          <cell r="AF26">
            <v>50000</v>
          </cell>
          <cell r="AG26">
            <v>0</v>
          </cell>
          <cell r="AH26">
            <v>23</v>
          </cell>
          <cell r="AI26">
            <v>12000</v>
          </cell>
          <cell r="AJ26">
            <v>21000</v>
          </cell>
          <cell r="AK26">
            <v>25000</v>
          </cell>
          <cell r="AL26">
            <v>27000</v>
          </cell>
          <cell r="AM26">
            <v>30000</v>
          </cell>
          <cell r="AN26">
            <v>32000</v>
          </cell>
          <cell r="AO26">
            <v>0</v>
          </cell>
          <cell r="AP26">
            <v>23</v>
          </cell>
          <cell r="AQ26">
            <v>32000</v>
          </cell>
          <cell r="AR26">
            <v>57000</v>
          </cell>
          <cell r="AS26">
            <v>66000</v>
          </cell>
          <cell r="AT26">
            <v>74000</v>
          </cell>
          <cell r="AU26">
            <v>81000</v>
          </cell>
          <cell r="AV26">
            <v>85000</v>
          </cell>
          <cell r="AW26">
            <v>0</v>
          </cell>
          <cell r="AX26">
            <v>23</v>
          </cell>
          <cell r="AY26">
            <v>51000</v>
          </cell>
          <cell r="AZ26">
            <v>91000</v>
          </cell>
          <cell r="BA26">
            <v>107000</v>
          </cell>
          <cell r="BB26">
            <v>119000</v>
          </cell>
          <cell r="BC26">
            <v>130000</v>
          </cell>
          <cell r="BD26">
            <v>137000</v>
          </cell>
        </row>
        <row r="27">
          <cell r="B27">
            <v>24</v>
          </cell>
          <cell r="C27">
            <v>14000</v>
          </cell>
          <cell r="D27">
            <v>25000</v>
          </cell>
          <cell r="E27">
            <v>29000</v>
          </cell>
          <cell r="F27">
            <v>33000</v>
          </cell>
          <cell r="G27">
            <v>36000</v>
          </cell>
          <cell r="H27">
            <v>38000</v>
          </cell>
          <cell r="I27">
            <v>0</v>
          </cell>
          <cell r="J27">
            <v>24</v>
          </cell>
          <cell r="K27">
            <v>18000</v>
          </cell>
          <cell r="L27">
            <v>33000</v>
          </cell>
          <cell r="M27">
            <v>38000</v>
          </cell>
          <cell r="N27">
            <v>42000</v>
          </cell>
          <cell r="O27">
            <v>47000</v>
          </cell>
          <cell r="P27">
            <v>49000</v>
          </cell>
          <cell r="Q27">
            <v>0</v>
          </cell>
          <cell r="R27">
            <v>24</v>
          </cell>
          <cell r="S27">
            <v>11000</v>
          </cell>
          <cell r="T27">
            <v>20000</v>
          </cell>
          <cell r="U27">
            <v>24000</v>
          </cell>
          <cell r="V27">
            <v>26000</v>
          </cell>
          <cell r="W27">
            <v>29000</v>
          </cell>
          <cell r="X27">
            <v>30000</v>
          </cell>
          <cell r="Y27">
            <v>0</v>
          </cell>
          <cell r="Z27">
            <v>24</v>
          </cell>
          <cell r="AA27">
            <v>21000</v>
          </cell>
          <cell r="AB27">
            <v>37000</v>
          </cell>
          <cell r="AC27">
            <v>43000</v>
          </cell>
          <cell r="AD27">
            <v>48000</v>
          </cell>
          <cell r="AE27">
            <v>52000</v>
          </cell>
          <cell r="AF27">
            <v>55000</v>
          </cell>
          <cell r="AG27">
            <v>0</v>
          </cell>
          <cell r="AH27">
            <v>24</v>
          </cell>
          <cell r="AI27">
            <v>13000</v>
          </cell>
          <cell r="AJ27">
            <v>23000</v>
          </cell>
          <cell r="AK27">
            <v>27000</v>
          </cell>
          <cell r="AL27">
            <v>30000</v>
          </cell>
          <cell r="AM27">
            <v>33000</v>
          </cell>
          <cell r="AN27">
            <v>35000</v>
          </cell>
          <cell r="AO27">
            <v>0</v>
          </cell>
          <cell r="AP27">
            <v>24</v>
          </cell>
          <cell r="AQ27">
            <v>35000</v>
          </cell>
          <cell r="AR27">
            <v>62000</v>
          </cell>
          <cell r="AS27">
            <v>73000</v>
          </cell>
          <cell r="AT27">
            <v>81000</v>
          </cell>
          <cell r="AU27">
            <v>89000</v>
          </cell>
          <cell r="AV27">
            <v>93000</v>
          </cell>
          <cell r="AW27">
            <v>0</v>
          </cell>
          <cell r="AX27">
            <v>24</v>
          </cell>
          <cell r="AY27">
            <v>57000</v>
          </cell>
          <cell r="AZ27">
            <v>101000</v>
          </cell>
          <cell r="BA27">
            <v>118000</v>
          </cell>
          <cell r="BB27">
            <v>131000</v>
          </cell>
          <cell r="BC27">
            <v>143000</v>
          </cell>
          <cell r="BD27">
            <v>151000</v>
          </cell>
        </row>
        <row r="28">
          <cell r="B28">
            <v>25</v>
          </cell>
          <cell r="C28">
            <v>16000</v>
          </cell>
          <cell r="D28">
            <v>28000</v>
          </cell>
          <cell r="E28">
            <v>32000</v>
          </cell>
          <cell r="F28">
            <v>36000</v>
          </cell>
          <cell r="G28">
            <v>39000</v>
          </cell>
          <cell r="H28">
            <v>42000</v>
          </cell>
          <cell r="I28">
            <v>0</v>
          </cell>
          <cell r="J28">
            <v>25</v>
          </cell>
          <cell r="K28">
            <v>20000</v>
          </cell>
          <cell r="L28">
            <v>36000</v>
          </cell>
          <cell r="M28">
            <v>42000</v>
          </cell>
          <cell r="N28">
            <v>47000</v>
          </cell>
          <cell r="O28">
            <v>51000</v>
          </cell>
          <cell r="P28">
            <v>54000</v>
          </cell>
          <cell r="Q28">
            <v>0</v>
          </cell>
          <cell r="R28">
            <v>25</v>
          </cell>
          <cell r="S28">
            <v>13000</v>
          </cell>
          <cell r="T28">
            <v>22000</v>
          </cell>
          <cell r="U28">
            <v>26000</v>
          </cell>
          <cell r="V28">
            <v>29000</v>
          </cell>
          <cell r="W28">
            <v>32000</v>
          </cell>
          <cell r="X28">
            <v>33000</v>
          </cell>
          <cell r="Y28">
            <v>0</v>
          </cell>
          <cell r="Z28">
            <v>25</v>
          </cell>
          <cell r="AA28">
            <v>23000</v>
          </cell>
          <cell r="AB28">
            <v>40000</v>
          </cell>
          <cell r="AC28">
            <v>47000</v>
          </cell>
          <cell r="AD28">
            <v>53000</v>
          </cell>
          <cell r="AE28">
            <v>58000</v>
          </cell>
          <cell r="AF28">
            <v>61000</v>
          </cell>
          <cell r="AG28">
            <v>0</v>
          </cell>
          <cell r="AH28">
            <v>25</v>
          </cell>
          <cell r="AI28">
            <v>14000</v>
          </cell>
          <cell r="AJ28">
            <v>25000</v>
          </cell>
          <cell r="AK28">
            <v>30000</v>
          </cell>
          <cell r="AL28">
            <v>33000</v>
          </cell>
          <cell r="AM28">
            <v>36000</v>
          </cell>
          <cell r="AN28">
            <v>38000</v>
          </cell>
          <cell r="AO28">
            <v>0</v>
          </cell>
          <cell r="AP28">
            <v>25</v>
          </cell>
          <cell r="AQ28">
            <v>38000</v>
          </cell>
          <cell r="AR28">
            <v>68000</v>
          </cell>
          <cell r="AS28">
            <v>80000</v>
          </cell>
          <cell r="AT28">
            <v>89000</v>
          </cell>
          <cell r="AU28">
            <v>98000</v>
          </cell>
          <cell r="AV28">
            <v>103000</v>
          </cell>
          <cell r="AW28">
            <v>0</v>
          </cell>
          <cell r="AX28">
            <v>25</v>
          </cell>
          <cell r="AY28">
            <v>62000</v>
          </cell>
          <cell r="AZ28">
            <v>111000</v>
          </cell>
          <cell r="BA28">
            <v>129000</v>
          </cell>
          <cell r="BB28">
            <v>144000</v>
          </cell>
          <cell r="BC28">
            <v>158000</v>
          </cell>
          <cell r="BD28">
            <v>166000</v>
          </cell>
        </row>
        <row r="29">
          <cell r="B29">
            <v>26</v>
          </cell>
          <cell r="C29">
            <v>17000</v>
          </cell>
          <cell r="D29">
            <v>30000</v>
          </cell>
          <cell r="E29">
            <v>36000</v>
          </cell>
          <cell r="F29">
            <v>40000</v>
          </cell>
          <cell r="G29">
            <v>43000</v>
          </cell>
          <cell r="H29">
            <v>46000</v>
          </cell>
          <cell r="I29">
            <v>0</v>
          </cell>
          <cell r="J29">
            <v>26</v>
          </cell>
          <cell r="K29">
            <v>22000</v>
          </cell>
          <cell r="L29">
            <v>40000</v>
          </cell>
          <cell r="M29">
            <v>46000</v>
          </cell>
          <cell r="N29">
            <v>51000</v>
          </cell>
          <cell r="O29">
            <v>56000</v>
          </cell>
          <cell r="P29">
            <v>59000</v>
          </cell>
          <cell r="Q29">
            <v>0</v>
          </cell>
          <cell r="R29">
            <v>26</v>
          </cell>
          <cell r="S29">
            <v>14000</v>
          </cell>
          <cell r="T29">
            <v>25000</v>
          </cell>
          <cell r="U29">
            <v>29000</v>
          </cell>
          <cell r="V29">
            <v>32000</v>
          </cell>
          <cell r="W29">
            <v>35000</v>
          </cell>
          <cell r="X29">
            <v>37000</v>
          </cell>
          <cell r="Y29">
            <v>0</v>
          </cell>
          <cell r="Z29">
            <v>26</v>
          </cell>
          <cell r="AA29">
            <v>25000</v>
          </cell>
          <cell r="AB29">
            <v>45000</v>
          </cell>
          <cell r="AC29">
            <v>52000</v>
          </cell>
          <cell r="AD29">
            <v>58000</v>
          </cell>
          <cell r="AE29">
            <v>63000</v>
          </cell>
          <cell r="AF29">
            <v>67000</v>
          </cell>
          <cell r="AG29">
            <v>0</v>
          </cell>
          <cell r="AH29">
            <v>26</v>
          </cell>
          <cell r="AI29">
            <v>16000</v>
          </cell>
          <cell r="AJ29">
            <v>28000</v>
          </cell>
          <cell r="AK29">
            <v>33000</v>
          </cell>
          <cell r="AL29">
            <v>36000</v>
          </cell>
          <cell r="AM29">
            <v>40000</v>
          </cell>
          <cell r="AN29">
            <v>42000</v>
          </cell>
          <cell r="AO29">
            <v>0</v>
          </cell>
          <cell r="AP29">
            <v>26</v>
          </cell>
          <cell r="AQ29">
            <v>42000</v>
          </cell>
          <cell r="AR29">
            <v>75000</v>
          </cell>
          <cell r="AS29">
            <v>88000</v>
          </cell>
          <cell r="AT29">
            <v>98000</v>
          </cell>
          <cell r="AU29">
            <v>107000</v>
          </cell>
          <cell r="AV29">
            <v>113000</v>
          </cell>
          <cell r="AW29">
            <v>0</v>
          </cell>
          <cell r="AX29">
            <v>26</v>
          </cell>
          <cell r="AY29">
            <v>69000</v>
          </cell>
          <cell r="AZ29">
            <v>122000</v>
          </cell>
          <cell r="BA29">
            <v>143000</v>
          </cell>
          <cell r="BB29">
            <v>158000</v>
          </cell>
          <cell r="BC29">
            <v>174000</v>
          </cell>
          <cell r="BD29">
            <v>183000</v>
          </cell>
        </row>
        <row r="30">
          <cell r="B30">
            <v>27</v>
          </cell>
          <cell r="C30">
            <v>19000</v>
          </cell>
          <cell r="D30">
            <v>33000</v>
          </cell>
          <cell r="E30">
            <v>39000</v>
          </cell>
          <cell r="F30">
            <v>44000</v>
          </cell>
          <cell r="G30">
            <v>48000</v>
          </cell>
          <cell r="H30">
            <v>50000</v>
          </cell>
          <cell r="I30">
            <v>0</v>
          </cell>
          <cell r="J30">
            <v>27</v>
          </cell>
          <cell r="K30">
            <v>24000</v>
          </cell>
          <cell r="L30">
            <v>44000</v>
          </cell>
          <cell r="M30">
            <v>51000</v>
          </cell>
          <cell r="N30">
            <v>57000</v>
          </cell>
          <cell r="O30">
            <v>62000</v>
          </cell>
          <cell r="P30">
            <v>65000</v>
          </cell>
          <cell r="Q30">
            <v>0</v>
          </cell>
          <cell r="R30">
            <v>27</v>
          </cell>
          <cell r="S30">
            <v>15000</v>
          </cell>
          <cell r="T30">
            <v>27000</v>
          </cell>
          <cell r="U30">
            <v>32000</v>
          </cell>
          <cell r="V30">
            <v>35000</v>
          </cell>
          <cell r="W30">
            <v>38000</v>
          </cell>
          <cell r="X30">
            <v>40000</v>
          </cell>
          <cell r="Y30">
            <v>0</v>
          </cell>
          <cell r="Z30">
            <v>27</v>
          </cell>
          <cell r="AA30">
            <v>28000</v>
          </cell>
          <cell r="AB30">
            <v>49000</v>
          </cell>
          <cell r="AC30">
            <v>57000</v>
          </cell>
          <cell r="AD30">
            <v>64000</v>
          </cell>
          <cell r="AE30">
            <v>70000</v>
          </cell>
          <cell r="AF30">
            <v>73000</v>
          </cell>
          <cell r="AG30">
            <v>0</v>
          </cell>
          <cell r="AH30">
            <v>27</v>
          </cell>
          <cell r="AI30">
            <v>17000</v>
          </cell>
          <cell r="AJ30">
            <v>31000</v>
          </cell>
          <cell r="AK30">
            <v>36000</v>
          </cell>
          <cell r="AL30">
            <v>40000</v>
          </cell>
          <cell r="AM30">
            <v>44000</v>
          </cell>
          <cell r="AN30">
            <v>46000</v>
          </cell>
          <cell r="AO30">
            <v>0</v>
          </cell>
          <cell r="AP30">
            <v>27</v>
          </cell>
          <cell r="AQ30">
            <v>47000</v>
          </cell>
          <cell r="AR30">
            <v>83000</v>
          </cell>
          <cell r="AS30">
            <v>97000</v>
          </cell>
          <cell r="AT30">
            <v>108000</v>
          </cell>
          <cell r="AU30">
            <v>118000</v>
          </cell>
          <cell r="AV30">
            <v>124000</v>
          </cell>
          <cell r="AW30">
            <v>0</v>
          </cell>
          <cell r="AX30">
            <v>27</v>
          </cell>
          <cell r="AY30">
            <v>75000</v>
          </cell>
          <cell r="AZ30">
            <v>134000</v>
          </cell>
          <cell r="BA30">
            <v>157000</v>
          </cell>
          <cell r="BB30">
            <v>174000</v>
          </cell>
          <cell r="BC30">
            <v>191000</v>
          </cell>
          <cell r="BD30">
            <v>201000</v>
          </cell>
        </row>
        <row r="31">
          <cell r="B31">
            <v>28</v>
          </cell>
          <cell r="C31">
            <v>21000</v>
          </cell>
          <cell r="D31">
            <v>37000</v>
          </cell>
          <cell r="E31">
            <v>43000</v>
          </cell>
          <cell r="F31">
            <v>48000</v>
          </cell>
          <cell r="G31">
            <v>53000</v>
          </cell>
          <cell r="H31">
            <v>55000</v>
          </cell>
          <cell r="I31">
            <v>0</v>
          </cell>
          <cell r="J31">
            <v>28</v>
          </cell>
          <cell r="K31">
            <v>27000</v>
          </cell>
          <cell r="L31">
            <v>48000</v>
          </cell>
          <cell r="M31">
            <v>56000</v>
          </cell>
          <cell r="N31">
            <v>62000</v>
          </cell>
          <cell r="O31">
            <v>68000</v>
          </cell>
          <cell r="P31">
            <v>72000</v>
          </cell>
          <cell r="Q31">
            <v>0</v>
          </cell>
          <cell r="R31">
            <v>28</v>
          </cell>
          <cell r="S31">
            <v>17000</v>
          </cell>
          <cell r="T31">
            <v>30000</v>
          </cell>
          <cell r="U31">
            <v>35000</v>
          </cell>
          <cell r="V31">
            <v>38000</v>
          </cell>
          <cell r="W31">
            <v>42000</v>
          </cell>
          <cell r="X31">
            <v>44000</v>
          </cell>
          <cell r="Y31">
            <v>0</v>
          </cell>
          <cell r="Z31">
            <v>28</v>
          </cell>
          <cell r="AA31">
            <v>30000</v>
          </cell>
          <cell r="AB31">
            <v>54000</v>
          </cell>
          <cell r="AC31">
            <v>63000</v>
          </cell>
          <cell r="AD31">
            <v>70000</v>
          </cell>
          <cell r="AE31">
            <v>77000</v>
          </cell>
          <cell r="AF31">
            <v>81000</v>
          </cell>
          <cell r="AG31">
            <v>0</v>
          </cell>
          <cell r="AH31">
            <v>28</v>
          </cell>
          <cell r="AI31">
            <v>19000</v>
          </cell>
          <cell r="AJ31">
            <v>34000</v>
          </cell>
          <cell r="AK31">
            <v>40000</v>
          </cell>
          <cell r="AL31">
            <v>44000</v>
          </cell>
          <cell r="AM31">
            <v>48000</v>
          </cell>
          <cell r="AN31">
            <v>51000</v>
          </cell>
          <cell r="AO31">
            <v>0</v>
          </cell>
          <cell r="AP31">
            <v>28</v>
          </cell>
          <cell r="AQ31">
            <v>51000</v>
          </cell>
          <cell r="AR31">
            <v>91000</v>
          </cell>
          <cell r="AS31">
            <v>107000</v>
          </cell>
          <cell r="AT31">
            <v>118000</v>
          </cell>
          <cell r="AU31">
            <v>130000</v>
          </cell>
          <cell r="AV31">
            <v>137000</v>
          </cell>
          <cell r="AW31">
            <v>0</v>
          </cell>
          <cell r="AX31">
            <v>28</v>
          </cell>
          <cell r="AY31">
            <v>83000</v>
          </cell>
          <cell r="AZ31">
            <v>147000</v>
          </cell>
          <cell r="BA31">
            <v>172000</v>
          </cell>
          <cell r="BB31">
            <v>192000</v>
          </cell>
          <cell r="BC31">
            <v>210000</v>
          </cell>
          <cell r="BD31">
            <v>221000</v>
          </cell>
        </row>
        <row r="32">
          <cell r="B32">
            <v>29</v>
          </cell>
          <cell r="C32">
            <v>23000</v>
          </cell>
          <cell r="D32">
            <v>41000</v>
          </cell>
          <cell r="E32">
            <v>47000</v>
          </cell>
          <cell r="F32">
            <v>53000</v>
          </cell>
          <cell r="G32">
            <v>58000</v>
          </cell>
          <cell r="H32">
            <v>61000</v>
          </cell>
          <cell r="I32">
            <v>0</v>
          </cell>
          <cell r="J32">
            <v>29</v>
          </cell>
          <cell r="K32">
            <v>30000</v>
          </cell>
          <cell r="L32">
            <v>53000</v>
          </cell>
          <cell r="M32">
            <v>62000</v>
          </cell>
          <cell r="N32">
            <v>68000</v>
          </cell>
          <cell r="O32">
            <v>75000</v>
          </cell>
          <cell r="P32">
            <v>79000</v>
          </cell>
          <cell r="Q32">
            <v>0</v>
          </cell>
          <cell r="R32">
            <v>29</v>
          </cell>
          <cell r="S32">
            <v>18000</v>
          </cell>
          <cell r="T32">
            <v>33000</v>
          </cell>
          <cell r="U32">
            <v>38000</v>
          </cell>
          <cell r="V32">
            <v>42000</v>
          </cell>
          <cell r="W32">
            <v>47000</v>
          </cell>
          <cell r="X32">
            <v>49000</v>
          </cell>
          <cell r="Y32">
            <v>0</v>
          </cell>
          <cell r="Z32">
            <v>29</v>
          </cell>
          <cell r="AA32">
            <v>33000</v>
          </cell>
          <cell r="AB32">
            <v>59000</v>
          </cell>
          <cell r="AC32">
            <v>69000</v>
          </cell>
          <cell r="AD32">
            <v>77000</v>
          </cell>
          <cell r="AE32">
            <v>84000</v>
          </cell>
          <cell r="AF32">
            <v>89000</v>
          </cell>
          <cell r="AG32">
            <v>0</v>
          </cell>
          <cell r="AH32">
            <v>29</v>
          </cell>
          <cell r="AI32">
            <v>21000</v>
          </cell>
          <cell r="AJ32">
            <v>37000</v>
          </cell>
          <cell r="AK32">
            <v>44000</v>
          </cell>
          <cell r="AL32">
            <v>48000</v>
          </cell>
          <cell r="AM32">
            <v>53000</v>
          </cell>
          <cell r="AN32">
            <v>56000</v>
          </cell>
          <cell r="AO32">
            <v>0</v>
          </cell>
          <cell r="AP32">
            <v>29</v>
          </cell>
          <cell r="AQ32">
            <v>56000</v>
          </cell>
          <cell r="AR32">
            <v>100000</v>
          </cell>
          <cell r="AS32">
            <v>117000</v>
          </cell>
          <cell r="AT32">
            <v>130000</v>
          </cell>
          <cell r="AU32">
            <v>143000</v>
          </cell>
          <cell r="AV32">
            <v>150000</v>
          </cell>
          <cell r="AW32">
            <v>0</v>
          </cell>
          <cell r="AX32">
            <v>29</v>
          </cell>
          <cell r="AY32">
            <v>91000</v>
          </cell>
          <cell r="AZ32">
            <v>162000</v>
          </cell>
          <cell r="BA32">
            <v>190000</v>
          </cell>
          <cell r="BB32">
            <v>211000</v>
          </cell>
          <cell r="BC32">
            <v>231000</v>
          </cell>
          <cell r="BD32">
            <v>243000</v>
          </cell>
        </row>
        <row r="33">
          <cell r="B33">
            <v>30</v>
          </cell>
          <cell r="C33">
            <v>25000</v>
          </cell>
          <cell r="D33">
            <v>45000</v>
          </cell>
          <cell r="E33">
            <v>52000</v>
          </cell>
          <cell r="F33">
            <v>58000</v>
          </cell>
          <cell r="G33">
            <v>64000</v>
          </cell>
          <cell r="H33">
            <v>67000</v>
          </cell>
          <cell r="I33">
            <v>0</v>
          </cell>
          <cell r="J33">
            <v>30</v>
          </cell>
          <cell r="K33">
            <v>33000</v>
          </cell>
          <cell r="L33">
            <v>58000</v>
          </cell>
          <cell r="M33">
            <v>68000</v>
          </cell>
          <cell r="N33">
            <v>75000</v>
          </cell>
          <cell r="O33">
            <v>82000</v>
          </cell>
          <cell r="P33">
            <v>87000</v>
          </cell>
          <cell r="Q33">
            <v>0</v>
          </cell>
          <cell r="R33">
            <v>30</v>
          </cell>
          <cell r="S33">
            <v>20000</v>
          </cell>
          <cell r="T33">
            <v>36000</v>
          </cell>
          <cell r="U33">
            <v>42000</v>
          </cell>
          <cell r="V33">
            <v>47000</v>
          </cell>
          <cell r="W33">
            <v>51000</v>
          </cell>
          <cell r="X33">
            <v>54000</v>
          </cell>
          <cell r="Y33">
            <v>0</v>
          </cell>
          <cell r="Z33">
            <v>30</v>
          </cell>
          <cell r="AA33">
            <v>37000</v>
          </cell>
          <cell r="AB33">
            <v>65000</v>
          </cell>
          <cell r="AC33">
            <v>76000</v>
          </cell>
          <cell r="AD33">
            <v>85000</v>
          </cell>
          <cell r="AE33">
            <v>93000</v>
          </cell>
          <cell r="AF33">
            <v>98000</v>
          </cell>
          <cell r="AG33">
            <v>0</v>
          </cell>
          <cell r="AH33">
            <v>30</v>
          </cell>
          <cell r="AI33">
            <v>23000</v>
          </cell>
          <cell r="AJ33">
            <v>41000</v>
          </cell>
          <cell r="AK33">
            <v>48000</v>
          </cell>
          <cell r="AL33">
            <v>53000</v>
          </cell>
          <cell r="AM33">
            <v>58000</v>
          </cell>
          <cell r="AN33">
            <v>61000</v>
          </cell>
          <cell r="AO33">
            <v>0</v>
          </cell>
          <cell r="AP33">
            <v>30</v>
          </cell>
          <cell r="AQ33">
            <v>62000</v>
          </cell>
          <cell r="AR33">
            <v>110000</v>
          </cell>
          <cell r="AS33">
            <v>129000</v>
          </cell>
          <cell r="AT33">
            <v>143000</v>
          </cell>
          <cell r="AU33">
            <v>157000</v>
          </cell>
          <cell r="AV33">
            <v>165000</v>
          </cell>
          <cell r="AW33">
            <v>0</v>
          </cell>
          <cell r="AX33">
            <v>30</v>
          </cell>
          <cell r="AY33">
            <v>100000</v>
          </cell>
          <cell r="AZ33">
            <v>178000</v>
          </cell>
          <cell r="BA33">
            <v>208000</v>
          </cell>
          <cell r="BB33">
            <v>232000</v>
          </cell>
          <cell r="BC33">
            <v>254000</v>
          </cell>
          <cell r="BD33">
            <v>267000</v>
          </cell>
        </row>
        <row r="34">
          <cell r="B34">
            <v>31</v>
          </cell>
          <cell r="C34">
            <v>28000</v>
          </cell>
          <cell r="D34">
            <v>49000</v>
          </cell>
          <cell r="E34">
            <v>57000</v>
          </cell>
          <cell r="F34">
            <v>64000</v>
          </cell>
          <cell r="G34">
            <v>70000</v>
          </cell>
          <cell r="H34">
            <v>74000</v>
          </cell>
          <cell r="I34">
            <v>0</v>
          </cell>
          <cell r="J34">
            <v>31</v>
          </cell>
          <cell r="K34">
            <v>36000</v>
          </cell>
          <cell r="L34">
            <v>64000</v>
          </cell>
          <cell r="M34">
            <v>74000</v>
          </cell>
          <cell r="N34">
            <v>83000</v>
          </cell>
          <cell r="O34">
            <v>91000</v>
          </cell>
          <cell r="P34">
            <v>95000</v>
          </cell>
          <cell r="Q34">
            <v>0</v>
          </cell>
          <cell r="R34">
            <v>31</v>
          </cell>
          <cell r="S34">
            <v>22000</v>
          </cell>
          <cell r="T34">
            <v>39000</v>
          </cell>
          <cell r="U34">
            <v>46000</v>
          </cell>
          <cell r="V34">
            <v>51000</v>
          </cell>
          <cell r="W34">
            <v>56000</v>
          </cell>
          <cell r="X34">
            <v>59000</v>
          </cell>
          <cell r="Y34">
            <v>0</v>
          </cell>
          <cell r="Z34">
            <v>31</v>
          </cell>
          <cell r="AA34">
            <v>40000</v>
          </cell>
          <cell r="AB34">
            <v>72000</v>
          </cell>
          <cell r="AC34">
            <v>84000</v>
          </cell>
          <cell r="AD34">
            <v>93000</v>
          </cell>
          <cell r="AE34">
            <v>102000</v>
          </cell>
          <cell r="AF34">
            <v>107000</v>
          </cell>
          <cell r="AG34">
            <v>0</v>
          </cell>
          <cell r="AH34">
            <v>31</v>
          </cell>
          <cell r="AI34">
            <v>25000</v>
          </cell>
          <cell r="AJ34">
            <v>45000</v>
          </cell>
          <cell r="AK34">
            <v>53000</v>
          </cell>
          <cell r="AL34">
            <v>59000</v>
          </cell>
          <cell r="AM34">
            <v>64000</v>
          </cell>
          <cell r="AN34">
            <v>68000</v>
          </cell>
          <cell r="AO34">
            <v>0</v>
          </cell>
          <cell r="AP34">
            <v>31</v>
          </cell>
          <cell r="AQ34">
            <v>68000</v>
          </cell>
          <cell r="AR34">
            <v>121000</v>
          </cell>
          <cell r="AS34">
            <v>142000</v>
          </cell>
          <cell r="AT34">
            <v>158000</v>
          </cell>
          <cell r="AU34">
            <v>173000</v>
          </cell>
          <cell r="AV34">
            <v>182000</v>
          </cell>
          <cell r="AW34">
            <v>0</v>
          </cell>
          <cell r="AX34">
            <v>31</v>
          </cell>
          <cell r="AY34">
            <v>110000</v>
          </cell>
          <cell r="AZ34">
            <v>196000</v>
          </cell>
          <cell r="BA34">
            <v>229000</v>
          </cell>
          <cell r="BB34">
            <v>255000</v>
          </cell>
          <cell r="BC34">
            <v>279000</v>
          </cell>
          <cell r="BD34">
            <v>294000</v>
          </cell>
        </row>
        <row r="35">
          <cell r="B35">
            <v>32</v>
          </cell>
          <cell r="C35">
            <v>30000</v>
          </cell>
          <cell r="D35">
            <v>54000</v>
          </cell>
          <cell r="E35">
            <v>63000</v>
          </cell>
          <cell r="F35">
            <v>70000</v>
          </cell>
          <cell r="G35">
            <v>77000</v>
          </cell>
          <cell r="H35">
            <v>81000</v>
          </cell>
          <cell r="I35">
            <v>0</v>
          </cell>
          <cell r="J35">
            <v>32</v>
          </cell>
          <cell r="K35">
            <v>39000</v>
          </cell>
          <cell r="L35">
            <v>70000</v>
          </cell>
          <cell r="M35">
            <v>82000</v>
          </cell>
          <cell r="N35">
            <v>91000</v>
          </cell>
          <cell r="O35">
            <v>100000</v>
          </cell>
          <cell r="P35">
            <v>105000</v>
          </cell>
          <cell r="Q35">
            <v>0</v>
          </cell>
          <cell r="R35">
            <v>32</v>
          </cell>
          <cell r="S35">
            <v>24000</v>
          </cell>
          <cell r="T35">
            <v>43000</v>
          </cell>
          <cell r="U35">
            <v>51000</v>
          </cell>
          <cell r="V35">
            <v>56000</v>
          </cell>
          <cell r="W35">
            <v>62000</v>
          </cell>
          <cell r="X35">
            <v>65000</v>
          </cell>
          <cell r="Y35">
            <v>0</v>
          </cell>
          <cell r="Z35">
            <v>32</v>
          </cell>
          <cell r="AA35">
            <v>44000</v>
          </cell>
          <cell r="AB35">
            <v>79000</v>
          </cell>
          <cell r="AC35">
            <v>92000</v>
          </cell>
          <cell r="AD35">
            <v>102000</v>
          </cell>
          <cell r="AE35">
            <v>112000</v>
          </cell>
          <cell r="AF35">
            <v>118000</v>
          </cell>
          <cell r="AG35">
            <v>0</v>
          </cell>
          <cell r="AH35">
            <v>32</v>
          </cell>
          <cell r="AI35">
            <v>28000</v>
          </cell>
          <cell r="AJ35">
            <v>50000</v>
          </cell>
          <cell r="AK35">
            <v>58000</v>
          </cell>
          <cell r="AL35">
            <v>64000</v>
          </cell>
          <cell r="AM35">
            <v>71000</v>
          </cell>
          <cell r="AN35">
            <v>74000</v>
          </cell>
          <cell r="AO35">
            <v>0</v>
          </cell>
          <cell r="AP35">
            <v>32</v>
          </cell>
          <cell r="AQ35">
            <v>75000</v>
          </cell>
          <cell r="AR35">
            <v>133000</v>
          </cell>
          <cell r="AS35">
            <v>156000</v>
          </cell>
          <cell r="AT35">
            <v>173000</v>
          </cell>
          <cell r="AU35">
            <v>190000</v>
          </cell>
          <cell r="AV35">
            <v>200000</v>
          </cell>
          <cell r="AW35">
            <v>0</v>
          </cell>
          <cell r="AX35">
            <v>32</v>
          </cell>
          <cell r="AY35">
            <v>121000</v>
          </cell>
          <cell r="AZ35">
            <v>216000</v>
          </cell>
          <cell r="BA35">
            <v>252000</v>
          </cell>
          <cell r="BB35">
            <v>280000</v>
          </cell>
          <cell r="BC35">
            <v>307000</v>
          </cell>
          <cell r="BD35">
            <v>324000</v>
          </cell>
        </row>
        <row r="36">
          <cell r="B36">
            <v>33</v>
          </cell>
          <cell r="C36">
            <v>33000</v>
          </cell>
          <cell r="D36">
            <v>59000</v>
          </cell>
          <cell r="E36">
            <v>69000</v>
          </cell>
          <cell r="F36">
            <v>77000</v>
          </cell>
          <cell r="G36">
            <v>85000</v>
          </cell>
          <cell r="H36">
            <v>89000</v>
          </cell>
          <cell r="I36">
            <v>0</v>
          </cell>
          <cell r="J36">
            <v>33</v>
          </cell>
          <cell r="K36">
            <v>43000</v>
          </cell>
          <cell r="L36">
            <v>77000</v>
          </cell>
          <cell r="M36">
            <v>90000</v>
          </cell>
          <cell r="N36">
            <v>100000</v>
          </cell>
          <cell r="O36">
            <v>110000</v>
          </cell>
          <cell r="P36">
            <v>115000</v>
          </cell>
          <cell r="Q36">
            <v>0</v>
          </cell>
          <cell r="R36">
            <v>33</v>
          </cell>
          <cell r="S36">
            <v>27000</v>
          </cell>
          <cell r="T36">
            <v>48000</v>
          </cell>
          <cell r="U36">
            <v>56000</v>
          </cell>
          <cell r="V36">
            <v>62000</v>
          </cell>
          <cell r="W36">
            <v>68000</v>
          </cell>
          <cell r="X36">
            <v>72000</v>
          </cell>
          <cell r="Y36">
            <v>0</v>
          </cell>
          <cell r="Z36">
            <v>33</v>
          </cell>
          <cell r="AA36">
            <v>49000</v>
          </cell>
          <cell r="AB36">
            <v>87000</v>
          </cell>
          <cell r="AC36">
            <v>101000</v>
          </cell>
          <cell r="AD36">
            <v>113000</v>
          </cell>
          <cell r="AE36">
            <v>124000</v>
          </cell>
          <cell r="AF36">
            <v>130000</v>
          </cell>
          <cell r="AG36">
            <v>0</v>
          </cell>
          <cell r="AH36">
            <v>33</v>
          </cell>
          <cell r="AI36">
            <v>31000</v>
          </cell>
          <cell r="AJ36">
            <v>55000</v>
          </cell>
          <cell r="AK36">
            <v>64000</v>
          </cell>
          <cell r="AL36">
            <v>71000</v>
          </cell>
          <cell r="AM36">
            <v>78000</v>
          </cell>
          <cell r="AN36">
            <v>82000</v>
          </cell>
          <cell r="AO36">
            <v>0</v>
          </cell>
          <cell r="AP36">
            <v>33</v>
          </cell>
          <cell r="AQ36">
            <v>83000</v>
          </cell>
          <cell r="AR36">
            <v>147000</v>
          </cell>
          <cell r="AS36">
            <v>172000</v>
          </cell>
          <cell r="AT36">
            <v>191000</v>
          </cell>
          <cell r="AU36">
            <v>209000</v>
          </cell>
          <cell r="AV36">
            <v>220000</v>
          </cell>
          <cell r="AW36">
            <v>0</v>
          </cell>
          <cell r="AX36">
            <v>33</v>
          </cell>
          <cell r="AY36">
            <v>133000</v>
          </cell>
          <cell r="AZ36">
            <v>237000</v>
          </cell>
          <cell r="BA36">
            <v>278000</v>
          </cell>
          <cell r="BB36">
            <v>308000</v>
          </cell>
          <cell r="BC36">
            <v>338000</v>
          </cell>
          <cell r="BD36">
            <v>356000</v>
          </cell>
        </row>
        <row r="37">
          <cell r="B37">
            <v>34</v>
          </cell>
          <cell r="C37">
            <v>37000</v>
          </cell>
          <cell r="D37">
            <v>65000</v>
          </cell>
          <cell r="E37">
            <v>76000</v>
          </cell>
          <cell r="F37">
            <v>85000</v>
          </cell>
          <cell r="G37">
            <v>93000</v>
          </cell>
          <cell r="H37">
            <v>98000</v>
          </cell>
          <cell r="I37">
            <v>0</v>
          </cell>
          <cell r="J37">
            <v>34</v>
          </cell>
          <cell r="K37">
            <v>48000</v>
          </cell>
          <cell r="L37">
            <v>85000</v>
          </cell>
          <cell r="M37">
            <v>99000</v>
          </cell>
          <cell r="N37">
            <v>110000</v>
          </cell>
          <cell r="O37">
            <v>121000</v>
          </cell>
          <cell r="P37">
            <v>127000</v>
          </cell>
          <cell r="Q37">
            <v>0</v>
          </cell>
          <cell r="R37">
            <v>34</v>
          </cell>
          <cell r="S37">
            <v>30000</v>
          </cell>
          <cell r="T37">
            <v>52000</v>
          </cell>
          <cell r="U37">
            <v>61000</v>
          </cell>
          <cell r="V37">
            <v>68000</v>
          </cell>
          <cell r="W37">
            <v>75000</v>
          </cell>
          <cell r="X37">
            <v>79000</v>
          </cell>
          <cell r="Y37">
            <v>0</v>
          </cell>
          <cell r="Z37">
            <v>34</v>
          </cell>
          <cell r="AA37">
            <v>54000</v>
          </cell>
          <cell r="AB37">
            <v>95000</v>
          </cell>
          <cell r="AC37">
            <v>112000</v>
          </cell>
          <cell r="AD37">
            <v>124000</v>
          </cell>
          <cell r="AE37">
            <v>136000</v>
          </cell>
          <cell r="AF37">
            <v>143000</v>
          </cell>
          <cell r="AG37">
            <v>0</v>
          </cell>
          <cell r="AH37">
            <v>34</v>
          </cell>
          <cell r="AI37">
            <v>34000</v>
          </cell>
          <cell r="AJ37">
            <v>60000</v>
          </cell>
          <cell r="AK37">
            <v>70000</v>
          </cell>
          <cell r="AL37">
            <v>78000</v>
          </cell>
          <cell r="AM37">
            <v>85000</v>
          </cell>
          <cell r="AN37">
            <v>90000</v>
          </cell>
          <cell r="AO37">
            <v>0</v>
          </cell>
          <cell r="AP37">
            <v>34</v>
          </cell>
          <cell r="AQ37">
            <v>91000</v>
          </cell>
          <cell r="AR37">
            <v>161000</v>
          </cell>
          <cell r="AS37">
            <v>189000</v>
          </cell>
          <cell r="AT37">
            <v>210000</v>
          </cell>
          <cell r="AU37">
            <v>230000</v>
          </cell>
          <cell r="AV37">
            <v>242000</v>
          </cell>
          <cell r="AW37">
            <v>0</v>
          </cell>
          <cell r="AX37">
            <v>34</v>
          </cell>
          <cell r="AY37">
            <v>147000</v>
          </cell>
          <cell r="AZ37">
            <v>261000</v>
          </cell>
          <cell r="BA37">
            <v>305000</v>
          </cell>
          <cell r="BB37">
            <v>339000</v>
          </cell>
          <cell r="BC37">
            <v>372000</v>
          </cell>
          <cell r="BD37">
            <v>391000</v>
          </cell>
        </row>
        <row r="38">
          <cell r="B38">
            <v>35</v>
          </cell>
          <cell r="C38">
            <v>40000</v>
          </cell>
          <cell r="D38">
            <v>72000</v>
          </cell>
          <cell r="E38">
            <v>84000</v>
          </cell>
          <cell r="F38">
            <v>93000</v>
          </cell>
          <cell r="G38">
            <v>102000</v>
          </cell>
          <cell r="H38">
            <v>108000</v>
          </cell>
          <cell r="I38">
            <v>0</v>
          </cell>
          <cell r="J38">
            <v>35</v>
          </cell>
          <cell r="K38">
            <v>52000</v>
          </cell>
          <cell r="L38">
            <v>93000</v>
          </cell>
          <cell r="M38">
            <v>109000</v>
          </cell>
          <cell r="N38">
            <v>121000</v>
          </cell>
          <cell r="O38">
            <v>133000</v>
          </cell>
          <cell r="P38">
            <v>140000</v>
          </cell>
          <cell r="Q38">
            <v>0</v>
          </cell>
          <cell r="R38">
            <v>35</v>
          </cell>
          <cell r="S38">
            <v>33000</v>
          </cell>
          <cell r="T38">
            <v>58000</v>
          </cell>
          <cell r="U38">
            <v>68000</v>
          </cell>
          <cell r="V38">
            <v>75000</v>
          </cell>
          <cell r="W38">
            <v>82000</v>
          </cell>
          <cell r="X38">
            <v>87000</v>
          </cell>
          <cell r="Y38">
            <v>0</v>
          </cell>
          <cell r="Z38">
            <v>35</v>
          </cell>
          <cell r="AA38">
            <v>59000</v>
          </cell>
          <cell r="AB38">
            <v>105000</v>
          </cell>
          <cell r="AC38">
            <v>123000</v>
          </cell>
          <cell r="AD38">
            <v>136000</v>
          </cell>
          <cell r="AE38">
            <v>149000</v>
          </cell>
          <cell r="AF38">
            <v>157000</v>
          </cell>
          <cell r="AG38">
            <v>0</v>
          </cell>
          <cell r="AH38">
            <v>35</v>
          </cell>
          <cell r="AI38">
            <v>37000</v>
          </cell>
          <cell r="AJ38">
            <v>66000</v>
          </cell>
          <cell r="AK38">
            <v>77000</v>
          </cell>
          <cell r="AL38">
            <v>86000</v>
          </cell>
          <cell r="AM38">
            <v>94000</v>
          </cell>
          <cell r="AN38">
            <v>99000</v>
          </cell>
          <cell r="AO38">
            <v>0</v>
          </cell>
          <cell r="AP38">
            <v>35</v>
          </cell>
          <cell r="AQ38">
            <v>100000</v>
          </cell>
          <cell r="AR38">
            <v>177000</v>
          </cell>
          <cell r="AS38">
            <v>208000</v>
          </cell>
          <cell r="AT38">
            <v>231000</v>
          </cell>
          <cell r="AU38">
            <v>253000</v>
          </cell>
          <cell r="AV38">
            <v>266000</v>
          </cell>
          <cell r="AW38">
            <v>0</v>
          </cell>
          <cell r="AX38">
            <v>35</v>
          </cell>
          <cell r="AY38">
            <v>161000</v>
          </cell>
          <cell r="AZ38">
            <v>287000</v>
          </cell>
          <cell r="BA38">
            <v>336000</v>
          </cell>
          <cell r="BB38">
            <v>373000</v>
          </cell>
          <cell r="BC38">
            <v>409000</v>
          </cell>
          <cell r="BD38">
            <v>430000</v>
          </cell>
        </row>
        <row r="39">
          <cell r="B39">
            <v>36</v>
          </cell>
          <cell r="C39">
            <v>44000</v>
          </cell>
          <cell r="D39">
            <v>79000</v>
          </cell>
          <cell r="E39">
            <v>92000</v>
          </cell>
          <cell r="F39">
            <v>103000</v>
          </cell>
          <cell r="G39">
            <v>113000</v>
          </cell>
          <cell r="H39">
            <v>119000</v>
          </cell>
          <cell r="I39">
            <v>0</v>
          </cell>
          <cell r="J39">
            <v>36</v>
          </cell>
          <cell r="K39">
            <v>58000</v>
          </cell>
          <cell r="L39">
            <v>103000</v>
          </cell>
          <cell r="M39">
            <v>120000</v>
          </cell>
          <cell r="N39">
            <v>133000</v>
          </cell>
          <cell r="O39">
            <v>146000</v>
          </cell>
          <cell r="P39">
            <v>154000</v>
          </cell>
          <cell r="Q39">
            <v>0</v>
          </cell>
          <cell r="R39">
            <v>36</v>
          </cell>
          <cell r="S39">
            <v>36000</v>
          </cell>
          <cell r="T39">
            <v>64000</v>
          </cell>
          <cell r="U39">
            <v>74000</v>
          </cell>
          <cell r="V39">
            <v>83000</v>
          </cell>
          <cell r="W39">
            <v>91000</v>
          </cell>
          <cell r="X39">
            <v>95000</v>
          </cell>
          <cell r="Y39">
            <v>0</v>
          </cell>
          <cell r="Z39">
            <v>36</v>
          </cell>
          <cell r="AA39">
            <v>65000</v>
          </cell>
          <cell r="AB39">
            <v>115000</v>
          </cell>
          <cell r="AC39">
            <v>135000</v>
          </cell>
          <cell r="AD39">
            <v>150000</v>
          </cell>
          <cell r="AE39">
            <v>164000</v>
          </cell>
          <cell r="AF39">
            <v>173000</v>
          </cell>
          <cell r="AG39">
            <v>0</v>
          </cell>
          <cell r="AH39">
            <v>36</v>
          </cell>
          <cell r="AI39">
            <v>41000</v>
          </cell>
          <cell r="AJ39">
            <v>73000</v>
          </cell>
          <cell r="AK39">
            <v>85000</v>
          </cell>
          <cell r="AL39">
            <v>94000</v>
          </cell>
          <cell r="AM39">
            <v>103000</v>
          </cell>
          <cell r="AN39">
            <v>109000</v>
          </cell>
          <cell r="AO39">
            <v>0</v>
          </cell>
          <cell r="AP39">
            <v>36</v>
          </cell>
          <cell r="AQ39">
            <v>110000</v>
          </cell>
          <cell r="AR39">
            <v>195000</v>
          </cell>
          <cell r="AS39">
            <v>228000</v>
          </cell>
          <cell r="AT39">
            <v>254000</v>
          </cell>
          <cell r="AU39">
            <v>278000</v>
          </cell>
          <cell r="AV39">
            <v>293000</v>
          </cell>
          <cell r="AW39">
            <v>0</v>
          </cell>
          <cell r="AX39">
            <v>36</v>
          </cell>
          <cell r="AY39">
            <v>178000</v>
          </cell>
          <cell r="AZ39">
            <v>316000</v>
          </cell>
          <cell r="BA39">
            <v>369000</v>
          </cell>
          <cell r="BB39">
            <v>411000</v>
          </cell>
          <cell r="BC39">
            <v>450000</v>
          </cell>
          <cell r="BD39">
            <v>474000</v>
          </cell>
        </row>
        <row r="40">
          <cell r="B40">
            <v>37</v>
          </cell>
          <cell r="C40">
            <v>49000</v>
          </cell>
          <cell r="D40">
            <v>87000</v>
          </cell>
          <cell r="E40">
            <v>102000</v>
          </cell>
          <cell r="F40">
            <v>113000</v>
          </cell>
          <cell r="G40">
            <v>124000</v>
          </cell>
          <cell r="H40">
            <v>130000</v>
          </cell>
          <cell r="I40">
            <v>0</v>
          </cell>
          <cell r="J40">
            <v>37</v>
          </cell>
          <cell r="K40">
            <v>63000</v>
          </cell>
          <cell r="L40">
            <v>113000</v>
          </cell>
          <cell r="M40">
            <v>132000</v>
          </cell>
          <cell r="N40">
            <v>147000</v>
          </cell>
          <cell r="O40">
            <v>161000</v>
          </cell>
          <cell r="P40">
            <v>169000</v>
          </cell>
          <cell r="Q40">
            <v>0</v>
          </cell>
          <cell r="R40">
            <v>37</v>
          </cell>
          <cell r="S40">
            <v>39000</v>
          </cell>
          <cell r="T40">
            <v>70000</v>
          </cell>
          <cell r="U40">
            <v>82000</v>
          </cell>
          <cell r="V40">
            <v>91000</v>
          </cell>
          <cell r="W40">
            <v>100000</v>
          </cell>
          <cell r="X40">
            <v>105000</v>
          </cell>
          <cell r="Y40">
            <v>0</v>
          </cell>
          <cell r="Z40">
            <v>37</v>
          </cell>
          <cell r="AA40">
            <v>71000</v>
          </cell>
          <cell r="AB40">
            <v>127000</v>
          </cell>
          <cell r="AC40">
            <v>148000</v>
          </cell>
          <cell r="AD40">
            <v>165000</v>
          </cell>
          <cell r="AE40">
            <v>181000</v>
          </cell>
          <cell r="AF40">
            <v>190000</v>
          </cell>
          <cell r="AG40">
            <v>0</v>
          </cell>
          <cell r="AH40">
            <v>37</v>
          </cell>
          <cell r="AI40">
            <v>45000</v>
          </cell>
          <cell r="AJ40">
            <v>80000</v>
          </cell>
          <cell r="AK40">
            <v>93000</v>
          </cell>
          <cell r="AL40">
            <v>104000</v>
          </cell>
          <cell r="AM40">
            <v>114000</v>
          </cell>
          <cell r="AN40">
            <v>120000</v>
          </cell>
          <cell r="AO40">
            <v>0</v>
          </cell>
          <cell r="AP40">
            <v>37</v>
          </cell>
          <cell r="AQ40">
            <v>121000</v>
          </cell>
          <cell r="AR40">
            <v>215000</v>
          </cell>
          <cell r="AS40">
            <v>251000</v>
          </cell>
          <cell r="AT40">
            <v>279000</v>
          </cell>
          <cell r="AU40">
            <v>306000</v>
          </cell>
          <cell r="AV40">
            <v>322000</v>
          </cell>
          <cell r="AW40">
            <v>0</v>
          </cell>
          <cell r="AX40">
            <v>37</v>
          </cell>
          <cell r="AY40">
            <v>195000</v>
          </cell>
          <cell r="AZ40">
            <v>347000</v>
          </cell>
          <cell r="BA40">
            <v>406000</v>
          </cell>
          <cell r="BB40">
            <v>451000</v>
          </cell>
          <cell r="BC40">
            <v>495000</v>
          </cell>
          <cell r="BD40">
            <v>521000</v>
          </cell>
        </row>
        <row r="41">
          <cell r="B41">
            <v>38</v>
          </cell>
          <cell r="C41">
            <v>54000</v>
          </cell>
          <cell r="D41">
            <v>96000</v>
          </cell>
          <cell r="E41">
            <v>112000</v>
          </cell>
          <cell r="F41">
            <v>124000</v>
          </cell>
          <cell r="G41">
            <v>136000</v>
          </cell>
          <cell r="H41">
            <v>143000</v>
          </cell>
          <cell r="I41">
            <v>0</v>
          </cell>
          <cell r="J41">
            <v>38</v>
          </cell>
          <cell r="K41">
            <v>70000</v>
          </cell>
          <cell r="L41">
            <v>124000</v>
          </cell>
          <cell r="M41">
            <v>145000</v>
          </cell>
          <cell r="N41">
            <v>161000</v>
          </cell>
          <cell r="O41">
            <v>177000</v>
          </cell>
          <cell r="P41">
            <v>186000</v>
          </cell>
          <cell r="Q41">
            <v>0</v>
          </cell>
          <cell r="R41">
            <v>38</v>
          </cell>
          <cell r="S41">
            <v>43000</v>
          </cell>
          <cell r="T41">
            <v>77000</v>
          </cell>
          <cell r="U41">
            <v>90000</v>
          </cell>
          <cell r="V41">
            <v>100000</v>
          </cell>
          <cell r="W41">
            <v>110000</v>
          </cell>
          <cell r="X41">
            <v>115000</v>
          </cell>
          <cell r="Y41">
            <v>0</v>
          </cell>
          <cell r="Z41">
            <v>38</v>
          </cell>
          <cell r="AA41">
            <v>79000</v>
          </cell>
          <cell r="AB41">
            <v>140000</v>
          </cell>
          <cell r="AC41">
            <v>163000</v>
          </cell>
          <cell r="AD41">
            <v>181000</v>
          </cell>
          <cell r="AE41">
            <v>199000</v>
          </cell>
          <cell r="AF41">
            <v>209000</v>
          </cell>
          <cell r="AG41">
            <v>0</v>
          </cell>
          <cell r="AH41">
            <v>38</v>
          </cell>
          <cell r="AI41">
            <v>49000</v>
          </cell>
          <cell r="AJ41">
            <v>88000</v>
          </cell>
          <cell r="AK41">
            <v>103000</v>
          </cell>
          <cell r="AL41">
            <v>114000</v>
          </cell>
          <cell r="AM41">
            <v>125000</v>
          </cell>
          <cell r="AN41">
            <v>132000</v>
          </cell>
          <cell r="AO41">
            <v>0</v>
          </cell>
          <cell r="AP41">
            <v>38</v>
          </cell>
          <cell r="AQ41">
            <v>133000</v>
          </cell>
          <cell r="AR41">
            <v>236000</v>
          </cell>
          <cell r="AS41">
            <v>276000</v>
          </cell>
          <cell r="AT41">
            <v>307000</v>
          </cell>
          <cell r="AU41">
            <v>337000</v>
          </cell>
          <cell r="AV41">
            <v>355000</v>
          </cell>
          <cell r="AW41">
            <v>0</v>
          </cell>
          <cell r="AX41">
            <v>38</v>
          </cell>
          <cell r="AY41">
            <v>215000</v>
          </cell>
          <cell r="AZ41">
            <v>382000</v>
          </cell>
          <cell r="BA41">
            <v>447000</v>
          </cell>
          <cell r="BB41">
            <v>497000</v>
          </cell>
          <cell r="BC41">
            <v>544000</v>
          </cell>
          <cell r="BD41">
            <v>573000</v>
          </cell>
        </row>
        <row r="42">
          <cell r="B42">
            <v>39</v>
          </cell>
          <cell r="C42">
            <v>59000</v>
          </cell>
          <cell r="D42">
            <v>105000</v>
          </cell>
          <cell r="E42">
            <v>123000</v>
          </cell>
          <cell r="F42">
            <v>137000</v>
          </cell>
          <cell r="G42">
            <v>150000</v>
          </cell>
          <cell r="H42">
            <v>158000</v>
          </cell>
          <cell r="I42">
            <v>0</v>
          </cell>
          <cell r="J42">
            <v>39</v>
          </cell>
          <cell r="K42">
            <v>77000</v>
          </cell>
          <cell r="L42">
            <v>136000</v>
          </cell>
          <cell r="M42">
            <v>160000</v>
          </cell>
          <cell r="N42">
            <v>177000</v>
          </cell>
          <cell r="O42">
            <v>194000</v>
          </cell>
          <cell r="P42">
            <v>205000</v>
          </cell>
          <cell r="Q42">
            <v>0</v>
          </cell>
          <cell r="R42">
            <v>39</v>
          </cell>
          <cell r="S42">
            <v>48000</v>
          </cell>
          <cell r="T42">
            <v>85000</v>
          </cell>
          <cell r="U42">
            <v>99000</v>
          </cell>
          <cell r="V42">
            <v>110000</v>
          </cell>
          <cell r="W42">
            <v>121000</v>
          </cell>
          <cell r="X42">
            <v>127000</v>
          </cell>
          <cell r="Y42">
            <v>0</v>
          </cell>
          <cell r="Z42">
            <v>39</v>
          </cell>
          <cell r="AA42">
            <v>86000</v>
          </cell>
          <cell r="AB42">
            <v>153000</v>
          </cell>
          <cell r="AC42">
            <v>180000</v>
          </cell>
          <cell r="AD42">
            <v>200000</v>
          </cell>
          <cell r="AE42">
            <v>219000</v>
          </cell>
          <cell r="AF42">
            <v>230000</v>
          </cell>
          <cell r="AG42">
            <v>0</v>
          </cell>
          <cell r="AH42">
            <v>39</v>
          </cell>
          <cell r="AI42">
            <v>54000</v>
          </cell>
          <cell r="AJ42">
            <v>97000</v>
          </cell>
          <cell r="AK42">
            <v>113000</v>
          </cell>
          <cell r="AL42">
            <v>126000</v>
          </cell>
          <cell r="AM42">
            <v>138000</v>
          </cell>
          <cell r="AN42">
            <v>145000</v>
          </cell>
          <cell r="AO42">
            <v>0</v>
          </cell>
          <cell r="AP42">
            <v>39</v>
          </cell>
          <cell r="AQ42">
            <v>146000</v>
          </cell>
          <cell r="AR42">
            <v>260000</v>
          </cell>
          <cell r="AS42">
            <v>304000</v>
          </cell>
          <cell r="AT42">
            <v>338000</v>
          </cell>
          <cell r="AU42">
            <v>370000</v>
          </cell>
          <cell r="AV42">
            <v>390000</v>
          </cell>
          <cell r="AW42">
            <v>0</v>
          </cell>
          <cell r="AX42">
            <v>39</v>
          </cell>
          <cell r="AY42">
            <v>236000</v>
          </cell>
          <cell r="AZ42">
            <v>420000</v>
          </cell>
          <cell r="BA42">
            <v>492000</v>
          </cell>
          <cell r="BB42">
            <v>546000</v>
          </cell>
          <cell r="BC42">
            <v>599000</v>
          </cell>
          <cell r="BD42">
            <v>630000</v>
          </cell>
        </row>
        <row r="43">
          <cell r="B43">
            <v>40</v>
          </cell>
          <cell r="C43">
            <v>65000</v>
          </cell>
          <cell r="D43">
            <v>116000</v>
          </cell>
          <cell r="E43">
            <v>135000</v>
          </cell>
          <cell r="F43">
            <v>150000</v>
          </cell>
          <cell r="G43">
            <v>165000</v>
          </cell>
          <cell r="H43">
            <v>174000</v>
          </cell>
          <cell r="I43">
            <v>0</v>
          </cell>
          <cell r="J43">
            <v>40</v>
          </cell>
          <cell r="K43">
            <v>84000</v>
          </cell>
          <cell r="L43">
            <v>150000</v>
          </cell>
          <cell r="M43">
            <v>175000</v>
          </cell>
          <cell r="N43">
            <v>195000</v>
          </cell>
          <cell r="O43">
            <v>214000</v>
          </cell>
          <cell r="P43">
            <v>225000</v>
          </cell>
          <cell r="Q43">
            <v>0</v>
          </cell>
          <cell r="R43">
            <v>40</v>
          </cell>
          <cell r="S43">
            <v>52000</v>
          </cell>
          <cell r="T43">
            <v>93000</v>
          </cell>
          <cell r="U43">
            <v>109000</v>
          </cell>
          <cell r="V43">
            <v>121000</v>
          </cell>
          <cell r="W43">
            <v>133000</v>
          </cell>
          <cell r="X43">
            <v>140000</v>
          </cell>
          <cell r="Y43">
            <v>0</v>
          </cell>
          <cell r="Z43">
            <v>40</v>
          </cell>
          <cell r="AA43">
            <v>95000</v>
          </cell>
          <cell r="AB43">
            <v>169000</v>
          </cell>
          <cell r="AC43">
            <v>198000</v>
          </cell>
          <cell r="AD43">
            <v>220000</v>
          </cell>
          <cell r="AE43">
            <v>241000</v>
          </cell>
          <cell r="AF43">
            <v>253000</v>
          </cell>
          <cell r="AG43">
            <v>0</v>
          </cell>
          <cell r="AH43">
            <v>40</v>
          </cell>
          <cell r="AI43">
            <v>60000</v>
          </cell>
          <cell r="AJ43">
            <v>106000</v>
          </cell>
          <cell r="AK43">
            <v>124000</v>
          </cell>
          <cell r="AL43">
            <v>138000</v>
          </cell>
          <cell r="AM43">
            <v>151000</v>
          </cell>
          <cell r="AN43">
            <v>159000</v>
          </cell>
          <cell r="AO43">
            <v>0</v>
          </cell>
          <cell r="AP43">
            <v>40</v>
          </cell>
          <cell r="AQ43">
            <v>161000</v>
          </cell>
          <cell r="AR43">
            <v>286000</v>
          </cell>
          <cell r="AS43">
            <v>335000</v>
          </cell>
          <cell r="AT43">
            <v>372000</v>
          </cell>
          <cell r="AU43">
            <v>407000</v>
          </cell>
          <cell r="AV43">
            <v>429000</v>
          </cell>
          <cell r="AW43">
            <v>0</v>
          </cell>
          <cell r="AX43">
            <v>40</v>
          </cell>
          <cell r="AY43">
            <v>260000</v>
          </cell>
          <cell r="AZ43">
            <v>462000</v>
          </cell>
          <cell r="BA43">
            <v>541000</v>
          </cell>
          <cell r="BB43">
            <v>601000</v>
          </cell>
          <cell r="BC43">
            <v>659000</v>
          </cell>
          <cell r="BD43">
            <v>693000</v>
          </cell>
        </row>
        <row r="44">
          <cell r="B44">
            <v>41</v>
          </cell>
          <cell r="C44">
            <v>72000</v>
          </cell>
          <cell r="D44">
            <v>127000</v>
          </cell>
          <cell r="E44">
            <v>149000</v>
          </cell>
          <cell r="F44">
            <v>165000</v>
          </cell>
          <cell r="G44">
            <v>181000</v>
          </cell>
          <cell r="H44">
            <v>191000</v>
          </cell>
          <cell r="I44">
            <v>0</v>
          </cell>
          <cell r="J44">
            <v>41</v>
          </cell>
          <cell r="K44">
            <v>93000</v>
          </cell>
          <cell r="L44">
            <v>165000</v>
          </cell>
          <cell r="M44">
            <v>193000</v>
          </cell>
          <cell r="N44">
            <v>215000</v>
          </cell>
          <cell r="O44">
            <v>235000</v>
          </cell>
          <cell r="P44">
            <v>248000</v>
          </cell>
          <cell r="Q44">
            <v>0</v>
          </cell>
          <cell r="R44">
            <v>41</v>
          </cell>
          <cell r="S44">
            <v>58000</v>
          </cell>
          <cell r="T44">
            <v>102000</v>
          </cell>
          <cell r="U44">
            <v>120000</v>
          </cell>
          <cell r="V44">
            <v>133000</v>
          </cell>
          <cell r="W44">
            <v>146000</v>
          </cell>
          <cell r="X44">
            <v>153000</v>
          </cell>
          <cell r="Y44">
            <v>0</v>
          </cell>
          <cell r="Z44">
            <v>41</v>
          </cell>
          <cell r="AA44">
            <v>105000</v>
          </cell>
          <cell r="AB44">
            <v>186000</v>
          </cell>
          <cell r="AC44">
            <v>217000</v>
          </cell>
          <cell r="AD44">
            <v>242000</v>
          </cell>
          <cell r="AE44">
            <v>265000</v>
          </cell>
          <cell r="AF44">
            <v>279000</v>
          </cell>
          <cell r="AG44">
            <v>0</v>
          </cell>
          <cell r="AH44">
            <v>41</v>
          </cell>
          <cell r="AI44">
            <v>66000</v>
          </cell>
          <cell r="AJ44">
            <v>117000</v>
          </cell>
          <cell r="AK44">
            <v>137000</v>
          </cell>
          <cell r="AL44">
            <v>152000</v>
          </cell>
          <cell r="AM44">
            <v>167000</v>
          </cell>
          <cell r="AN44">
            <v>175000</v>
          </cell>
          <cell r="AO44">
            <v>0</v>
          </cell>
          <cell r="AP44">
            <v>41</v>
          </cell>
          <cell r="AQ44">
            <v>177000</v>
          </cell>
          <cell r="AR44">
            <v>314000</v>
          </cell>
          <cell r="AS44">
            <v>368000</v>
          </cell>
          <cell r="AT44">
            <v>409000</v>
          </cell>
          <cell r="AU44">
            <v>448000</v>
          </cell>
          <cell r="AV44">
            <v>472000</v>
          </cell>
          <cell r="AW44">
            <v>0</v>
          </cell>
          <cell r="AX44">
            <v>41</v>
          </cell>
          <cell r="AY44">
            <v>286000</v>
          </cell>
          <cell r="AZ44">
            <v>508000</v>
          </cell>
          <cell r="BA44">
            <v>595000</v>
          </cell>
          <cell r="BB44">
            <v>661000</v>
          </cell>
          <cell r="BC44">
            <v>724000</v>
          </cell>
          <cell r="BD44">
            <v>763000</v>
          </cell>
        </row>
        <row r="45">
          <cell r="B45">
            <v>42</v>
          </cell>
          <cell r="C45">
            <v>79000</v>
          </cell>
          <cell r="D45">
            <v>140000</v>
          </cell>
          <cell r="E45">
            <v>164000</v>
          </cell>
          <cell r="F45">
            <v>182000</v>
          </cell>
          <cell r="G45">
            <v>199000</v>
          </cell>
          <cell r="H45">
            <v>210000</v>
          </cell>
          <cell r="I45">
            <v>0</v>
          </cell>
          <cell r="J45">
            <v>42</v>
          </cell>
          <cell r="K45">
            <v>102000</v>
          </cell>
          <cell r="L45">
            <v>182000</v>
          </cell>
          <cell r="M45">
            <v>212000</v>
          </cell>
          <cell r="N45">
            <v>236000</v>
          </cell>
          <cell r="O45">
            <v>259000</v>
          </cell>
          <cell r="P45">
            <v>272000</v>
          </cell>
          <cell r="Q45">
            <v>0</v>
          </cell>
          <cell r="R45">
            <v>42</v>
          </cell>
          <cell r="S45">
            <v>63000</v>
          </cell>
          <cell r="T45">
            <v>113000</v>
          </cell>
          <cell r="U45">
            <v>132000</v>
          </cell>
          <cell r="V45">
            <v>146000</v>
          </cell>
          <cell r="W45">
            <v>160000</v>
          </cell>
          <cell r="X45">
            <v>169000</v>
          </cell>
          <cell r="Y45">
            <v>0</v>
          </cell>
          <cell r="Z45">
            <v>42</v>
          </cell>
          <cell r="AA45">
            <v>115000</v>
          </cell>
          <cell r="AB45">
            <v>204000</v>
          </cell>
          <cell r="AC45">
            <v>239000</v>
          </cell>
          <cell r="AD45">
            <v>266000</v>
          </cell>
          <cell r="AE45">
            <v>291000</v>
          </cell>
          <cell r="AF45">
            <v>307000</v>
          </cell>
          <cell r="AG45">
            <v>0</v>
          </cell>
          <cell r="AH45">
            <v>42</v>
          </cell>
          <cell r="AI45">
            <v>72000</v>
          </cell>
          <cell r="AJ45">
            <v>129000</v>
          </cell>
          <cell r="AK45">
            <v>150000</v>
          </cell>
          <cell r="AL45">
            <v>167000</v>
          </cell>
          <cell r="AM45">
            <v>183000</v>
          </cell>
          <cell r="AN45">
            <v>193000</v>
          </cell>
          <cell r="AO45">
            <v>0</v>
          </cell>
          <cell r="AP45">
            <v>42</v>
          </cell>
          <cell r="AQ45">
            <v>195000</v>
          </cell>
          <cell r="AR45">
            <v>346000</v>
          </cell>
          <cell r="AS45">
            <v>405000</v>
          </cell>
          <cell r="AT45">
            <v>450000</v>
          </cell>
          <cell r="AU45">
            <v>493000</v>
          </cell>
          <cell r="AV45">
            <v>519000</v>
          </cell>
          <cell r="AW45">
            <v>0</v>
          </cell>
          <cell r="AX45">
            <v>42</v>
          </cell>
          <cell r="AY45">
            <v>315000</v>
          </cell>
          <cell r="AZ45">
            <v>559000</v>
          </cell>
          <cell r="BA45">
            <v>654000</v>
          </cell>
          <cell r="BB45">
            <v>727000</v>
          </cell>
          <cell r="BC45">
            <v>797000</v>
          </cell>
          <cell r="BD45">
            <v>839000</v>
          </cell>
        </row>
        <row r="46">
          <cell r="B46">
            <v>43</v>
          </cell>
          <cell r="C46">
            <v>87000</v>
          </cell>
          <cell r="D46">
            <v>154000</v>
          </cell>
          <cell r="E46">
            <v>180000</v>
          </cell>
          <cell r="F46">
            <v>200000</v>
          </cell>
          <cell r="G46">
            <v>219000</v>
          </cell>
          <cell r="H46">
            <v>231000</v>
          </cell>
          <cell r="I46">
            <v>0</v>
          </cell>
          <cell r="J46">
            <v>43</v>
          </cell>
          <cell r="K46">
            <v>112000</v>
          </cell>
          <cell r="L46">
            <v>200000</v>
          </cell>
          <cell r="M46">
            <v>234000</v>
          </cell>
          <cell r="N46">
            <v>260000</v>
          </cell>
          <cell r="O46">
            <v>285000</v>
          </cell>
          <cell r="P46">
            <v>300000</v>
          </cell>
          <cell r="Q46">
            <v>0</v>
          </cell>
          <cell r="R46">
            <v>43</v>
          </cell>
          <cell r="S46">
            <v>70000</v>
          </cell>
          <cell r="T46">
            <v>124000</v>
          </cell>
          <cell r="U46">
            <v>145000</v>
          </cell>
          <cell r="V46">
            <v>161000</v>
          </cell>
          <cell r="W46">
            <v>177000</v>
          </cell>
          <cell r="X46">
            <v>186000</v>
          </cell>
          <cell r="Y46">
            <v>0</v>
          </cell>
          <cell r="Z46">
            <v>43</v>
          </cell>
          <cell r="AA46">
            <v>126000</v>
          </cell>
          <cell r="AB46">
            <v>225000</v>
          </cell>
          <cell r="AC46">
            <v>263000</v>
          </cell>
          <cell r="AD46">
            <v>292000</v>
          </cell>
          <cell r="AE46">
            <v>320000</v>
          </cell>
          <cell r="AF46">
            <v>337000</v>
          </cell>
          <cell r="AG46">
            <v>0</v>
          </cell>
          <cell r="AH46">
            <v>43</v>
          </cell>
          <cell r="AI46">
            <v>79000</v>
          </cell>
          <cell r="AJ46">
            <v>141000</v>
          </cell>
          <cell r="AK46">
            <v>165000</v>
          </cell>
          <cell r="AL46">
            <v>184000</v>
          </cell>
          <cell r="AM46">
            <v>201000</v>
          </cell>
          <cell r="AN46">
            <v>212000</v>
          </cell>
          <cell r="AO46">
            <v>0</v>
          </cell>
          <cell r="AP46">
            <v>43</v>
          </cell>
          <cell r="AQ46">
            <v>214000</v>
          </cell>
          <cell r="AR46">
            <v>381000</v>
          </cell>
          <cell r="AS46">
            <v>445000</v>
          </cell>
          <cell r="AT46">
            <v>495000</v>
          </cell>
          <cell r="AU46">
            <v>542000</v>
          </cell>
          <cell r="AV46">
            <v>571000</v>
          </cell>
          <cell r="AW46">
            <v>0</v>
          </cell>
          <cell r="AX46">
            <v>43</v>
          </cell>
          <cell r="AY46">
            <v>346000</v>
          </cell>
          <cell r="AZ46">
            <v>615000</v>
          </cell>
          <cell r="BA46">
            <v>720000</v>
          </cell>
          <cell r="BB46">
            <v>800000</v>
          </cell>
          <cell r="BC46">
            <v>877000</v>
          </cell>
          <cell r="BD46">
            <v>923000</v>
          </cell>
        </row>
        <row r="47">
          <cell r="B47">
            <v>44</v>
          </cell>
          <cell r="C47">
            <v>95000</v>
          </cell>
          <cell r="D47">
            <v>169000</v>
          </cell>
          <cell r="E47">
            <v>198000</v>
          </cell>
          <cell r="F47">
            <v>220000</v>
          </cell>
          <cell r="G47">
            <v>241000</v>
          </cell>
          <cell r="H47">
            <v>254000</v>
          </cell>
          <cell r="I47">
            <v>0</v>
          </cell>
          <cell r="J47">
            <v>44</v>
          </cell>
          <cell r="K47">
            <v>124000</v>
          </cell>
          <cell r="L47">
            <v>220000</v>
          </cell>
          <cell r="M47">
            <v>257000</v>
          </cell>
          <cell r="N47">
            <v>286000</v>
          </cell>
          <cell r="O47">
            <v>313000</v>
          </cell>
          <cell r="P47">
            <v>329000</v>
          </cell>
          <cell r="Q47">
            <v>0</v>
          </cell>
          <cell r="R47">
            <v>44</v>
          </cell>
          <cell r="S47">
            <v>77000</v>
          </cell>
          <cell r="T47">
            <v>136000</v>
          </cell>
          <cell r="U47">
            <v>159000</v>
          </cell>
          <cell r="V47">
            <v>177000</v>
          </cell>
          <cell r="W47">
            <v>194000</v>
          </cell>
          <cell r="X47">
            <v>204000</v>
          </cell>
          <cell r="Y47">
            <v>0</v>
          </cell>
          <cell r="Z47">
            <v>44</v>
          </cell>
          <cell r="AA47">
            <v>139000</v>
          </cell>
          <cell r="AB47">
            <v>247000</v>
          </cell>
          <cell r="AC47">
            <v>289000</v>
          </cell>
          <cell r="AD47">
            <v>321000</v>
          </cell>
          <cell r="AE47">
            <v>352000</v>
          </cell>
          <cell r="AF47">
            <v>371000</v>
          </cell>
          <cell r="AG47">
            <v>0</v>
          </cell>
          <cell r="AH47">
            <v>44</v>
          </cell>
          <cell r="AI47">
            <v>88000</v>
          </cell>
          <cell r="AJ47">
            <v>156000</v>
          </cell>
          <cell r="AK47">
            <v>182000</v>
          </cell>
          <cell r="AL47">
            <v>202000</v>
          </cell>
          <cell r="AM47">
            <v>222000</v>
          </cell>
          <cell r="AN47">
            <v>233000</v>
          </cell>
          <cell r="AO47">
            <v>0</v>
          </cell>
          <cell r="AP47">
            <v>44</v>
          </cell>
          <cell r="AQ47">
            <v>235000</v>
          </cell>
          <cell r="AR47">
            <v>419000</v>
          </cell>
          <cell r="AS47">
            <v>490000</v>
          </cell>
          <cell r="AT47">
            <v>544000</v>
          </cell>
          <cell r="AU47">
            <v>597000</v>
          </cell>
          <cell r="AV47">
            <v>628000</v>
          </cell>
          <cell r="AW47">
            <v>0</v>
          </cell>
          <cell r="AX47">
            <v>44</v>
          </cell>
          <cell r="AY47">
            <v>381000</v>
          </cell>
          <cell r="AZ47">
            <v>677000</v>
          </cell>
          <cell r="BA47">
            <v>792000</v>
          </cell>
          <cell r="BB47">
            <v>880000</v>
          </cell>
          <cell r="BC47">
            <v>964000</v>
          </cell>
          <cell r="BD47">
            <v>1015000</v>
          </cell>
        </row>
        <row r="48">
          <cell r="B48">
            <v>45</v>
          </cell>
          <cell r="C48">
            <v>105000</v>
          </cell>
          <cell r="D48">
            <v>186000</v>
          </cell>
          <cell r="E48">
            <v>218000</v>
          </cell>
          <cell r="F48">
            <v>242000</v>
          </cell>
          <cell r="G48">
            <v>265000</v>
          </cell>
          <cell r="H48">
            <v>279000</v>
          </cell>
          <cell r="I48">
            <v>0</v>
          </cell>
          <cell r="J48">
            <v>45</v>
          </cell>
          <cell r="K48">
            <v>136000</v>
          </cell>
          <cell r="L48">
            <v>242000</v>
          </cell>
          <cell r="M48">
            <v>283000</v>
          </cell>
          <cell r="N48">
            <v>314000</v>
          </cell>
          <cell r="O48">
            <v>344000</v>
          </cell>
          <cell r="P48">
            <v>362000</v>
          </cell>
          <cell r="Q48">
            <v>0</v>
          </cell>
          <cell r="R48">
            <v>45</v>
          </cell>
          <cell r="S48">
            <v>84000</v>
          </cell>
          <cell r="T48">
            <v>150000</v>
          </cell>
          <cell r="U48">
            <v>175000</v>
          </cell>
          <cell r="V48">
            <v>195000</v>
          </cell>
          <cell r="W48">
            <v>214000</v>
          </cell>
          <cell r="X48">
            <v>225000</v>
          </cell>
          <cell r="Y48">
            <v>0</v>
          </cell>
          <cell r="Z48">
            <v>45</v>
          </cell>
          <cell r="AA48">
            <v>153000</v>
          </cell>
          <cell r="AB48">
            <v>272000</v>
          </cell>
          <cell r="AC48">
            <v>318000</v>
          </cell>
          <cell r="AD48">
            <v>354000</v>
          </cell>
          <cell r="AE48">
            <v>388000</v>
          </cell>
          <cell r="AF48">
            <v>408000</v>
          </cell>
          <cell r="AG48">
            <v>0</v>
          </cell>
          <cell r="AH48">
            <v>45</v>
          </cell>
          <cell r="AI48">
            <v>96000</v>
          </cell>
          <cell r="AJ48">
            <v>171000</v>
          </cell>
          <cell r="AK48">
            <v>200000</v>
          </cell>
          <cell r="AL48">
            <v>222000</v>
          </cell>
          <cell r="AM48">
            <v>244000</v>
          </cell>
          <cell r="AN48">
            <v>257000</v>
          </cell>
          <cell r="AO48">
            <v>0</v>
          </cell>
          <cell r="AP48">
            <v>45</v>
          </cell>
          <cell r="AQ48">
            <v>259000</v>
          </cell>
          <cell r="AR48">
            <v>461000</v>
          </cell>
          <cell r="AS48">
            <v>539000</v>
          </cell>
          <cell r="AT48">
            <v>599000</v>
          </cell>
          <cell r="AU48">
            <v>656000</v>
          </cell>
          <cell r="AV48">
            <v>691000</v>
          </cell>
          <cell r="AW48">
            <v>0</v>
          </cell>
          <cell r="AX48">
            <v>45</v>
          </cell>
          <cell r="AY48">
            <v>419000</v>
          </cell>
          <cell r="AZ48">
            <v>744000</v>
          </cell>
          <cell r="BA48">
            <v>871000</v>
          </cell>
          <cell r="BB48">
            <v>968000</v>
          </cell>
          <cell r="BC48">
            <v>1061000</v>
          </cell>
          <cell r="BD48">
            <v>1117000</v>
          </cell>
        </row>
        <row r="49">
          <cell r="B49">
            <v>46</v>
          </cell>
          <cell r="C49">
            <v>115000</v>
          </cell>
          <cell r="D49">
            <v>205000</v>
          </cell>
          <cell r="E49">
            <v>240000</v>
          </cell>
          <cell r="F49">
            <v>266000</v>
          </cell>
          <cell r="G49">
            <v>292000</v>
          </cell>
          <cell r="H49">
            <v>307000</v>
          </cell>
          <cell r="I49">
            <v>0</v>
          </cell>
          <cell r="J49">
            <v>46</v>
          </cell>
          <cell r="K49">
            <v>150000</v>
          </cell>
          <cell r="L49">
            <v>266000</v>
          </cell>
          <cell r="M49">
            <v>311000</v>
          </cell>
          <cell r="N49">
            <v>346000</v>
          </cell>
          <cell r="O49">
            <v>379000</v>
          </cell>
          <cell r="P49">
            <v>399000</v>
          </cell>
          <cell r="Q49">
            <v>0</v>
          </cell>
          <cell r="R49">
            <v>46</v>
          </cell>
          <cell r="S49">
            <v>93000</v>
          </cell>
          <cell r="T49">
            <v>165000</v>
          </cell>
          <cell r="U49">
            <v>193000</v>
          </cell>
          <cell r="V49">
            <v>214000</v>
          </cell>
          <cell r="W49">
            <v>235000</v>
          </cell>
          <cell r="X49">
            <v>247000</v>
          </cell>
          <cell r="Y49">
            <v>0</v>
          </cell>
          <cell r="Z49">
            <v>46</v>
          </cell>
          <cell r="AA49">
            <v>168000</v>
          </cell>
          <cell r="AB49">
            <v>299000</v>
          </cell>
          <cell r="AC49">
            <v>350000</v>
          </cell>
          <cell r="AD49">
            <v>389000</v>
          </cell>
          <cell r="AE49">
            <v>426000</v>
          </cell>
          <cell r="AF49">
            <v>449000</v>
          </cell>
          <cell r="AG49">
            <v>0</v>
          </cell>
          <cell r="AH49">
            <v>46</v>
          </cell>
          <cell r="AI49">
            <v>106000</v>
          </cell>
          <cell r="AJ49">
            <v>188000</v>
          </cell>
          <cell r="AK49">
            <v>220000</v>
          </cell>
          <cell r="AL49">
            <v>245000</v>
          </cell>
          <cell r="AM49">
            <v>268000</v>
          </cell>
          <cell r="AN49">
            <v>282000</v>
          </cell>
          <cell r="AO49">
            <v>0</v>
          </cell>
          <cell r="AP49">
            <v>46</v>
          </cell>
          <cell r="AQ49">
            <v>285000</v>
          </cell>
          <cell r="AR49">
            <v>507000</v>
          </cell>
          <cell r="AS49">
            <v>593000</v>
          </cell>
          <cell r="AT49">
            <v>659000</v>
          </cell>
          <cell r="AU49">
            <v>722000</v>
          </cell>
          <cell r="AV49">
            <v>760000</v>
          </cell>
          <cell r="AW49">
            <v>0</v>
          </cell>
          <cell r="AX49">
            <v>46</v>
          </cell>
          <cell r="AY49">
            <v>461000</v>
          </cell>
          <cell r="AZ49">
            <v>819000</v>
          </cell>
          <cell r="BA49">
            <v>958000</v>
          </cell>
          <cell r="BB49">
            <v>1064000</v>
          </cell>
          <cell r="BC49">
            <v>1167000</v>
          </cell>
          <cell r="BD49">
            <v>1228000</v>
          </cell>
        </row>
        <row r="50">
          <cell r="B50">
            <v>47</v>
          </cell>
          <cell r="C50">
            <v>127000</v>
          </cell>
          <cell r="D50">
            <v>225000</v>
          </cell>
          <cell r="E50">
            <v>264000</v>
          </cell>
          <cell r="F50">
            <v>293000</v>
          </cell>
          <cell r="G50">
            <v>321000</v>
          </cell>
          <cell r="H50">
            <v>338000</v>
          </cell>
          <cell r="I50">
            <v>0</v>
          </cell>
          <cell r="J50">
            <v>47</v>
          </cell>
          <cell r="K50">
            <v>165000</v>
          </cell>
          <cell r="L50">
            <v>292000</v>
          </cell>
          <cell r="M50">
            <v>342000</v>
          </cell>
          <cell r="N50">
            <v>380000</v>
          </cell>
          <cell r="O50">
            <v>417000</v>
          </cell>
          <cell r="P50">
            <v>439000</v>
          </cell>
          <cell r="Q50">
            <v>0</v>
          </cell>
          <cell r="R50">
            <v>47</v>
          </cell>
          <cell r="S50">
            <v>102000</v>
          </cell>
          <cell r="T50">
            <v>181000</v>
          </cell>
          <cell r="U50">
            <v>212000</v>
          </cell>
          <cell r="V50">
            <v>236000</v>
          </cell>
          <cell r="W50">
            <v>258000</v>
          </cell>
          <cell r="X50">
            <v>272000</v>
          </cell>
          <cell r="Y50">
            <v>0</v>
          </cell>
          <cell r="Z50">
            <v>47</v>
          </cell>
          <cell r="AA50">
            <v>185000</v>
          </cell>
          <cell r="AB50">
            <v>329000</v>
          </cell>
          <cell r="AC50">
            <v>385000</v>
          </cell>
          <cell r="AD50">
            <v>428000</v>
          </cell>
          <cell r="AE50">
            <v>469000</v>
          </cell>
          <cell r="AF50">
            <v>494000</v>
          </cell>
          <cell r="AG50">
            <v>0</v>
          </cell>
          <cell r="AH50">
            <v>47</v>
          </cell>
          <cell r="AI50">
            <v>116000</v>
          </cell>
          <cell r="AJ50">
            <v>207000</v>
          </cell>
          <cell r="AK50">
            <v>242000</v>
          </cell>
          <cell r="AL50">
            <v>269000</v>
          </cell>
          <cell r="AM50">
            <v>295000</v>
          </cell>
          <cell r="AN50">
            <v>311000</v>
          </cell>
          <cell r="AO50">
            <v>0</v>
          </cell>
          <cell r="AP50">
            <v>47</v>
          </cell>
          <cell r="AQ50">
            <v>313000</v>
          </cell>
          <cell r="AR50">
            <v>557000</v>
          </cell>
          <cell r="AS50">
            <v>652000</v>
          </cell>
          <cell r="AT50">
            <v>724000</v>
          </cell>
          <cell r="AU50">
            <v>794000</v>
          </cell>
          <cell r="AV50">
            <v>836000</v>
          </cell>
          <cell r="AW50">
            <v>0</v>
          </cell>
          <cell r="AX50">
            <v>47</v>
          </cell>
          <cell r="AY50">
            <v>507000</v>
          </cell>
          <cell r="AZ50">
            <v>901000</v>
          </cell>
          <cell r="BA50">
            <v>1054000</v>
          </cell>
          <cell r="BB50">
            <v>1171000</v>
          </cell>
          <cell r="BC50">
            <v>1284000</v>
          </cell>
          <cell r="BD50">
            <v>1351000</v>
          </cell>
        </row>
        <row r="51">
          <cell r="B51">
            <v>48</v>
          </cell>
          <cell r="C51">
            <v>139000</v>
          </cell>
          <cell r="D51">
            <v>248000</v>
          </cell>
          <cell r="E51">
            <v>290000</v>
          </cell>
          <cell r="F51">
            <v>322000</v>
          </cell>
          <cell r="G51">
            <v>353000</v>
          </cell>
          <cell r="H51">
            <v>372000</v>
          </cell>
          <cell r="I51">
            <v>0</v>
          </cell>
          <cell r="J51">
            <v>48</v>
          </cell>
          <cell r="K51">
            <v>181000</v>
          </cell>
          <cell r="L51">
            <v>322000</v>
          </cell>
          <cell r="M51">
            <v>376000</v>
          </cell>
          <cell r="N51">
            <v>418000</v>
          </cell>
          <cell r="O51">
            <v>458000</v>
          </cell>
          <cell r="P51">
            <v>482000</v>
          </cell>
          <cell r="Q51">
            <v>0</v>
          </cell>
          <cell r="R51">
            <v>48</v>
          </cell>
          <cell r="S51">
            <v>112000</v>
          </cell>
          <cell r="T51">
            <v>199000</v>
          </cell>
          <cell r="U51">
            <v>233000</v>
          </cell>
          <cell r="V51">
            <v>259000</v>
          </cell>
          <cell r="W51">
            <v>284000</v>
          </cell>
          <cell r="X51">
            <v>299000</v>
          </cell>
          <cell r="Y51">
            <v>0</v>
          </cell>
          <cell r="Z51">
            <v>48</v>
          </cell>
          <cell r="AA51">
            <v>204000</v>
          </cell>
          <cell r="AB51">
            <v>362000</v>
          </cell>
          <cell r="AC51">
            <v>424000</v>
          </cell>
          <cell r="AD51">
            <v>471000</v>
          </cell>
          <cell r="AE51">
            <v>516000</v>
          </cell>
          <cell r="AF51">
            <v>543000</v>
          </cell>
          <cell r="AG51">
            <v>0</v>
          </cell>
          <cell r="AH51">
            <v>48</v>
          </cell>
          <cell r="AI51">
            <v>128000</v>
          </cell>
          <cell r="AJ51">
            <v>228000</v>
          </cell>
          <cell r="AK51">
            <v>266000</v>
          </cell>
          <cell r="AL51">
            <v>296000</v>
          </cell>
          <cell r="AM51">
            <v>324000</v>
          </cell>
          <cell r="AN51">
            <v>342000</v>
          </cell>
          <cell r="AO51">
            <v>0</v>
          </cell>
          <cell r="AP51">
            <v>48</v>
          </cell>
          <cell r="AQ51">
            <v>345000</v>
          </cell>
          <cell r="AR51">
            <v>613000</v>
          </cell>
          <cell r="AS51">
            <v>717000</v>
          </cell>
          <cell r="AT51">
            <v>797000</v>
          </cell>
          <cell r="AU51">
            <v>873000</v>
          </cell>
          <cell r="AV51">
            <v>919000</v>
          </cell>
          <cell r="AW51">
            <v>0</v>
          </cell>
          <cell r="AX51">
            <v>48</v>
          </cell>
          <cell r="AY51">
            <v>557000</v>
          </cell>
          <cell r="AZ51">
            <v>991000</v>
          </cell>
          <cell r="BA51">
            <v>1159000</v>
          </cell>
          <cell r="BB51">
            <v>1288000</v>
          </cell>
          <cell r="BC51">
            <v>1412000</v>
          </cell>
          <cell r="BD51">
            <v>1486000</v>
          </cell>
        </row>
        <row r="52">
          <cell r="B52">
            <v>49</v>
          </cell>
          <cell r="C52">
            <v>153000</v>
          </cell>
          <cell r="D52">
            <v>273000</v>
          </cell>
          <cell r="E52">
            <v>319000</v>
          </cell>
          <cell r="F52">
            <v>355000</v>
          </cell>
          <cell r="G52">
            <v>389000</v>
          </cell>
          <cell r="H52">
            <v>409000</v>
          </cell>
          <cell r="I52">
            <v>0</v>
          </cell>
          <cell r="J52">
            <v>49</v>
          </cell>
          <cell r="K52">
            <v>199000</v>
          </cell>
          <cell r="L52">
            <v>354000</v>
          </cell>
          <cell r="M52">
            <v>414000</v>
          </cell>
          <cell r="N52">
            <v>460000</v>
          </cell>
          <cell r="O52">
            <v>504000</v>
          </cell>
          <cell r="P52">
            <v>531000</v>
          </cell>
          <cell r="Q52">
            <v>0</v>
          </cell>
          <cell r="R52">
            <v>49</v>
          </cell>
          <cell r="S52">
            <v>123000</v>
          </cell>
          <cell r="T52">
            <v>219000</v>
          </cell>
          <cell r="U52">
            <v>257000</v>
          </cell>
          <cell r="V52">
            <v>285000</v>
          </cell>
          <cell r="W52">
            <v>313000</v>
          </cell>
          <cell r="X52">
            <v>329000</v>
          </cell>
          <cell r="Y52">
            <v>0</v>
          </cell>
          <cell r="Z52">
            <v>49</v>
          </cell>
          <cell r="AA52">
            <v>224000</v>
          </cell>
          <cell r="AB52">
            <v>398000</v>
          </cell>
          <cell r="AC52">
            <v>466000</v>
          </cell>
          <cell r="AD52">
            <v>518000</v>
          </cell>
          <cell r="AE52">
            <v>568000</v>
          </cell>
          <cell r="AF52">
            <v>597000</v>
          </cell>
          <cell r="AG52">
            <v>0</v>
          </cell>
          <cell r="AH52">
            <v>49</v>
          </cell>
          <cell r="AI52">
            <v>141000</v>
          </cell>
          <cell r="AJ52">
            <v>250000</v>
          </cell>
          <cell r="AK52">
            <v>293000</v>
          </cell>
          <cell r="AL52">
            <v>326000</v>
          </cell>
          <cell r="AM52">
            <v>357000</v>
          </cell>
          <cell r="AN52">
            <v>376000</v>
          </cell>
          <cell r="AO52">
            <v>0</v>
          </cell>
          <cell r="AP52">
            <v>49</v>
          </cell>
          <cell r="AQ52">
            <v>379000</v>
          </cell>
          <cell r="AR52">
            <v>674000</v>
          </cell>
          <cell r="AS52">
            <v>789000</v>
          </cell>
          <cell r="AT52">
            <v>876000</v>
          </cell>
          <cell r="AU52">
            <v>961000</v>
          </cell>
          <cell r="AV52">
            <v>1011000</v>
          </cell>
          <cell r="AW52">
            <v>0</v>
          </cell>
          <cell r="AX52">
            <v>49</v>
          </cell>
          <cell r="AY52">
            <v>613000</v>
          </cell>
          <cell r="AZ52">
            <v>1090000</v>
          </cell>
          <cell r="BA52">
            <v>1275000</v>
          </cell>
          <cell r="BB52">
            <v>1417000</v>
          </cell>
          <cell r="BC52">
            <v>1553000</v>
          </cell>
          <cell r="BD52">
            <v>1635000</v>
          </cell>
        </row>
        <row r="53">
          <cell r="B53">
            <v>50</v>
          </cell>
          <cell r="C53">
            <v>169000</v>
          </cell>
          <cell r="D53">
            <v>300000</v>
          </cell>
          <cell r="E53">
            <v>351000</v>
          </cell>
          <cell r="F53">
            <v>390000</v>
          </cell>
          <cell r="G53">
            <v>427000</v>
          </cell>
          <cell r="H53">
            <v>450000</v>
          </cell>
          <cell r="I53">
            <v>0</v>
          </cell>
          <cell r="J53">
            <v>50</v>
          </cell>
          <cell r="K53">
            <v>219000</v>
          </cell>
          <cell r="L53">
            <v>389000</v>
          </cell>
          <cell r="M53">
            <v>455000</v>
          </cell>
          <cell r="N53">
            <v>506000</v>
          </cell>
          <cell r="O53">
            <v>555000</v>
          </cell>
          <cell r="P53">
            <v>584000</v>
          </cell>
          <cell r="Q53">
            <v>0</v>
          </cell>
          <cell r="R53">
            <v>50</v>
          </cell>
          <cell r="S53">
            <v>136000</v>
          </cell>
          <cell r="T53">
            <v>241000</v>
          </cell>
          <cell r="U53">
            <v>282000</v>
          </cell>
          <cell r="V53">
            <v>314000</v>
          </cell>
          <cell r="W53">
            <v>344000</v>
          </cell>
          <cell r="X53">
            <v>362000</v>
          </cell>
          <cell r="Y53">
            <v>0</v>
          </cell>
          <cell r="Z53">
            <v>50</v>
          </cell>
          <cell r="AA53">
            <v>246000</v>
          </cell>
          <cell r="AB53">
            <v>438000</v>
          </cell>
          <cell r="AC53">
            <v>512000</v>
          </cell>
          <cell r="AD53">
            <v>569000</v>
          </cell>
          <cell r="AE53">
            <v>624000</v>
          </cell>
          <cell r="AF53">
            <v>657000</v>
          </cell>
          <cell r="AG53">
            <v>0</v>
          </cell>
          <cell r="AH53">
            <v>50</v>
          </cell>
          <cell r="AI53">
            <v>155000</v>
          </cell>
          <cell r="AJ53">
            <v>276000</v>
          </cell>
          <cell r="AK53">
            <v>322000</v>
          </cell>
          <cell r="AL53">
            <v>358000</v>
          </cell>
          <cell r="AM53">
            <v>393000</v>
          </cell>
          <cell r="AN53">
            <v>413000</v>
          </cell>
          <cell r="AO53">
            <v>0</v>
          </cell>
          <cell r="AP53">
            <v>50</v>
          </cell>
          <cell r="AQ53">
            <v>417000</v>
          </cell>
          <cell r="AR53">
            <v>742000</v>
          </cell>
          <cell r="AS53">
            <v>868000</v>
          </cell>
          <cell r="AT53">
            <v>964000</v>
          </cell>
          <cell r="AU53">
            <v>1057000</v>
          </cell>
          <cell r="AV53">
            <v>1112000</v>
          </cell>
          <cell r="AW53">
            <v>0</v>
          </cell>
          <cell r="AX53">
            <v>50</v>
          </cell>
          <cell r="AY53">
            <v>674000</v>
          </cell>
          <cell r="AZ53">
            <v>1199000</v>
          </cell>
          <cell r="BA53">
            <v>1403000</v>
          </cell>
          <cell r="BB53">
            <v>1559000</v>
          </cell>
          <cell r="BC53">
            <v>1708000</v>
          </cell>
          <cell r="BD53">
            <v>1798000</v>
          </cell>
        </row>
        <row r="54">
          <cell r="B54">
            <v>51</v>
          </cell>
          <cell r="C54">
            <v>186000</v>
          </cell>
          <cell r="D54">
            <v>330000</v>
          </cell>
          <cell r="E54">
            <v>386000</v>
          </cell>
          <cell r="F54">
            <v>429000</v>
          </cell>
          <cell r="G54">
            <v>470000</v>
          </cell>
          <cell r="H54">
            <v>495000</v>
          </cell>
          <cell r="I54">
            <v>0</v>
          </cell>
          <cell r="J54">
            <v>51</v>
          </cell>
          <cell r="K54">
            <v>241000</v>
          </cell>
          <cell r="L54">
            <v>428000</v>
          </cell>
          <cell r="M54">
            <v>501000</v>
          </cell>
          <cell r="N54">
            <v>556000</v>
          </cell>
          <cell r="O54">
            <v>610000</v>
          </cell>
          <cell r="P54">
            <v>642000</v>
          </cell>
          <cell r="Q54">
            <v>0</v>
          </cell>
          <cell r="R54">
            <v>51</v>
          </cell>
          <cell r="S54">
            <v>149000</v>
          </cell>
          <cell r="T54">
            <v>266000</v>
          </cell>
          <cell r="U54">
            <v>311000</v>
          </cell>
          <cell r="V54">
            <v>345000</v>
          </cell>
          <cell r="W54">
            <v>378000</v>
          </cell>
          <cell r="X54">
            <v>398000</v>
          </cell>
          <cell r="Y54">
            <v>0</v>
          </cell>
          <cell r="Z54">
            <v>51</v>
          </cell>
          <cell r="AA54">
            <v>271000</v>
          </cell>
          <cell r="AB54">
            <v>482000</v>
          </cell>
          <cell r="AC54">
            <v>564000</v>
          </cell>
          <cell r="AD54">
            <v>626000</v>
          </cell>
          <cell r="AE54">
            <v>687000</v>
          </cell>
          <cell r="AF54">
            <v>723000</v>
          </cell>
          <cell r="AG54">
            <v>0</v>
          </cell>
          <cell r="AH54">
            <v>51</v>
          </cell>
          <cell r="AI54">
            <v>170000</v>
          </cell>
          <cell r="AJ54">
            <v>303000</v>
          </cell>
          <cell r="AK54">
            <v>355000</v>
          </cell>
          <cell r="AL54">
            <v>394000</v>
          </cell>
          <cell r="AM54">
            <v>432000</v>
          </cell>
          <cell r="AN54">
            <v>455000</v>
          </cell>
          <cell r="AO54">
            <v>0</v>
          </cell>
          <cell r="AP54">
            <v>51</v>
          </cell>
          <cell r="AQ54">
            <v>459000</v>
          </cell>
          <cell r="AR54">
            <v>816000</v>
          </cell>
          <cell r="AS54">
            <v>955000</v>
          </cell>
          <cell r="AT54">
            <v>1061000</v>
          </cell>
          <cell r="AU54">
            <v>1163000</v>
          </cell>
          <cell r="AV54">
            <v>1224000</v>
          </cell>
          <cell r="AW54">
            <v>0</v>
          </cell>
          <cell r="AX54">
            <v>51</v>
          </cell>
          <cell r="AY54">
            <v>742000</v>
          </cell>
          <cell r="AZ54">
            <v>1319000</v>
          </cell>
          <cell r="BA54">
            <v>1543000</v>
          </cell>
          <cell r="BB54">
            <v>1714000</v>
          </cell>
          <cell r="BC54">
            <v>1879000</v>
          </cell>
          <cell r="BD54">
            <v>1978000</v>
          </cell>
        </row>
        <row r="55">
          <cell r="B55">
            <v>52</v>
          </cell>
          <cell r="C55">
            <v>204000</v>
          </cell>
          <cell r="D55">
            <v>363000</v>
          </cell>
          <cell r="E55">
            <v>425000</v>
          </cell>
          <cell r="F55">
            <v>472000</v>
          </cell>
          <cell r="G55">
            <v>517000</v>
          </cell>
          <cell r="H55">
            <v>544000</v>
          </cell>
          <cell r="I55">
            <v>0</v>
          </cell>
          <cell r="J55">
            <v>52</v>
          </cell>
          <cell r="K55">
            <v>265000</v>
          </cell>
          <cell r="L55">
            <v>471000</v>
          </cell>
          <cell r="M55">
            <v>551000</v>
          </cell>
          <cell r="N55">
            <v>612000</v>
          </cell>
          <cell r="O55">
            <v>671000</v>
          </cell>
          <cell r="P55">
            <v>706000</v>
          </cell>
          <cell r="Q55">
            <v>0</v>
          </cell>
          <cell r="R55">
            <v>52</v>
          </cell>
          <cell r="S55">
            <v>164000</v>
          </cell>
          <cell r="T55">
            <v>292000</v>
          </cell>
          <cell r="U55">
            <v>342000</v>
          </cell>
          <cell r="V55">
            <v>380000</v>
          </cell>
          <cell r="W55">
            <v>416000</v>
          </cell>
          <cell r="X55">
            <v>438000</v>
          </cell>
          <cell r="Y55">
            <v>0</v>
          </cell>
          <cell r="Z55">
            <v>52</v>
          </cell>
          <cell r="AA55">
            <v>298000</v>
          </cell>
          <cell r="AB55">
            <v>530000</v>
          </cell>
          <cell r="AC55">
            <v>620000</v>
          </cell>
          <cell r="AD55">
            <v>689000</v>
          </cell>
          <cell r="AE55">
            <v>755000</v>
          </cell>
          <cell r="AF55">
            <v>795000</v>
          </cell>
          <cell r="AG55">
            <v>0</v>
          </cell>
          <cell r="AH55">
            <v>52</v>
          </cell>
          <cell r="AI55">
            <v>187000</v>
          </cell>
          <cell r="AJ55">
            <v>333000</v>
          </cell>
          <cell r="AK55">
            <v>390000</v>
          </cell>
          <cell r="AL55">
            <v>433000</v>
          </cell>
          <cell r="AM55">
            <v>475000</v>
          </cell>
          <cell r="AN55">
            <v>500000</v>
          </cell>
          <cell r="AO55">
            <v>0</v>
          </cell>
          <cell r="AP55">
            <v>52</v>
          </cell>
          <cell r="AQ55">
            <v>505000</v>
          </cell>
          <cell r="AR55">
            <v>897000</v>
          </cell>
          <cell r="AS55">
            <v>1050000</v>
          </cell>
          <cell r="AT55">
            <v>1167000</v>
          </cell>
          <cell r="AU55">
            <v>1279000</v>
          </cell>
          <cell r="AV55">
            <v>1346000</v>
          </cell>
          <cell r="AW55">
            <v>0</v>
          </cell>
          <cell r="AX55">
            <v>52</v>
          </cell>
          <cell r="AY55">
            <v>816000</v>
          </cell>
          <cell r="AZ55">
            <v>1451000</v>
          </cell>
          <cell r="BA55">
            <v>1697000</v>
          </cell>
          <cell r="BB55">
            <v>1886000</v>
          </cell>
          <cell r="BC55">
            <v>2067000</v>
          </cell>
          <cell r="BD55">
            <v>2176000</v>
          </cell>
        </row>
        <row r="56">
          <cell r="B56">
            <v>53</v>
          </cell>
          <cell r="C56">
            <v>225000</v>
          </cell>
          <cell r="D56">
            <v>399000</v>
          </cell>
          <cell r="E56">
            <v>467000</v>
          </cell>
          <cell r="F56">
            <v>519000</v>
          </cell>
          <cell r="G56">
            <v>569000</v>
          </cell>
          <cell r="H56">
            <v>599000</v>
          </cell>
          <cell r="I56">
            <v>0</v>
          </cell>
          <cell r="J56">
            <v>53</v>
          </cell>
          <cell r="K56">
            <v>291000</v>
          </cell>
          <cell r="L56">
            <v>518000</v>
          </cell>
          <cell r="M56">
            <v>606000</v>
          </cell>
          <cell r="N56">
            <v>673000</v>
          </cell>
          <cell r="O56">
            <v>738000</v>
          </cell>
          <cell r="P56">
            <v>777000</v>
          </cell>
          <cell r="Q56">
            <v>0</v>
          </cell>
          <cell r="R56">
            <v>53</v>
          </cell>
          <cell r="S56">
            <v>181000</v>
          </cell>
          <cell r="T56">
            <v>321000</v>
          </cell>
          <cell r="U56">
            <v>376000</v>
          </cell>
          <cell r="V56">
            <v>418000</v>
          </cell>
          <cell r="W56">
            <v>458000</v>
          </cell>
          <cell r="X56">
            <v>482000</v>
          </cell>
          <cell r="Y56">
            <v>0</v>
          </cell>
          <cell r="Z56">
            <v>53</v>
          </cell>
          <cell r="AA56">
            <v>328000</v>
          </cell>
          <cell r="AB56">
            <v>583000</v>
          </cell>
          <cell r="AC56">
            <v>682000</v>
          </cell>
          <cell r="AD56">
            <v>758000</v>
          </cell>
          <cell r="AE56">
            <v>831000</v>
          </cell>
          <cell r="AF56">
            <v>875000</v>
          </cell>
          <cell r="AG56">
            <v>0</v>
          </cell>
          <cell r="AH56">
            <v>53</v>
          </cell>
          <cell r="AI56">
            <v>206000</v>
          </cell>
          <cell r="AJ56">
            <v>367000</v>
          </cell>
          <cell r="AK56">
            <v>429000</v>
          </cell>
          <cell r="AL56">
            <v>477000</v>
          </cell>
          <cell r="AM56">
            <v>523000</v>
          </cell>
          <cell r="AN56">
            <v>550000</v>
          </cell>
          <cell r="AO56">
            <v>0</v>
          </cell>
          <cell r="AP56">
            <v>53</v>
          </cell>
          <cell r="AQ56">
            <v>555000</v>
          </cell>
          <cell r="AR56">
            <v>987000</v>
          </cell>
          <cell r="AS56">
            <v>1155000</v>
          </cell>
          <cell r="AT56">
            <v>1283000</v>
          </cell>
          <cell r="AU56">
            <v>1407000</v>
          </cell>
          <cell r="AV56">
            <v>1481000</v>
          </cell>
          <cell r="AW56">
            <v>0</v>
          </cell>
          <cell r="AX56">
            <v>53</v>
          </cell>
          <cell r="AY56">
            <v>898000</v>
          </cell>
          <cell r="AZ56">
            <v>1596000</v>
          </cell>
          <cell r="BA56">
            <v>1867000</v>
          </cell>
          <cell r="BB56">
            <v>2074000</v>
          </cell>
          <cell r="BC56">
            <v>2274000</v>
          </cell>
          <cell r="BD56">
            <v>2394000</v>
          </cell>
        </row>
        <row r="57">
          <cell r="B57">
            <v>54</v>
          </cell>
          <cell r="C57">
            <v>247000</v>
          </cell>
          <cell r="D57">
            <v>439000</v>
          </cell>
          <cell r="E57">
            <v>514000</v>
          </cell>
          <cell r="F57">
            <v>571000</v>
          </cell>
          <cell r="G57">
            <v>626000</v>
          </cell>
          <cell r="H57">
            <v>659000</v>
          </cell>
          <cell r="I57">
            <v>0</v>
          </cell>
          <cell r="J57">
            <v>54</v>
          </cell>
          <cell r="K57">
            <v>321000</v>
          </cell>
          <cell r="L57">
            <v>570000</v>
          </cell>
          <cell r="M57">
            <v>667000</v>
          </cell>
          <cell r="N57">
            <v>741000</v>
          </cell>
          <cell r="O57">
            <v>812000</v>
          </cell>
          <cell r="P57">
            <v>855000</v>
          </cell>
          <cell r="Q57">
            <v>0</v>
          </cell>
          <cell r="R57">
            <v>54</v>
          </cell>
          <cell r="S57">
            <v>199000</v>
          </cell>
          <cell r="T57">
            <v>353000</v>
          </cell>
          <cell r="U57">
            <v>413000</v>
          </cell>
          <cell r="V57">
            <v>459000</v>
          </cell>
          <cell r="W57">
            <v>503000</v>
          </cell>
          <cell r="X57">
            <v>530000</v>
          </cell>
          <cell r="Y57">
            <v>0</v>
          </cell>
          <cell r="Z57">
            <v>54</v>
          </cell>
          <cell r="AA57">
            <v>361000</v>
          </cell>
          <cell r="AB57">
            <v>641000</v>
          </cell>
          <cell r="AC57">
            <v>750000</v>
          </cell>
          <cell r="AD57">
            <v>834000</v>
          </cell>
          <cell r="AE57">
            <v>914000</v>
          </cell>
          <cell r="AF57">
            <v>962000</v>
          </cell>
          <cell r="AG57">
            <v>0</v>
          </cell>
          <cell r="AH57">
            <v>54</v>
          </cell>
          <cell r="AI57">
            <v>227000</v>
          </cell>
          <cell r="AJ57">
            <v>403000</v>
          </cell>
          <cell r="AK57">
            <v>472000</v>
          </cell>
          <cell r="AL57">
            <v>524000</v>
          </cell>
          <cell r="AM57">
            <v>575000</v>
          </cell>
          <cell r="AN57">
            <v>605000</v>
          </cell>
          <cell r="AO57">
            <v>0</v>
          </cell>
          <cell r="AP57">
            <v>54</v>
          </cell>
          <cell r="AQ57">
            <v>611000</v>
          </cell>
          <cell r="AR57">
            <v>1086000</v>
          </cell>
          <cell r="AS57">
            <v>1270000</v>
          </cell>
          <cell r="AT57">
            <v>1412000</v>
          </cell>
          <cell r="AU57">
            <v>1547000</v>
          </cell>
          <cell r="AV57">
            <v>1629000</v>
          </cell>
          <cell r="AW57">
            <v>0</v>
          </cell>
          <cell r="AX57">
            <v>54</v>
          </cell>
          <cell r="AY57">
            <v>987000</v>
          </cell>
          <cell r="AZ57">
            <v>1755000</v>
          </cell>
          <cell r="BA57">
            <v>2054000</v>
          </cell>
          <cell r="BB57">
            <v>2282000</v>
          </cell>
          <cell r="BC57">
            <v>2501000</v>
          </cell>
          <cell r="BD57">
            <v>2633000</v>
          </cell>
        </row>
        <row r="58">
          <cell r="B58">
            <v>55</v>
          </cell>
          <cell r="C58">
            <v>272000</v>
          </cell>
          <cell r="D58">
            <v>483000</v>
          </cell>
          <cell r="E58">
            <v>565000</v>
          </cell>
          <cell r="F58">
            <v>628000</v>
          </cell>
          <cell r="G58">
            <v>688000</v>
          </cell>
          <cell r="H58">
            <v>725000</v>
          </cell>
          <cell r="I58">
            <v>0</v>
          </cell>
          <cell r="J58">
            <v>55</v>
          </cell>
          <cell r="K58">
            <v>353000</v>
          </cell>
          <cell r="L58">
            <v>627000</v>
          </cell>
          <cell r="M58">
            <v>733000</v>
          </cell>
          <cell r="N58">
            <v>815000</v>
          </cell>
          <cell r="O58">
            <v>893000</v>
          </cell>
          <cell r="P58">
            <v>940000</v>
          </cell>
          <cell r="Q58">
            <v>0</v>
          </cell>
          <cell r="R58">
            <v>55</v>
          </cell>
          <cell r="S58">
            <v>219000</v>
          </cell>
          <cell r="T58">
            <v>389000</v>
          </cell>
          <cell r="U58">
            <v>455000</v>
          </cell>
          <cell r="V58">
            <v>505000</v>
          </cell>
          <cell r="W58">
            <v>554000</v>
          </cell>
          <cell r="X58">
            <v>583000</v>
          </cell>
          <cell r="Y58">
            <v>0</v>
          </cell>
          <cell r="Z58">
            <v>55</v>
          </cell>
          <cell r="AA58">
            <v>397000</v>
          </cell>
          <cell r="AB58">
            <v>705000</v>
          </cell>
          <cell r="AC58">
            <v>825000</v>
          </cell>
          <cell r="AD58">
            <v>917000</v>
          </cell>
          <cell r="AE58">
            <v>1005000</v>
          </cell>
          <cell r="AF58">
            <v>1058000</v>
          </cell>
          <cell r="AG58">
            <v>0</v>
          </cell>
          <cell r="AH58">
            <v>55</v>
          </cell>
          <cell r="AI58">
            <v>250000</v>
          </cell>
          <cell r="AJ58">
            <v>444000</v>
          </cell>
          <cell r="AK58">
            <v>519000</v>
          </cell>
          <cell r="AL58">
            <v>577000</v>
          </cell>
          <cell r="AM58">
            <v>632000</v>
          </cell>
          <cell r="AN58">
            <v>666000</v>
          </cell>
          <cell r="AO58">
            <v>0</v>
          </cell>
          <cell r="AP58">
            <v>55</v>
          </cell>
          <cell r="AQ58">
            <v>672000</v>
          </cell>
          <cell r="AR58">
            <v>1194000</v>
          </cell>
          <cell r="AS58">
            <v>1397000</v>
          </cell>
          <cell r="AT58">
            <v>1553000</v>
          </cell>
          <cell r="AU58">
            <v>1702000</v>
          </cell>
          <cell r="AV58">
            <v>1792000</v>
          </cell>
          <cell r="AW58">
            <v>0</v>
          </cell>
          <cell r="AX58">
            <v>55</v>
          </cell>
          <cell r="AY58">
            <v>1086000</v>
          </cell>
          <cell r="AZ58">
            <v>1931000</v>
          </cell>
          <cell r="BA58">
            <v>2259000</v>
          </cell>
          <cell r="BB58">
            <v>2510000</v>
          </cell>
          <cell r="BC58">
            <v>2751000</v>
          </cell>
          <cell r="BD58">
            <v>2896000</v>
          </cell>
        </row>
        <row r="70">
          <cell r="B70" t="str">
            <v>O´HIGGINS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 t="str">
            <v>MAULE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str">
            <v>BIO BIO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 t="str">
            <v>ARAUCANIA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 t="str">
            <v>VALDIVIA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 t="str">
            <v>OSORNO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 t="str">
            <v>PUERTO MONTT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 t="str">
            <v>AUSTRAL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</row>
        <row r="71">
          <cell r="B71" t="str">
            <v>Bloque</v>
          </cell>
          <cell r="C71" t="str">
            <v>5"</v>
          </cell>
          <cell r="D71" t="str">
            <v>10"</v>
          </cell>
          <cell r="E71" t="str">
            <v>15"</v>
          </cell>
          <cell r="F71" t="str">
            <v>20"</v>
          </cell>
          <cell r="G71" t="str">
            <v>25"</v>
          </cell>
          <cell r="H71" t="str">
            <v>30"</v>
          </cell>
          <cell r="I71">
            <v>0</v>
          </cell>
          <cell r="J71" t="str">
            <v>Bloque</v>
          </cell>
          <cell r="K71" t="str">
            <v>5"</v>
          </cell>
          <cell r="L71" t="str">
            <v>10"</v>
          </cell>
          <cell r="M71" t="str">
            <v>15"</v>
          </cell>
          <cell r="N71" t="str">
            <v>20"</v>
          </cell>
          <cell r="O71" t="str">
            <v>25"</v>
          </cell>
          <cell r="P71" t="str">
            <v>30"</v>
          </cell>
          <cell r="Q71">
            <v>0</v>
          </cell>
          <cell r="R71" t="str">
            <v>Bloque</v>
          </cell>
          <cell r="S71" t="str">
            <v>5"</v>
          </cell>
          <cell r="T71" t="str">
            <v>10"</v>
          </cell>
          <cell r="U71" t="str">
            <v>15"</v>
          </cell>
          <cell r="V71" t="str">
            <v>20"</v>
          </cell>
          <cell r="W71" t="str">
            <v>25"</v>
          </cell>
          <cell r="X71" t="str">
            <v>30"</v>
          </cell>
          <cell r="Y71">
            <v>0</v>
          </cell>
          <cell r="Z71" t="str">
            <v>Bloque</v>
          </cell>
          <cell r="AA71" t="str">
            <v>5"</v>
          </cell>
          <cell r="AB71" t="str">
            <v>10"</v>
          </cell>
          <cell r="AC71" t="str">
            <v>15"</v>
          </cell>
          <cell r="AD71" t="str">
            <v>20"</v>
          </cell>
          <cell r="AE71" t="str">
            <v>25"</v>
          </cell>
          <cell r="AF71" t="str">
            <v>30"</v>
          </cell>
          <cell r="AG71">
            <v>0</v>
          </cell>
          <cell r="AH71" t="str">
            <v>Bloque</v>
          </cell>
          <cell r="AI71" t="str">
            <v>5"</v>
          </cell>
          <cell r="AJ71" t="str">
            <v>10"</v>
          </cell>
          <cell r="AK71" t="str">
            <v>15"</v>
          </cell>
          <cell r="AL71" t="str">
            <v>20"</v>
          </cell>
          <cell r="AM71" t="str">
            <v>25"</v>
          </cell>
          <cell r="AN71" t="str">
            <v>30"</v>
          </cell>
          <cell r="AO71">
            <v>0</v>
          </cell>
          <cell r="AP71" t="str">
            <v>Bloque</v>
          </cell>
          <cell r="AQ71" t="str">
            <v>5"</v>
          </cell>
          <cell r="AR71" t="str">
            <v>10"</v>
          </cell>
          <cell r="AS71" t="str">
            <v>15"</v>
          </cell>
          <cell r="AT71" t="str">
            <v>20"</v>
          </cell>
          <cell r="AU71" t="str">
            <v>25"</v>
          </cell>
          <cell r="AV71" t="str">
            <v>30"</v>
          </cell>
          <cell r="AW71">
            <v>0</v>
          </cell>
          <cell r="AX71" t="str">
            <v>Bloque</v>
          </cell>
          <cell r="AY71" t="str">
            <v>5"</v>
          </cell>
          <cell r="AZ71" t="str">
            <v>10"</v>
          </cell>
          <cell r="BA71" t="str">
            <v>15"</v>
          </cell>
          <cell r="BB71" t="str">
            <v>20"</v>
          </cell>
          <cell r="BC71" t="str">
            <v>25"</v>
          </cell>
          <cell r="BD71" t="str">
            <v>30"</v>
          </cell>
          <cell r="BE71">
            <v>0</v>
          </cell>
          <cell r="BF71" t="str">
            <v>Bloque</v>
          </cell>
          <cell r="BG71" t="str">
            <v>5"</v>
          </cell>
          <cell r="BH71" t="str">
            <v>10"</v>
          </cell>
          <cell r="BI71" t="str">
            <v>15"</v>
          </cell>
          <cell r="BJ71" t="str">
            <v>20"</v>
          </cell>
          <cell r="BK71" t="str">
            <v>25"</v>
          </cell>
          <cell r="BL71" t="str">
            <v>30"</v>
          </cell>
        </row>
        <row r="72">
          <cell r="B72">
            <v>0</v>
          </cell>
          <cell r="C72">
            <v>3000</v>
          </cell>
          <cell r="D72">
            <v>5000</v>
          </cell>
          <cell r="E72">
            <v>6000</v>
          </cell>
          <cell r="F72">
            <v>7000</v>
          </cell>
          <cell r="G72">
            <v>7000</v>
          </cell>
          <cell r="H72">
            <v>8000</v>
          </cell>
          <cell r="I72">
            <v>0</v>
          </cell>
          <cell r="J72">
            <v>0</v>
          </cell>
          <cell r="K72">
            <v>3000</v>
          </cell>
          <cell r="L72">
            <v>6000</v>
          </cell>
          <cell r="M72">
            <v>7000</v>
          </cell>
          <cell r="N72">
            <v>8000</v>
          </cell>
          <cell r="O72">
            <v>8000</v>
          </cell>
          <cell r="P72">
            <v>9000</v>
          </cell>
          <cell r="Q72">
            <v>0</v>
          </cell>
          <cell r="R72">
            <v>0</v>
          </cell>
          <cell r="S72">
            <v>6000</v>
          </cell>
          <cell r="T72">
            <v>12000</v>
          </cell>
          <cell r="U72">
            <v>13000</v>
          </cell>
          <cell r="V72">
            <v>15000</v>
          </cell>
          <cell r="W72">
            <v>16000</v>
          </cell>
          <cell r="X72">
            <v>17000</v>
          </cell>
          <cell r="Y72">
            <v>0</v>
          </cell>
          <cell r="Z72">
            <v>0</v>
          </cell>
          <cell r="AA72">
            <v>3000</v>
          </cell>
          <cell r="AB72">
            <v>5000</v>
          </cell>
          <cell r="AC72">
            <v>6000</v>
          </cell>
          <cell r="AD72">
            <v>7000</v>
          </cell>
          <cell r="AE72">
            <v>7000</v>
          </cell>
          <cell r="AF72">
            <v>8000</v>
          </cell>
          <cell r="AG72">
            <v>0</v>
          </cell>
          <cell r="AH72">
            <v>0</v>
          </cell>
          <cell r="AI72">
            <v>1000</v>
          </cell>
          <cell r="AJ72">
            <v>2000</v>
          </cell>
          <cell r="AK72">
            <v>2000</v>
          </cell>
          <cell r="AL72">
            <v>2000</v>
          </cell>
          <cell r="AM72">
            <v>3000</v>
          </cell>
          <cell r="AN72">
            <v>3000</v>
          </cell>
          <cell r="AO72">
            <v>0</v>
          </cell>
          <cell r="AP72">
            <v>0</v>
          </cell>
          <cell r="AQ72">
            <v>2000</v>
          </cell>
          <cell r="AR72">
            <v>3000</v>
          </cell>
          <cell r="AS72">
            <v>3000</v>
          </cell>
          <cell r="AT72">
            <v>4000</v>
          </cell>
          <cell r="AU72">
            <v>4000</v>
          </cell>
          <cell r="AV72">
            <v>4000</v>
          </cell>
          <cell r="AW72">
            <v>0</v>
          </cell>
          <cell r="AX72">
            <v>0</v>
          </cell>
          <cell r="AY72">
            <v>1000</v>
          </cell>
          <cell r="AZ72">
            <v>2000</v>
          </cell>
          <cell r="BA72">
            <v>3000</v>
          </cell>
          <cell r="BB72">
            <v>3000</v>
          </cell>
          <cell r="BC72">
            <v>3000</v>
          </cell>
          <cell r="BD72">
            <v>4000</v>
          </cell>
          <cell r="BE72">
            <v>0</v>
          </cell>
          <cell r="BF72">
            <v>0</v>
          </cell>
          <cell r="BG72">
            <v>1000</v>
          </cell>
          <cell r="BH72">
            <v>1000</v>
          </cell>
          <cell r="BI72">
            <v>1000</v>
          </cell>
          <cell r="BJ72">
            <v>2000</v>
          </cell>
          <cell r="BK72">
            <v>2000</v>
          </cell>
          <cell r="BL72">
            <v>2000</v>
          </cell>
        </row>
        <row r="73">
          <cell r="B73">
            <v>1</v>
          </cell>
          <cell r="C73">
            <v>4000</v>
          </cell>
          <cell r="D73">
            <v>6000</v>
          </cell>
          <cell r="E73">
            <v>7000</v>
          </cell>
          <cell r="F73">
            <v>8000</v>
          </cell>
          <cell r="G73">
            <v>9000</v>
          </cell>
          <cell r="H73">
            <v>9000</v>
          </cell>
          <cell r="I73">
            <v>0</v>
          </cell>
          <cell r="J73">
            <v>1</v>
          </cell>
          <cell r="K73">
            <v>4000</v>
          </cell>
          <cell r="L73">
            <v>7000</v>
          </cell>
          <cell r="M73">
            <v>8000</v>
          </cell>
          <cell r="N73">
            <v>9000</v>
          </cell>
          <cell r="O73">
            <v>10000</v>
          </cell>
          <cell r="P73">
            <v>11000</v>
          </cell>
          <cell r="Q73">
            <v>0</v>
          </cell>
          <cell r="R73">
            <v>1</v>
          </cell>
          <cell r="S73">
            <v>8000</v>
          </cell>
          <cell r="T73">
            <v>15000</v>
          </cell>
          <cell r="U73">
            <v>17000</v>
          </cell>
          <cell r="V73">
            <v>19000</v>
          </cell>
          <cell r="W73">
            <v>21000</v>
          </cell>
          <cell r="X73">
            <v>22000</v>
          </cell>
          <cell r="Y73">
            <v>0</v>
          </cell>
          <cell r="Z73">
            <v>1</v>
          </cell>
          <cell r="AA73">
            <v>4000</v>
          </cell>
          <cell r="AB73">
            <v>7000</v>
          </cell>
          <cell r="AC73">
            <v>8000</v>
          </cell>
          <cell r="AD73">
            <v>8000</v>
          </cell>
          <cell r="AE73">
            <v>9000</v>
          </cell>
          <cell r="AF73">
            <v>10000</v>
          </cell>
          <cell r="AG73">
            <v>0</v>
          </cell>
          <cell r="AH73">
            <v>1</v>
          </cell>
          <cell r="AI73">
            <v>1000</v>
          </cell>
          <cell r="AJ73">
            <v>2000</v>
          </cell>
          <cell r="AK73">
            <v>3000</v>
          </cell>
          <cell r="AL73">
            <v>3000</v>
          </cell>
          <cell r="AM73">
            <v>3000</v>
          </cell>
          <cell r="AN73">
            <v>3000</v>
          </cell>
          <cell r="AO73">
            <v>0</v>
          </cell>
          <cell r="AP73">
            <v>1</v>
          </cell>
          <cell r="AQ73">
            <v>2000</v>
          </cell>
          <cell r="AR73">
            <v>3000</v>
          </cell>
          <cell r="AS73">
            <v>4000</v>
          </cell>
          <cell r="AT73">
            <v>4000</v>
          </cell>
          <cell r="AU73">
            <v>5000</v>
          </cell>
          <cell r="AV73">
            <v>5000</v>
          </cell>
          <cell r="AW73">
            <v>0</v>
          </cell>
          <cell r="AX73">
            <v>1</v>
          </cell>
          <cell r="AY73">
            <v>2000</v>
          </cell>
          <cell r="AZ73">
            <v>3000</v>
          </cell>
          <cell r="BA73">
            <v>4000</v>
          </cell>
          <cell r="BB73">
            <v>4000</v>
          </cell>
          <cell r="BC73">
            <v>4000</v>
          </cell>
          <cell r="BD73">
            <v>5000</v>
          </cell>
          <cell r="BE73">
            <v>0</v>
          </cell>
          <cell r="BF73">
            <v>1</v>
          </cell>
          <cell r="BG73">
            <v>1000</v>
          </cell>
          <cell r="BH73">
            <v>1000</v>
          </cell>
          <cell r="BI73">
            <v>2000</v>
          </cell>
          <cell r="BJ73">
            <v>2000</v>
          </cell>
          <cell r="BK73">
            <v>2000</v>
          </cell>
          <cell r="BL73">
            <v>2000</v>
          </cell>
        </row>
        <row r="74">
          <cell r="B74">
            <v>2</v>
          </cell>
          <cell r="C74">
            <v>4000</v>
          </cell>
          <cell r="D74">
            <v>8000</v>
          </cell>
          <cell r="E74">
            <v>9000</v>
          </cell>
          <cell r="F74">
            <v>10000</v>
          </cell>
          <cell r="G74">
            <v>11000</v>
          </cell>
          <cell r="H74">
            <v>12000</v>
          </cell>
          <cell r="I74">
            <v>0</v>
          </cell>
          <cell r="J74">
            <v>2</v>
          </cell>
          <cell r="K74">
            <v>5000</v>
          </cell>
          <cell r="L74">
            <v>9000</v>
          </cell>
          <cell r="M74">
            <v>11000</v>
          </cell>
          <cell r="N74">
            <v>12000</v>
          </cell>
          <cell r="O74">
            <v>13000</v>
          </cell>
          <cell r="P74">
            <v>14000</v>
          </cell>
          <cell r="Q74">
            <v>0</v>
          </cell>
          <cell r="R74">
            <v>2</v>
          </cell>
          <cell r="S74">
            <v>10000</v>
          </cell>
          <cell r="T74">
            <v>18000</v>
          </cell>
          <cell r="U74">
            <v>21000</v>
          </cell>
          <cell r="V74">
            <v>24000</v>
          </cell>
          <cell r="W74">
            <v>26000</v>
          </cell>
          <cell r="X74">
            <v>27000</v>
          </cell>
          <cell r="Y74">
            <v>0</v>
          </cell>
          <cell r="Z74">
            <v>2</v>
          </cell>
          <cell r="AA74">
            <v>5000</v>
          </cell>
          <cell r="AB74">
            <v>8000</v>
          </cell>
          <cell r="AC74">
            <v>10000</v>
          </cell>
          <cell r="AD74">
            <v>11000</v>
          </cell>
          <cell r="AE74">
            <v>12000</v>
          </cell>
          <cell r="AF74">
            <v>12000</v>
          </cell>
          <cell r="AG74">
            <v>0</v>
          </cell>
          <cell r="AH74">
            <v>2</v>
          </cell>
          <cell r="AI74">
            <v>2000</v>
          </cell>
          <cell r="AJ74">
            <v>3000</v>
          </cell>
          <cell r="AK74">
            <v>3000</v>
          </cell>
          <cell r="AL74">
            <v>4000</v>
          </cell>
          <cell r="AM74">
            <v>4000</v>
          </cell>
          <cell r="AN74">
            <v>4000</v>
          </cell>
          <cell r="AO74">
            <v>0</v>
          </cell>
          <cell r="AP74">
            <v>2</v>
          </cell>
          <cell r="AQ74">
            <v>2000</v>
          </cell>
          <cell r="AR74">
            <v>4000</v>
          </cell>
          <cell r="AS74">
            <v>5000</v>
          </cell>
          <cell r="AT74">
            <v>6000</v>
          </cell>
          <cell r="AU74">
            <v>6000</v>
          </cell>
          <cell r="AV74">
            <v>6000</v>
          </cell>
          <cell r="AW74">
            <v>0</v>
          </cell>
          <cell r="AX74">
            <v>2</v>
          </cell>
          <cell r="AY74">
            <v>2000</v>
          </cell>
          <cell r="AZ74">
            <v>4000</v>
          </cell>
          <cell r="BA74">
            <v>5000</v>
          </cell>
          <cell r="BB74">
            <v>5000</v>
          </cell>
          <cell r="BC74">
            <v>6000</v>
          </cell>
          <cell r="BD74">
            <v>6000</v>
          </cell>
          <cell r="BE74">
            <v>0</v>
          </cell>
          <cell r="BF74">
            <v>2</v>
          </cell>
          <cell r="BG74">
            <v>1000</v>
          </cell>
          <cell r="BH74">
            <v>2000</v>
          </cell>
          <cell r="BI74">
            <v>2000</v>
          </cell>
          <cell r="BJ74">
            <v>2000</v>
          </cell>
          <cell r="BK74">
            <v>3000</v>
          </cell>
          <cell r="BL74">
            <v>3000</v>
          </cell>
        </row>
        <row r="75">
          <cell r="B75">
            <v>3</v>
          </cell>
          <cell r="C75">
            <v>5000</v>
          </cell>
          <cell r="D75">
            <v>9000</v>
          </cell>
          <cell r="E75">
            <v>11000</v>
          </cell>
          <cell r="F75">
            <v>12000</v>
          </cell>
          <cell r="G75">
            <v>13000</v>
          </cell>
          <cell r="H75">
            <v>14000</v>
          </cell>
          <cell r="I75">
            <v>0</v>
          </cell>
          <cell r="J75">
            <v>3</v>
          </cell>
          <cell r="K75">
            <v>6000</v>
          </cell>
          <cell r="L75">
            <v>11000</v>
          </cell>
          <cell r="M75">
            <v>13000</v>
          </cell>
          <cell r="N75">
            <v>14000</v>
          </cell>
          <cell r="O75">
            <v>15000</v>
          </cell>
          <cell r="P75">
            <v>16000</v>
          </cell>
          <cell r="Q75">
            <v>0</v>
          </cell>
          <cell r="R75">
            <v>3</v>
          </cell>
          <cell r="S75">
            <v>12000</v>
          </cell>
          <cell r="T75">
            <v>21000</v>
          </cell>
          <cell r="U75">
            <v>25000</v>
          </cell>
          <cell r="V75">
            <v>28000</v>
          </cell>
          <cell r="W75">
            <v>31000</v>
          </cell>
          <cell r="X75">
            <v>32000</v>
          </cell>
          <cell r="Y75">
            <v>0</v>
          </cell>
          <cell r="Z75">
            <v>3</v>
          </cell>
          <cell r="AA75">
            <v>5000</v>
          </cell>
          <cell r="AB75">
            <v>10000</v>
          </cell>
          <cell r="AC75">
            <v>11000</v>
          </cell>
          <cell r="AD75">
            <v>13000</v>
          </cell>
          <cell r="AE75">
            <v>14000</v>
          </cell>
          <cell r="AF75">
            <v>15000</v>
          </cell>
          <cell r="AG75">
            <v>0</v>
          </cell>
          <cell r="AH75">
            <v>3</v>
          </cell>
          <cell r="AI75">
            <v>2000</v>
          </cell>
          <cell r="AJ75">
            <v>3000</v>
          </cell>
          <cell r="AK75">
            <v>4000</v>
          </cell>
          <cell r="AL75">
            <v>4000</v>
          </cell>
          <cell r="AM75">
            <v>5000</v>
          </cell>
          <cell r="AN75">
            <v>5000</v>
          </cell>
          <cell r="AO75">
            <v>0</v>
          </cell>
          <cell r="AP75">
            <v>3</v>
          </cell>
          <cell r="AQ75">
            <v>3000</v>
          </cell>
          <cell r="AR75">
            <v>5000</v>
          </cell>
          <cell r="AS75">
            <v>6000</v>
          </cell>
          <cell r="AT75">
            <v>7000</v>
          </cell>
          <cell r="AU75">
            <v>7000</v>
          </cell>
          <cell r="AV75">
            <v>8000</v>
          </cell>
          <cell r="AW75">
            <v>0</v>
          </cell>
          <cell r="AX75">
            <v>3</v>
          </cell>
          <cell r="AY75">
            <v>3000</v>
          </cell>
          <cell r="AZ75">
            <v>5000</v>
          </cell>
          <cell r="BA75">
            <v>5000</v>
          </cell>
          <cell r="BB75">
            <v>6000</v>
          </cell>
          <cell r="BC75">
            <v>7000</v>
          </cell>
          <cell r="BD75">
            <v>7000</v>
          </cell>
          <cell r="BE75">
            <v>0</v>
          </cell>
          <cell r="BF75">
            <v>3</v>
          </cell>
          <cell r="BG75">
            <v>1000</v>
          </cell>
          <cell r="BH75">
            <v>2000</v>
          </cell>
          <cell r="BI75">
            <v>3000</v>
          </cell>
          <cell r="BJ75">
            <v>3000</v>
          </cell>
          <cell r="BK75">
            <v>3000</v>
          </cell>
          <cell r="BL75">
            <v>3000</v>
          </cell>
        </row>
        <row r="76">
          <cell r="B76">
            <v>4</v>
          </cell>
          <cell r="C76">
            <v>6000</v>
          </cell>
          <cell r="D76">
            <v>10000</v>
          </cell>
          <cell r="E76">
            <v>12000</v>
          </cell>
          <cell r="F76">
            <v>13000</v>
          </cell>
          <cell r="G76">
            <v>15000</v>
          </cell>
          <cell r="H76">
            <v>15000</v>
          </cell>
          <cell r="I76">
            <v>0</v>
          </cell>
          <cell r="J76">
            <v>4</v>
          </cell>
          <cell r="K76">
            <v>7000</v>
          </cell>
          <cell r="L76">
            <v>12000</v>
          </cell>
          <cell r="M76">
            <v>14000</v>
          </cell>
          <cell r="N76">
            <v>15000</v>
          </cell>
          <cell r="O76">
            <v>17000</v>
          </cell>
          <cell r="P76">
            <v>18000</v>
          </cell>
          <cell r="Q76">
            <v>0</v>
          </cell>
          <cell r="R76">
            <v>4</v>
          </cell>
          <cell r="S76">
            <v>13000</v>
          </cell>
          <cell r="T76">
            <v>23000</v>
          </cell>
          <cell r="U76">
            <v>28000</v>
          </cell>
          <cell r="V76">
            <v>31000</v>
          </cell>
          <cell r="W76">
            <v>33000</v>
          </cell>
          <cell r="X76">
            <v>35000</v>
          </cell>
          <cell r="Y76">
            <v>0</v>
          </cell>
          <cell r="Z76">
            <v>4</v>
          </cell>
          <cell r="AA76">
            <v>6000</v>
          </cell>
          <cell r="AB76">
            <v>11000</v>
          </cell>
          <cell r="AC76">
            <v>12000</v>
          </cell>
          <cell r="AD76">
            <v>14000</v>
          </cell>
          <cell r="AE76">
            <v>15000</v>
          </cell>
          <cell r="AF76">
            <v>16000</v>
          </cell>
          <cell r="AG76">
            <v>0</v>
          </cell>
          <cell r="AH76">
            <v>4</v>
          </cell>
          <cell r="AI76">
            <v>2000</v>
          </cell>
          <cell r="AJ76">
            <v>4000</v>
          </cell>
          <cell r="AK76">
            <v>4000</v>
          </cell>
          <cell r="AL76">
            <v>5000</v>
          </cell>
          <cell r="AM76">
            <v>5000</v>
          </cell>
          <cell r="AN76">
            <v>6000</v>
          </cell>
          <cell r="AO76">
            <v>0</v>
          </cell>
          <cell r="AP76">
            <v>4</v>
          </cell>
          <cell r="AQ76">
            <v>3000</v>
          </cell>
          <cell r="AR76">
            <v>6000</v>
          </cell>
          <cell r="AS76">
            <v>6000</v>
          </cell>
          <cell r="AT76">
            <v>7000</v>
          </cell>
          <cell r="AU76">
            <v>8000</v>
          </cell>
          <cell r="AV76">
            <v>8000</v>
          </cell>
          <cell r="AW76">
            <v>0</v>
          </cell>
          <cell r="AX76">
            <v>4</v>
          </cell>
          <cell r="AY76">
            <v>3000</v>
          </cell>
          <cell r="AZ76">
            <v>5000</v>
          </cell>
          <cell r="BA76">
            <v>6000</v>
          </cell>
          <cell r="BB76">
            <v>6000</v>
          </cell>
          <cell r="BC76">
            <v>7000</v>
          </cell>
          <cell r="BD76">
            <v>8000</v>
          </cell>
          <cell r="BE76">
            <v>0</v>
          </cell>
          <cell r="BF76">
            <v>4</v>
          </cell>
          <cell r="BG76">
            <v>1000</v>
          </cell>
          <cell r="BH76">
            <v>2000</v>
          </cell>
          <cell r="BI76">
            <v>3000</v>
          </cell>
          <cell r="BJ76">
            <v>3000</v>
          </cell>
          <cell r="BK76">
            <v>3000</v>
          </cell>
          <cell r="BL76">
            <v>4000</v>
          </cell>
        </row>
        <row r="77">
          <cell r="B77">
            <v>5</v>
          </cell>
          <cell r="C77">
            <v>6000</v>
          </cell>
          <cell r="D77">
            <v>11000</v>
          </cell>
          <cell r="E77">
            <v>13000</v>
          </cell>
          <cell r="F77">
            <v>15000</v>
          </cell>
          <cell r="G77">
            <v>16000</v>
          </cell>
          <cell r="H77">
            <v>17000</v>
          </cell>
          <cell r="I77">
            <v>0</v>
          </cell>
          <cell r="J77">
            <v>5</v>
          </cell>
          <cell r="K77">
            <v>7000</v>
          </cell>
          <cell r="L77">
            <v>13000</v>
          </cell>
          <cell r="M77">
            <v>15000</v>
          </cell>
          <cell r="N77">
            <v>17000</v>
          </cell>
          <cell r="O77">
            <v>18000</v>
          </cell>
          <cell r="P77">
            <v>19000</v>
          </cell>
          <cell r="Q77">
            <v>0</v>
          </cell>
          <cell r="R77">
            <v>5</v>
          </cell>
          <cell r="S77">
            <v>15000</v>
          </cell>
          <cell r="T77">
            <v>26000</v>
          </cell>
          <cell r="U77">
            <v>30000</v>
          </cell>
          <cell r="V77">
            <v>34000</v>
          </cell>
          <cell r="W77">
            <v>37000</v>
          </cell>
          <cell r="X77">
            <v>39000</v>
          </cell>
          <cell r="Y77">
            <v>0</v>
          </cell>
          <cell r="Z77">
            <v>5</v>
          </cell>
          <cell r="AA77">
            <v>7000</v>
          </cell>
          <cell r="AB77">
            <v>12000</v>
          </cell>
          <cell r="AC77">
            <v>14000</v>
          </cell>
          <cell r="AD77">
            <v>15000</v>
          </cell>
          <cell r="AE77">
            <v>17000</v>
          </cell>
          <cell r="AF77">
            <v>18000</v>
          </cell>
          <cell r="AG77">
            <v>0</v>
          </cell>
          <cell r="AH77">
            <v>5</v>
          </cell>
          <cell r="AI77">
            <v>2000</v>
          </cell>
          <cell r="AJ77">
            <v>4000</v>
          </cell>
          <cell r="AK77">
            <v>5000</v>
          </cell>
          <cell r="AL77">
            <v>5000</v>
          </cell>
          <cell r="AM77">
            <v>6000</v>
          </cell>
          <cell r="AN77">
            <v>6000</v>
          </cell>
          <cell r="AO77">
            <v>0</v>
          </cell>
          <cell r="AP77">
            <v>5</v>
          </cell>
          <cell r="AQ77">
            <v>3000</v>
          </cell>
          <cell r="AR77">
            <v>6000</v>
          </cell>
          <cell r="AS77">
            <v>7000</v>
          </cell>
          <cell r="AT77">
            <v>8000</v>
          </cell>
          <cell r="AU77">
            <v>9000</v>
          </cell>
          <cell r="AV77">
            <v>9000</v>
          </cell>
          <cell r="AW77">
            <v>0</v>
          </cell>
          <cell r="AX77">
            <v>5</v>
          </cell>
          <cell r="AY77">
            <v>3000</v>
          </cell>
          <cell r="AZ77">
            <v>6000</v>
          </cell>
          <cell r="BA77">
            <v>6000</v>
          </cell>
          <cell r="BB77">
            <v>7000</v>
          </cell>
          <cell r="BC77">
            <v>8000</v>
          </cell>
          <cell r="BD77">
            <v>8000</v>
          </cell>
          <cell r="BE77">
            <v>0</v>
          </cell>
          <cell r="BF77">
            <v>5</v>
          </cell>
          <cell r="BG77">
            <v>1000</v>
          </cell>
          <cell r="BH77">
            <v>3000</v>
          </cell>
          <cell r="BI77">
            <v>3000</v>
          </cell>
          <cell r="BJ77">
            <v>3000</v>
          </cell>
          <cell r="BK77">
            <v>4000</v>
          </cell>
          <cell r="BL77">
            <v>4000</v>
          </cell>
        </row>
        <row r="78">
          <cell r="B78">
            <v>6</v>
          </cell>
          <cell r="C78">
            <v>7000</v>
          </cell>
          <cell r="D78">
            <v>12000</v>
          </cell>
          <cell r="E78">
            <v>15000</v>
          </cell>
          <cell r="F78">
            <v>16000</v>
          </cell>
          <cell r="G78">
            <v>18000</v>
          </cell>
          <cell r="H78">
            <v>19000</v>
          </cell>
          <cell r="I78">
            <v>0</v>
          </cell>
          <cell r="J78">
            <v>6</v>
          </cell>
          <cell r="K78">
            <v>8000</v>
          </cell>
          <cell r="L78">
            <v>14000</v>
          </cell>
          <cell r="M78">
            <v>17000</v>
          </cell>
          <cell r="N78">
            <v>18000</v>
          </cell>
          <cell r="O78">
            <v>20000</v>
          </cell>
          <cell r="P78">
            <v>21000</v>
          </cell>
          <cell r="Q78">
            <v>0</v>
          </cell>
          <cell r="R78">
            <v>6</v>
          </cell>
          <cell r="S78">
            <v>16000</v>
          </cell>
          <cell r="T78">
            <v>28000</v>
          </cell>
          <cell r="U78">
            <v>33000</v>
          </cell>
          <cell r="V78">
            <v>37000</v>
          </cell>
          <cell r="W78">
            <v>40000</v>
          </cell>
          <cell r="X78">
            <v>43000</v>
          </cell>
          <cell r="Y78">
            <v>0</v>
          </cell>
          <cell r="Z78">
            <v>6</v>
          </cell>
          <cell r="AA78">
            <v>7000</v>
          </cell>
          <cell r="AB78">
            <v>13000</v>
          </cell>
          <cell r="AC78">
            <v>15000</v>
          </cell>
          <cell r="AD78">
            <v>17000</v>
          </cell>
          <cell r="AE78">
            <v>18000</v>
          </cell>
          <cell r="AF78">
            <v>19000</v>
          </cell>
          <cell r="AG78">
            <v>0</v>
          </cell>
          <cell r="AH78">
            <v>6</v>
          </cell>
          <cell r="AI78">
            <v>3000</v>
          </cell>
          <cell r="AJ78">
            <v>4000</v>
          </cell>
          <cell r="AK78">
            <v>5000</v>
          </cell>
          <cell r="AL78">
            <v>6000</v>
          </cell>
          <cell r="AM78">
            <v>6000</v>
          </cell>
          <cell r="AN78">
            <v>7000</v>
          </cell>
          <cell r="AO78">
            <v>0</v>
          </cell>
          <cell r="AP78">
            <v>6</v>
          </cell>
          <cell r="AQ78">
            <v>4000</v>
          </cell>
          <cell r="AR78">
            <v>7000</v>
          </cell>
          <cell r="AS78">
            <v>8000</v>
          </cell>
          <cell r="AT78">
            <v>9000</v>
          </cell>
          <cell r="AU78">
            <v>10000</v>
          </cell>
          <cell r="AV78">
            <v>10000</v>
          </cell>
          <cell r="AW78">
            <v>0</v>
          </cell>
          <cell r="AX78">
            <v>6</v>
          </cell>
          <cell r="AY78">
            <v>3000</v>
          </cell>
          <cell r="AZ78">
            <v>6000</v>
          </cell>
          <cell r="BA78">
            <v>7000</v>
          </cell>
          <cell r="BB78">
            <v>8000</v>
          </cell>
          <cell r="BC78">
            <v>9000</v>
          </cell>
          <cell r="BD78">
            <v>9000</v>
          </cell>
          <cell r="BE78">
            <v>0</v>
          </cell>
          <cell r="BF78">
            <v>6</v>
          </cell>
          <cell r="BG78">
            <v>2000</v>
          </cell>
          <cell r="BH78">
            <v>3000</v>
          </cell>
          <cell r="BI78">
            <v>3000</v>
          </cell>
          <cell r="BJ78">
            <v>4000</v>
          </cell>
          <cell r="BK78">
            <v>4000</v>
          </cell>
          <cell r="BL78">
            <v>4000</v>
          </cell>
        </row>
        <row r="79">
          <cell r="B79">
            <v>7</v>
          </cell>
          <cell r="C79">
            <v>8000</v>
          </cell>
          <cell r="D79">
            <v>14000</v>
          </cell>
          <cell r="E79">
            <v>16000</v>
          </cell>
          <cell r="F79">
            <v>18000</v>
          </cell>
          <cell r="G79">
            <v>19000</v>
          </cell>
          <cell r="H79">
            <v>20000</v>
          </cell>
          <cell r="I79">
            <v>0</v>
          </cell>
          <cell r="J79">
            <v>7</v>
          </cell>
          <cell r="K79">
            <v>9000</v>
          </cell>
          <cell r="L79">
            <v>16000</v>
          </cell>
          <cell r="M79">
            <v>18000</v>
          </cell>
          <cell r="N79">
            <v>20000</v>
          </cell>
          <cell r="O79">
            <v>22000</v>
          </cell>
          <cell r="P79">
            <v>23000</v>
          </cell>
          <cell r="Q79">
            <v>0</v>
          </cell>
          <cell r="R79">
            <v>7</v>
          </cell>
          <cell r="S79">
            <v>18000</v>
          </cell>
          <cell r="T79">
            <v>31000</v>
          </cell>
          <cell r="U79">
            <v>37000</v>
          </cell>
          <cell r="V79">
            <v>41000</v>
          </cell>
          <cell r="W79">
            <v>45000</v>
          </cell>
          <cell r="X79">
            <v>47000</v>
          </cell>
          <cell r="Y79">
            <v>0</v>
          </cell>
          <cell r="Z79">
            <v>7</v>
          </cell>
          <cell r="AA79">
            <v>8000</v>
          </cell>
          <cell r="AB79">
            <v>14000</v>
          </cell>
          <cell r="AC79">
            <v>16000</v>
          </cell>
          <cell r="AD79">
            <v>18000</v>
          </cell>
          <cell r="AE79">
            <v>20000</v>
          </cell>
          <cell r="AF79">
            <v>21000</v>
          </cell>
          <cell r="AG79">
            <v>0</v>
          </cell>
          <cell r="AH79">
            <v>7</v>
          </cell>
          <cell r="AI79">
            <v>3000</v>
          </cell>
          <cell r="AJ79">
            <v>5000</v>
          </cell>
          <cell r="AK79">
            <v>6000</v>
          </cell>
          <cell r="AL79">
            <v>6000</v>
          </cell>
          <cell r="AM79">
            <v>7000</v>
          </cell>
          <cell r="AN79">
            <v>7000</v>
          </cell>
          <cell r="AO79">
            <v>0</v>
          </cell>
          <cell r="AP79">
            <v>7</v>
          </cell>
          <cell r="AQ79">
            <v>4000</v>
          </cell>
          <cell r="AR79">
            <v>7000</v>
          </cell>
          <cell r="AS79">
            <v>9000</v>
          </cell>
          <cell r="AT79">
            <v>10000</v>
          </cell>
          <cell r="AU79">
            <v>11000</v>
          </cell>
          <cell r="AV79">
            <v>11000</v>
          </cell>
          <cell r="AW79">
            <v>0</v>
          </cell>
          <cell r="AX79">
            <v>7</v>
          </cell>
          <cell r="AY79">
            <v>4000</v>
          </cell>
          <cell r="AZ79">
            <v>7000</v>
          </cell>
          <cell r="BA79">
            <v>8000</v>
          </cell>
          <cell r="BB79">
            <v>9000</v>
          </cell>
          <cell r="BC79">
            <v>9000</v>
          </cell>
          <cell r="BD79">
            <v>10000</v>
          </cell>
          <cell r="BE79">
            <v>0</v>
          </cell>
          <cell r="BF79">
            <v>7</v>
          </cell>
          <cell r="BG79">
            <v>2000</v>
          </cell>
          <cell r="BH79">
            <v>3000</v>
          </cell>
          <cell r="BI79">
            <v>4000</v>
          </cell>
          <cell r="BJ79">
            <v>4000</v>
          </cell>
          <cell r="BK79">
            <v>5000</v>
          </cell>
          <cell r="BL79">
            <v>5000</v>
          </cell>
        </row>
        <row r="80">
          <cell r="B80">
            <v>8</v>
          </cell>
          <cell r="C80">
            <v>8000</v>
          </cell>
          <cell r="D80">
            <v>15000</v>
          </cell>
          <cell r="E80">
            <v>18000</v>
          </cell>
          <cell r="F80">
            <v>20000</v>
          </cell>
          <cell r="G80">
            <v>21000</v>
          </cell>
          <cell r="H80">
            <v>23000</v>
          </cell>
          <cell r="I80">
            <v>0</v>
          </cell>
          <cell r="J80">
            <v>8</v>
          </cell>
          <cell r="K80">
            <v>10000</v>
          </cell>
          <cell r="L80">
            <v>17000</v>
          </cell>
          <cell r="M80">
            <v>20000</v>
          </cell>
          <cell r="N80">
            <v>22000</v>
          </cell>
          <cell r="O80">
            <v>25000</v>
          </cell>
          <cell r="P80">
            <v>26000</v>
          </cell>
          <cell r="Q80">
            <v>0</v>
          </cell>
          <cell r="R80">
            <v>8</v>
          </cell>
          <cell r="S80">
            <v>19000</v>
          </cell>
          <cell r="T80">
            <v>34000</v>
          </cell>
          <cell r="U80">
            <v>40000</v>
          </cell>
          <cell r="V80">
            <v>45000</v>
          </cell>
          <cell r="W80">
            <v>49000</v>
          </cell>
          <cell r="X80">
            <v>52000</v>
          </cell>
          <cell r="Y80">
            <v>0</v>
          </cell>
          <cell r="Z80">
            <v>8</v>
          </cell>
          <cell r="AA80">
            <v>9000</v>
          </cell>
          <cell r="AB80">
            <v>16000</v>
          </cell>
          <cell r="AC80">
            <v>18000</v>
          </cell>
          <cell r="AD80">
            <v>20000</v>
          </cell>
          <cell r="AE80">
            <v>22000</v>
          </cell>
          <cell r="AF80">
            <v>23000</v>
          </cell>
          <cell r="AG80">
            <v>0</v>
          </cell>
          <cell r="AH80">
            <v>8</v>
          </cell>
          <cell r="AI80">
            <v>3000</v>
          </cell>
          <cell r="AJ80">
            <v>6000</v>
          </cell>
          <cell r="AK80">
            <v>6000</v>
          </cell>
          <cell r="AL80">
            <v>7000</v>
          </cell>
          <cell r="AM80">
            <v>8000</v>
          </cell>
          <cell r="AN80">
            <v>8000</v>
          </cell>
          <cell r="AO80">
            <v>0</v>
          </cell>
          <cell r="AP80">
            <v>8</v>
          </cell>
          <cell r="AQ80">
            <v>5000</v>
          </cell>
          <cell r="AR80">
            <v>8000</v>
          </cell>
          <cell r="AS80">
            <v>9000</v>
          </cell>
          <cell r="AT80">
            <v>11000</v>
          </cell>
          <cell r="AU80">
            <v>12000</v>
          </cell>
          <cell r="AV80">
            <v>12000</v>
          </cell>
          <cell r="AW80">
            <v>0</v>
          </cell>
          <cell r="AX80">
            <v>8</v>
          </cell>
          <cell r="AY80">
            <v>4000</v>
          </cell>
          <cell r="AZ80">
            <v>7000</v>
          </cell>
          <cell r="BA80">
            <v>9000</v>
          </cell>
          <cell r="BB80">
            <v>9000</v>
          </cell>
          <cell r="BC80">
            <v>10000</v>
          </cell>
          <cell r="BD80">
            <v>11000</v>
          </cell>
          <cell r="BE80">
            <v>0</v>
          </cell>
          <cell r="BF80">
            <v>8</v>
          </cell>
          <cell r="BG80">
            <v>2000</v>
          </cell>
          <cell r="BH80">
            <v>4000</v>
          </cell>
          <cell r="BI80">
            <v>4000</v>
          </cell>
          <cell r="BJ80">
            <v>5000</v>
          </cell>
          <cell r="BK80">
            <v>5000</v>
          </cell>
          <cell r="BL80">
            <v>5000</v>
          </cell>
        </row>
        <row r="81">
          <cell r="B81">
            <v>9</v>
          </cell>
          <cell r="C81">
            <v>9000</v>
          </cell>
          <cell r="D81">
            <v>16000</v>
          </cell>
          <cell r="E81">
            <v>19000</v>
          </cell>
          <cell r="F81">
            <v>21000</v>
          </cell>
          <cell r="G81">
            <v>23000</v>
          </cell>
          <cell r="H81">
            <v>25000</v>
          </cell>
          <cell r="I81">
            <v>0</v>
          </cell>
          <cell r="J81">
            <v>9</v>
          </cell>
          <cell r="K81">
            <v>11000</v>
          </cell>
          <cell r="L81">
            <v>19000</v>
          </cell>
          <cell r="M81">
            <v>22000</v>
          </cell>
          <cell r="N81">
            <v>25000</v>
          </cell>
          <cell r="O81">
            <v>27000</v>
          </cell>
          <cell r="P81">
            <v>28000</v>
          </cell>
          <cell r="Q81">
            <v>0</v>
          </cell>
          <cell r="R81">
            <v>9</v>
          </cell>
          <cell r="S81">
            <v>21000</v>
          </cell>
          <cell r="T81">
            <v>38000</v>
          </cell>
          <cell r="U81">
            <v>44000</v>
          </cell>
          <cell r="V81">
            <v>49000</v>
          </cell>
          <cell r="W81">
            <v>54000</v>
          </cell>
          <cell r="X81">
            <v>57000</v>
          </cell>
          <cell r="Y81">
            <v>0</v>
          </cell>
          <cell r="Z81">
            <v>9</v>
          </cell>
          <cell r="AA81">
            <v>10000</v>
          </cell>
          <cell r="AB81">
            <v>17000</v>
          </cell>
          <cell r="AC81">
            <v>20000</v>
          </cell>
          <cell r="AD81">
            <v>22000</v>
          </cell>
          <cell r="AE81">
            <v>24000</v>
          </cell>
          <cell r="AF81">
            <v>25000</v>
          </cell>
          <cell r="AG81">
            <v>0</v>
          </cell>
          <cell r="AH81">
            <v>9</v>
          </cell>
          <cell r="AI81">
            <v>3000</v>
          </cell>
          <cell r="AJ81">
            <v>6000</v>
          </cell>
          <cell r="AK81">
            <v>7000</v>
          </cell>
          <cell r="AL81">
            <v>8000</v>
          </cell>
          <cell r="AM81">
            <v>9000</v>
          </cell>
          <cell r="AN81">
            <v>9000</v>
          </cell>
          <cell r="AO81">
            <v>0</v>
          </cell>
          <cell r="AP81">
            <v>9</v>
          </cell>
          <cell r="AQ81">
            <v>5000</v>
          </cell>
          <cell r="AR81">
            <v>9000</v>
          </cell>
          <cell r="AS81">
            <v>11000</v>
          </cell>
          <cell r="AT81">
            <v>12000</v>
          </cell>
          <cell r="AU81">
            <v>13000</v>
          </cell>
          <cell r="AV81">
            <v>13000</v>
          </cell>
          <cell r="AW81">
            <v>0</v>
          </cell>
          <cell r="AX81">
            <v>9</v>
          </cell>
          <cell r="AY81">
            <v>5000</v>
          </cell>
          <cell r="AZ81">
            <v>8000</v>
          </cell>
          <cell r="BA81">
            <v>9000</v>
          </cell>
          <cell r="BB81">
            <v>11000</v>
          </cell>
          <cell r="BC81">
            <v>11000</v>
          </cell>
          <cell r="BD81">
            <v>12000</v>
          </cell>
          <cell r="BE81">
            <v>0</v>
          </cell>
          <cell r="BF81">
            <v>9</v>
          </cell>
          <cell r="BG81">
            <v>2000</v>
          </cell>
          <cell r="BH81">
            <v>4000</v>
          </cell>
          <cell r="BI81">
            <v>5000</v>
          </cell>
          <cell r="BJ81">
            <v>5000</v>
          </cell>
          <cell r="BK81">
            <v>6000</v>
          </cell>
          <cell r="BL81">
            <v>6000</v>
          </cell>
        </row>
        <row r="82">
          <cell r="B82">
            <v>10</v>
          </cell>
          <cell r="C82">
            <v>10000</v>
          </cell>
          <cell r="D82">
            <v>18000</v>
          </cell>
          <cell r="E82">
            <v>21000</v>
          </cell>
          <cell r="F82">
            <v>24000</v>
          </cell>
          <cell r="G82">
            <v>26000</v>
          </cell>
          <cell r="H82">
            <v>27000</v>
          </cell>
          <cell r="I82">
            <v>0</v>
          </cell>
          <cell r="J82">
            <v>10</v>
          </cell>
          <cell r="K82">
            <v>12000</v>
          </cell>
          <cell r="L82">
            <v>21000</v>
          </cell>
          <cell r="M82">
            <v>24000</v>
          </cell>
          <cell r="N82">
            <v>27000</v>
          </cell>
          <cell r="O82">
            <v>30000</v>
          </cell>
          <cell r="P82">
            <v>31000</v>
          </cell>
          <cell r="Q82">
            <v>0</v>
          </cell>
          <cell r="R82">
            <v>10</v>
          </cell>
          <cell r="S82">
            <v>23000</v>
          </cell>
          <cell r="T82">
            <v>42000</v>
          </cell>
          <cell r="U82">
            <v>49000</v>
          </cell>
          <cell r="V82">
            <v>54000</v>
          </cell>
          <cell r="W82">
            <v>59000</v>
          </cell>
          <cell r="X82">
            <v>62000</v>
          </cell>
          <cell r="Y82">
            <v>0</v>
          </cell>
          <cell r="Z82">
            <v>10</v>
          </cell>
          <cell r="AA82">
            <v>11000</v>
          </cell>
          <cell r="AB82">
            <v>19000</v>
          </cell>
          <cell r="AC82">
            <v>22000</v>
          </cell>
          <cell r="AD82">
            <v>24000</v>
          </cell>
          <cell r="AE82">
            <v>27000</v>
          </cell>
          <cell r="AF82">
            <v>28000</v>
          </cell>
          <cell r="AG82">
            <v>0</v>
          </cell>
          <cell r="AH82">
            <v>10</v>
          </cell>
          <cell r="AI82">
            <v>4000</v>
          </cell>
          <cell r="AJ82">
            <v>7000</v>
          </cell>
          <cell r="AK82">
            <v>8000</v>
          </cell>
          <cell r="AL82">
            <v>9000</v>
          </cell>
          <cell r="AM82">
            <v>9000</v>
          </cell>
          <cell r="AN82">
            <v>10000</v>
          </cell>
          <cell r="AO82">
            <v>0</v>
          </cell>
          <cell r="AP82">
            <v>10</v>
          </cell>
          <cell r="AQ82">
            <v>6000</v>
          </cell>
          <cell r="AR82">
            <v>10000</v>
          </cell>
          <cell r="AS82">
            <v>12000</v>
          </cell>
          <cell r="AT82">
            <v>13000</v>
          </cell>
          <cell r="AU82">
            <v>14000</v>
          </cell>
          <cell r="AV82">
            <v>15000</v>
          </cell>
          <cell r="AW82">
            <v>0</v>
          </cell>
          <cell r="AX82">
            <v>10</v>
          </cell>
          <cell r="AY82">
            <v>5000</v>
          </cell>
          <cell r="AZ82">
            <v>9000</v>
          </cell>
          <cell r="BA82">
            <v>10000</v>
          </cell>
          <cell r="BB82">
            <v>11000</v>
          </cell>
          <cell r="BC82">
            <v>13000</v>
          </cell>
          <cell r="BD82">
            <v>13000</v>
          </cell>
          <cell r="BE82">
            <v>0</v>
          </cell>
          <cell r="BF82">
            <v>10</v>
          </cell>
          <cell r="BG82">
            <v>2000</v>
          </cell>
          <cell r="BH82">
            <v>4000</v>
          </cell>
          <cell r="BI82">
            <v>5000</v>
          </cell>
          <cell r="BJ82">
            <v>6000</v>
          </cell>
          <cell r="BK82">
            <v>6000</v>
          </cell>
          <cell r="BL82">
            <v>6000</v>
          </cell>
        </row>
        <row r="83">
          <cell r="B83">
            <v>11</v>
          </cell>
          <cell r="C83">
            <v>11000</v>
          </cell>
          <cell r="D83">
            <v>20000</v>
          </cell>
          <cell r="E83">
            <v>23000</v>
          </cell>
          <cell r="F83">
            <v>26000</v>
          </cell>
          <cell r="G83">
            <v>28000</v>
          </cell>
          <cell r="H83">
            <v>30000</v>
          </cell>
          <cell r="I83">
            <v>0</v>
          </cell>
          <cell r="J83">
            <v>11</v>
          </cell>
          <cell r="K83">
            <v>13000</v>
          </cell>
          <cell r="L83">
            <v>23000</v>
          </cell>
          <cell r="M83">
            <v>27000</v>
          </cell>
          <cell r="N83">
            <v>30000</v>
          </cell>
          <cell r="O83">
            <v>33000</v>
          </cell>
          <cell r="P83">
            <v>34000</v>
          </cell>
          <cell r="Q83">
            <v>0</v>
          </cell>
          <cell r="R83">
            <v>11</v>
          </cell>
          <cell r="S83">
            <v>26000</v>
          </cell>
          <cell r="T83">
            <v>46000</v>
          </cell>
          <cell r="U83">
            <v>54000</v>
          </cell>
          <cell r="V83">
            <v>59000</v>
          </cell>
          <cell r="W83">
            <v>65000</v>
          </cell>
          <cell r="X83">
            <v>69000</v>
          </cell>
          <cell r="Y83">
            <v>0</v>
          </cell>
          <cell r="Z83">
            <v>11</v>
          </cell>
          <cell r="AA83">
            <v>12000</v>
          </cell>
          <cell r="AB83">
            <v>21000</v>
          </cell>
          <cell r="AC83">
            <v>24000</v>
          </cell>
          <cell r="AD83">
            <v>27000</v>
          </cell>
          <cell r="AE83">
            <v>29000</v>
          </cell>
          <cell r="AF83">
            <v>31000</v>
          </cell>
          <cell r="AG83">
            <v>0</v>
          </cell>
          <cell r="AH83">
            <v>11</v>
          </cell>
          <cell r="AI83">
            <v>4000</v>
          </cell>
          <cell r="AJ83">
            <v>7000</v>
          </cell>
          <cell r="AK83">
            <v>8000</v>
          </cell>
          <cell r="AL83">
            <v>9000</v>
          </cell>
          <cell r="AM83">
            <v>10000</v>
          </cell>
          <cell r="AN83">
            <v>11000</v>
          </cell>
          <cell r="AO83">
            <v>0</v>
          </cell>
          <cell r="AP83">
            <v>11</v>
          </cell>
          <cell r="AQ83">
            <v>6000</v>
          </cell>
          <cell r="AR83">
            <v>11000</v>
          </cell>
          <cell r="AS83">
            <v>13000</v>
          </cell>
          <cell r="AT83">
            <v>14000</v>
          </cell>
          <cell r="AU83">
            <v>15000</v>
          </cell>
          <cell r="AV83">
            <v>16000</v>
          </cell>
          <cell r="AW83">
            <v>0</v>
          </cell>
          <cell r="AX83">
            <v>11</v>
          </cell>
          <cell r="AY83">
            <v>6000</v>
          </cell>
          <cell r="AZ83">
            <v>10000</v>
          </cell>
          <cell r="BA83">
            <v>11000</v>
          </cell>
          <cell r="BB83">
            <v>13000</v>
          </cell>
          <cell r="BC83">
            <v>14000</v>
          </cell>
          <cell r="BD83">
            <v>15000</v>
          </cell>
          <cell r="BE83">
            <v>0</v>
          </cell>
          <cell r="BF83">
            <v>11</v>
          </cell>
          <cell r="BG83">
            <v>3000</v>
          </cell>
          <cell r="BH83">
            <v>5000</v>
          </cell>
          <cell r="BI83">
            <v>5000</v>
          </cell>
          <cell r="BJ83">
            <v>6000</v>
          </cell>
          <cell r="BK83">
            <v>7000</v>
          </cell>
          <cell r="BL83">
            <v>7000</v>
          </cell>
        </row>
        <row r="84">
          <cell r="B84">
            <v>12</v>
          </cell>
          <cell r="C84">
            <v>12000</v>
          </cell>
          <cell r="D84">
            <v>22000</v>
          </cell>
          <cell r="E84">
            <v>26000</v>
          </cell>
          <cell r="F84">
            <v>29000</v>
          </cell>
          <cell r="G84">
            <v>31000</v>
          </cell>
          <cell r="H84">
            <v>33000</v>
          </cell>
          <cell r="I84">
            <v>0</v>
          </cell>
          <cell r="J84">
            <v>12</v>
          </cell>
          <cell r="K84">
            <v>14000</v>
          </cell>
          <cell r="L84">
            <v>25000</v>
          </cell>
          <cell r="M84">
            <v>29000</v>
          </cell>
          <cell r="N84">
            <v>33000</v>
          </cell>
          <cell r="O84">
            <v>36000</v>
          </cell>
          <cell r="P84">
            <v>38000</v>
          </cell>
          <cell r="Q84">
            <v>0</v>
          </cell>
          <cell r="R84">
            <v>12</v>
          </cell>
          <cell r="S84">
            <v>28000</v>
          </cell>
          <cell r="T84">
            <v>50000</v>
          </cell>
          <cell r="U84">
            <v>59000</v>
          </cell>
          <cell r="V84">
            <v>66000</v>
          </cell>
          <cell r="W84">
            <v>72000</v>
          </cell>
          <cell r="X84">
            <v>76000</v>
          </cell>
          <cell r="Y84">
            <v>0</v>
          </cell>
          <cell r="Z84">
            <v>12</v>
          </cell>
          <cell r="AA84">
            <v>13000</v>
          </cell>
          <cell r="AB84">
            <v>23000</v>
          </cell>
          <cell r="AC84">
            <v>27000</v>
          </cell>
          <cell r="AD84">
            <v>30000</v>
          </cell>
          <cell r="AE84">
            <v>32000</v>
          </cell>
          <cell r="AF84">
            <v>34000</v>
          </cell>
          <cell r="AG84">
            <v>0</v>
          </cell>
          <cell r="AH84">
            <v>12</v>
          </cell>
          <cell r="AI84">
            <v>4000</v>
          </cell>
          <cell r="AJ84">
            <v>8000</v>
          </cell>
          <cell r="AK84">
            <v>9000</v>
          </cell>
          <cell r="AL84">
            <v>10000</v>
          </cell>
          <cell r="AM84">
            <v>11000</v>
          </cell>
          <cell r="AN84">
            <v>12000</v>
          </cell>
          <cell r="AO84">
            <v>0</v>
          </cell>
          <cell r="AP84">
            <v>12</v>
          </cell>
          <cell r="AQ84">
            <v>7000</v>
          </cell>
          <cell r="AR84">
            <v>12000</v>
          </cell>
          <cell r="AS84">
            <v>14000</v>
          </cell>
          <cell r="AT84">
            <v>16000</v>
          </cell>
          <cell r="AU84">
            <v>17000</v>
          </cell>
          <cell r="AV84">
            <v>18000</v>
          </cell>
          <cell r="AW84">
            <v>0</v>
          </cell>
          <cell r="AX84">
            <v>12</v>
          </cell>
          <cell r="AY84">
            <v>6000</v>
          </cell>
          <cell r="AZ84">
            <v>11000</v>
          </cell>
          <cell r="BA84">
            <v>13000</v>
          </cell>
          <cell r="BB84">
            <v>14000</v>
          </cell>
          <cell r="BC84">
            <v>15000</v>
          </cell>
          <cell r="BD84">
            <v>16000</v>
          </cell>
          <cell r="BE84">
            <v>0</v>
          </cell>
          <cell r="BF84">
            <v>12</v>
          </cell>
          <cell r="BG84">
            <v>3000</v>
          </cell>
          <cell r="BH84">
            <v>5000</v>
          </cell>
          <cell r="BI84">
            <v>6000</v>
          </cell>
          <cell r="BJ84">
            <v>7000</v>
          </cell>
          <cell r="BK84">
            <v>7000</v>
          </cell>
          <cell r="BL84">
            <v>8000</v>
          </cell>
        </row>
        <row r="85">
          <cell r="B85">
            <v>13</v>
          </cell>
          <cell r="C85">
            <v>14000</v>
          </cell>
          <cell r="D85">
            <v>24000</v>
          </cell>
          <cell r="E85">
            <v>28000</v>
          </cell>
          <cell r="F85">
            <v>31000</v>
          </cell>
          <cell r="G85">
            <v>34000</v>
          </cell>
          <cell r="H85">
            <v>36000</v>
          </cell>
          <cell r="I85">
            <v>0</v>
          </cell>
          <cell r="J85">
            <v>13</v>
          </cell>
          <cell r="K85">
            <v>16000</v>
          </cell>
          <cell r="L85">
            <v>28000</v>
          </cell>
          <cell r="M85">
            <v>32000</v>
          </cell>
          <cell r="N85">
            <v>36000</v>
          </cell>
          <cell r="O85">
            <v>39000</v>
          </cell>
          <cell r="P85">
            <v>41000</v>
          </cell>
          <cell r="Q85">
            <v>0</v>
          </cell>
          <cell r="R85">
            <v>13</v>
          </cell>
          <cell r="S85">
            <v>31000</v>
          </cell>
          <cell r="T85">
            <v>55000</v>
          </cell>
          <cell r="U85">
            <v>65000</v>
          </cell>
          <cell r="V85">
            <v>72000</v>
          </cell>
          <cell r="W85">
            <v>79000</v>
          </cell>
          <cell r="X85">
            <v>83000</v>
          </cell>
          <cell r="Y85">
            <v>0</v>
          </cell>
          <cell r="Z85">
            <v>13</v>
          </cell>
          <cell r="AA85">
            <v>14000</v>
          </cell>
          <cell r="AB85">
            <v>25000</v>
          </cell>
          <cell r="AC85">
            <v>29000</v>
          </cell>
          <cell r="AD85">
            <v>32000</v>
          </cell>
          <cell r="AE85">
            <v>35000</v>
          </cell>
          <cell r="AF85">
            <v>37000</v>
          </cell>
          <cell r="AG85">
            <v>0</v>
          </cell>
          <cell r="AH85">
            <v>13</v>
          </cell>
          <cell r="AI85">
            <v>5000</v>
          </cell>
          <cell r="AJ85">
            <v>9000</v>
          </cell>
          <cell r="AK85">
            <v>10000</v>
          </cell>
          <cell r="AL85">
            <v>11000</v>
          </cell>
          <cell r="AM85">
            <v>13000</v>
          </cell>
          <cell r="AN85">
            <v>13000</v>
          </cell>
          <cell r="AO85">
            <v>0</v>
          </cell>
          <cell r="AP85">
            <v>13</v>
          </cell>
          <cell r="AQ85">
            <v>7000</v>
          </cell>
          <cell r="AR85">
            <v>13000</v>
          </cell>
          <cell r="AS85">
            <v>15000</v>
          </cell>
          <cell r="AT85">
            <v>17000</v>
          </cell>
          <cell r="AU85">
            <v>19000</v>
          </cell>
          <cell r="AV85">
            <v>20000</v>
          </cell>
          <cell r="AW85">
            <v>0</v>
          </cell>
          <cell r="AX85">
            <v>13</v>
          </cell>
          <cell r="AY85">
            <v>7000</v>
          </cell>
          <cell r="AZ85">
            <v>12000</v>
          </cell>
          <cell r="BA85">
            <v>14000</v>
          </cell>
          <cell r="BB85">
            <v>15000</v>
          </cell>
          <cell r="BC85">
            <v>17000</v>
          </cell>
          <cell r="BD85">
            <v>18000</v>
          </cell>
          <cell r="BE85">
            <v>0</v>
          </cell>
          <cell r="BF85">
            <v>13</v>
          </cell>
          <cell r="BG85">
            <v>3000</v>
          </cell>
          <cell r="BH85">
            <v>6000</v>
          </cell>
          <cell r="BI85">
            <v>7000</v>
          </cell>
          <cell r="BJ85">
            <v>7000</v>
          </cell>
          <cell r="BK85">
            <v>8000</v>
          </cell>
          <cell r="BL85">
            <v>9000</v>
          </cell>
        </row>
        <row r="86">
          <cell r="B86">
            <v>14</v>
          </cell>
          <cell r="C86">
            <v>15000</v>
          </cell>
          <cell r="D86">
            <v>27000</v>
          </cell>
          <cell r="E86">
            <v>31000</v>
          </cell>
          <cell r="F86">
            <v>35000</v>
          </cell>
          <cell r="G86">
            <v>38000</v>
          </cell>
          <cell r="H86">
            <v>40000</v>
          </cell>
          <cell r="I86">
            <v>0</v>
          </cell>
          <cell r="J86">
            <v>14</v>
          </cell>
          <cell r="K86">
            <v>17000</v>
          </cell>
          <cell r="L86">
            <v>30000</v>
          </cell>
          <cell r="M86">
            <v>36000</v>
          </cell>
          <cell r="N86">
            <v>40000</v>
          </cell>
          <cell r="O86">
            <v>43000</v>
          </cell>
          <cell r="P86">
            <v>46000</v>
          </cell>
          <cell r="Q86">
            <v>0</v>
          </cell>
          <cell r="R86">
            <v>14</v>
          </cell>
          <cell r="S86">
            <v>34000</v>
          </cell>
          <cell r="T86">
            <v>61000</v>
          </cell>
          <cell r="U86">
            <v>71000</v>
          </cell>
          <cell r="V86">
            <v>79000</v>
          </cell>
          <cell r="W86">
            <v>87000</v>
          </cell>
          <cell r="X86">
            <v>91000</v>
          </cell>
          <cell r="Y86">
            <v>0</v>
          </cell>
          <cell r="Z86">
            <v>14</v>
          </cell>
          <cell r="AA86">
            <v>15000</v>
          </cell>
          <cell r="AB86">
            <v>27000</v>
          </cell>
          <cell r="AC86">
            <v>32000</v>
          </cell>
          <cell r="AD86">
            <v>36000</v>
          </cell>
          <cell r="AE86">
            <v>39000</v>
          </cell>
          <cell r="AF86">
            <v>41000</v>
          </cell>
          <cell r="AG86">
            <v>0</v>
          </cell>
          <cell r="AH86">
            <v>14</v>
          </cell>
          <cell r="AI86">
            <v>5000</v>
          </cell>
          <cell r="AJ86">
            <v>10000</v>
          </cell>
          <cell r="AK86">
            <v>11000</v>
          </cell>
          <cell r="AL86">
            <v>13000</v>
          </cell>
          <cell r="AM86">
            <v>14000</v>
          </cell>
          <cell r="AN86">
            <v>15000</v>
          </cell>
          <cell r="AO86">
            <v>0</v>
          </cell>
          <cell r="AP86">
            <v>14</v>
          </cell>
          <cell r="AQ86">
            <v>8000</v>
          </cell>
          <cell r="AR86">
            <v>14000</v>
          </cell>
          <cell r="AS86">
            <v>17000</v>
          </cell>
          <cell r="AT86">
            <v>19000</v>
          </cell>
          <cell r="AU86">
            <v>21000</v>
          </cell>
          <cell r="AV86">
            <v>22000</v>
          </cell>
          <cell r="AW86">
            <v>0</v>
          </cell>
          <cell r="AX86">
            <v>14</v>
          </cell>
          <cell r="AY86">
            <v>7000</v>
          </cell>
          <cell r="AZ86">
            <v>13000</v>
          </cell>
          <cell r="BA86">
            <v>15000</v>
          </cell>
          <cell r="BB86">
            <v>17000</v>
          </cell>
          <cell r="BC86">
            <v>19000</v>
          </cell>
          <cell r="BD86">
            <v>20000</v>
          </cell>
          <cell r="BE86">
            <v>0</v>
          </cell>
          <cell r="BF86">
            <v>14</v>
          </cell>
          <cell r="BG86">
            <v>4000</v>
          </cell>
          <cell r="BH86">
            <v>6000</v>
          </cell>
          <cell r="BI86">
            <v>7000</v>
          </cell>
          <cell r="BJ86">
            <v>8000</v>
          </cell>
          <cell r="BK86">
            <v>9000</v>
          </cell>
          <cell r="BL86">
            <v>9000</v>
          </cell>
        </row>
        <row r="87">
          <cell r="B87">
            <v>15</v>
          </cell>
          <cell r="C87">
            <v>16000</v>
          </cell>
          <cell r="D87">
            <v>29000</v>
          </cell>
          <cell r="E87">
            <v>34000</v>
          </cell>
          <cell r="F87">
            <v>38000</v>
          </cell>
          <cell r="G87">
            <v>42000</v>
          </cell>
          <cell r="H87">
            <v>44000</v>
          </cell>
          <cell r="I87">
            <v>0</v>
          </cell>
          <cell r="J87">
            <v>15</v>
          </cell>
          <cell r="K87">
            <v>19000</v>
          </cell>
          <cell r="L87">
            <v>33000</v>
          </cell>
          <cell r="M87">
            <v>39000</v>
          </cell>
          <cell r="N87">
            <v>44000</v>
          </cell>
          <cell r="O87">
            <v>48000</v>
          </cell>
          <cell r="P87">
            <v>50000</v>
          </cell>
          <cell r="Q87">
            <v>0</v>
          </cell>
          <cell r="R87">
            <v>15</v>
          </cell>
          <cell r="S87">
            <v>38000</v>
          </cell>
          <cell r="T87">
            <v>67000</v>
          </cell>
          <cell r="U87">
            <v>79000</v>
          </cell>
          <cell r="V87">
            <v>87000</v>
          </cell>
          <cell r="W87">
            <v>96000</v>
          </cell>
          <cell r="X87">
            <v>101000</v>
          </cell>
          <cell r="Y87">
            <v>0</v>
          </cell>
          <cell r="Z87">
            <v>15</v>
          </cell>
          <cell r="AA87">
            <v>17000</v>
          </cell>
          <cell r="AB87">
            <v>30000</v>
          </cell>
          <cell r="AC87">
            <v>35000</v>
          </cell>
          <cell r="AD87">
            <v>39000</v>
          </cell>
          <cell r="AE87">
            <v>43000</v>
          </cell>
          <cell r="AF87">
            <v>45000</v>
          </cell>
          <cell r="AG87">
            <v>0</v>
          </cell>
          <cell r="AH87">
            <v>15</v>
          </cell>
          <cell r="AI87">
            <v>6000</v>
          </cell>
          <cell r="AJ87">
            <v>11000</v>
          </cell>
          <cell r="AK87">
            <v>12000</v>
          </cell>
          <cell r="AL87">
            <v>14000</v>
          </cell>
          <cell r="AM87">
            <v>15000</v>
          </cell>
          <cell r="AN87">
            <v>16000</v>
          </cell>
          <cell r="AO87">
            <v>0</v>
          </cell>
          <cell r="AP87">
            <v>15</v>
          </cell>
          <cell r="AQ87">
            <v>9000</v>
          </cell>
          <cell r="AR87">
            <v>16000</v>
          </cell>
          <cell r="AS87">
            <v>19000</v>
          </cell>
          <cell r="AT87">
            <v>21000</v>
          </cell>
          <cell r="AU87">
            <v>23000</v>
          </cell>
          <cell r="AV87">
            <v>24000</v>
          </cell>
          <cell r="AW87">
            <v>0</v>
          </cell>
          <cell r="AX87">
            <v>15</v>
          </cell>
          <cell r="AY87">
            <v>8000</v>
          </cell>
          <cell r="AZ87">
            <v>14000</v>
          </cell>
          <cell r="BA87">
            <v>17000</v>
          </cell>
          <cell r="BB87">
            <v>19000</v>
          </cell>
          <cell r="BC87">
            <v>20000</v>
          </cell>
          <cell r="BD87">
            <v>21000</v>
          </cell>
          <cell r="BE87">
            <v>0</v>
          </cell>
          <cell r="BF87">
            <v>15</v>
          </cell>
          <cell r="BG87">
            <v>4000</v>
          </cell>
          <cell r="BH87">
            <v>7000</v>
          </cell>
          <cell r="BI87">
            <v>8000</v>
          </cell>
          <cell r="BJ87">
            <v>9000</v>
          </cell>
          <cell r="BK87">
            <v>10000</v>
          </cell>
          <cell r="BL87">
            <v>10000</v>
          </cell>
        </row>
        <row r="88">
          <cell r="B88">
            <v>16</v>
          </cell>
          <cell r="C88">
            <v>18000</v>
          </cell>
          <cell r="D88">
            <v>32000</v>
          </cell>
          <cell r="E88">
            <v>38000</v>
          </cell>
          <cell r="F88">
            <v>42000</v>
          </cell>
          <cell r="G88">
            <v>46000</v>
          </cell>
          <cell r="H88">
            <v>48000</v>
          </cell>
          <cell r="I88">
            <v>0</v>
          </cell>
          <cell r="J88">
            <v>16</v>
          </cell>
          <cell r="K88">
            <v>21000</v>
          </cell>
          <cell r="L88">
            <v>37000</v>
          </cell>
          <cell r="M88">
            <v>43000</v>
          </cell>
          <cell r="N88">
            <v>48000</v>
          </cell>
          <cell r="O88">
            <v>52000</v>
          </cell>
          <cell r="P88">
            <v>55000</v>
          </cell>
          <cell r="Q88">
            <v>0</v>
          </cell>
          <cell r="R88">
            <v>16</v>
          </cell>
          <cell r="S88">
            <v>41000</v>
          </cell>
          <cell r="T88">
            <v>74000</v>
          </cell>
          <cell r="U88">
            <v>86000</v>
          </cell>
          <cell r="V88">
            <v>96000</v>
          </cell>
          <cell r="W88">
            <v>105000</v>
          </cell>
          <cell r="X88">
            <v>110000</v>
          </cell>
          <cell r="Y88">
            <v>0</v>
          </cell>
          <cell r="Z88">
            <v>16</v>
          </cell>
          <cell r="AA88">
            <v>19000</v>
          </cell>
          <cell r="AB88">
            <v>33000</v>
          </cell>
          <cell r="AC88">
            <v>39000</v>
          </cell>
          <cell r="AD88">
            <v>43000</v>
          </cell>
          <cell r="AE88">
            <v>47000</v>
          </cell>
          <cell r="AF88">
            <v>50000</v>
          </cell>
          <cell r="AG88">
            <v>0</v>
          </cell>
          <cell r="AH88">
            <v>16</v>
          </cell>
          <cell r="AI88">
            <v>7000</v>
          </cell>
          <cell r="AJ88">
            <v>12000</v>
          </cell>
          <cell r="AK88">
            <v>14000</v>
          </cell>
          <cell r="AL88">
            <v>15000</v>
          </cell>
          <cell r="AM88">
            <v>17000</v>
          </cell>
          <cell r="AN88">
            <v>18000</v>
          </cell>
          <cell r="AO88">
            <v>0</v>
          </cell>
          <cell r="AP88">
            <v>16</v>
          </cell>
          <cell r="AQ88">
            <v>10000</v>
          </cell>
          <cell r="AR88">
            <v>17000</v>
          </cell>
          <cell r="AS88">
            <v>20000</v>
          </cell>
          <cell r="AT88">
            <v>23000</v>
          </cell>
          <cell r="AU88">
            <v>25000</v>
          </cell>
          <cell r="AV88">
            <v>26000</v>
          </cell>
          <cell r="AW88">
            <v>0</v>
          </cell>
          <cell r="AX88">
            <v>16</v>
          </cell>
          <cell r="AY88">
            <v>9000</v>
          </cell>
          <cell r="AZ88">
            <v>16000</v>
          </cell>
          <cell r="BA88">
            <v>18000</v>
          </cell>
          <cell r="BB88">
            <v>20000</v>
          </cell>
          <cell r="BC88">
            <v>22000</v>
          </cell>
          <cell r="BD88">
            <v>24000</v>
          </cell>
          <cell r="BE88">
            <v>0</v>
          </cell>
          <cell r="BF88">
            <v>16</v>
          </cell>
          <cell r="BG88">
            <v>4000</v>
          </cell>
          <cell r="BH88">
            <v>8000</v>
          </cell>
          <cell r="BI88">
            <v>9000</v>
          </cell>
          <cell r="BJ88">
            <v>10000</v>
          </cell>
          <cell r="BK88">
            <v>11000</v>
          </cell>
          <cell r="BL88">
            <v>11000</v>
          </cell>
        </row>
        <row r="89">
          <cell r="B89">
            <v>17</v>
          </cell>
          <cell r="C89">
            <v>20000</v>
          </cell>
          <cell r="D89">
            <v>35000</v>
          </cell>
          <cell r="E89">
            <v>41000</v>
          </cell>
          <cell r="F89">
            <v>46000</v>
          </cell>
          <cell r="G89">
            <v>50000</v>
          </cell>
          <cell r="H89">
            <v>53000</v>
          </cell>
          <cell r="I89">
            <v>0</v>
          </cell>
          <cell r="J89">
            <v>17</v>
          </cell>
          <cell r="K89">
            <v>23000</v>
          </cell>
          <cell r="L89">
            <v>41000</v>
          </cell>
          <cell r="M89">
            <v>47000</v>
          </cell>
          <cell r="N89">
            <v>53000</v>
          </cell>
          <cell r="O89">
            <v>58000</v>
          </cell>
          <cell r="P89">
            <v>61000</v>
          </cell>
          <cell r="Q89">
            <v>0</v>
          </cell>
          <cell r="R89">
            <v>17</v>
          </cell>
          <cell r="S89">
            <v>46000</v>
          </cell>
          <cell r="T89">
            <v>81000</v>
          </cell>
          <cell r="U89">
            <v>95000</v>
          </cell>
          <cell r="V89">
            <v>106000</v>
          </cell>
          <cell r="W89">
            <v>116000</v>
          </cell>
          <cell r="X89">
            <v>122000</v>
          </cell>
          <cell r="Y89">
            <v>0</v>
          </cell>
          <cell r="Z89">
            <v>17</v>
          </cell>
          <cell r="AA89">
            <v>21000</v>
          </cell>
          <cell r="AB89">
            <v>37000</v>
          </cell>
          <cell r="AC89">
            <v>43000</v>
          </cell>
          <cell r="AD89">
            <v>48000</v>
          </cell>
          <cell r="AE89">
            <v>52000</v>
          </cell>
          <cell r="AF89">
            <v>55000</v>
          </cell>
          <cell r="AG89">
            <v>0</v>
          </cell>
          <cell r="AH89">
            <v>17</v>
          </cell>
          <cell r="AI89">
            <v>7000</v>
          </cell>
          <cell r="AJ89">
            <v>13000</v>
          </cell>
          <cell r="AK89">
            <v>15000</v>
          </cell>
          <cell r="AL89">
            <v>17000</v>
          </cell>
          <cell r="AM89">
            <v>18000</v>
          </cell>
          <cell r="AN89">
            <v>19000</v>
          </cell>
          <cell r="AO89">
            <v>0</v>
          </cell>
          <cell r="AP89">
            <v>17</v>
          </cell>
          <cell r="AQ89">
            <v>11000</v>
          </cell>
          <cell r="AR89">
            <v>19000</v>
          </cell>
          <cell r="AS89">
            <v>23000</v>
          </cell>
          <cell r="AT89">
            <v>25000</v>
          </cell>
          <cell r="AU89">
            <v>27000</v>
          </cell>
          <cell r="AV89">
            <v>29000</v>
          </cell>
          <cell r="AW89">
            <v>0</v>
          </cell>
          <cell r="AX89">
            <v>17</v>
          </cell>
          <cell r="AY89">
            <v>10000</v>
          </cell>
          <cell r="AZ89">
            <v>17000</v>
          </cell>
          <cell r="BA89">
            <v>20000</v>
          </cell>
          <cell r="BB89">
            <v>23000</v>
          </cell>
          <cell r="BC89">
            <v>25000</v>
          </cell>
          <cell r="BD89">
            <v>26000</v>
          </cell>
          <cell r="BE89">
            <v>0</v>
          </cell>
          <cell r="BF89">
            <v>17</v>
          </cell>
          <cell r="BG89">
            <v>5000</v>
          </cell>
          <cell r="BH89">
            <v>8000</v>
          </cell>
          <cell r="BI89">
            <v>10000</v>
          </cell>
          <cell r="BJ89">
            <v>11000</v>
          </cell>
          <cell r="BK89">
            <v>12000</v>
          </cell>
          <cell r="BL89">
            <v>13000</v>
          </cell>
        </row>
        <row r="90">
          <cell r="B90">
            <v>18</v>
          </cell>
          <cell r="C90">
            <v>22000</v>
          </cell>
          <cell r="D90">
            <v>39000</v>
          </cell>
          <cell r="E90">
            <v>46000</v>
          </cell>
          <cell r="F90">
            <v>51000</v>
          </cell>
          <cell r="G90">
            <v>56000</v>
          </cell>
          <cell r="H90">
            <v>59000</v>
          </cell>
          <cell r="I90">
            <v>0</v>
          </cell>
          <cell r="J90">
            <v>18</v>
          </cell>
          <cell r="K90">
            <v>25000</v>
          </cell>
          <cell r="L90">
            <v>45000</v>
          </cell>
          <cell r="M90">
            <v>52000</v>
          </cell>
          <cell r="N90">
            <v>58000</v>
          </cell>
          <cell r="O90">
            <v>64000</v>
          </cell>
          <cell r="P90">
            <v>67000</v>
          </cell>
          <cell r="Q90">
            <v>0</v>
          </cell>
          <cell r="R90">
            <v>18</v>
          </cell>
          <cell r="S90">
            <v>50000</v>
          </cell>
          <cell r="T90">
            <v>89000</v>
          </cell>
          <cell r="U90">
            <v>105000</v>
          </cell>
          <cell r="V90">
            <v>116000</v>
          </cell>
          <cell r="W90">
            <v>127000</v>
          </cell>
          <cell r="X90">
            <v>134000</v>
          </cell>
          <cell r="Y90">
            <v>0</v>
          </cell>
          <cell r="Z90">
            <v>18</v>
          </cell>
          <cell r="AA90">
            <v>23000</v>
          </cell>
          <cell r="AB90">
            <v>40000</v>
          </cell>
          <cell r="AC90">
            <v>47000</v>
          </cell>
          <cell r="AD90">
            <v>52000</v>
          </cell>
          <cell r="AE90">
            <v>57000</v>
          </cell>
          <cell r="AF90">
            <v>60000</v>
          </cell>
          <cell r="AG90">
            <v>0</v>
          </cell>
          <cell r="AH90">
            <v>18</v>
          </cell>
          <cell r="AI90">
            <v>8000</v>
          </cell>
          <cell r="AJ90">
            <v>14000</v>
          </cell>
          <cell r="AK90">
            <v>17000</v>
          </cell>
          <cell r="AL90">
            <v>18000</v>
          </cell>
          <cell r="AM90">
            <v>20000</v>
          </cell>
          <cell r="AN90">
            <v>21000</v>
          </cell>
          <cell r="AO90">
            <v>0</v>
          </cell>
          <cell r="AP90">
            <v>18</v>
          </cell>
          <cell r="AQ90">
            <v>12000</v>
          </cell>
          <cell r="AR90">
            <v>21000</v>
          </cell>
          <cell r="AS90">
            <v>25000</v>
          </cell>
          <cell r="AT90">
            <v>28000</v>
          </cell>
          <cell r="AU90">
            <v>30000</v>
          </cell>
          <cell r="AV90">
            <v>32000</v>
          </cell>
          <cell r="AW90">
            <v>0</v>
          </cell>
          <cell r="AX90">
            <v>18</v>
          </cell>
          <cell r="AY90">
            <v>11000</v>
          </cell>
          <cell r="AZ90">
            <v>19000</v>
          </cell>
          <cell r="BA90">
            <v>22000</v>
          </cell>
          <cell r="BB90">
            <v>25000</v>
          </cell>
          <cell r="BC90">
            <v>27000</v>
          </cell>
          <cell r="BD90">
            <v>29000</v>
          </cell>
          <cell r="BE90">
            <v>0</v>
          </cell>
          <cell r="BF90">
            <v>18</v>
          </cell>
          <cell r="BG90">
            <v>5000</v>
          </cell>
          <cell r="BH90">
            <v>9000</v>
          </cell>
          <cell r="BI90">
            <v>11000</v>
          </cell>
          <cell r="BJ90">
            <v>12000</v>
          </cell>
          <cell r="BK90">
            <v>13000</v>
          </cell>
          <cell r="BL90">
            <v>14000</v>
          </cell>
        </row>
        <row r="91">
          <cell r="B91">
            <v>19</v>
          </cell>
          <cell r="C91">
            <v>24000</v>
          </cell>
          <cell r="D91">
            <v>43000</v>
          </cell>
          <cell r="E91">
            <v>50000</v>
          </cell>
          <cell r="F91">
            <v>56000</v>
          </cell>
          <cell r="G91">
            <v>61000</v>
          </cell>
          <cell r="H91">
            <v>64000</v>
          </cell>
          <cell r="I91">
            <v>0</v>
          </cell>
          <cell r="J91">
            <v>19</v>
          </cell>
          <cell r="K91">
            <v>28000</v>
          </cell>
          <cell r="L91">
            <v>49000</v>
          </cell>
          <cell r="M91">
            <v>57000</v>
          </cell>
          <cell r="N91">
            <v>64000</v>
          </cell>
          <cell r="O91">
            <v>70000</v>
          </cell>
          <cell r="P91">
            <v>74000</v>
          </cell>
          <cell r="Q91">
            <v>0</v>
          </cell>
          <cell r="R91">
            <v>19</v>
          </cell>
          <cell r="S91">
            <v>55000</v>
          </cell>
          <cell r="T91">
            <v>98000</v>
          </cell>
          <cell r="U91">
            <v>115000</v>
          </cell>
          <cell r="V91">
            <v>128000</v>
          </cell>
          <cell r="W91">
            <v>140000</v>
          </cell>
          <cell r="X91">
            <v>147000</v>
          </cell>
          <cell r="Y91">
            <v>0</v>
          </cell>
          <cell r="Z91">
            <v>19</v>
          </cell>
          <cell r="AA91">
            <v>25000</v>
          </cell>
          <cell r="AB91">
            <v>44000</v>
          </cell>
          <cell r="AC91">
            <v>52000</v>
          </cell>
          <cell r="AD91">
            <v>57000</v>
          </cell>
          <cell r="AE91">
            <v>63000</v>
          </cell>
          <cell r="AF91">
            <v>66000</v>
          </cell>
          <cell r="AG91">
            <v>0</v>
          </cell>
          <cell r="AH91">
            <v>19</v>
          </cell>
          <cell r="AI91">
            <v>9000</v>
          </cell>
          <cell r="AJ91">
            <v>16000</v>
          </cell>
          <cell r="AK91">
            <v>18000</v>
          </cell>
          <cell r="AL91">
            <v>20000</v>
          </cell>
          <cell r="AM91">
            <v>22000</v>
          </cell>
          <cell r="AN91">
            <v>23000</v>
          </cell>
          <cell r="AO91">
            <v>0</v>
          </cell>
          <cell r="AP91">
            <v>19</v>
          </cell>
          <cell r="AQ91">
            <v>13000</v>
          </cell>
          <cell r="AR91">
            <v>23000</v>
          </cell>
          <cell r="AS91">
            <v>27000</v>
          </cell>
          <cell r="AT91">
            <v>30000</v>
          </cell>
          <cell r="AU91">
            <v>33000</v>
          </cell>
          <cell r="AV91">
            <v>35000</v>
          </cell>
          <cell r="AW91">
            <v>0</v>
          </cell>
          <cell r="AX91">
            <v>19</v>
          </cell>
          <cell r="AY91">
            <v>12000</v>
          </cell>
          <cell r="AZ91">
            <v>21000</v>
          </cell>
          <cell r="BA91">
            <v>25000</v>
          </cell>
          <cell r="BB91">
            <v>27000</v>
          </cell>
          <cell r="BC91">
            <v>30000</v>
          </cell>
          <cell r="BD91">
            <v>31000</v>
          </cell>
          <cell r="BE91">
            <v>0</v>
          </cell>
          <cell r="BF91">
            <v>19</v>
          </cell>
          <cell r="BG91">
            <v>6000</v>
          </cell>
          <cell r="BH91">
            <v>10000</v>
          </cell>
          <cell r="BI91">
            <v>12000</v>
          </cell>
          <cell r="BJ91">
            <v>13000</v>
          </cell>
          <cell r="BK91">
            <v>14000</v>
          </cell>
          <cell r="BL91">
            <v>15000</v>
          </cell>
        </row>
        <row r="92">
          <cell r="B92">
            <v>20</v>
          </cell>
          <cell r="C92">
            <v>26000</v>
          </cell>
          <cell r="D92">
            <v>47000</v>
          </cell>
          <cell r="E92">
            <v>55000</v>
          </cell>
          <cell r="F92">
            <v>61000</v>
          </cell>
          <cell r="G92">
            <v>67000</v>
          </cell>
          <cell r="H92">
            <v>71000</v>
          </cell>
          <cell r="I92">
            <v>0</v>
          </cell>
          <cell r="J92">
            <v>20</v>
          </cell>
          <cell r="K92">
            <v>30000</v>
          </cell>
          <cell r="L92">
            <v>54000</v>
          </cell>
          <cell r="M92">
            <v>63000</v>
          </cell>
          <cell r="N92">
            <v>70000</v>
          </cell>
          <cell r="O92">
            <v>77000</v>
          </cell>
          <cell r="P92">
            <v>81000</v>
          </cell>
          <cell r="Q92">
            <v>0</v>
          </cell>
          <cell r="R92">
            <v>20</v>
          </cell>
          <cell r="S92">
            <v>61000</v>
          </cell>
          <cell r="T92">
            <v>108000</v>
          </cell>
          <cell r="U92">
            <v>126000</v>
          </cell>
          <cell r="V92">
            <v>140000</v>
          </cell>
          <cell r="W92">
            <v>154000</v>
          </cell>
          <cell r="X92">
            <v>162000</v>
          </cell>
          <cell r="Y92">
            <v>0</v>
          </cell>
          <cell r="Z92">
            <v>20</v>
          </cell>
          <cell r="AA92">
            <v>27000</v>
          </cell>
          <cell r="AB92">
            <v>49000</v>
          </cell>
          <cell r="AC92">
            <v>57000</v>
          </cell>
          <cell r="AD92">
            <v>63000</v>
          </cell>
          <cell r="AE92">
            <v>69000</v>
          </cell>
          <cell r="AF92">
            <v>73000</v>
          </cell>
          <cell r="AG92">
            <v>0</v>
          </cell>
          <cell r="AH92">
            <v>20</v>
          </cell>
          <cell r="AI92">
            <v>10000</v>
          </cell>
          <cell r="AJ92">
            <v>17000</v>
          </cell>
          <cell r="AK92">
            <v>20000</v>
          </cell>
          <cell r="AL92">
            <v>22000</v>
          </cell>
          <cell r="AM92">
            <v>24000</v>
          </cell>
          <cell r="AN92">
            <v>26000</v>
          </cell>
          <cell r="AO92">
            <v>0</v>
          </cell>
          <cell r="AP92">
            <v>20</v>
          </cell>
          <cell r="AQ92">
            <v>14000</v>
          </cell>
          <cell r="AR92">
            <v>26000</v>
          </cell>
          <cell r="AS92">
            <v>30000</v>
          </cell>
          <cell r="AT92">
            <v>33000</v>
          </cell>
          <cell r="AU92">
            <v>37000</v>
          </cell>
          <cell r="AV92">
            <v>38000</v>
          </cell>
          <cell r="AW92">
            <v>0</v>
          </cell>
          <cell r="AX92">
            <v>20</v>
          </cell>
          <cell r="AY92">
            <v>13000</v>
          </cell>
          <cell r="AZ92">
            <v>23000</v>
          </cell>
          <cell r="BA92">
            <v>27000</v>
          </cell>
          <cell r="BB92">
            <v>30000</v>
          </cell>
          <cell r="BC92">
            <v>33000</v>
          </cell>
          <cell r="BD92">
            <v>35000</v>
          </cell>
          <cell r="BE92">
            <v>0</v>
          </cell>
          <cell r="BF92">
            <v>20</v>
          </cell>
          <cell r="BG92">
            <v>6000</v>
          </cell>
          <cell r="BH92">
            <v>11000</v>
          </cell>
          <cell r="BI92">
            <v>13000</v>
          </cell>
          <cell r="BJ92">
            <v>14000</v>
          </cell>
          <cell r="BK92">
            <v>16000</v>
          </cell>
          <cell r="BL92">
            <v>17000</v>
          </cell>
        </row>
        <row r="93">
          <cell r="B93">
            <v>21</v>
          </cell>
          <cell r="C93">
            <v>29000</v>
          </cell>
          <cell r="D93">
            <v>52000</v>
          </cell>
          <cell r="E93">
            <v>61000</v>
          </cell>
          <cell r="F93">
            <v>68000</v>
          </cell>
          <cell r="G93">
            <v>74000</v>
          </cell>
          <cell r="H93">
            <v>78000</v>
          </cell>
          <cell r="I93">
            <v>0</v>
          </cell>
          <cell r="J93">
            <v>21</v>
          </cell>
          <cell r="K93">
            <v>33000</v>
          </cell>
          <cell r="L93">
            <v>59000</v>
          </cell>
          <cell r="M93">
            <v>69000</v>
          </cell>
          <cell r="N93">
            <v>77000</v>
          </cell>
          <cell r="O93">
            <v>85000</v>
          </cell>
          <cell r="P93">
            <v>89000</v>
          </cell>
          <cell r="Q93">
            <v>0</v>
          </cell>
          <cell r="R93">
            <v>21</v>
          </cell>
          <cell r="S93">
            <v>67000</v>
          </cell>
          <cell r="T93">
            <v>119000</v>
          </cell>
          <cell r="U93">
            <v>139000</v>
          </cell>
          <cell r="V93">
            <v>155000</v>
          </cell>
          <cell r="W93">
            <v>169000</v>
          </cell>
          <cell r="X93">
            <v>178000</v>
          </cell>
          <cell r="Y93">
            <v>0</v>
          </cell>
          <cell r="Z93">
            <v>21</v>
          </cell>
          <cell r="AA93">
            <v>30000</v>
          </cell>
          <cell r="AB93">
            <v>54000</v>
          </cell>
          <cell r="AC93">
            <v>63000</v>
          </cell>
          <cell r="AD93">
            <v>69000</v>
          </cell>
          <cell r="AE93">
            <v>76000</v>
          </cell>
          <cell r="AF93">
            <v>80000</v>
          </cell>
          <cell r="AG93">
            <v>0</v>
          </cell>
          <cell r="AH93">
            <v>21</v>
          </cell>
          <cell r="AI93">
            <v>11000</v>
          </cell>
          <cell r="AJ93">
            <v>19000</v>
          </cell>
          <cell r="AK93">
            <v>22000</v>
          </cell>
          <cell r="AL93">
            <v>25000</v>
          </cell>
          <cell r="AM93">
            <v>27000</v>
          </cell>
          <cell r="AN93">
            <v>28000</v>
          </cell>
          <cell r="AO93">
            <v>0</v>
          </cell>
          <cell r="AP93">
            <v>21</v>
          </cell>
          <cell r="AQ93">
            <v>16000</v>
          </cell>
          <cell r="AR93">
            <v>28000</v>
          </cell>
          <cell r="AS93">
            <v>33000</v>
          </cell>
          <cell r="AT93">
            <v>37000</v>
          </cell>
          <cell r="AU93">
            <v>40000</v>
          </cell>
          <cell r="AV93">
            <v>42000</v>
          </cell>
          <cell r="AW93">
            <v>0</v>
          </cell>
          <cell r="AX93">
            <v>21</v>
          </cell>
          <cell r="AY93">
            <v>14000</v>
          </cell>
          <cell r="AZ93">
            <v>25000</v>
          </cell>
          <cell r="BA93">
            <v>30000</v>
          </cell>
          <cell r="BB93">
            <v>33000</v>
          </cell>
          <cell r="BC93">
            <v>36000</v>
          </cell>
          <cell r="BD93">
            <v>38000</v>
          </cell>
          <cell r="BE93">
            <v>0</v>
          </cell>
          <cell r="BF93">
            <v>21</v>
          </cell>
          <cell r="BG93">
            <v>7000</v>
          </cell>
          <cell r="BH93">
            <v>12000</v>
          </cell>
          <cell r="BI93">
            <v>14000</v>
          </cell>
          <cell r="BJ93">
            <v>16000</v>
          </cell>
          <cell r="BK93">
            <v>17000</v>
          </cell>
          <cell r="BL93">
            <v>18000</v>
          </cell>
        </row>
        <row r="94">
          <cell r="B94">
            <v>22</v>
          </cell>
          <cell r="C94">
            <v>32000</v>
          </cell>
          <cell r="D94">
            <v>57000</v>
          </cell>
          <cell r="E94">
            <v>67000</v>
          </cell>
          <cell r="F94">
            <v>74000</v>
          </cell>
          <cell r="G94">
            <v>81000</v>
          </cell>
          <cell r="H94">
            <v>86000</v>
          </cell>
          <cell r="I94">
            <v>0</v>
          </cell>
          <cell r="J94">
            <v>22</v>
          </cell>
          <cell r="K94">
            <v>37000</v>
          </cell>
          <cell r="L94">
            <v>65000</v>
          </cell>
          <cell r="M94">
            <v>76000</v>
          </cell>
          <cell r="N94">
            <v>85000</v>
          </cell>
          <cell r="O94">
            <v>93000</v>
          </cell>
          <cell r="P94">
            <v>98000</v>
          </cell>
          <cell r="Q94">
            <v>0</v>
          </cell>
          <cell r="R94">
            <v>22</v>
          </cell>
          <cell r="S94">
            <v>74000</v>
          </cell>
          <cell r="T94">
            <v>131000</v>
          </cell>
          <cell r="U94">
            <v>153000</v>
          </cell>
          <cell r="V94">
            <v>170000</v>
          </cell>
          <cell r="W94">
            <v>186000</v>
          </cell>
          <cell r="X94">
            <v>196000</v>
          </cell>
          <cell r="Y94">
            <v>0</v>
          </cell>
          <cell r="Z94">
            <v>22</v>
          </cell>
          <cell r="AA94">
            <v>33000</v>
          </cell>
          <cell r="AB94">
            <v>59000</v>
          </cell>
          <cell r="AC94">
            <v>69000</v>
          </cell>
          <cell r="AD94">
            <v>76000</v>
          </cell>
          <cell r="AE94">
            <v>84000</v>
          </cell>
          <cell r="AF94">
            <v>88000</v>
          </cell>
          <cell r="AG94">
            <v>0</v>
          </cell>
          <cell r="AH94">
            <v>22</v>
          </cell>
          <cell r="AI94">
            <v>12000</v>
          </cell>
          <cell r="AJ94">
            <v>21000</v>
          </cell>
          <cell r="AK94">
            <v>24000</v>
          </cell>
          <cell r="AL94">
            <v>27000</v>
          </cell>
          <cell r="AM94">
            <v>30000</v>
          </cell>
          <cell r="AN94">
            <v>31000</v>
          </cell>
          <cell r="AO94">
            <v>0</v>
          </cell>
          <cell r="AP94">
            <v>22</v>
          </cell>
          <cell r="AQ94">
            <v>17000</v>
          </cell>
          <cell r="AR94">
            <v>31000</v>
          </cell>
          <cell r="AS94">
            <v>36000</v>
          </cell>
          <cell r="AT94">
            <v>40000</v>
          </cell>
          <cell r="AU94">
            <v>44000</v>
          </cell>
          <cell r="AV94">
            <v>46000</v>
          </cell>
          <cell r="AW94">
            <v>0</v>
          </cell>
          <cell r="AX94">
            <v>22</v>
          </cell>
          <cell r="AY94">
            <v>16000</v>
          </cell>
          <cell r="AZ94">
            <v>28000</v>
          </cell>
          <cell r="BA94">
            <v>33000</v>
          </cell>
          <cell r="BB94">
            <v>36000</v>
          </cell>
          <cell r="BC94">
            <v>40000</v>
          </cell>
          <cell r="BD94">
            <v>42000</v>
          </cell>
          <cell r="BE94">
            <v>0</v>
          </cell>
          <cell r="BF94">
            <v>22</v>
          </cell>
          <cell r="BG94">
            <v>8000</v>
          </cell>
          <cell r="BH94">
            <v>13000</v>
          </cell>
          <cell r="BI94">
            <v>16000</v>
          </cell>
          <cell r="BJ94">
            <v>17000</v>
          </cell>
          <cell r="BK94">
            <v>19000</v>
          </cell>
          <cell r="BL94">
            <v>20000</v>
          </cell>
        </row>
        <row r="95">
          <cell r="B95">
            <v>23</v>
          </cell>
          <cell r="C95">
            <v>35000</v>
          </cell>
          <cell r="D95">
            <v>63000</v>
          </cell>
          <cell r="E95">
            <v>73000</v>
          </cell>
          <cell r="F95">
            <v>81000</v>
          </cell>
          <cell r="G95">
            <v>89000</v>
          </cell>
          <cell r="H95">
            <v>94000</v>
          </cell>
          <cell r="I95">
            <v>0</v>
          </cell>
          <cell r="J95">
            <v>23</v>
          </cell>
          <cell r="K95">
            <v>40000</v>
          </cell>
          <cell r="L95">
            <v>72000</v>
          </cell>
          <cell r="M95">
            <v>84000</v>
          </cell>
          <cell r="N95">
            <v>93000</v>
          </cell>
          <cell r="O95">
            <v>102000</v>
          </cell>
          <cell r="P95">
            <v>108000</v>
          </cell>
          <cell r="Q95">
            <v>0</v>
          </cell>
          <cell r="R95">
            <v>23</v>
          </cell>
          <cell r="S95">
            <v>81000</v>
          </cell>
          <cell r="T95">
            <v>144000</v>
          </cell>
          <cell r="U95">
            <v>168000</v>
          </cell>
          <cell r="V95">
            <v>187000</v>
          </cell>
          <cell r="W95">
            <v>205000</v>
          </cell>
          <cell r="X95">
            <v>216000</v>
          </cell>
          <cell r="Y95">
            <v>0</v>
          </cell>
          <cell r="Z95">
            <v>23</v>
          </cell>
          <cell r="AA95">
            <v>36000</v>
          </cell>
          <cell r="AB95">
            <v>65000</v>
          </cell>
          <cell r="AC95">
            <v>76000</v>
          </cell>
          <cell r="AD95">
            <v>84000</v>
          </cell>
          <cell r="AE95">
            <v>92000</v>
          </cell>
          <cell r="AF95">
            <v>97000</v>
          </cell>
          <cell r="AG95">
            <v>0</v>
          </cell>
          <cell r="AH95">
            <v>23</v>
          </cell>
          <cell r="AI95">
            <v>13000</v>
          </cell>
          <cell r="AJ95">
            <v>23000</v>
          </cell>
          <cell r="AK95">
            <v>27000</v>
          </cell>
          <cell r="AL95">
            <v>30000</v>
          </cell>
          <cell r="AM95">
            <v>33000</v>
          </cell>
          <cell r="AN95">
            <v>34000</v>
          </cell>
          <cell r="AO95">
            <v>0</v>
          </cell>
          <cell r="AP95">
            <v>23</v>
          </cell>
          <cell r="AQ95">
            <v>19000</v>
          </cell>
          <cell r="AR95">
            <v>34000</v>
          </cell>
          <cell r="AS95">
            <v>40000</v>
          </cell>
          <cell r="AT95">
            <v>44000</v>
          </cell>
          <cell r="AU95">
            <v>49000</v>
          </cell>
          <cell r="AV95">
            <v>51000</v>
          </cell>
          <cell r="AW95">
            <v>0</v>
          </cell>
          <cell r="AX95">
            <v>23</v>
          </cell>
          <cell r="AY95">
            <v>17000</v>
          </cell>
          <cell r="AZ95">
            <v>31000</v>
          </cell>
          <cell r="BA95">
            <v>36000</v>
          </cell>
          <cell r="BB95">
            <v>40000</v>
          </cell>
          <cell r="BC95">
            <v>44000</v>
          </cell>
          <cell r="BD95">
            <v>46000</v>
          </cell>
          <cell r="BE95">
            <v>0</v>
          </cell>
          <cell r="BF95">
            <v>23</v>
          </cell>
          <cell r="BG95">
            <v>8000</v>
          </cell>
          <cell r="BH95">
            <v>15000</v>
          </cell>
          <cell r="BI95">
            <v>17000</v>
          </cell>
          <cell r="BJ95">
            <v>19000</v>
          </cell>
          <cell r="BK95">
            <v>21000</v>
          </cell>
          <cell r="BL95">
            <v>22000</v>
          </cell>
        </row>
        <row r="96">
          <cell r="B96">
            <v>24</v>
          </cell>
          <cell r="C96">
            <v>39000</v>
          </cell>
          <cell r="D96">
            <v>69000</v>
          </cell>
          <cell r="E96">
            <v>81000</v>
          </cell>
          <cell r="F96">
            <v>90000</v>
          </cell>
          <cell r="G96">
            <v>98000</v>
          </cell>
          <cell r="H96">
            <v>103000</v>
          </cell>
          <cell r="I96">
            <v>0</v>
          </cell>
          <cell r="J96">
            <v>24</v>
          </cell>
          <cell r="K96">
            <v>44000</v>
          </cell>
          <cell r="L96">
            <v>79000</v>
          </cell>
          <cell r="M96">
            <v>92000</v>
          </cell>
          <cell r="N96">
            <v>103000</v>
          </cell>
          <cell r="O96">
            <v>113000</v>
          </cell>
          <cell r="P96">
            <v>119000</v>
          </cell>
          <cell r="Q96">
            <v>0</v>
          </cell>
          <cell r="R96">
            <v>24</v>
          </cell>
          <cell r="S96">
            <v>89000</v>
          </cell>
          <cell r="T96">
            <v>158000</v>
          </cell>
          <cell r="U96">
            <v>185000</v>
          </cell>
          <cell r="V96">
            <v>206000</v>
          </cell>
          <cell r="W96">
            <v>225000</v>
          </cell>
          <cell r="X96">
            <v>237000</v>
          </cell>
          <cell r="Y96">
            <v>0</v>
          </cell>
          <cell r="Z96">
            <v>24</v>
          </cell>
          <cell r="AA96">
            <v>40000</v>
          </cell>
          <cell r="AB96">
            <v>71000</v>
          </cell>
          <cell r="AC96">
            <v>83000</v>
          </cell>
          <cell r="AD96">
            <v>93000</v>
          </cell>
          <cell r="AE96">
            <v>102000</v>
          </cell>
          <cell r="AF96">
            <v>107000</v>
          </cell>
          <cell r="AG96">
            <v>0</v>
          </cell>
          <cell r="AH96">
            <v>24</v>
          </cell>
          <cell r="AI96">
            <v>14000</v>
          </cell>
          <cell r="AJ96">
            <v>25000</v>
          </cell>
          <cell r="AK96">
            <v>29000</v>
          </cell>
          <cell r="AL96">
            <v>33000</v>
          </cell>
          <cell r="AM96">
            <v>36000</v>
          </cell>
          <cell r="AN96">
            <v>38000</v>
          </cell>
          <cell r="AO96">
            <v>0</v>
          </cell>
          <cell r="AP96">
            <v>24</v>
          </cell>
          <cell r="AQ96">
            <v>21000</v>
          </cell>
          <cell r="AR96">
            <v>37000</v>
          </cell>
          <cell r="AS96">
            <v>44000</v>
          </cell>
          <cell r="AT96">
            <v>49000</v>
          </cell>
          <cell r="AU96">
            <v>53000</v>
          </cell>
          <cell r="AV96">
            <v>56000</v>
          </cell>
          <cell r="AW96">
            <v>0</v>
          </cell>
          <cell r="AX96">
            <v>24</v>
          </cell>
          <cell r="AY96">
            <v>19000</v>
          </cell>
          <cell r="AZ96">
            <v>34000</v>
          </cell>
          <cell r="BA96">
            <v>39000</v>
          </cell>
          <cell r="BB96">
            <v>44000</v>
          </cell>
          <cell r="BC96">
            <v>48000</v>
          </cell>
          <cell r="BD96">
            <v>51000</v>
          </cell>
          <cell r="BE96">
            <v>0</v>
          </cell>
          <cell r="BF96">
            <v>24</v>
          </cell>
          <cell r="BG96">
            <v>9000</v>
          </cell>
          <cell r="BH96">
            <v>16000</v>
          </cell>
          <cell r="BI96">
            <v>19000</v>
          </cell>
          <cell r="BJ96">
            <v>21000</v>
          </cell>
          <cell r="BK96">
            <v>23000</v>
          </cell>
          <cell r="BL96">
            <v>24000</v>
          </cell>
        </row>
        <row r="97">
          <cell r="B97">
            <v>25</v>
          </cell>
          <cell r="C97">
            <v>43000</v>
          </cell>
          <cell r="D97">
            <v>76000</v>
          </cell>
          <cell r="E97">
            <v>89000</v>
          </cell>
          <cell r="F97">
            <v>99000</v>
          </cell>
          <cell r="G97">
            <v>108000</v>
          </cell>
          <cell r="H97">
            <v>114000</v>
          </cell>
          <cell r="I97">
            <v>0</v>
          </cell>
          <cell r="J97">
            <v>25</v>
          </cell>
          <cell r="K97">
            <v>49000</v>
          </cell>
          <cell r="L97">
            <v>87000</v>
          </cell>
          <cell r="M97">
            <v>102000</v>
          </cell>
          <cell r="N97">
            <v>113000</v>
          </cell>
          <cell r="O97">
            <v>124000</v>
          </cell>
          <cell r="P97">
            <v>130000</v>
          </cell>
          <cell r="Q97">
            <v>0</v>
          </cell>
          <cell r="R97">
            <v>25</v>
          </cell>
          <cell r="S97">
            <v>98000</v>
          </cell>
          <cell r="T97">
            <v>174000</v>
          </cell>
          <cell r="U97">
            <v>204000</v>
          </cell>
          <cell r="V97">
            <v>226000</v>
          </cell>
          <cell r="W97">
            <v>248000</v>
          </cell>
          <cell r="X97">
            <v>261000</v>
          </cell>
          <cell r="Y97">
            <v>0</v>
          </cell>
          <cell r="Z97">
            <v>25</v>
          </cell>
          <cell r="AA97">
            <v>44000</v>
          </cell>
          <cell r="AB97">
            <v>78000</v>
          </cell>
          <cell r="AC97">
            <v>92000</v>
          </cell>
          <cell r="AD97">
            <v>102000</v>
          </cell>
          <cell r="AE97">
            <v>112000</v>
          </cell>
          <cell r="AF97">
            <v>117000</v>
          </cell>
          <cell r="AG97">
            <v>0</v>
          </cell>
          <cell r="AH97">
            <v>25</v>
          </cell>
          <cell r="AI97">
            <v>16000</v>
          </cell>
          <cell r="AJ97">
            <v>28000</v>
          </cell>
          <cell r="AK97">
            <v>32000</v>
          </cell>
          <cell r="AL97">
            <v>36000</v>
          </cell>
          <cell r="AM97">
            <v>39000</v>
          </cell>
          <cell r="AN97">
            <v>41000</v>
          </cell>
          <cell r="AO97">
            <v>0</v>
          </cell>
          <cell r="AP97">
            <v>25</v>
          </cell>
          <cell r="AQ97">
            <v>23000</v>
          </cell>
          <cell r="AR97">
            <v>41000</v>
          </cell>
          <cell r="AS97">
            <v>48000</v>
          </cell>
          <cell r="AT97">
            <v>54000</v>
          </cell>
          <cell r="AU97">
            <v>59000</v>
          </cell>
          <cell r="AV97">
            <v>62000</v>
          </cell>
          <cell r="AW97">
            <v>0</v>
          </cell>
          <cell r="AX97">
            <v>25</v>
          </cell>
          <cell r="AY97">
            <v>21000</v>
          </cell>
          <cell r="AZ97">
            <v>37000</v>
          </cell>
          <cell r="BA97">
            <v>43000</v>
          </cell>
          <cell r="BB97">
            <v>48000</v>
          </cell>
          <cell r="BC97">
            <v>53000</v>
          </cell>
          <cell r="BD97">
            <v>56000</v>
          </cell>
          <cell r="BE97">
            <v>0</v>
          </cell>
          <cell r="BF97">
            <v>25</v>
          </cell>
          <cell r="BG97">
            <v>10000</v>
          </cell>
          <cell r="BH97">
            <v>18000</v>
          </cell>
          <cell r="BI97">
            <v>21000</v>
          </cell>
          <cell r="BJ97">
            <v>23000</v>
          </cell>
          <cell r="BK97">
            <v>25000</v>
          </cell>
          <cell r="BL97">
            <v>27000</v>
          </cell>
        </row>
        <row r="98">
          <cell r="B98">
            <v>26</v>
          </cell>
          <cell r="C98">
            <v>47000</v>
          </cell>
          <cell r="D98">
            <v>84000</v>
          </cell>
          <cell r="E98">
            <v>98000</v>
          </cell>
          <cell r="F98">
            <v>109000</v>
          </cell>
          <cell r="G98">
            <v>119000</v>
          </cell>
          <cell r="H98">
            <v>125000</v>
          </cell>
          <cell r="I98">
            <v>0</v>
          </cell>
          <cell r="J98">
            <v>26</v>
          </cell>
          <cell r="K98">
            <v>54000</v>
          </cell>
          <cell r="L98">
            <v>96000</v>
          </cell>
          <cell r="M98">
            <v>112000</v>
          </cell>
          <cell r="N98">
            <v>124000</v>
          </cell>
          <cell r="O98">
            <v>136000</v>
          </cell>
          <cell r="P98">
            <v>143000</v>
          </cell>
          <cell r="Q98">
            <v>0</v>
          </cell>
          <cell r="R98">
            <v>26</v>
          </cell>
          <cell r="S98">
            <v>108000</v>
          </cell>
          <cell r="T98">
            <v>191000</v>
          </cell>
          <cell r="U98">
            <v>224000</v>
          </cell>
          <cell r="V98">
            <v>249000</v>
          </cell>
          <cell r="W98">
            <v>273000</v>
          </cell>
          <cell r="X98">
            <v>287000</v>
          </cell>
          <cell r="Y98">
            <v>0</v>
          </cell>
          <cell r="Z98">
            <v>26</v>
          </cell>
          <cell r="AA98">
            <v>49000</v>
          </cell>
          <cell r="AB98">
            <v>86000</v>
          </cell>
          <cell r="AC98">
            <v>101000</v>
          </cell>
          <cell r="AD98">
            <v>112000</v>
          </cell>
          <cell r="AE98">
            <v>123000</v>
          </cell>
          <cell r="AF98">
            <v>129000</v>
          </cell>
          <cell r="AG98">
            <v>0</v>
          </cell>
          <cell r="AH98">
            <v>26</v>
          </cell>
          <cell r="AI98">
            <v>17000</v>
          </cell>
          <cell r="AJ98">
            <v>30000</v>
          </cell>
          <cell r="AK98">
            <v>36000</v>
          </cell>
          <cell r="AL98">
            <v>40000</v>
          </cell>
          <cell r="AM98">
            <v>43000</v>
          </cell>
          <cell r="AN98">
            <v>46000</v>
          </cell>
          <cell r="AO98">
            <v>0</v>
          </cell>
          <cell r="AP98">
            <v>26</v>
          </cell>
          <cell r="AQ98">
            <v>26000</v>
          </cell>
          <cell r="AR98">
            <v>45000</v>
          </cell>
          <cell r="AS98">
            <v>53000</v>
          </cell>
          <cell r="AT98">
            <v>59000</v>
          </cell>
          <cell r="AU98">
            <v>65000</v>
          </cell>
          <cell r="AV98">
            <v>68000</v>
          </cell>
          <cell r="AW98">
            <v>0</v>
          </cell>
          <cell r="AX98">
            <v>26</v>
          </cell>
          <cell r="AY98">
            <v>23000</v>
          </cell>
          <cell r="AZ98">
            <v>41000</v>
          </cell>
          <cell r="BA98">
            <v>48000</v>
          </cell>
          <cell r="BB98">
            <v>53000</v>
          </cell>
          <cell r="BC98">
            <v>58000</v>
          </cell>
          <cell r="BD98">
            <v>61000</v>
          </cell>
          <cell r="BE98">
            <v>0</v>
          </cell>
          <cell r="BF98">
            <v>26</v>
          </cell>
          <cell r="BG98">
            <v>11000</v>
          </cell>
          <cell r="BH98">
            <v>20000</v>
          </cell>
          <cell r="BI98">
            <v>23000</v>
          </cell>
          <cell r="BJ98">
            <v>25000</v>
          </cell>
          <cell r="BK98">
            <v>28000</v>
          </cell>
          <cell r="BL98">
            <v>29000</v>
          </cell>
        </row>
        <row r="99">
          <cell r="B99">
            <v>27</v>
          </cell>
          <cell r="C99">
            <v>52000</v>
          </cell>
          <cell r="D99">
            <v>92000</v>
          </cell>
          <cell r="E99">
            <v>107000</v>
          </cell>
          <cell r="F99">
            <v>119000</v>
          </cell>
          <cell r="G99">
            <v>131000</v>
          </cell>
          <cell r="H99">
            <v>138000</v>
          </cell>
          <cell r="I99">
            <v>0</v>
          </cell>
          <cell r="J99">
            <v>27</v>
          </cell>
          <cell r="K99">
            <v>59000</v>
          </cell>
          <cell r="L99">
            <v>105000</v>
          </cell>
          <cell r="M99">
            <v>123000</v>
          </cell>
          <cell r="N99">
            <v>137000</v>
          </cell>
          <cell r="O99">
            <v>150000</v>
          </cell>
          <cell r="P99">
            <v>158000</v>
          </cell>
          <cell r="Q99">
            <v>0</v>
          </cell>
          <cell r="R99">
            <v>27</v>
          </cell>
          <cell r="S99">
            <v>118000</v>
          </cell>
          <cell r="T99">
            <v>210000</v>
          </cell>
          <cell r="U99">
            <v>246000</v>
          </cell>
          <cell r="V99">
            <v>274000</v>
          </cell>
          <cell r="W99">
            <v>300000</v>
          </cell>
          <cell r="X99">
            <v>316000</v>
          </cell>
          <cell r="Y99">
            <v>0</v>
          </cell>
          <cell r="Z99">
            <v>27</v>
          </cell>
          <cell r="AA99">
            <v>53000</v>
          </cell>
          <cell r="AB99">
            <v>95000</v>
          </cell>
          <cell r="AC99">
            <v>111000</v>
          </cell>
          <cell r="AD99">
            <v>123000</v>
          </cell>
          <cell r="AE99">
            <v>135000</v>
          </cell>
          <cell r="AF99">
            <v>142000</v>
          </cell>
          <cell r="AG99">
            <v>0</v>
          </cell>
          <cell r="AH99">
            <v>27</v>
          </cell>
          <cell r="AI99">
            <v>19000</v>
          </cell>
          <cell r="AJ99">
            <v>33000</v>
          </cell>
          <cell r="AK99">
            <v>39000</v>
          </cell>
          <cell r="AL99">
            <v>44000</v>
          </cell>
          <cell r="AM99">
            <v>48000</v>
          </cell>
          <cell r="AN99">
            <v>50000</v>
          </cell>
          <cell r="AO99">
            <v>0</v>
          </cell>
          <cell r="AP99">
            <v>27</v>
          </cell>
          <cell r="AQ99">
            <v>28000</v>
          </cell>
          <cell r="AR99">
            <v>50000</v>
          </cell>
          <cell r="AS99">
            <v>58000</v>
          </cell>
          <cell r="AT99">
            <v>65000</v>
          </cell>
          <cell r="AU99">
            <v>71000</v>
          </cell>
          <cell r="AV99">
            <v>75000</v>
          </cell>
          <cell r="AW99">
            <v>0</v>
          </cell>
          <cell r="AX99">
            <v>27</v>
          </cell>
          <cell r="AY99">
            <v>25000</v>
          </cell>
          <cell r="AZ99">
            <v>45000</v>
          </cell>
          <cell r="BA99">
            <v>52000</v>
          </cell>
          <cell r="BB99">
            <v>58000</v>
          </cell>
          <cell r="BC99">
            <v>64000</v>
          </cell>
          <cell r="BD99">
            <v>67000</v>
          </cell>
          <cell r="BE99">
            <v>0</v>
          </cell>
          <cell r="BF99">
            <v>27</v>
          </cell>
          <cell r="BG99">
            <v>12000</v>
          </cell>
          <cell r="BH99">
            <v>22000</v>
          </cell>
          <cell r="BI99">
            <v>25000</v>
          </cell>
          <cell r="BJ99">
            <v>28000</v>
          </cell>
          <cell r="BK99">
            <v>31000</v>
          </cell>
          <cell r="BL99">
            <v>32000</v>
          </cell>
        </row>
        <row r="100">
          <cell r="B100">
            <v>28</v>
          </cell>
          <cell r="C100">
            <v>57000</v>
          </cell>
          <cell r="D100">
            <v>101000</v>
          </cell>
          <cell r="E100">
            <v>118000</v>
          </cell>
          <cell r="F100">
            <v>131000</v>
          </cell>
          <cell r="G100">
            <v>144000</v>
          </cell>
          <cell r="H100">
            <v>152000</v>
          </cell>
          <cell r="I100">
            <v>0</v>
          </cell>
          <cell r="J100">
            <v>28</v>
          </cell>
          <cell r="K100">
            <v>65000</v>
          </cell>
          <cell r="L100">
            <v>116000</v>
          </cell>
          <cell r="M100">
            <v>135000</v>
          </cell>
          <cell r="N100">
            <v>150000</v>
          </cell>
          <cell r="O100">
            <v>165000</v>
          </cell>
          <cell r="P100">
            <v>174000</v>
          </cell>
          <cell r="Q100">
            <v>0</v>
          </cell>
          <cell r="R100">
            <v>28</v>
          </cell>
          <cell r="S100">
            <v>130000</v>
          </cell>
          <cell r="T100">
            <v>232000</v>
          </cell>
          <cell r="U100">
            <v>271000</v>
          </cell>
          <cell r="V100">
            <v>301000</v>
          </cell>
          <cell r="W100">
            <v>330000</v>
          </cell>
          <cell r="X100">
            <v>347000</v>
          </cell>
          <cell r="Y100">
            <v>0</v>
          </cell>
          <cell r="Z100">
            <v>28</v>
          </cell>
          <cell r="AA100">
            <v>59000</v>
          </cell>
          <cell r="AB100">
            <v>104000</v>
          </cell>
          <cell r="AC100">
            <v>122000</v>
          </cell>
          <cell r="AD100">
            <v>136000</v>
          </cell>
          <cell r="AE100">
            <v>149000</v>
          </cell>
          <cell r="AF100">
            <v>156000</v>
          </cell>
          <cell r="AG100">
            <v>0</v>
          </cell>
          <cell r="AH100">
            <v>28</v>
          </cell>
          <cell r="AI100">
            <v>21000</v>
          </cell>
          <cell r="AJ100">
            <v>37000</v>
          </cell>
          <cell r="AK100">
            <v>43000</v>
          </cell>
          <cell r="AL100">
            <v>48000</v>
          </cell>
          <cell r="AM100">
            <v>52000</v>
          </cell>
          <cell r="AN100">
            <v>55000</v>
          </cell>
          <cell r="AO100">
            <v>0</v>
          </cell>
          <cell r="AP100">
            <v>28</v>
          </cell>
          <cell r="AQ100">
            <v>31000</v>
          </cell>
          <cell r="AR100">
            <v>55000</v>
          </cell>
          <cell r="AS100">
            <v>64000</v>
          </cell>
          <cell r="AT100">
            <v>71000</v>
          </cell>
          <cell r="AU100">
            <v>78000</v>
          </cell>
          <cell r="AV100">
            <v>82000</v>
          </cell>
          <cell r="AW100">
            <v>0</v>
          </cell>
          <cell r="AX100">
            <v>28</v>
          </cell>
          <cell r="AY100">
            <v>28000</v>
          </cell>
          <cell r="AZ100">
            <v>49000</v>
          </cell>
          <cell r="BA100">
            <v>58000</v>
          </cell>
          <cell r="BB100">
            <v>64000</v>
          </cell>
          <cell r="BC100">
            <v>70000</v>
          </cell>
          <cell r="BD100">
            <v>74000</v>
          </cell>
          <cell r="BE100">
            <v>0</v>
          </cell>
          <cell r="BF100">
            <v>28</v>
          </cell>
          <cell r="BG100">
            <v>13000</v>
          </cell>
          <cell r="BH100">
            <v>24000</v>
          </cell>
          <cell r="BI100">
            <v>28000</v>
          </cell>
          <cell r="BJ100">
            <v>31000</v>
          </cell>
          <cell r="BK100">
            <v>34000</v>
          </cell>
          <cell r="BL100">
            <v>36000</v>
          </cell>
        </row>
        <row r="101">
          <cell r="B101">
            <v>29</v>
          </cell>
          <cell r="C101">
            <v>62000</v>
          </cell>
          <cell r="D101">
            <v>111000</v>
          </cell>
          <cell r="E101">
            <v>130000</v>
          </cell>
          <cell r="F101">
            <v>144000</v>
          </cell>
          <cell r="G101">
            <v>158000</v>
          </cell>
          <cell r="H101">
            <v>167000</v>
          </cell>
          <cell r="I101">
            <v>0</v>
          </cell>
          <cell r="J101">
            <v>29</v>
          </cell>
          <cell r="K101">
            <v>72000</v>
          </cell>
          <cell r="L101">
            <v>127000</v>
          </cell>
          <cell r="M101">
            <v>149000</v>
          </cell>
          <cell r="N101">
            <v>165000</v>
          </cell>
          <cell r="O101">
            <v>181000</v>
          </cell>
          <cell r="P101">
            <v>191000</v>
          </cell>
          <cell r="Q101">
            <v>0</v>
          </cell>
          <cell r="R101">
            <v>29</v>
          </cell>
          <cell r="S101">
            <v>143000</v>
          </cell>
          <cell r="T101">
            <v>255000</v>
          </cell>
          <cell r="U101">
            <v>298000</v>
          </cell>
          <cell r="V101">
            <v>331000</v>
          </cell>
          <cell r="W101">
            <v>363000</v>
          </cell>
          <cell r="X101">
            <v>382000</v>
          </cell>
          <cell r="Y101">
            <v>0</v>
          </cell>
          <cell r="Z101">
            <v>29</v>
          </cell>
          <cell r="AA101">
            <v>64000</v>
          </cell>
          <cell r="AB101">
            <v>115000</v>
          </cell>
          <cell r="AC101">
            <v>134000</v>
          </cell>
          <cell r="AD101">
            <v>149000</v>
          </cell>
          <cell r="AE101">
            <v>163000</v>
          </cell>
          <cell r="AF101">
            <v>172000</v>
          </cell>
          <cell r="AG101">
            <v>0</v>
          </cell>
          <cell r="AH101">
            <v>29</v>
          </cell>
          <cell r="AI101">
            <v>23000</v>
          </cell>
          <cell r="AJ101">
            <v>40000</v>
          </cell>
          <cell r="AK101">
            <v>47000</v>
          </cell>
          <cell r="AL101">
            <v>53000</v>
          </cell>
          <cell r="AM101">
            <v>58000</v>
          </cell>
          <cell r="AN101">
            <v>61000</v>
          </cell>
          <cell r="AO101">
            <v>0</v>
          </cell>
          <cell r="AP101">
            <v>29</v>
          </cell>
          <cell r="AQ101">
            <v>34000</v>
          </cell>
          <cell r="AR101">
            <v>60000</v>
          </cell>
          <cell r="AS101">
            <v>71000</v>
          </cell>
          <cell r="AT101">
            <v>78000</v>
          </cell>
          <cell r="AU101">
            <v>86000</v>
          </cell>
          <cell r="AV101">
            <v>91000</v>
          </cell>
          <cell r="AW101">
            <v>0</v>
          </cell>
          <cell r="AX101">
            <v>29</v>
          </cell>
          <cell r="AY101">
            <v>31000</v>
          </cell>
          <cell r="AZ101">
            <v>54000</v>
          </cell>
          <cell r="BA101">
            <v>64000</v>
          </cell>
          <cell r="BB101">
            <v>71000</v>
          </cell>
          <cell r="BC101">
            <v>77000</v>
          </cell>
          <cell r="BD101">
            <v>81000</v>
          </cell>
          <cell r="BE101">
            <v>0</v>
          </cell>
          <cell r="BF101">
            <v>29</v>
          </cell>
          <cell r="BG101">
            <v>15000</v>
          </cell>
          <cell r="BH101">
            <v>26000</v>
          </cell>
          <cell r="BI101">
            <v>31000</v>
          </cell>
          <cell r="BJ101">
            <v>34000</v>
          </cell>
          <cell r="BK101">
            <v>37000</v>
          </cell>
          <cell r="BL101">
            <v>39000</v>
          </cell>
        </row>
        <row r="102">
          <cell r="B102">
            <v>30</v>
          </cell>
          <cell r="C102">
            <v>69000</v>
          </cell>
          <cell r="D102">
            <v>122000</v>
          </cell>
          <cell r="E102">
            <v>143000</v>
          </cell>
          <cell r="F102">
            <v>159000</v>
          </cell>
          <cell r="G102">
            <v>174000</v>
          </cell>
          <cell r="H102">
            <v>183000</v>
          </cell>
          <cell r="I102">
            <v>0</v>
          </cell>
          <cell r="J102">
            <v>30</v>
          </cell>
          <cell r="K102">
            <v>79000</v>
          </cell>
          <cell r="L102">
            <v>140000</v>
          </cell>
          <cell r="M102">
            <v>164000</v>
          </cell>
          <cell r="N102">
            <v>182000</v>
          </cell>
          <cell r="O102">
            <v>199000</v>
          </cell>
          <cell r="P102">
            <v>210000</v>
          </cell>
          <cell r="Q102">
            <v>0</v>
          </cell>
          <cell r="R102">
            <v>30</v>
          </cell>
          <cell r="S102">
            <v>158000</v>
          </cell>
          <cell r="T102">
            <v>280000</v>
          </cell>
          <cell r="U102">
            <v>328000</v>
          </cell>
          <cell r="V102">
            <v>364000</v>
          </cell>
          <cell r="W102">
            <v>399000</v>
          </cell>
          <cell r="X102">
            <v>420000</v>
          </cell>
          <cell r="Y102">
            <v>0</v>
          </cell>
          <cell r="Z102">
            <v>30</v>
          </cell>
          <cell r="AA102">
            <v>71000</v>
          </cell>
          <cell r="AB102">
            <v>126000</v>
          </cell>
          <cell r="AC102">
            <v>148000</v>
          </cell>
          <cell r="AD102">
            <v>164000</v>
          </cell>
          <cell r="AE102">
            <v>180000</v>
          </cell>
          <cell r="AF102">
            <v>189000</v>
          </cell>
          <cell r="AG102">
            <v>0</v>
          </cell>
          <cell r="AH102">
            <v>30</v>
          </cell>
          <cell r="AI102">
            <v>25000</v>
          </cell>
          <cell r="AJ102">
            <v>45000</v>
          </cell>
          <cell r="AK102">
            <v>52000</v>
          </cell>
          <cell r="AL102">
            <v>58000</v>
          </cell>
          <cell r="AM102">
            <v>63000</v>
          </cell>
          <cell r="AN102">
            <v>67000</v>
          </cell>
          <cell r="AO102">
            <v>0</v>
          </cell>
          <cell r="AP102">
            <v>30</v>
          </cell>
          <cell r="AQ102">
            <v>37000</v>
          </cell>
          <cell r="AR102">
            <v>66000</v>
          </cell>
          <cell r="AS102">
            <v>78000</v>
          </cell>
          <cell r="AT102">
            <v>86000</v>
          </cell>
          <cell r="AU102">
            <v>95000</v>
          </cell>
          <cell r="AV102">
            <v>100000</v>
          </cell>
          <cell r="AW102">
            <v>0</v>
          </cell>
          <cell r="AX102">
            <v>30</v>
          </cell>
          <cell r="AY102">
            <v>34000</v>
          </cell>
          <cell r="AZ102">
            <v>60000</v>
          </cell>
          <cell r="BA102">
            <v>70000</v>
          </cell>
          <cell r="BB102">
            <v>78000</v>
          </cell>
          <cell r="BC102">
            <v>85000</v>
          </cell>
          <cell r="BD102">
            <v>90000</v>
          </cell>
          <cell r="BE102">
            <v>0</v>
          </cell>
          <cell r="BF102">
            <v>30</v>
          </cell>
          <cell r="BG102">
            <v>16000</v>
          </cell>
          <cell r="BH102">
            <v>29000</v>
          </cell>
          <cell r="BI102">
            <v>34000</v>
          </cell>
          <cell r="BJ102">
            <v>37000</v>
          </cell>
          <cell r="BK102">
            <v>41000</v>
          </cell>
          <cell r="BL102">
            <v>43000</v>
          </cell>
        </row>
        <row r="103">
          <cell r="B103">
            <v>31</v>
          </cell>
          <cell r="C103">
            <v>76000</v>
          </cell>
          <cell r="D103">
            <v>134000</v>
          </cell>
          <cell r="E103">
            <v>157000</v>
          </cell>
          <cell r="F103">
            <v>175000</v>
          </cell>
          <cell r="G103">
            <v>192000</v>
          </cell>
          <cell r="H103">
            <v>202000</v>
          </cell>
          <cell r="I103">
            <v>0</v>
          </cell>
          <cell r="J103">
            <v>31</v>
          </cell>
          <cell r="K103">
            <v>87000</v>
          </cell>
          <cell r="L103">
            <v>154000</v>
          </cell>
          <cell r="M103">
            <v>180000</v>
          </cell>
          <cell r="N103">
            <v>200000</v>
          </cell>
          <cell r="O103">
            <v>219000</v>
          </cell>
          <cell r="P103">
            <v>231000</v>
          </cell>
          <cell r="Q103">
            <v>0</v>
          </cell>
          <cell r="R103">
            <v>31</v>
          </cell>
          <cell r="S103">
            <v>173000</v>
          </cell>
          <cell r="T103">
            <v>308000</v>
          </cell>
          <cell r="U103">
            <v>361000</v>
          </cell>
          <cell r="V103">
            <v>401000</v>
          </cell>
          <cell r="W103">
            <v>439000</v>
          </cell>
          <cell r="X103">
            <v>462000</v>
          </cell>
          <cell r="Y103">
            <v>0</v>
          </cell>
          <cell r="Z103">
            <v>31</v>
          </cell>
          <cell r="AA103">
            <v>78000</v>
          </cell>
          <cell r="AB103">
            <v>139000</v>
          </cell>
          <cell r="AC103">
            <v>162000</v>
          </cell>
          <cell r="AD103">
            <v>180000</v>
          </cell>
          <cell r="AE103">
            <v>198000</v>
          </cell>
          <cell r="AF103">
            <v>208000</v>
          </cell>
          <cell r="AG103">
            <v>0</v>
          </cell>
          <cell r="AH103">
            <v>31</v>
          </cell>
          <cell r="AI103">
            <v>28000</v>
          </cell>
          <cell r="AJ103">
            <v>49000</v>
          </cell>
          <cell r="AK103">
            <v>57000</v>
          </cell>
          <cell r="AL103">
            <v>64000</v>
          </cell>
          <cell r="AM103">
            <v>70000</v>
          </cell>
          <cell r="AN103">
            <v>73000</v>
          </cell>
          <cell r="AO103">
            <v>0</v>
          </cell>
          <cell r="AP103">
            <v>31</v>
          </cell>
          <cell r="AQ103">
            <v>41000</v>
          </cell>
          <cell r="AR103">
            <v>73000</v>
          </cell>
          <cell r="AS103">
            <v>85000</v>
          </cell>
          <cell r="AT103">
            <v>95000</v>
          </cell>
          <cell r="AU103">
            <v>104000</v>
          </cell>
          <cell r="AV103">
            <v>109000</v>
          </cell>
          <cell r="AW103">
            <v>0</v>
          </cell>
          <cell r="AX103">
            <v>31</v>
          </cell>
          <cell r="AY103">
            <v>37000</v>
          </cell>
          <cell r="AZ103">
            <v>66000</v>
          </cell>
          <cell r="BA103">
            <v>77000</v>
          </cell>
          <cell r="BB103">
            <v>85000</v>
          </cell>
          <cell r="BC103">
            <v>94000</v>
          </cell>
          <cell r="BD103">
            <v>99000</v>
          </cell>
          <cell r="BE103">
            <v>0</v>
          </cell>
          <cell r="BF103">
            <v>31</v>
          </cell>
          <cell r="BG103">
            <v>18000</v>
          </cell>
          <cell r="BH103">
            <v>32000</v>
          </cell>
          <cell r="BI103">
            <v>37000</v>
          </cell>
          <cell r="BJ103">
            <v>41000</v>
          </cell>
          <cell r="BK103">
            <v>45000</v>
          </cell>
          <cell r="BL103">
            <v>47000</v>
          </cell>
        </row>
        <row r="104">
          <cell r="B104">
            <v>32</v>
          </cell>
          <cell r="C104">
            <v>83000</v>
          </cell>
          <cell r="D104">
            <v>148000</v>
          </cell>
          <cell r="E104">
            <v>173000</v>
          </cell>
          <cell r="F104">
            <v>192000</v>
          </cell>
          <cell r="G104">
            <v>211000</v>
          </cell>
          <cell r="H104">
            <v>222000</v>
          </cell>
          <cell r="I104">
            <v>0</v>
          </cell>
          <cell r="J104">
            <v>32</v>
          </cell>
          <cell r="K104">
            <v>95000</v>
          </cell>
          <cell r="L104">
            <v>169000</v>
          </cell>
          <cell r="M104">
            <v>198000</v>
          </cell>
          <cell r="N104">
            <v>220000</v>
          </cell>
          <cell r="O104">
            <v>241000</v>
          </cell>
          <cell r="P104">
            <v>254000</v>
          </cell>
          <cell r="Q104">
            <v>0</v>
          </cell>
          <cell r="R104">
            <v>32</v>
          </cell>
          <cell r="S104">
            <v>191000</v>
          </cell>
          <cell r="T104">
            <v>339000</v>
          </cell>
          <cell r="U104">
            <v>397000</v>
          </cell>
          <cell r="V104">
            <v>441000</v>
          </cell>
          <cell r="W104">
            <v>483000</v>
          </cell>
          <cell r="X104">
            <v>509000</v>
          </cell>
          <cell r="Y104">
            <v>0</v>
          </cell>
          <cell r="Z104">
            <v>32</v>
          </cell>
          <cell r="AA104">
            <v>86000</v>
          </cell>
          <cell r="AB104">
            <v>153000</v>
          </cell>
          <cell r="AC104">
            <v>179000</v>
          </cell>
          <cell r="AD104">
            <v>199000</v>
          </cell>
          <cell r="AE104">
            <v>218000</v>
          </cell>
          <cell r="AF104">
            <v>229000</v>
          </cell>
          <cell r="AG104">
            <v>0</v>
          </cell>
          <cell r="AH104">
            <v>32</v>
          </cell>
          <cell r="AI104">
            <v>30000</v>
          </cell>
          <cell r="AJ104">
            <v>54000</v>
          </cell>
          <cell r="AK104">
            <v>63000</v>
          </cell>
          <cell r="AL104">
            <v>70000</v>
          </cell>
          <cell r="AM104">
            <v>77000</v>
          </cell>
          <cell r="AN104">
            <v>81000</v>
          </cell>
          <cell r="AO104">
            <v>0</v>
          </cell>
          <cell r="AP104">
            <v>32</v>
          </cell>
          <cell r="AQ104">
            <v>45000</v>
          </cell>
          <cell r="AR104">
            <v>80000</v>
          </cell>
          <cell r="AS104">
            <v>94000</v>
          </cell>
          <cell r="AT104">
            <v>104000</v>
          </cell>
          <cell r="AU104">
            <v>114000</v>
          </cell>
          <cell r="AV104">
            <v>121000</v>
          </cell>
          <cell r="AW104">
            <v>0</v>
          </cell>
          <cell r="AX104">
            <v>32</v>
          </cell>
          <cell r="AY104">
            <v>41000</v>
          </cell>
          <cell r="AZ104">
            <v>72000</v>
          </cell>
          <cell r="BA104">
            <v>85000</v>
          </cell>
          <cell r="BB104">
            <v>94000</v>
          </cell>
          <cell r="BC104">
            <v>103000</v>
          </cell>
          <cell r="BD104">
            <v>108000</v>
          </cell>
          <cell r="BE104">
            <v>0</v>
          </cell>
          <cell r="BF104">
            <v>32</v>
          </cell>
          <cell r="BG104">
            <v>20000</v>
          </cell>
          <cell r="BH104">
            <v>35000</v>
          </cell>
          <cell r="BI104">
            <v>41000</v>
          </cell>
          <cell r="BJ104">
            <v>45000</v>
          </cell>
          <cell r="BK104">
            <v>50000</v>
          </cell>
          <cell r="BL104">
            <v>52000</v>
          </cell>
        </row>
        <row r="105">
          <cell r="B105">
            <v>33</v>
          </cell>
          <cell r="C105">
            <v>92000</v>
          </cell>
          <cell r="D105">
            <v>163000</v>
          </cell>
          <cell r="E105">
            <v>190000</v>
          </cell>
          <cell r="F105">
            <v>212000</v>
          </cell>
          <cell r="G105">
            <v>232000</v>
          </cell>
          <cell r="H105">
            <v>244000</v>
          </cell>
          <cell r="I105">
            <v>0</v>
          </cell>
          <cell r="J105">
            <v>33</v>
          </cell>
          <cell r="K105">
            <v>105000</v>
          </cell>
          <cell r="L105">
            <v>186000</v>
          </cell>
          <cell r="M105">
            <v>218000</v>
          </cell>
          <cell r="N105">
            <v>242000</v>
          </cell>
          <cell r="O105">
            <v>266000</v>
          </cell>
          <cell r="P105">
            <v>280000</v>
          </cell>
          <cell r="Q105">
            <v>0</v>
          </cell>
          <cell r="R105">
            <v>33</v>
          </cell>
          <cell r="S105">
            <v>210000</v>
          </cell>
          <cell r="T105">
            <v>373000</v>
          </cell>
          <cell r="U105">
            <v>436000</v>
          </cell>
          <cell r="V105">
            <v>485000</v>
          </cell>
          <cell r="W105">
            <v>531000</v>
          </cell>
          <cell r="X105">
            <v>559000</v>
          </cell>
          <cell r="Y105">
            <v>0</v>
          </cell>
          <cell r="Z105">
            <v>33</v>
          </cell>
          <cell r="AA105">
            <v>95000</v>
          </cell>
          <cell r="AB105">
            <v>168000</v>
          </cell>
          <cell r="AC105">
            <v>197000</v>
          </cell>
          <cell r="AD105">
            <v>218000</v>
          </cell>
          <cell r="AE105">
            <v>239000</v>
          </cell>
          <cell r="AF105">
            <v>252000</v>
          </cell>
          <cell r="AG105">
            <v>0</v>
          </cell>
          <cell r="AH105">
            <v>33</v>
          </cell>
          <cell r="AI105">
            <v>33000</v>
          </cell>
          <cell r="AJ105">
            <v>59000</v>
          </cell>
          <cell r="AK105">
            <v>69000</v>
          </cell>
          <cell r="AL105">
            <v>77000</v>
          </cell>
          <cell r="AM105">
            <v>84000</v>
          </cell>
          <cell r="AN105">
            <v>89000</v>
          </cell>
          <cell r="AO105">
            <v>0</v>
          </cell>
          <cell r="AP105">
            <v>33</v>
          </cell>
          <cell r="AQ105">
            <v>50000</v>
          </cell>
          <cell r="AR105">
            <v>88000</v>
          </cell>
          <cell r="AS105">
            <v>103000</v>
          </cell>
          <cell r="AT105">
            <v>115000</v>
          </cell>
          <cell r="AU105">
            <v>126000</v>
          </cell>
          <cell r="AV105">
            <v>132000</v>
          </cell>
          <cell r="AW105">
            <v>0</v>
          </cell>
          <cell r="AX105">
            <v>33</v>
          </cell>
          <cell r="AY105">
            <v>45000</v>
          </cell>
          <cell r="AZ105">
            <v>79000</v>
          </cell>
          <cell r="BA105">
            <v>93000</v>
          </cell>
          <cell r="BB105">
            <v>103000</v>
          </cell>
          <cell r="BC105">
            <v>113000</v>
          </cell>
          <cell r="BD105">
            <v>119000</v>
          </cell>
          <cell r="BE105">
            <v>0</v>
          </cell>
          <cell r="BF105">
            <v>33</v>
          </cell>
          <cell r="BG105">
            <v>21000</v>
          </cell>
          <cell r="BH105">
            <v>38000</v>
          </cell>
          <cell r="BI105">
            <v>45000</v>
          </cell>
          <cell r="BJ105">
            <v>50000</v>
          </cell>
          <cell r="BK105">
            <v>55000</v>
          </cell>
          <cell r="BL105">
            <v>57000</v>
          </cell>
        </row>
        <row r="106">
          <cell r="B106">
            <v>34</v>
          </cell>
          <cell r="C106">
            <v>101000</v>
          </cell>
          <cell r="D106">
            <v>179000</v>
          </cell>
          <cell r="E106">
            <v>209000</v>
          </cell>
          <cell r="F106">
            <v>233000</v>
          </cell>
          <cell r="G106">
            <v>255000</v>
          </cell>
          <cell r="H106">
            <v>268000</v>
          </cell>
          <cell r="I106">
            <v>0</v>
          </cell>
          <cell r="J106">
            <v>34</v>
          </cell>
          <cell r="K106">
            <v>115000</v>
          </cell>
          <cell r="L106">
            <v>205000</v>
          </cell>
          <cell r="M106">
            <v>240000</v>
          </cell>
          <cell r="N106">
            <v>266000</v>
          </cell>
          <cell r="O106">
            <v>292000</v>
          </cell>
          <cell r="P106">
            <v>307000</v>
          </cell>
          <cell r="Q106">
            <v>0</v>
          </cell>
          <cell r="R106">
            <v>34</v>
          </cell>
          <cell r="S106">
            <v>231000</v>
          </cell>
          <cell r="T106">
            <v>410000</v>
          </cell>
          <cell r="U106">
            <v>480000</v>
          </cell>
          <cell r="V106">
            <v>533000</v>
          </cell>
          <cell r="W106">
            <v>585000</v>
          </cell>
          <cell r="X106">
            <v>615000</v>
          </cell>
          <cell r="Y106">
            <v>0</v>
          </cell>
          <cell r="Z106">
            <v>34</v>
          </cell>
          <cell r="AA106">
            <v>104000</v>
          </cell>
          <cell r="AB106">
            <v>185000</v>
          </cell>
          <cell r="AC106">
            <v>216000</v>
          </cell>
          <cell r="AD106">
            <v>240000</v>
          </cell>
          <cell r="AE106">
            <v>263000</v>
          </cell>
          <cell r="AF106">
            <v>277000</v>
          </cell>
          <cell r="AG106">
            <v>0</v>
          </cell>
          <cell r="AH106">
            <v>34</v>
          </cell>
          <cell r="AI106">
            <v>37000</v>
          </cell>
          <cell r="AJ106">
            <v>65000</v>
          </cell>
          <cell r="AK106">
            <v>76000</v>
          </cell>
          <cell r="AL106">
            <v>85000</v>
          </cell>
          <cell r="AM106">
            <v>93000</v>
          </cell>
          <cell r="AN106">
            <v>98000</v>
          </cell>
          <cell r="AO106">
            <v>0</v>
          </cell>
          <cell r="AP106">
            <v>34</v>
          </cell>
          <cell r="AQ106">
            <v>55000</v>
          </cell>
          <cell r="AR106">
            <v>97000</v>
          </cell>
          <cell r="AS106">
            <v>114000</v>
          </cell>
          <cell r="AT106">
            <v>126000</v>
          </cell>
          <cell r="AU106">
            <v>138000</v>
          </cell>
          <cell r="AV106">
            <v>146000</v>
          </cell>
          <cell r="AW106">
            <v>0</v>
          </cell>
          <cell r="AX106">
            <v>34</v>
          </cell>
          <cell r="AY106">
            <v>49000</v>
          </cell>
          <cell r="AZ106">
            <v>87000</v>
          </cell>
          <cell r="BA106">
            <v>102000</v>
          </cell>
          <cell r="BB106">
            <v>114000</v>
          </cell>
          <cell r="BC106">
            <v>125000</v>
          </cell>
          <cell r="BD106">
            <v>131000</v>
          </cell>
          <cell r="BE106">
            <v>0</v>
          </cell>
          <cell r="BF106">
            <v>34</v>
          </cell>
          <cell r="BG106">
            <v>24000</v>
          </cell>
          <cell r="BH106">
            <v>42000</v>
          </cell>
          <cell r="BI106">
            <v>49000</v>
          </cell>
          <cell r="BJ106">
            <v>55000</v>
          </cell>
          <cell r="BK106">
            <v>60000</v>
          </cell>
          <cell r="BL106">
            <v>63000</v>
          </cell>
        </row>
        <row r="107">
          <cell r="B107">
            <v>35</v>
          </cell>
          <cell r="C107">
            <v>111000</v>
          </cell>
          <cell r="D107">
            <v>197000</v>
          </cell>
          <cell r="E107">
            <v>230000</v>
          </cell>
          <cell r="F107">
            <v>256000</v>
          </cell>
          <cell r="G107">
            <v>281000</v>
          </cell>
          <cell r="H107">
            <v>295000</v>
          </cell>
          <cell r="I107">
            <v>0</v>
          </cell>
          <cell r="J107">
            <v>35</v>
          </cell>
          <cell r="K107">
            <v>127000</v>
          </cell>
          <cell r="L107">
            <v>225000</v>
          </cell>
          <cell r="M107">
            <v>264000</v>
          </cell>
          <cell r="N107">
            <v>293000</v>
          </cell>
          <cell r="O107">
            <v>321000</v>
          </cell>
          <cell r="P107">
            <v>338000</v>
          </cell>
          <cell r="Q107">
            <v>0</v>
          </cell>
          <cell r="R107">
            <v>35</v>
          </cell>
          <cell r="S107">
            <v>254000</v>
          </cell>
          <cell r="T107">
            <v>451000</v>
          </cell>
          <cell r="U107">
            <v>528000</v>
          </cell>
          <cell r="V107">
            <v>587000</v>
          </cell>
          <cell r="W107">
            <v>643000</v>
          </cell>
          <cell r="X107">
            <v>677000</v>
          </cell>
          <cell r="Y107">
            <v>0</v>
          </cell>
          <cell r="Z107">
            <v>35</v>
          </cell>
          <cell r="AA107">
            <v>114000</v>
          </cell>
          <cell r="AB107">
            <v>203000</v>
          </cell>
          <cell r="AC107">
            <v>238000</v>
          </cell>
          <cell r="AD107">
            <v>264000</v>
          </cell>
          <cell r="AE107">
            <v>290000</v>
          </cell>
          <cell r="AF107">
            <v>305000</v>
          </cell>
          <cell r="AG107">
            <v>0</v>
          </cell>
          <cell r="AH107">
            <v>35</v>
          </cell>
          <cell r="AI107">
            <v>40000</v>
          </cell>
          <cell r="AJ107">
            <v>72000</v>
          </cell>
          <cell r="AK107">
            <v>84000</v>
          </cell>
          <cell r="AL107">
            <v>93000</v>
          </cell>
          <cell r="AM107">
            <v>102000</v>
          </cell>
          <cell r="AN107">
            <v>107000</v>
          </cell>
          <cell r="AO107">
            <v>0</v>
          </cell>
          <cell r="AP107">
            <v>35</v>
          </cell>
          <cell r="AQ107">
            <v>60000</v>
          </cell>
          <cell r="AR107">
            <v>107000</v>
          </cell>
          <cell r="AS107">
            <v>125000</v>
          </cell>
          <cell r="AT107">
            <v>139000</v>
          </cell>
          <cell r="AU107">
            <v>152000</v>
          </cell>
          <cell r="AV107">
            <v>160000</v>
          </cell>
          <cell r="AW107">
            <v>0</v>
          </cell>
          <cell r="AX107">
            <v>35</v>
          </cell>
          <cell r="AY107">
            <v>54000</v>
          </cell>
          <cell r="AZ107">
            <v>96000</v>
          </cell>
          <cell r="BA107">
            <v>113000</v>
          </cell>
          <cell r="BB107">
            <v>125000</v>
          </cell>
          <cell r="BC107">
            <v>137000</v>
          </cell>
          <cell r="BD107">
            <v>144000</v>
          </cell>
          <cell r="BE107">
            <v>0</v>
          </cell>
          <cell r="BF107">
            <v>35</v>
          </cell>
          <cell r="BG107">
            <v>26000</v>
          </cell>
          <cell r="BH107">
            <v>46000</v>
          </cell>
          <cell r="BI107">
            <v>54000</v>
          </cell>
          <cell r="BJ107">
            <v>60000</v>
          </cell>
          <cell r="BK107">
            <v>66000</v>
          </cell>
          <cell r="BL107">
            <v>69000</v>
          </cell>
        </row>
        <row r="108">
          <cell r="B108">
            <v>36</v>
          </cell>
          <cell r="C108">
            <v>122000</v>
          </cell>
          <cell r="D108">
            <v>217000</v>
          </cell>
          <cell r="E108">
            <v>253000</v>
          </cell>
          <cell r="F108">
            <v>282000</v>
          </cell>
          <cell r="G108">
            <v>309000</v>
          </cell>
          <cell r="H108">
            <v>325000</v>
          </cell>
          <cell r="I108">
            <v>0</v>
          </cell>
          <cell r="J108">
            <v>36</v>
          </cell>
          <cell r="K108">
            <v>139000</v>
          </cell>
          <cell r="L108">
            <v>248000</v>
          </cell>
          <cell r="M108">
            <v>290000</v>
          </cell>
          <cell r="N108">
            <v>322000</v>
          </cell>
          <cell r="O108">
            <v>353000</v>
          </cell>
          <cell r="P108">
            <v>372000</v>
          </cell>
          <cell r="Q108">
            <v>0</v>
          </cell>
          <cell r="R108">
            <v>36</v>
          </cell>
          <cell r="S108">
            <v>279000</v>
          </cell>
          <cell r="T108">
            <v>497000</v>
          </cell>
          <cell r="U108">
            <v>581000</v>
          </cell>
          <cell r="V108">
            <v>645000</v>
          </cell>
          <cell r="W108">
            <v>707000</v>
          </cell>
          <cell r="X108">
            <v>745000</v>
          </cell>
          <cell r="Y108">
            <v>0</v>
          </cell>
          <cell r="Z108">
            <v>36</v>
          </cell>
          <cell r="AA108">
            <v>126000</v>
          </cell>
          <cell r="AB108">
            <v>224000</v>
          </cell>
          <cell r="AC108">
            <v>262000</v>
          </cell>
          <cell r="AD108">
            <v>291000</v>
          </cell>
          <cell r="AE108">
            <v>319000</v>
          </cell>
          <cell r="AF108">
            <v>335000</v>
          </cell>
          <cell r="AG108">
            <v>0</v>
          </cell>
          <cell r="AH108">
            <v>36</v>
          </cell>
          <cell r="AI108">
            <v>44000</v>
          </cell>
          <cell r="AJ108">
            <v>79000</v>
          </cell>
          <cell r="AK108">
            <v>92000</v>
          </cell>
          <cell r="AL108">
            <v>103000</v>
          </cell>
          <cell r="AM108">
            <v>112000</v>
          </cell>
          <cell r="AN108">
            <v>118000</v>
          </cell>
          <cell r="AO108">
            <v>0</v>
          </cell>
          <cell r="AP108">
            <v>36</v>
          </cell>
          <cell r="AQ108">
            <v>66000</v>
          </cell>
          <cell r="AR108">
            <v>118000</v>
          </cell>
          <cell r="AS108">
            <v>138000</v>
          </cell>
          <cell r="AT108">
            <v>153000</v>
          </cell>
          <cell r="AU108">
            <v>168000</v>
          </cell>
          <cell r="AV108">
            <v>176000</v>
          </cell>
          <cell r="AW108">
            <v>0</v>
          </cell>
          <cell r="AX108">
            <v>36</v>
          </cell>
          <cell r="AY108">
            <v>60000</v>
          </cell>
          <cell r="AZ108">
            <v>106000</v>
          </cell>
          <cell r="BA108">
            <v>124000</v>
          </cell>
          <cell r="BB108">
            <v>138000</v>
          </cell>
          <cell r="BC108">
            <v>151000</v>
          </cell>
          <cell r="BD108">
            <v>159000</v>
          </cell>
          <cell r="BE108">
            <v>0</v>
          </cell>
          <cell r="BF108">
            <v>36</v>
          </cell>
          <cell r="BG108">
            <v>29000</v>
          </cell>
          <cell r="BH108">
            <v>51000</v>
          </cell>
          <cell r="BI108">
            <v>60000</v>
          </cell>
          <cell r="BJ108">
            <v>66000</v>
          </cell>
          <cell r="BK108">
            <v>73000</v>
          </cell>
          <cell r="BL108">
            <v>76000</v>
          </cell>
        </row>
        <row r="109">
          <cell r="B109">
            <v>37</v>
          </cell>
          <cell r="C109">
            <v>134000</v>
          </cell>
          <cell r="D109">
            <v>238000</v>
          </cell>
          <cell r="E109">
            <v>279000</v>
          </cell>
          <cell r="F109">
            <v>310000</v>
          </cell>
          <cell r="G109">
            <v>340000</v>
          </cell>
          <cell r="H109">
            <v>357000</v>
          </cell>
          <cell r="I109">
            <v>0</v>
          </cell>
          <cell r="J109">
            <v>37</v>
          </cell>
          <cell r="K109">
            <v>153000</v>
          </cell>
          <cell r="L109">
            <v>273000</v>
          </cell>
          <cell r="M109">
            <v>319000</v>
          </cell>
          <cell r="N109">
            <v>355000</v>
          </cell>
          <cell r="O109">
            <v>389000</v>
          </cell>
          <cell r="P109">
            <v>409000</v>
          </cell>
          <cell r="Q109">
            <v>0</v>
          </cell>
          <cell r="R109">
            <v>37</v>
          </cell>
          <cell r="S109">
            <v>307000</v>
          </cell>
          <cell r="T109">
            <v>546000</v>
          </cell>
          <cell r="U109">
            <v>639000</v>
          </cell>
          <cell r="V109">
            <v>710000</v>
          </cell>
          <cell r="W109">
            <v>778000</v>
          </cell>
          <cell r="X109">
            <v>819000</v>
          </cell>
          <cell r="Y109">
            <v>0</v>
          </cell>
          <cell r="Z109">
            <v>37</v>
          </cell>
          <cell r="AA109">
            <v>138000</v>
          </cell>
          <cell r="AB109">
            <v>246000</v>
          </cell>
          <cell r="AC109">
            <v>288000</v>
          </cell>
          <cell r="AD109">
            <v>320000</v>
          </cell>
          <cell r="AE109">
            <v>350000</v>
          </cell>
          <cell r="AF109">
            <v>369000</v>
          </cell>
          <cell r="AG109">
            <v>0</v>
          </cell>
          <cell r="AH109">
            <v>37</v>
          </cell>
          <cell r="AI109">
            <v>49000</v>
          </cell>
          <cell r="AJ109">
            <v>87000</v>
          </cell>
          <cell r="AK109">
            <v>102000</v>
          </cell>
          <cell r="AL109">
            <v>113000</v>
          </cell>
          <cell r="AM109">
            <v>124000</v>
          </cell>
          <cell r="AN109">
            <v>130000</v>
          </cell>
          <cell r="AO109">
            <v>0</v>
          </cell>
          <cell r="AP109">
            <v>37</v>
          </cell>
          <cell r="AQ109">
            <v>73000</v>
          </cell>
          <cell r="AR109">
            <v>129000</v>
          </cell>
          <cell r="AS109">
            <v>151000</v>
          </cell>
          <cell r="AT109">
            <v>168000</v>
          </cell>
          <cell r="AU109">
            <v>184000</v>
          </cell>
          <cell r="AV109">
            <v>194000</v>
          </cell>
          <cell r="AW109">
            <v>0</v>
          </cell>
          <cell r="AX109">
            <v>37</v>
          </cell>
          <cell r="AY109">
            <v>66000</v>
          </cell>
          <cell r="AZ109">
            <v>116000</v>
          </cell>
          <cell r="BA109">
            <v>136000</v>
          </cell>
          <cell r="BB109">
            <v>151000</v>
          </cell>
          <cell r="BC109">
            <v>166000</v>
          </cell>
          <cell r="BD109">
            <v>175000</v>
          </cell>
          <cell r="BE109">
            <v>0</v>
          </cell>
          <cell r="BF109">
            <v>37</v>
          </cell>
          <cell r="BG109">
            <v>32000</v>
          </cell>
          <cell r="BH109">
            <v>56000</v>
          </cell>
          <cell r="BI109">
            <v>66000</v>
          </cell>
          <cell r="BJ109">
            <v>73000</v>
          </cell>
          <cell r="BK109">
            <v>80000</v>
          </cell>
          <cell r="BL109">
            <v>84000</v>
          </cell>
        </row>
        <row r="110">
          <cell r="B110">
            <v>38</v>
          </cell>
          <cell r="C110">
            <v>147000</v>
          </cell>
          <cell r="D110">
            <v>262000</v>
          </cell>
          <cell r="E110">
            <v>307000</v>
          </cell>
          <cell r="F110">
            <v>341000</v>
          </cell>
          <cell r="G110">
            <v>374000</v>
          </cell>
          <cell r="H110">
            <v>393000</v>
          </cell>
          <cell r="I110">
            <v>0</v>
          </cell>
          <cell r="J110">
            <v>38</v>
          </cell>
          <cell r="K110">
            <v>169000</v>
          </cell>
          <cell r="L110">
            <v>300000</v>
          </cell>
          <cell r="M110">
            <v>351000</v>
          </cell>
          <cell r="N110">
            <v>390000</v>
          </cell>
          <cell r="O110">
            <v>428000</v>
          </cell>
          <cell r="P110">
            <v>450000</v>
          </cell>
          <cell r="Q110">
            <v>0</v>
          </cell>
          <cell r="R110">
            <v>38</v>
          </cell>
          <cell r="S110">
            <v>338000</v>
          </cell>
          <cell r="T110">
            <v>601000</v>
          </cell>
          <cell r="U110">
            <v>703000</v>
          </cell>
          <cell r="V110">
            <v>781000</v>
          </cell>
          <cell r="W110">
            <v>856000</v>
          </cell>
          <cell r="X110">
            <v>901000</v>
          </cell>
          <cell r="Y110">
            <v>0</v>
          </cell>
          <cell r="Z110">
            <v>38</v>
          </cell>
          <cell r="AA110">
            <v>152000</v>
          </cell>
          <cell r="AB110">
            <v>271000</v>
          </cell>
          <cell r="AC110">
            <v>316000</v>
          </cell>
          <cell r="AD110">
            <v>352000</v>
          </cell>
          <cell r="AE110">
            <v>385000</v>
          </cell>
          <cell r="AF110">
            <v>406000</v>
          </cell>
          <cell r="AG110">
            <v>0</v>
          </cell>
          <cell r="AH110">
            <v>38</v>
          </cell>
          <cell r="AI110">
            <v>54000</v>
          </cell>
          <cell r="AJ110">
            <v>95000</v>
          </cell>
          <cell r="AK110">
            <v>112000</v>
          </cell>
          <cell r="AL110">
            <v>124000</v>
          </cell>
          <cell r="AM110">
            <v>136000</v>
          </cell>
          <cell r="AN110">
            <v>143000</v>
          </cell>
          <cell r="AO110">
            <v>0</v>
          </cell>
          <cell r="AP110">
            <v>38</v>
          </cell>
          <cell r="AQ110">
            <v>80000</v>
          </cell>
          <cell r="AR110">
            <v>142000</v>
          </cell>
          <cell r="AS110">
            <v>167000</v>
          </cell>
          <cell r="AT110">
            <v>185000</v>
          </cell>
          <cell r="AU110">
            <v>203000</v>
          </cell>
          <cell r="AV110">
            <v>213000</v>
          </cell>
          <cell r="AW110">
            <v>0</v>
          </cell>
          <cell r="AX110">
            <v>38</v>
          </cell>
          <cell r="AY110">
            <v>72000</v>
          </cell>
          <cell r="AZ110">
            <v>128000</v>
          </cell>
          <cell r="BA110">
            <v>150000</v>
          </cell>
          <cell r="BB110">
            <v>167000</v>
          </cell>
          <cell r="BC110">
            <v>182000</v>
          </cell>
          <cell r="BD110">
            <v>192000</v>
          </cell>
          <cell r="BE110">
            <v>0</v>
          </cell>
          <cell r="BF110">
            <v>38</v>
          </cell>
          <cell r="BG110">
            <v>35000</v>
          </cell>
          <cell r="BH110">
            <v>62000</v>
          </cell>
          <cell r="BI110">
            <v>72000</v>
          </cell>
          <cell r="BJ110">
            <v>80000</v>
          </cell>
          <cell r="BK110">
            <v>88000</v>
          </cell>
          <cell r="BL110">
            <v>92000</v>
          </cell>
        </row>
        <row r="111">
          <cell r="B111">
            <v>39</v>
          </cell>
          <cell r="C111">
            <v>162000</v>
          </cell>
          <cell r="D111">
            <v>288000</v>
          </cell>
          <cell r="E111">
            <v>337000</v>
          </cell>
          <cell r="F111">
            <v>375000</v>
          </cell>
          <cell r="G111">
            <v>411000</v>
          </cell>
          <cell r="H111">
            <v>432000</v>
          </cell>
          <cell r="I111">
            <v>0</v>
          </cell>
          <cell r="J111">
            <v>39</v>
          </cell>
          <cell r="K111">
            <v>186000</v>
          </cell>
          <cell r="L111">
            <v>330000</v>
          </cell>
          <cell r="M111">
            <v>386000</v>
          </cell>
          <cell r="N111">
            <v>429000</v>
          </cell>
          <cell r="O111">
            <v>470000</v>
          </cell>
          <cell r="P111">
            <v>495000</v>
          </cell>
          <cell r="Q111">
            <v>0</v>
          </cell>
          <cell r="R111">
            <v>39</v>
          </cell>
          <cell r="S111">
            <v>372000</v>
          </cell>
          <cell r="T111">
            <v>661000</v>
          </cell>
          <cell r="U111">
            <v>773000</v>
          </cell>
          <cell r="V111">
            <v>859000</v>
          </cell>
          <cell r="W111">
            <v>942000</v>
          </cell>
          <cell r="X111">
            <v>991000</v>
          </cell>
          <cell r="Y111">
            <v>0</v>
          </cell>
          <cell r="Z111">
            <v>39</v>
          </cell>
          <cell r="AA111">
            <v>167000</v>
          </cell>
          <cell r="AB111">
            <v>297000</v>
          </cell>
          <cell r="AC111">
            <v>348000</v>
          </cell>
          <cell r="AD111">
            <v>387000</v>
          </cell>
          <cell r="AE111">
            <v>424000</v>
          </cell>
          <cell r="AF111">
            <v>446000</v>
          </cell>
          <cell r="AG111">
            <v>0</v>
          </cell>
          <cell r="AH111">
            <v>39</v>
          </cell>
          <cell r="AI111">
            <v>59000</v>
          </cell>
          <cell r="AJ111">
            <v>105000</v>
          </cell>
          <cell r="AK111">
            <v>123000</v>
          </cell>
          <cell r="AL111">
            <v>136000</v>
          </cell>
          <cell r="AM111">
            <v>150000</v>
          </cell>
          <cell r="AN111">
            <v>157000</v>
          </cell>
          <cell r="AO111">
            <v>0</v>
          </cell>
          <cell r="AP111">
            <v>39</v>
          </cell>
          <cell r="AQ111">
            <v>88000</v>
          </cell>
          <cell r="AR111">
            <v>156000</v>
          </cell>
          <cell r="AS111">
            <v>183000</v>
          </cell>
          <cell r="AT111">
            <v>203000</v>
          </cell>
          <cell r="AU111">
            <v>223000</v>
          </cell>
          <cell r="AV111">
            <v>235000</v>
          </cell>
          <cell r="AW111">
            <v>0</v>
          </cell>
          <cell r="AX111">
            <v>39</v>
          </cell>
          <cell r="AY111">
            <v>79000</v>
          </cell>
          <cell r="AZ111">
            <v>141000</v>
          </cell>
          <cell r="BA111">
            <v>165000</v>
          </cell>
          <cell r="BB111">
            <v>183000</v>
          </cell>
          <cell r="BC111">
            <v>201000</v>
          </cell>
          <cell r="BD111">
            <v>211000</v>
          </cell>
          <cell r="BE111">
            <v>0</v>
          </cell>
          <cell r="BF111">
            <v>39</v>
          </cell>
          <cell r="BG111">
            <v>38000</v>
          </cell>
          <cell r="BH111">
            <v>68000</v>
          </cell>
          <cell r="BI111">
            <v>79000</v>
          </cell>
          <cell r="BJ111">
            <v>88000</v>
          </cell>
          <cell r="BK111">
            <v>97000</v>
          </cell>
          <cell r="BL111">
            <v>102000</v>
          </cell>
        </row>
        <row r="112">
          <cell r="B112">
            <v>40</v>
          </cell>
          <cell r="C112">
            <v>178000</v>
          </cell>
          <cell r="D112">
            <v>317000</v>
          </cell>
          <cell r="E112">
            <v>371000</v>
          </cell>
          <cell r="F112">
            <v>412000</v>
          </cell>
          <cell r="G112">
            <v>452000</v>
          </cell>
          <cell r="H112">
            <v>476000</v>
          </cell>
          <cell r="I112">
            <v>0</v>
          </cell>
          <cell r="J112">
            <v>40</v>
          </cell>
          <cell r="K112">
            <v>204000</v>
          </cell>
          <cell r="L112">
            <v>363000</v>
          </cell>
          <cell r="M112">
            <v>425000</v>
          </cell>
          <cell r="N112">
            <v>472000</v>
          </cell>
          <cell r="O112">
            <v>517000</v>
          </cell>
          <cell r="P112">
            <v>545000</v>
          </cell>
          <cell r="Q112">
            <v>0</v>
          </cell>
          <cell r="R112">
            <v>40</v>
          </cell>
          <cell r="S112">
            <v>409000</v>
          </cell>
          <cell r="T112">
            <v>727000</v>
          </cell>
          <cell r="U112">
            <v>850000</v>
          </cell>
          <cell r="V112">
            <v>945000</v>
          </cell>
          <cell r="W112">
            <v>1036000</v>
          </cell>
          <cell r="X112">
            <v>1090000</v>
          </cell>
          <cell r="Y112">
            <v>0</v>
          </cell>
          <cell r="Z112">
            <v>40</v>
          </cell>
          <cell r="AA112">
            <v>184000</v>
          </cell>
          <cell r="AB112">
            <v>327000</v>
          </cell>
          <cell r="AC112">
            <v>383000</v>
          </cell>
          <cell r="AD112">
            <v>425000</v>
          </cell>
          <cell r="AE112">
            <v>466000</v>
          </cell>
          <cell r="AF112">
            <v>491000</v>
          </cell>
          <cell r="AG112">
            <v>0</v>
          </cell>
          <cell r="AH112">
            <v>40</v>
          </cell>
          <cell r="AI112">
            <v>65000</v>
          </cell>
          <cell r="AJ112">
            <v>115000</v>
          </cell>
          <cell r="AK112">
            <v>135000</v>
          </cell>
          <cell r="AL112">
            <v>150000</v>
          </cell>
          <cell r="AM112">
            <v>164000</v>
          </cell>
          <cell r="AN112">
            <v>173000</v>
          </cell>
          <cell r="AO112">
            <v>0</v>
          </cell>
          <cell r="AP112">
            <v>40</v>
          </cell>
          <cell r="AQ112">
            <v>97000</v>
          </cell>
          <cell r="AR112">
            <v>172000</v>
          </cell>
          <cell r="AS112">
            <v>201000</v>
          </cell>
          <cell r="AT112">
            <v>224000</v>
          </cell>
          <cell r="AU112">
            <v>245000</v>
          </cell>
          <cell r="AV112">
            <v>258000</v>
          </cell>
          <cell r="AW112">
            <v>0</v>
          </cell>
          <cell r="AX112">
            <v>40</v>
          </cell>
          <cell r="AY112">
            <v>87000</v>
          </cell>
          <cell r="AZ112">
            <v>155000</v>
          </cell>
          <cell r="BA112">
            <v>181000</v>
          </cell>
          <cell r="BB112">
            <v>201000</v>
          </cell>
          <cell r="BC112">
            <v>221000</v>
          </cell>
          <cell r="BD112">
            <v>232000</v>
          </cell>
          <cell r="BE112">
            <v>0</v>
          </cell>
          <cell r="BF112">
            <v>40</v>
          </cell>
          <cell r="BG112">
            <v>42000</v>
          </cell>
          <cell r="BH112">
            <v>74000</v>
          </cell>
          <cell r="BI112">
            <v>87000</v>
          </cell>
          <cell r="BJ112">
            <v>97000</v>
          </cell>
          <cell r="BK112">
            <v>106000</v>
          </cell>
          <cell r="BL112">
            <v>112000</v>
          </cell>
        </row>
        <row r="113">
          <cell r="B113">
            <v>41</v>
          </cell>
          <cell r="C113">
            <v>196000</v>
          </cell>
          <cell r="D113">
            <v>349000</v>
          </cell>
          <cell r="E113">
            <v>408000</v>
          </cell>
          <cell r="F113">
            <v>453000</v>
          </cell>
          <cell r="G113">
            <v>497000</v>
          </cell>
          <cell r="H113">
            <v>523000</v>
          </cell>
          <cell r="I113">
            <v>0</v>
          </cell>
          <cell r="J113">
            <v>41</v>
          </cell>
          <cell r="K113">
            <v>225000</v>
          </cell>
          <cell r="L113">
            <v>399000</v>
          </cell>
          <cell r="M113">
            <v>467000</v>
          </cell>
          <cell r="N113">
            <v>519000</v>
          </cell>
          <cell r="O113">
            <v>569000</v>
          </cell>
          <cell r="P113">
            <v>599000</v>
          </cell>
          <cell r="Q113">
            <v>0</v>
          </cell>
          <cell r="R113">
            <v>41</v>
          </cell>
          <cell r="S113">
            <v>450000</v>
          </cell>
          <cell r="T113">
            <v>799000</v>
          </cell>
          <cell r="U113">
            <v>935000</v>
          </cell>
          <cell r="V113">
            <v>1039000</v>
          </cell>
          <cell r="W113">
            <v>1139000</v>
          </cell>
          <cell r="X113">
            <v>1199000</v>
          </cell>
          <cell r="Y113">
            <v>0</v>
          </cell>
          <cell r="Z113">
            <v>41</v>
          </cell>
          <cell r="AA113">
            <v>203000</v>
          </cell>
          <cell r="AB113">
            <v>360000</v>
          </cell>
          <cell r="AC113">
            <v>421000</v>
          </cell>
          <cell r="AD113">
            <v>468000</v>
          </cell>
          <cell r="AE113">
            <v>513000</v>
          </cell>
          <cell r="AF113">
            <v>540000</v>
          </cell>
          <cell r="AG113">
            <v>0</v>
          </cell>
          <cell r="AH113">
            <v>41</v>
          </cell>
          <cell r="AI113">
            <v>71000</v>
          </cell>
          <cell r="AJ113">
            <v>127000</v>
          </cell>
          <cell r="AK113">
            <v>149000</v>
          </cell>
          <cell r="AL113">
            <v>165000</v>
          </cell>
          <cell r="AM113">
            <v>181000</v>
          </cell>
          <cell r="AN113">
            <v>190000</v>
          </cell>
          <cell r="AO113">
            <v>0</v>
          </cell>
          <cell r="AP113">
            <v>41</v>
          </cell>
          <cell r="AQ113">
            <v>107000</v>
          </cell>
          <cell r="AR113">
            <v>189000</v>
          </cell>
          <cell r="AS113">
            <v>221000</v>
          </cell>
          <cell r="AT113">
            <v>246000</v>
          </cell>
          <cell r="AU113">
            <v>270000</v>
          </cell>
          <cell r="AV113">
            <v>284000</v>
          </cell>
          <cell r="AW113">
            <v>91900</v>
          </cell>
          <cell r="AX113">
            <v>41</v>
          </cell>
          <cell r="AY113">
            <v>96000</v>
          </cell>
          <cell r="AZ113">
            <v>170000</v>
          </cell>
          <cell r="BA113">
            <v>199000</v>
          </cell>
          <cell r="BB113">
            <v>221000</v>
          </cell>
          <cell r="BC113">
            <v>243000</v>
          </cell>
          <cell r="BD113">
            <v>256000</v>
          </cell>
          <cell r="BE113">
            <v>0</v>
          </cell>
          <cell r="BF113">
            <v>41</v>
          </cell>
          <cell r="BG113">
            <v>46000</v>
          </cell>
          <cell r="BH113">
            <v>82000</v>
          </cell>
          <cell r="BI113">
            <v>96000</v>
          </cell>
          <cell r="BJ113">
            <v>107000</v>
          </cell>
          <cell r="BK113">
            <v>117000</v>
          </cell>
          <cell r="BL113">
            <v>123000</v>
          </cell>
        </row>
        <row r="114">
          <cell r="B114">
            <v>42</v>
          </cell>
          <cell r="C114">
            <v>216000</v>
          </cell>
          <cell r="D114">
            <v>384000</v>
          </cell>
          <cell r="E114">
            <v>449000</v>
          </cell>
          <cell r="F114">
            <v>499000</v>
          </cell>
          <cell r="G114">
            <v>547000</v>
          </cell>
          <cell r="H114">
            <v>576000</v>
          </cell>
          <cell r="I114">
            <v>0</v>
          </cell>
          <cell r="J114">
            <v>42</v>
          </cell>
          <cell r="K114">
            <v>247000</v>
          </cell>
          <cell r="L114">
            <v>439000</v>
          </cell>
          <cell r="M114">
            <v>514000</v>
          </cell>
          <cell r="N114">
            <v>571000</v>
          </cell>
          <cell r="O114">
            <v>626000</v>
          </cell>
          <cell r="P114">
            <v>659000</v>
          </cell>
          <cell r="Q114">
            <v>0</v>
          </cell>
          <cell r="R114">
            <v>42</v>
          </cell>
          <cell r="S114">
            <v>495000</v>
          </cell>
          <cell r="T114">
            <v>880000</v>
          </cell>
          <cell r="U114">
            <v>1029000</v>
          </cell>
          <cell r="V114">
            <v>1143000</v>
          </cell>
          <cell r="W114">
            <v>1253000</v>
          </cell>
          <cell r="X114">
            <v>1319000</v>
          </cell>
          <cell r="Y114">
            <v>0</v>
          </cell>
          <cell r="Z114">
            <v>42</v>
          </cell>
          <cell r="AA114">
            <v>223000</v>
          </cell>
          <cell r="AB114">
            <v>396000</v>
          </cell>
          <cell r="AC114">
            <v>463000</v>
          </cell>
          <cell r="AD114">
            <v>515000</v>
          </cell>
          <cell r="AE114">
            <v>564000</v>
          </cell>
          <cell r="AF114">
            <v>594000</v>
          </cell>
          <cell r="AG114">
            <v>0</v>
          </cell>
          <cell r="AH114">
            <v>42</v>
          </cell>
          <cell r="AI114">
            <v>79000</v>
          </cell>
          <cell r="AJ114">
            <v>140000</v>
          </cell>
          <cell r="AK114">
            <v>163000</v>
          </cell>
          <cell r="AL114">
            <v>182000</v>
          </cell>
          <cell r="AM114">
            <v>199000</v>
          </cell>
          <cell r="AN114">
            <v>209000</v>
          </cell>
          <cell r="AO114">
            <v>0</v>
          </cell>
          <cell r="AP114">
            <v>42</v>
          </cell>
          <cell r="AQ114">
            <v>117000</v>
          </cell>
          <cell r="AR114">
            <v>208000</v>
          </cell>
          <cell r="AS114">
            <v>244000</v>
          </cell>
          <cell r="AT114">
            <v>271000</v>
          </cell>
          <cell r="AU114">
            <v>297000</v>
          </cell>
          <cell r="AV114">
            <v>312000</v>
          </cell>
          <cell r="AW114">
            <v>101100</v>
          </cell>
          <cell r="AX114">
            <v>42</v>
          </cell>
          <cell r="AY114">
            <v>105000</v>
          </cell>
          <cell r="AZ114">
            <v>187000</v>
          </cell>
          <cell r="BA114">
            <v>219000</v>
          </cell>
          <cell r="BB114">
            <v>244000</v>
          </cell>
          <cell r="BC114">
            <v>267000</v>
          </cell>
          <cell r="BD114">
            <v>281000</v>
          </cell>
          <cell r="BE114">
            <v>0</v>
          </cell>
          <cell r="BF114">
            <v>42</v>
          </cell>
          <cell r="BG114">
            <v>51000</v>
          </cell>
          <cell r="BH114">
            <v>90000</v>
          </cell>
          <cell r="BI114">
            <v>105000</v>
          </cell>
          <cell r="BJ114">
            <v>117000</v>
          </cell>
          <cell r="BK114">
            <v>128000</v>
          </cell>
          <cell r="BL114">
            <v>135000</v>
          </cell>
        </row>
        <row r="115">
          <cell r="B115">
            <v>43</v>
          </cell>
          <cell r="C115">
            <v>237000</v>
          </cell>
          <cell r="D115">
            <v>422000</v>
          </cell>
          <cell r="E115">
            <v>494000</v>
          </cell>
          <cell r="F115">
            <v>549000</v>
          </cell>
          <cell r="G115">
            <v>601000</v>
          </cell>
          <cell r="H115">
            <v>633000</v>
          </cell>
          <cell r="I115">
            <v>0</v>
          </cell>
          <cell r="J115">
            <v>43</v>
          </cell>
          <cell r="K115">
            <v>272000</v>
          </cell>
          <cell r="L115">
            <v>483000</v>
          </cell>
          <cell r="M115">
            <v>565000</v>
          </cell>
          <cell r="N115">
            <v>628000</v>
          </cell>
          <cell r="O115">
            <v>689000</v>
          </cell>
          <cell r="P115">
            <v>725000</v>
          </cell>
          <cell r="Q115">
            <v>0</v>
          </cell>
          <cell r="R115">
            <v>43</v>
          </cell>
          <cell r="S115">
            <v>544000</v>
          </cell>
          <cell r="T115">
            <v>967000</v>
          </cell>
          <cell r="U115">
            <v>1132000</v>
          </cell>
          <cell r="V115">
            <v>1258000</v>
          </cell>
          <cell r="W115">
            <v>1379000</v>
          </cell>
          <cell r="X115">
            <v>1451000</v>
          </cell>
          <cell r="Y115">
            <v>0</v>
          </cell>
          <cell r="Z115">
            <v>43</v>
          </cell>
          <cell r="AA115">
            <v>245000</v>
          </cell>
          <cell r="AB115">
            <v>436000</v>
          </cell>
          <cell r="AC115">
            <v>510000</v>
          </cell>
          <cell r="AD115">
            <v>566000</v>
          </cell>
          <cell r="AE115">
            <v>621000</v>
          </cell>
          <cell r="AF115">
            <v>653000</v>
          </cell>
          <cell r="AG115">
            <v>0</v>
          </cell>
          <cell r="AH115">
            <v>43</v>
          </cell>
          <cell r="AI115">
            <v>86000</v>
          </cell>
          <cell r="AJ115">
            <v>154000</v>
          </cell>
          <cell r="AK115">
            <v>180000</v>
          </cell>
          <cell r="AL115">
            <v>200000</v>
          </cell>
          <cell r="AM115">
            <v>219000</v>
          </cell>
          <cell r="AN115">
            <v>230000</v>
          </cell>
          <cell r="AO115">
            <v>0</v>
          </cell>
          <cell r="AP115">
            <v>43</v>
          </cell>
          <cell r="AQ115">
            <v>129000</v>
          </cell>
          <cell r="AR115">
            <v>229000</v>
          </cell>
          <cell r="AS115">
            <v>268000</v>
          </cell>
          <cell r="AT115">
            <v>298000</v>
          </cell>
          <cell r="AU115">
            <v>326000</v>
          </cell>
          <cell r="AV115">
            <v>344000</v>
          </cell>
          <cell r="AW115">
            <v>111200</v>
          </cell>
          <cell r="AX115">
            <v>43</v>
          </cell>
          <cell r="AY115">
            <v>116000</v>
          </cell>
          <cell r="AZ115">
            <v>206000</v>
          </cell>
          <cell r="BA115">
            <v>241000</v>
          </cell>
          <cell r="BB115">
            <v>268000</v>
          </cell>
          <cell r="BC115">
            <v>294000</v>
          </cell>
          <cell r="BD115">
            <v>309000</v>
          </cell>
          <cell r="BE115">
            <v>0</v>
          </cell>
          <cell r="BF115">
            <v>43</v>
          </cell>
          <cell r="BG115">
            <v>56000</v>
          </cell>
          <cell r="BH115">
            <v>99000</v>
          </cell>
          <cell r="BI115">
            <v>116000</v>
          </cell>
          <cell r="BJ115">
            <v>129000</v>
          </cell>
          <cell r="BK115">
            <v>141000</v>
          </cell>
          <cell r="BL115">
            <v>149000</v>
          </cell>
        </row>
        <row r="116">
          <cell r="B116">
            <v>44</v>
          </cell>
          <cell r="C116">
            <v>261000</v>
          </cell>
          <cell r="D116">
            <v>464000</v>
          </cell>
          <cell r="E116">
            <v>543000</v>
          </cell>
          <cell r="F116">
            <v>604000</v>
          </cell>
          <cell r="G116">
            <v>662000</v>
          </cell>
          <cell r="H116">
            <v>696000</v>
          </cell>
          <cell r="I116">
            <v>0</v>
          </cell>
          <cell r="J116">
            <v>44</v>
          </cell>
          <cell r="K116">
            <v>299000</v>
          </cell>
          <cell r="L116">
            <v>532000</v>
          </cell>
          <cell r="M116">
            <v>622000</v>
          </cell>
          <cell r="N116">
            <v>691000</v>
          </cell>
          <cell r="O116">
            <v>758000</v>
          </cell>
          <cell r="P116">
            <v>797000</v>
          </cell>
          <cell r="Q116">
            <v>0</v>
          </cell>
          <cell r="R116">
            <v>44</v>
          </cell>
          <cell r="S116">
            <v>599000</v>
          </cell>
          <cell r="T116">
            <v>1064000</v>
          </cell>
          <cell r="U116">
            <v>1245000</v>
          </cell>
          <cell r="V116">
            <v>1383000</v>
          </cell>
          <cell r="W116">
            <v>1516000</v>
          </cell>
          <cell r="X116">
            <v>1596000</v>
          </cell>
          <cell r="Y116">
            <v>0</v>
          </cell>
          <cell r="Z116">
            <v>44</v>
          </cell>
          <cell r="AA116">
            <v>269000</v>
          </cell>
          <cell r="AB116">
            <v>479000</v>
          </cell>
          <cell r="AC116">
            <v>561000</v>
          </cell>
          <cell r="AD116">
            <v>623000</v>
          </cell>
          <cell r="AE116">
            <v>683000</v>
          </cell>
          <cell r="AF116">
            <v>719000</v>
          </cell>
          <cell r="AG116">
            <v>0</v>
          </cell>
          <cell r="AH116">
            <v>44</v>
          </cell>
          <cell r="AI116">
            <v>95000</v>
          </cell>
          <cell r="AJ116">
            <v>169000</v>
          </cell>
          <cell r="AK116">
            <v>198000</v>
          </cell>
          <cell r="AL116">
            <v>220000</v>
          </cell>
          <cell r="AM116">
            <v>241000</v>
          </cell>
          <cell r="AN116">
            <v>253000</v>
          </cell>
          <cell r="AO116">
            <v>0</v>
          </cell>
          <cell r="AP116">
            <v>44</v>
          </cell>
          <cell r="AQ116">
            <v>142000</v>
          </cell>
          <cell r="AR116">
            <v>252000</v>
          </cell>
          <cell r="AS116">
            <v>295000</v>
          </cell>
          <cell r="AT116">
            <v>328000</v>
          </cell>
          <cell r="AU116">
            <v>359000</v>
          </cell>
          <cell r="AV116">
            <v>378000</v>
          </cell>
          <cell r="AW116">
            <v>122300</v>
          </cell>
          <cell r="AX116">
            <v>44</v>
          </cell>
          <cell r="AY116">
            <v>128000</v>
          </cell>
          <cell r="AZ116">
            <v>227000</v>
          </cell>
          <cell r="BA116">
            <v>265000</v>
          </cell>
          <cell r="BB116">
            <v>295000</v>
          </cell>
          <cell r="BC116">
            <v>323000</v>
          </cell>
          <cell r="BD116">
            <v>340000</v>
          </cell>
          <cell r="BE116">
            <v>0</v>
          </cell>
          <cell r="BF116">
            <v>44</v>
          </cell>
          <cell r="BG116">
            <v>61000</v>
          </cell>
          <cell r="BH116">
            <v>109000</v>
          </cell>
          <cell r="BI116">
            <v>128000</v>
          </cell>
          <cell r="BJ116">
            <v>142000</v>
          </cell>
          <cell r="BK116">
            <v>155000</v>
          </cell>
          <cell r="BL116">
            <v>164000</v>
          </cell>
        </row>
        <row r="117">
          <cell r="B117">
            <v>45</v>
          </cell>
          <cell r="C117">
            <v>287000</v>
          </cell>
          <cell r="D117">
            <v>511000</v>
          </cell>
          <cell r="E117">
            <v>597000</v>
          </cell>
          <cell r="F117">
            <v>664000</v>
          </cell>
          <cell r="G117">
            <v>728000</v>
          </cell>
          <cell r="H117">
            <v>766000</v>
          </cell>
          <cell r="I117">
            <v>0</v>
          </cell>
          <cell r="J117">
            <v>45</v>
          </cell>
          <cell r="K117">
            <v>329000</v>
          </cell>
          <cell r="L117">
            <v>585000</v>
          </cell>
          <cell r="M117">
            <v>684000</v>
          </cell>
          <cell r="N117">
            <v>760000</v>
          </cell>
          <cell r="O117">
            <v>833000</v>
          </cell>
          <cell r="P117">
            <v>877000</v>
          </cell>
          <cell r="Q117">
            <v>0</v>
          </cell>
          <cell r="R117">
            <v>45</v>
          </cell>
          <cell r="S117">
            <v>658000</v>
          </cell>
          <cell r="T117">
            <v>1170000</v>
          </cell>
          <cell r="U117">
            <v>1370000</v>
          </cell>
          <cell r="V117">
            <v>1522000</v>
          </cell>
          <cell r="W117">
            <v>1668000</v>
          </cell>
          <cell r="X117">
            <v>1756000</v>
          </cell>
          <cell r="Y117">
            <v>0</v>
          </cell>
          <cell r="Z117">
            <v>45</v>
          </cell>
          <cell r="AA117">
            <v>297000</v>
          </cell>
          <cell r="AB117">
            <v>527000</v>
          </cell>
          <cell r="AC117">
            <v>617000</v>
          </cell>
          <cell r="AD117">
            <v>685000</v>
          </cell>
          <cell r="AE117">
            <v>751000</v>
          </cell>
          <cell r="AF117">
            <v>791000</v>
          </cell>
          <cell r="AG117">
            <v>0</v>
          </cell>
          <cell r="AH117">
            <v>45</v>
          </cell>
          <cell r="AI117">
            <v>105000</v>
          </cell>
          <cell r="AJ117">
            <v>186000</v>
          </cell>
          <cell r="AK117">
            <v>217000</v>
          </cell>
          <cell r="AL117">
            <v>242000</v>
          </cell>
          <cell r="AM117">
            <v>265000</v>
          </cell>
          <cell r="AN117">
            <v>279000</v>
          </cell>
          <cell r="AO117">
            <v>0</v>
          </cell>
          <cell r="AP117">
            <v>45</v>
          </cell>
          <cell r="AQ117">
            <v>156000</v>
          </cell>
          <cell r="AR117">
            <v>277000</v>
          </cell>
          <cell r="AS117">
            <v>324000</v>
          </cell>
          <cell r="AT117">
            <v>360000</v>
          </cell>
          <cell r="AU117">
            <v>395000</v>
          </cell>
          <cell r="AV117">
            <v>416000</v>
          </cell>
          <cell r="AW117">
            <v>134500</v>
          </cell>
          <cell r="AX117">
            <v>45</v>
          </cell>
          <cell r="AY117">
            <v>140000</v>
          </cell>
          <cell r="AZ117">
            <v>249000</v>
          </cell>
          <cell r="BA117">
            <v>292000</v>
          </cell>
          <cell r="BB117">
            <v>324000</v>
          </cell>
          <cell r="BC117">
            <v>356000</v>
          </cell>
          <cell r="BD117">
            <v>374000</v>
          </cell>
          <cell r="BE117">
            <v>0</v>
          </cell>
          <cell r="BF117">
            <v>45</v>
          </cell>
          <cell r="BG117">
            <v>68000</v>
          </cell>
          <cell r="BH117">
            <v>120000</v>
          </cell>
          <cell r="BI117">
            <v>140000</v>
          </cell>
          <cell r="BJ117">
            <v>156000</v>
          </cell>
          <cell r="BK117">
            <v>171000</v>
          </cell>
          <cell r="BL117">
            <v>180000</v>
          </cell>
        </row>
        <row r="118">
          <cell r="B118">
            <v>46</v>
          </cell>
          <cell r="C118">
            <v>316000</v>
          </cell>
          <cell r="D118">
            <v>562000</v>
          </cell>
          <cell r="E118">
            <v>657000</v>
          </cell>
          <cell r="F118">
            <v>730000</v>
          </cell>
          <cell r="G118">
            <v>801000</v>
          </cell>
          <cell r="H118">
            <v>843000</v>
          </cell>
          <cell r="I118">
            <v>0</v>
          </cell>
          <cell r="J118">
            <v>46</v>
          </cell>
          <cell r="K118">
            <v>362000</v>
          </cell>
          <cell r="L118">
            <v>643000</v>
          </cell>
          <cell r="M118">
            <v>753000</v>
          </cell>
          <cell r="N118">
            <v>836000</v>
          </cell>
          <cell r="O118">
            <v>917000</v>
          </cell>
          <cell r="P118">
            <v>965000</v>
          </cell>
          <cell r="Q118">
            <v>0</v>
          </cell>
          <cell r="R118">
            <v>46</v>
          </cell>
          <cell r="S118">
            <v>724000</v>
          </cell>
          <cell r="T118">
            <v>1288000</v>
          </cell>
          <cell r="U118">
            <v>1506000</v>
          </cell>
          <cell r="V118">
            <v>1674000</v>
          </cell>
          <cell r="W118">
            <v>1835000</v>
          </cell>
          <cell r="X118">
            <v>1931000</v>
          </cell>
          <cell r="Y118">
            <v>0</v>
          </cell>
          <cell r="Z118">
            <v>46</v>
          </cell>
          <cell r="AA118">
            <v>326000</v>
          </cell>
          <cell r="AB118">
            <v>580000</v>
          </cell>
          <cell r="AC118">
            <v>678000</v>
          </cell>
          <cell r="AD118">
            <v>754000</v>
          </cell>
          <cell r="AE118">
            <v>826000</v>
          </cell>
          <cell r="AF118">
            <v>870000</v>
          </cell>
          <cell r="AG118">
            <v>0</v>
          </cell>
          <cell r="AH118">
            <v>46</v>
          </cell>
          <cell r="AI118">
            <v>115000</v>
          </cell>
          <cell r="AJ118">
            <v>204000</v>
          </cell>
          <cell r="AK118">
            <v>239000</v>
          </cell>
          <cell r="AL118">
            <v>266000</v>
          </cell>
          <cell r="AM118">
            <v>291000</v>
          </cell>
          <cell r="AN118">
            <v>307000</v>
          </cell>
          <cell r="AO118">
            <v>0</v>
          </cell>
          <cell r="AP118">
            <v>46</v>
          </cell>
          <cell r="AQ118">
            <v>172000</v>
          </cell>
          <cell r="AR118">
            <v>305000</v>
          </cell>
          <cell r="AS118">
            <v>357000</v>
          </cell>
          <cell r="AT118">
            <v>396000</v>
          </cell>
          <cell r="AU118">
            <v>435000</v>
          </cell>
          <cell r="AV118">
            <v>457000</v>
          </cell>
          <cell r="AW118">
            <v>148000</v>
          </cell>
          <cell r="AX118">
            <v>46</v>
          </cell>
          <cell r="AY118">
            <v>154000</v>
          </cell>
          <cell r="AZ118">
            <v>274000</v>
          </cell>
          <cell r="BA118">
            <v>321000</v>
          </cell>
          <cell r="BB118">
            <v>357000</v>
          </cell>
          <cell r="BC118">
            <v>391000</v>
          </cell>
          <cell r="BD118">
            <v>412000</v>
          </cell>
          <cell r="BE118">
            <v>0</v>
          </cell>
          <cell r="BF118">
            <v>46</v>
          </cell>
          <cell r="BG118">
            <v>74000</v>
          </cell>
          <cell r="BH118">
            <v>132000</v>
          </cell>
          <cell r="BI118">
            <v>154000</v>
          </cell>
          <cell r="BJ118">
            <v>172000</v>
          </cell>
          <cell r="BK118">
            <v>188000</v>
          </cell>
          <cell r="BL118">
            <v>198000</v>
          </cell>
        </row>
        <row r="119">
          <cell r="B119">
            <v>47</v>
          </cell>
          <cell r="C119">
            <v>348000</v>
          </cell>
          <cell r="D119">
            <v>618000</v>
          </cell>
          <cell r="E119">
            <v>723000</v>
          </cell>
          <cell r="F119">
            <v>803000</v>
          </cell>
          <cell r="G119">
            <v>881000</v>
          </cell>
          <cell r="H119">
            <v>927000</v>
          </cell>
          <cell r="I119">
            <v>0</v>
          </cell>
          <cell r="J119">
            <v>47</v>
          </cell>
          <cell r="K119">
            <v>398000</v>
          </cell>
          <cell r="L119">
            <v>708000</v>
          </cell>
          <cell r="M119">
            <v>828000</v>
          </cell>
          <cell r="N119">
            <v>920000</v>
          </cell>
          <cell r="O119">
            <v>1008000</v>
          </cell>
          <cell r="P119">
            <v>1061000</v>
          </cell>
          <cell r="Q119">
            <v>0</v>
          </cell>
          <cell r="R119">
            <v>47</v>
          </cell>
          <cell r="S119">
            <v>797000</v>
          </cell>
          <cell r="T119">
            <v>1416000</v>
          </cell>
          <cell r="U119">
            <v>1657000</v>
          </cell>
          <cell r="V119">
            <v>1841000</v>
          </cell>
          <cell r="W119">
            <v>2018000</v>
          </cell>
          <cell r="X119">
            <v>2124000</v>
          </cell>
          <cell r="Y119">
            <v>0</v>
          </cell>
          <cell r="Z119">
            <v>47</v>
          </cell>
          <cell r="AA119">
            <v>359000</v>
          </cell>
          <cell r="AB119">
            <v>638000</v>
          </cell>
          <cell r="AC119">
            <v>746000</v>
          </cell>
          <cell r="AD119">
            <v>829000</v>
          </cell>
          <cell r="AE119">
            <v>909000</v>
          </cell>
          <cell r="AF119">
            <v>957000</v>
          </cell>
          <cell r="AG119">
            <v>0</v>
          </cell>
          <cell r="AH119">
            <v>47</v>
          </cell>
          <cell r="AI119">
            <v>127000</v>
          </cell>
          <cell r="AJ119">
            <v>225000</v>
          </cell>
          <cell r="AK119">
            <v>263000</v>
          </cell>
          <cell r="AL119">
            <v>292000</v>
          </cell>
          <cell r="AM119">
            <v>321000</v>
          </cell>
          <cell r="AN119">
            <v>337000</v>
          </cell>
          <cell r="AO119">
            <v>0</v>
          </cell>
          <cell r="AP119">
            <v>47</v>
          </cell>
          <cell r="AQ119">
            <v>189000</v>
          </cell>
          <cell r="AR119">
            <v>335000</v>
          </cell>
          <cell r="AS119">
            <v>392000</v>
          </cell>
          <cell r="AT119">
            <v>436000</v>
          </cell>
          <cell r="AU119">
            <v>478000</v>
          </cell>
          <cell r="AV119">
            <v>503000</v>
          </cell>
          <cell r="AW119">
            <v>162800</v>
          </cell>
          <cell r="AX119">
            <v>47</v>
          </cell>
          <cell r="AY119">
            <v>170000</v>
          </cell>
          <cell r="AZ119">
            <v>302000</v>
          </cell>
          <cell r="BA119">
            <v>353000</v>
          </cell>
          <cell r="BB119">
            <v>392000</v>
          </cell>
          <cell r="BC119">
            <v>430000</v>
          </cell>
          <cell r="BD119">
            <v>453000</v>
          </cell>
          <cell r="BE119">
            <v>0</v>
          </cell>
          <cell r="BF119">
            <v>47</v>
          </cell>
          <cell r="BG119">
            <v>82000</v>
          </cell>
          <cell r="BH119">
            <v>145000</v>
          </cell>
          <cell r="BI119">
            <v>170000</v>
          </cell>
          <cell r="BJ119">
            <v>189000</v>
          </cell>
          <cell r="BK119">
            <v>207000</v>
          </cell>
          <cell r="BL119">
            <v>218000</v>
          </cell>
        </row>
        <row r="120">
          <cell r="B120">
            <v>48</v>
          </cell>
          <cell r="C120">
            <v>382000</v>
          </cell>
          <cell r="D120">
            <v>680000</v>
          </cell>
          <cell r="E120">
            <v>795000</v>
          </cell>
          <cell r="F120">
            <v>884000</v>
          </cell>
          <cell r="G120">
            <v>969000</v>
          </cell>
          <cell r="H120">
            <v>1020000</v>
          </cell>
          <cell r="I120">
            <v>0</v>
          </cell>
          <cell r="J120">
            <v>48</v>
          </cell>
          <cell r="K120">
            <v>438000</v>
          </cell>
          <cell r="L120">
            <v>778000</v>
          </cell>
          <cell r="M120">
            <v>911000</v>
          </cell>
          <cell r="N120">
            <v>1012000</v>
          </cell>
          <cell r="O120">
            <v>1109000</v>
          </cell>
          <cell r="P120">
            <v>1167000</v>
          </cell>
          <cell r="Q120">
            <v>0</v>
          </cell>
          <cell r="R120">
            <v>48</v>
          </cell>
          <cell r="S120">
            <v>876000</v>
          </cell>
          <cell r="T120">
            <v>1558000</v>
          </cell>
          <cell r="U120">
            <v>1823000</v>
          </cell>
          <cell r="V120">
            <v>2025000</v>
          </cell>
          <cell r="W120">
            <v>2220000</v>
          </cell>
          <cell r="X120">
            <v>2337000</v>
          </cell>
          <cell r="Y120">
            <v>0</v>
          </cell>
          <cell r="Z120">
            <v>48</v>
          </cell>
          <cell r="AA120">
            <v>395000</v>
          </cell>
          <cell r="AB120">
            <v>702000</v>
          </cell>
          <cell r="AC120">
            <v>821000</v>
          </cell>
          <cell r="AD120">
            <v>912000</v>
          </cell>
          <cell r="AE120">
            <v>1000000</v>
          </cell>
          <cell r="AF120">
            <v>1052000</v>
          </cell>
          <cell r="AG120">
            <v>0</v>
          </cell>
          <cell r="AH120">
            <v>48</v>
          </cell>
          <cell r="AI120">
            <v>139000</v>
          </cell>
          <cell r="AJ120">
            <v>247000</v>
          </cell>
          <cell r="AK120">
            <v>289000</v>
          </cell>
          <cell r="AL120">
            <v>322000</v>
          </cell>
          <cell r="AM120">
            <v>353000</v>
          </cell>
          <cell r="AN120">
            <v>371000</v>
          </cell>
          <cell r="AO120">
            <v>0</v>
          </cell>
          <cell r="AP120">
            <v>48</v>
          </cell>
          <cell r="AQ120">
            <v>208000</v>
          </cell>
          <cell r="AR120">
            <v>369000</v>
          </cell>
          <cell r="AS120">
            <v>432000</v>
          </cell>
          <cell r="AT120">
            <v>480000</v>
          </cell>
          <cell r="AU120">
            <v>526000</v>
          </cell>
          <cell r="AV120">
            <v>553000</v>
          </cell>
          <cell r="AW120">
            <v>179000</v>
          </cell>
          <cell r="AX120">
            <v>48</v>
          </cell>
          <cell r="AY120">
            <v>187000</v>
          </cell>
          <cell r="AZ120">
            <v>332000</v>
          </cell>
          <cell r="BA120">
            <v>389000</v>
          </cell>
          <cell r="BB120">
            <v>432000</v>
          </cell>
          <cell r="BC120">
            <v>473000</v>
          </cell>
          <cell r="BD120">
            <v>498000</v>
          </cell>
          <cell r="BE120">
            <v>0</v>
          </cell>
          <cell r="BF120">
            <v>48</v>
          </cell>
          <cell r="BG120">
            <v>90000</v>
          </cell>
          <cell r="BH120">
            <v>160000</v>
          </cell>
          <cell r="BI120">
            <v>187000</v>
          </cell>
          <cell r="BJ120">
            <v>208000</v>
          </cell>
          <cell r="BK120">
            <v>228000</v>
          </cell>
          <cell r="BL120">
            <v>240000</v>
          </cell>
        </row>
        <row r="121">
          <cell r="B121">
            <v>49</v>
          </cell>
          <cell r="C121">
            <v>421000</v>
          </cell>
          <cell r="D121">
            <v>748000</v>
          </cell>
          <cell r="E121">
            <v>875000</v>
          </cell>
          <cell r="F121">
            <v>972000</v>
          </cell>
          <cell r="G121">
            <v>1066000</v>
          </cell>
          <cell r="H121">
            <v>1122000</v>
          </cell>
          <cell r="I121">
            <v>0</v>
          </cell>
          <cell r="J121">
            <v>49</v>
          </cell>
          <cell r="K121">
            <v>482000</v>
          </cell>
          <cell r="L121">
            <v>856000</v>
          </cell>
          <cell r="M121">
            <v>1002000</v>
          </cell>
          <cell r="N121">
            <v>1113000</v>
          </cell>
          <cell r="O121">
            <v>1220000</v>
          </cell>
          <cell r="P121">
            <v>1284000</v>
          </cell>
          <cell r="Q121">
            <v>0</v>
          </cell>
          <cell r="R121">
            <v>49</v>
          </cell>
          <cell r="S121">
            <v>964000</v>
          </cell>
          <cell r="T121">
            <v>1714000</v>
          </cell>
          <cell r="U121">
            <v>2005000</v>
          </cell>
          <cell r="V121">
            <v>2228000</v>
          </cell>
          <cell r="W121">
            <v>2442000</v>
          </cell>
          <cell r="X121">
            <v>2571000</v>
          </cell>
          <cell r="Y121">
            <v>0</v>
          </cell>
          <cell r="Z121">
            <v>49</v>
          </cell>
          <cell r="AA121">
            <v>434000</v>
          </cell>
          <cell r="AB121">
            <v>772000</v>
          </cell>
          <cell r="AC121">
            <v>903000</v>
          </cell>
          <cell r="AD121">
            <v>1003000</v>
          </cell>
          <cell r="AE121">
            <v>1100000</v>
          </cell>
          <cell r="AF121">
            <v>1158000</v>
          </cell>
          <cell r="AG121">
            <v>0</v>
          </cell>
          <cell r="AH121">
            <v>49</v>
          </cell>
          <cell r="AI121">
            <v>153000</v>
          </cell>
          <cell r="AJ121">
            <v>272000</v>
          </cell>
          <cell r="AK121">
            <v>318000</v>
          </cell>
          <cell r="AL121">
            <v>354000</v>
          </cell>
          <cell r="AM121">
            <v>388000</v>
          </cell>
          <cell r="AN121">
            <v>408000</v>
          </cell>
          <cell r="AO121">
            <v>0</v>
          </cell>
          <cell r="AP121">
            <v>49</v>
          </cell>
          <cell r="AQ121">
            <v>228000</v>
          </cell>
          <cell r="AR121">
            <v>406000</v>
          </cell>
          <cell r="AS121">
            <v>475000</v>
          </cell>
          <cell r="AT121">
            <v>528000</v>
          </cell>
          <cell r="AU121">
            <v>578000</v>
          </cell>
          <cell r="AV121">
            <v>609000</v>
          </cell>
          <cell r="AW121">
            <v>197000</v>
          </cell>
          <cell r="AX121">
            <v>49</v>
          </cell>
          <cell r="AY121">
            <v>206000</v>
          </cell>
          <cell r="AZ121">
            <v>365000</v>
          </cell>
          <cell r="BA121">
            <v>427000</v>
          </cell>
          <cell r="BB121">
            <v>475000</v>
          </cell>
          <cell r="BC121">
            <v>521000</v>
          </cell>
          <cell r="BD121">
            <v>548000</v>
          </cell>
          <cell r="BE121">
            <v>0</v>
          </cell>
          <cell r="BF121">
            <v>49</v>
          </cell>
          <cell r="BG121">
            <v>99000</v>
          </cell>
          <cell r="BH121">
            <v>176000</v>
          </cell>
          <cell r="BI121">
            <v>206000</v>
          </cell>
          <cell r="BJ121">
            <v>228000</v>
          </cell>
          <cell r="BK121">
            <v>250000</v>
          </cell>
          <cell r="BL121">
            <v>263000</v>
          </cell>
        </row>
        <row r="122">
          <cell r="B122">
            <v>50</v>
          </cell>
          <cell r="C122">
            <v>463000</v>
          </cell>
          <cell r="D122">
            <v>822000</v>
          </cell>
          <cell r="E122">
            <v>962000</v>
          </cell>
          <cell r="F122">
            <v>1069000</v>
          </cell>
          <cell r="G122">
            <v>1172000</v>
          </cell>
          <cell r="H122">
            <v>1234000</v>
          </cell>
          <cell r="I122">
            <v>0</v>
          </cell>
          <cell r="J122">
            <v>50</v>
          </cell>
          <cell r="K122">
            <v>530000</v>
          </cell>
          <cell r="L122">
            <v>942000</v>
          </cell>
          <cell r="M122">
            <v>1102000</v>
          </cell>
          <cell r="N122">
            <v>1224000</v>
          </cell>
          <cell r="O122">
            <v>1342000</v>
          </cell>
          <cell r="P122">
            <v>1413000</v>
          </cell>
          <cell r="Q122">
            <v>0</v>
          </cell>
          <cell r="R122">
            <v>50</v>
          </cell>
          <cell r="S122">
            <v>1060000</v>
          </cell>
          <cell r="T122">
            <v>1885000</v>
          </cell>
          <cell r="U122">
            <v>2206000</v>
          </cell>
          <cell r="V122">
            <v>2451000</v>
          </cell>
          <cell r="W122">
            <v>2686000</v>
          </cell>
          <cell r="X122">
            <v>2828000</v>
          </cell>
          <cell r="Y122">
            <v>0</v>
          </cell>
          <cell r="Z122">
            <v>50</v>
          </cell>
          <cell r="AA122">
            <v>478000</v>
          </cell>
          <cell r="AB122">
            <v>849000</v>
          </cell>
          <cell r="AC122">
            <v>993000</v>
          </cell>
          <cell r="AD122">
            <v>1103000</v>
          </cell>
          <cell r="AE122">
            <v>1210000</v>
          </cell>
          <cell r="AF122">
            <v>1273000</v>
          </cell>
          <cell r="AG122">
            <v>0</v>
          </cell>
          <cell r="AH122">
            <v>50</v>
          </cell>
          <cell r="AI122">
            <v>168000</v>
          </cell>
          <cell r="AJ122">
            <v>299000</v>
          </cell>
          <cell r="AK122">
            <v>350000</v>
          </cell>
          <cell r="AL122">
            <v>389000</v>
          </cell>
          <cell r="AM122">
            <v>427000</v>
          </cell>
          <cell r="AN122">
            <v>449000</v>
          </cell>
          <cell r="AO122">
            <v>0</v>
          </cell>
          <cell r="AP122">
            <v>50</v>
          </cell>
          <cell r="AQ122">
            <v>251000</v>
          </cell>
          <cell r="AR122">
            <v>446000</v>
          </cell>
          <cell r="AS122">
            <v>522000</v>
          </cell>
          <cell r="AT122">
            <v>580000</v>
          </cell>
          <cell r="AU122">
            <v>636000</v>
          </cell>
          <cell r="AV122">
            <v>670000</v>
          </cell>
          <cell r="AW122">
            <v>216600</v>
          </cell>
          <cell r="AX122">
            <v>50</v>
          </cell>
          <cell r="AY122">
            <v>226000</v>
          </cell>
          <cell r="AZ122">
            <v>402000</v>
          </cell>
          <cell r="BA122">
            <v>470000</v>
          </cell>
          <cell r="BB122">
            <v>522000</v>
          </cell>
          <cell r="BC122">
            <v>573000</v>
          </cell>
          <cell r="BD122">
            <v>603000</v>
          </cell>
          <cell r="BE122">
            <v>0</v>
          </cell>
          <cell r="BF122">
            <v>50</v>
          </cell>
          <cell r="BG122">
            <v>109000</v>
          </cell>
          <cell r="BH122">
            <v>193000</v>
          </cell>
          <cell r="BI122">
            <v>226000</v>
          </cell>
          <cell r="BJ122">
            <v>251000</v>
          </cell>
          <cell r="BK122">
            <v>275000</v>
          </cell>
          <cell r="BL122">
            <v>290000</v>
          </cell>
        </row>
        <row r="123">
          <cell r="B123">
            <v>51</v>
          </cell>
          <cell r="C123">
            <v>509000</v>
          </cell>
          <cell r="D123">
            <v>905000</v>
          </cell>
          <cell r="E123">
            <v>1058000</v>
          </cell>
          <cell r="F123">
            <v>1176000</v>
          </cell>
          <cell r="G123">
            <v>1289000</v>
          </cell>
          <cell r="H123">
            <v>1357000</v>
          </cell>
          <cell r="I123">
            <v>0</v>
          </cell>
          <cell r="J123">
            <v>51</v>
          </cell>
          <cell r="K123">
            <v>583000</v>
          </cell>
          <cell r="L123">
            <v>1036000</v>
          </cell>
          <cell r="M123">
            <v>1212000</v>
          </cell>
          <cell r="N123">
            <v>1347000</v>
          </cell>
          <cell r="O123">
            <v>1476000</v>
          </cell>
          <cell r="P123">
            <v>1554000</v>
          </cell>
          <cell r="Q123">
            <v>0</v>
          </cell>
          <cell r="R123">
            <v>51</v>
          </cell>
          <cell r="S123">
            <v>1166000</v>
          </cell>
          <cell r="T123">
            <v>2074000</v>
          </cell>
          <cell r="U123">
            <v>2426000</v>
          </cell>
          <cell r="V123">
            <v>2696000</v>
          </cell>
          <cell r="W123">
            <v>2955000</v>
          </cell>
          <cell r="X123">
            <v>3110000</v>
          </cell>
          <cell r="Y123">
            <v>0</v>
          </cell>
          <cell r="Z123">
            <v>51</v>
          </cell>
          <cell r="AA123">
            <v>525000</v>
          </cell>
          <cell r="AB123">
            <v>934000</v>
          </cell>
          <cell r="AC123">
            <v>1092000</v>
          </cell>
          <cell r="AD123">
            <v>1214000</v>
          </cell>
          <cell r="AE123">
            <v>1330000</v>
          </cell>
          <cell r="AF123">
            <v>1400000</v>
          </cell>
          <cell r="AG123">
            <v>0</v>
          </cell>
          <cell r="AH123">
            <v>51</v>
          </cell>
          <cell r="AI123">
            <v>185000</v>
          </cell>
          <cell r="AJ123">
            <v>329000</v>
          </cell>
          <cell r="AK123">
            <v>385000</v>
          </cell>
          <cell r="AL123">
            <v>428000</v>
          </cell>
          <cell r="AM123">
            <v>469000</v>
          </cell>
          <cell r="AN123">
            <v>494000</v>
          </cell>
          <cell r="AO123">
            <v>0</v>
          </cell>
          <cell r="AP123">
            <v>51</v>
          </cell>
          <cell r="AQ123">
            <v>276000</v>
          </cell>
          <cell r="AR123">
            <v>491000</v>
          </cell>
          <cell r="AS123">
            <v>575000</v>
          </cell>
          <cell r="AT123">
            <v>638000</v>
          </cell>
          <cell r="AU123">
            <v>700000</v>
          </cell>
          <cell r="AV123">
            <v>737000</v>
          </cell>
          <cell r="AW123">
            <v>238300</v>
          </cell>
          <cell r="AX123">
            <v>51</v>
          </cell>
          <cell r="AY123">
            <v>249000</v>
          </cell>
          <cell r="AZ123">
            <v>442000</v>
          </cell>
          <cell r="BA123">
            <v>517000</v>
          </cell>
          <cell r="BB123">
            <v>575000</v>
          </cell>
          <cell r="BC123">
            <v>630000</v>
          </cell>
          <cell r="BD123">
            <v>663000</v>
          </cell>
          <cell r="BE123">
            <v>0</v>
          </cell>
          <cell r="BF123">
            <v>51</v>
          </cell>
          <cell r="BG123">
            <v>120000</v>
          </cell>
          <cell r="BH123">
            <v>213000</v>
          </cell>
          <cell r="BI123">
            <v>249000</v>
          </cell>
          <cell r="BJ123">
            <v>276000</v>
          </cell>
          <cell r="BK123">
            <v>303000</v>
          </cell>
          <cell r="BL123">
            <v>319000</v>
          </cell>
        </row>
        <row r="124">
          <cell r="B124">
            <v>52</v>
          </cell>
          <cell r="C124">
            <v>560000</v>
          </cell>
          <cell r="D124">
            <v>995000</v>
          </cell>
          <cell r="E124">
            <v>1164000</v>
          </cell>
          <cell r="F124">
            <v>1294000</v>
          </cell>
          <cell r="G124">
            <v>1418000</v>
          </cell>
          <cell r="H124">
            <v>1493000</v>
          </cell>
          <cell r="I124">
            <v>0</v>
          </cell>
          <cell r="J124">
            <v>52</v>
          </cell>
          <cell r="K124">
            <v>641000</v>
          </cell>
          <cell r="L124">
            <v>1139000</v>
          </cell>
          <cell r="M124">
            <v>1333000</v>
          </cell>
          <cell r="N124">
            <v>1481000</v>
          </cell>
          <cell r="O124">
            <v>1624000</v>
          </cell>
          <cell r="P124">
            <v>1709000</v>
          </cell>
          <cell r="Q124">
            <v>0</v>
          </cell>
          <cell r="R124">
            <v>52</v>
          </cell>
          <cell r="S124">
            <v>1283000</v>
          </cell>
          <cell r="T124">
            <v>2281000</v>
          </cell>
          <cell r="U124">
            <v>2669000</v>
          </cell>
          <cell r="V124">
            <v>2965000</v>
          </cell>
          <cell r="W124">
            <v>3250000</v>
          </cell>
          <cell r="X124">
            <v>3421000</v>
          </cell>
          <cell r="Y124">
            <v>0</v>
          </cell>
          <cell r="Z124">
            <v>52</v>
          </cell>
          <cell r="AA124">
            <v>578000</v>
          </cell>
          <cell r="AB124">
            <v>1027000</v>
          </cell>
          <cell r="AC124">
            <v>1202000</v>
          </cell>
          <cell r="AD124">
            <v>1335000</v>
          </cell>
          <cell r="AE124">
            <v>1464000</v>
          </cell>
          <cell r="AF124">
            <v>1541000</v>
          </cell>
          <cell r="AG124">
            <v>0</v>
          </cell>
          <cell r="AH124">
            <v>52</v>
          </cell>
          <cell r="AI124">
            <v>204000</v>
          </cell>
          <cell r="AJ124">
            <v>362000</v>
          </cell>
          <cell r="AK124">
            <v>424000</v>
          </cell>
          <cell r="AL124">
            <v>471000</v>
          </cell>
          <cell r="AM124">
            <v>516000</v>
          </cell>
          <cell r="AN124">
            <v>543000</v>
          </cell>
          <cell r="AO124">
            <v>0</v>
          </cell>
          <cell r="AP124">
            <v>52</v>
          </cell>
          <cell r="AQ124">
            <v>304000</v>
          </cell>
          <cell r="AR124">
            <v>540000</v>
          </cell>
          <cell r="AS124">
            <v>632000</v>
          </cell>
          <cell r="AT124">
            <v>702000</v>
          </cell>
          <cell r="AU124">
            <v>770000</v>
          </cell>
          <cell r="AV124">
            <v>810000</v>
          </cell>
          <cell r="AW124">
            <v>262100</v>
          </cell>
          <cell r="AX124">
            <v>52</v>
          </cell>
          <cell r="AY124">
            <v>273000</v>
          </cell>
          <cell r="AZ124">
            <v>486000</v>
          </cell>
          <cell r="BA124">
            <v>569000</v>
          </cell>
          <cell r="BB124">
            <v>632000</v>
          </cell>
          <cell r="BC124">
            <v>693000</v>
          </cell>
          <cell r="BD124">
            <v>729000</v>
          </cell>
          <cell r="BE124">
            <v>0</v>
          </cell>
          <cell r="BF124">
            <v>52</v>
          </cell>
          <cell r="BG124">
            <v>131000</v>
          </cell>
          <cell r="BH124">
            <v>234000</v>
          </cell>
          <cell r="BI124">
            <v>274000</v>
          </cell>
          <cell r="BJ124">
            <v>304000</v>
          </cell>
          <cell r="BK124">
            <v>333000</v>
          </cell>
          <cell r="BL124">
            <v>351000</v>
          </cell>
        </row>
        <row r="125">
          <cell r="B125">
            <v>53</v>
          </cell>
          <cell r="C125">
            <v>616000</v>
          </cell>
          <cell r="D125">
            <v>1095000</v>
          </cell>
          <cell r="E125">
            <v>1281000</v>
          </cell>
          <cell r="F125">
            <v>1423000</v>
          </cell>
          <cell r="G125">
            <v>1560000</v>
          </cell>
          <cell r="H125">
            <v>1642000</v>
          </cell>
          <cell r="I125">
            <v>0</v>
          </cell>
          <cell r="J125">
            <v>53</v>
          </cell>
          <cell r="K125">
            <v>705000</v>
          </cell>
          <cell r="L125">
            <v>1254000</v>
          </cell>
          <cell r="M125">
            <v>1467000</v>
          </cell>
          <cell r="N125">
            <v>1630000</v>
          </cell>
          <cell r="O125">
            <v>1786000</v>
          </cell>
          <cell r="P125">
            <v>1880000</v>
          </cell>
          <cell r="Q125">
            <v>0</v>
          </cell>
          <cell r="R125">
            <v>53</v>
          </cell>
          <cell r="S125">
            <v>1411000</v>
          </cell>
          <cell r="T125">
            <v>2509000</v>
          </cell>
          <cell r="U125">
            <v>2936000</v>
          </cell>
          <cell r="V125">
            <v>3262000</v>
          </cell>
          <cell r="W125">
            <v>3576000</v>
          </cell>
          <cell r="X125">
            <v>3764000</v>
          </cell>
          <cell r="Y125">
            <v>0</v>
          </cell>
          <cell r="Z125">
            <v>53</v>
          </cell>
          <cell r="AA125">
            <v>636000</v>
          </cell>
          <cell r="AB125">
            <v>1130000</v>
          </cell>
          <cell r="AC125">
            <v>1322000</v>
          </cell>
          <cell r="AD125">
            <v>1469000</v>
          </cell>
          <cell r="AE125">
            <v>1610000</v>
          </cell>
          <cell r="AF125">
            <v>1695000</v>
          </cell>
          <cell r="AG125">
            <v>0</v>
          </cell>
          <cell r="AH125">
            <v>53</v>
          </cell>
          <cell r="AI125">
            <v>224000</v>
          </cell>
          <cell r="AJ125">
            <v>398000</v>
          </cell>
          <cell r="AK125">
            <v>466000</v>
          </cell>
          <cell r="AL125">
            <v>518000</v>
          </cell>
          <cell r="AM125">
            <v>568000</v>
          </cell>
          <cell r="AN125">
            <v>598000</v>
          </cell>
          <cell r="AO125">
            <v>0</v>
          </cell>
          <cell r="AP125">
            <v>53</v>
          </cell>
          <cell r="AQ125">
            <v>334000</v>
          </cell>
          <cell r="AR125">
            <v>594000</v>
          </cell>
          <cell r="AS125">
            <v>695000</v>
          </cell>
          <cell r="AT125">
            <v>773000</v>
          </cell>
          <cell r="AU125">
            <v>847000</v>
          </cell>
          <cell r="AV125">
            <v>891000</v>
          </cell>
          <cell r="AW125">
            <v>288400</v>
          </cell>
          <cell r="AX125">
            <v>53</v>
          </cell>
          <cell r="AY125">
            <v>301000</v>
          </cell>
          <cell r="AZ125">
            <v>535000</v>
          </cell>
          <cell r="BA125">
            <v>626000</v>
          </cell>
          <cell r="BB125">
            <v>695000</v>
          </cell>
          <cell r="BC125">
            <v>762000</v>
          </cell>
          <cell r="BD125">
            <v>802000</v>
          </cell>
          <cell r="BE125">
            <v>0</v>
          </cell>
          <cell r="BF125">
            <v>53</v>
          </cell>
          <cell r="BG125">
            <v>145000</v>
          </cell>
          <cell r="BH125">
            <v>257000</v>
          </cell>
          <cell r="BI125">
            <v>301000</v>
          </cell>
          <cell r="BJ125">
            <v>334000</v>
          </cell>
          <cell r="BK125">
            <v>366000</v>
          </cell>
          <cell r="BL125">
            <v>386000</v>
          </cell>
        </row>
        <row r="126">
          <cell r="B126">
            <v>54</v>
          </cell>
          <cell r="C126">
            <v>677000</v>
          </cell>
          <cell r="D126">
            <v>1204000</v>
          </cell>
          <cell r="E126">
            <v>1409000</v>
          </cell>
          <cell r="F126">
            <v>1565000</v>
          </cell>
          <cell r="G126">
            <v>1716000</v>
          </cell>
          <cell r="H126">
            <v>1806000</v>
          </cell>
          <cell r="I126">
            <v>0</v>
          </cell>
          <cell r="J126">
            <v>54</v>
          </cell>
          <cell r="K126">
            <v>776000</v>
          </cell>
          <cell r="L126">
            <v>1379000</v>
          </cell>
          <cell r="M126">
            <v>1613000</v>
          </cell>
          <cell r="N126">
            <v>1792000</v>
          </cell>
          <cell r="O126">
            <v>1965000</v>
          </cell>
          <cell r="P126">
            <v>2068000</v>
          </cell>
          <cell r="Q126">
            <v>0</v>
          </cell>
          <cell r="R126">
            <v>54</v>
          </cell>
          <cell r="S126">
            <v>1552000</v>
          </cell>
          <cell r="T126">
            <v>2760000</v>
          </cell>
          <cell r="U126">
            <v>3229000</v>
          </cell>
          <cell r="V126">
            <v>3588000</v>
          </cell>
          <cell r="W126">
            <v>3933000</v>
          </cell>
          <cell r="X126">
            <v>4140000</v>
          </cell>
          <cell r="Y126">
            <v>0</v>
          </cell>
          <cell r="Z126">
            <v>54</v>
          </cell>
          <cell r="AA126">
            <v>699000</v>
          </cell>
          <cell r="AB126">
            <v>1243000</v>
          </cell>
          <cell r="AC126">
            <v>1454000</v>
          </cell>
          <cell r="AD126">
            <v>1616000</v>
          </cell>
          <cell r="AE126">
            <v>1771000</v>
          </cell>
          <cell r="AF126">
            <v>1864000</v>
          </cell>
          <cell r="AG126">
            <v>0</v>
          </cell>
          <cell r="AH126">
            <v>54</v>
          </cell>
          <cell r="AI126">
            <v>247000</v>
          </cell>
          <cell r="AJ126">
            <v>438000</v>
          </cell>
          <cell r="AK126">
            <v>513000</v>
          </cell>
          <cell r="AL126">
            <v>570000</v>
          </cell>
          <cell r="AM126">
            <v>625000</v>
          </cell>
          <cell r="AN126">
            <v>657000</v>
          </cell>
          <cell r="AO126">
            <v>0</v>
          </cell>
          <cell r="AP126">
            <v>54</v>
          </cell>
          <cell r="AQ126">
            <v>368000</v>
          </cell>
          <cell r="AR126">
            <v>654000</v>
          </cell>
          <cell r="AS126">
            <v>765000</v>
          </cell>
          <cell r="AT126">
            <v>850000</v>
          </cell>
          <cell r="AU126">
            <v>931000</v>
          </cell>
          <cell r="AV126">
            <v>980000</v>
          </cell>
          <cell r="AW126">
            <v>317200</v>
          </cell>
          <cell r="AX126">
            <v>54</v>
          </cell>
          <cell r="AY126">
            <v>331000</v>
          </cell>
          <cell r="AZ126">
            <v>588000</v>
          </cell>
          <cell r="BA126">
            <v>688000</v>
          </cell>
          <cell r="BB126">
            <v>765000</v>
          </cell>
          <cell r="BC126">
            <v>838000</v>
          </cell>
          <cell r="BD126">
            <v>882000</v>
          </cell>
          <cell r="BE126">
            <v>0</v>
          </cell>
          <cell r="BF126">
            <v>54</v>
          </cell>
          <cell r="BG126">
            <v>159000</v>
          </cell>
          <cell r="BH126">
            <v>283000</v>
          </cell>
          <cell r="BI126">
            <v>331000</v>
          </cell>
          <cell r="BJ126">
            <v>368000</v>
          </cell>
          <cell r="BK126">
            <v>403000</v>
          </cell>
          <cell r="BL126">
            <v>424000</v>
          </cell>
        </row>
        <row r="127">
          <cell r="B127">
            <v>55</v>
          </cell>
          <cell r="C127">
            <v>745000</v>
          </cell>
          <cell r="D127">
            <v>1324000</v>
          </cell>
          <cell r="E127">
            <v>1550000</v>
          </cell>
          <cell r="F127">
            <v>1722000</v>
          </cell>
          <cell r="G127">
            <v>1887000</v>
          </cell>
          <cell r="H127">
            <v>1987000</v>
          </cell>
          <cell r="I127">
            <v>0</v>
          </cell>
          <cell r="J127">
            <v>55</v>
          </cell>
          <cell r="K127">
            <v>853000</v>
          </cell>
          <cell r="L127">
            <v>1517000</v>
          </cell>
          <cell r="M127">
            <v>1775000</v>
          </cell>
          <cell r="N127">
            <v>1972000</v>
          </cell>
          <cell r="O127">
            <v>2161000</v>
          </cell>
          <cell r="P127">
            <v>2275000</v>
          </cell>
          <cell r="Q127">
            <v>0</v>
          </cell>
          <cell r="R127">
            <v>55</v>
          </cell>
          <cell r="S127">
            <v>1708000</v>
          </cell>
          <cell r="T127">
            <v>3036000</v>
          </cell>
          <cell r="U127">
            <v>3552000</v>
          </cell>
          <cell r="V127">
            <v>3947000</v>
          </cell>
          <cell r="W127">
            <v>4326000</v>
          </cell>
          <cell r="X127">
            <v>4554000</v>
          </cell>
          <cell r="Y127">
            <v>0</v>
          </cell>
          <cell r="Z127">
            <v>55</v>
          </cell>
          <cell r="AA127">
            <v>769000</v>
          </cell>
          <cell r="AB127">
            <v>1367000</v>
          </cell>
          <cell r="AC127">
            <v>1599000</v>
          </cell>
          <cell r="AD127">
            <v>1777000</v>
          </cell>
          <cell r="AE127">
            <v>1948000</v>
          </cell>
          <cell r="AF127">
            <v>2050000</v>
          </cell>
          <cell r="AG127">
            <v>0</v>
          </cell>
          <cell r="AH127">
            <v>55</v>
          </cell>
          <cell r="AI127">
            <v>271000</v>
          </cell>
          <cell r="AJ127">
            <v>482000</v>
          </cell>
          <cell r="AK127">
            <v>564000</v>
          </cell>
          <cell r="AL127">
            <v>627000</v>
          </cell>
          <cell r="AM127">
            <v>687000</v>
          </cell>
          <cell r="AN127">
            <v>723000</v>
          </cell>
          <cell r="AO127">
            <v>0</v>
          </cell>
          <cell r="AP127">
            <v>55</v>
          </cell>
          <cell r="AQ127">
            <v>404000</v>
          </cell>
          <cell r="AR127">
            <v>719000</v>
          </cell>
          <cell r="AS127">
            <v>841000</v>
          </cell>
          <cell r="AT127">
            <v>935000</v>
          </cell>
          <cell r="AU127">
            <v>1025000</v>
          </cell>
          <cell r="AV127">
            <v>1079000</v>
          </cell>
          <cell r="AW127">
            <v>348900</v>
          </cell>
          <cell r="AX127">
            <v>55</v>
          </cell>
          <cell r="AY127">
            <v>364000</v>
          </cell>
          <cell r="AZ127">
            <v>647000</v>
          </cell>
          <cell r="BA127">
            <v>757000</v>
          </cell>
          <cell r="BB127">
            <v>841000</v>
          </cell>
          <cell r="BC127">
            <v>922000</v>
          </cell>
          <cell r="BD127">
            <v>971000</v>
          </cell>
          <cell r="BE127">
            <v>0</v>
          </cell>
          <cell r="BF127">
            <v>55</v>
          </cell>
          <cell r="BG127">
            <v>175000</v>
          </cell>
          <cell r="BH127">
            <v>311000</v>
          </cell>
          <cell r="BI127">
            <v>364000</v>
          </cell>
          <cell r="BJ127">
            <v>404000</v>
          </cell>
          <cell r="BK127">
            <v>443000</v>
          </cell>
          <cell r="BL127">
            <v>467000</v>
          </cell>
        </row>
        <row r="128">
          <cell r="B128" t="str">
            <v>TVN se reserva el derecho de exhibir publicidad competitiva dentro de cada tanda.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 t="str">
            <v>TVN se reserva el derecho de exhibir publicidad competitiva dentro de cada tanda.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str">
            <v>TVN se reserva el derecho de exhibir publicidad competitiva dentro de cada tanda.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 t="str">
            <v>TVN se reserva el derecho de exhibir publicidad competitiva dentro de cada tanda.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 t="str">
            <v>TVN se reserva el derecho de exhibir publicidad competitiva dentro de cada tanda.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 t="str">
            <v>TVN se reserva el derecho de exhibir publicidad competitiva dentro de cada tanda.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 t="str">
            <v>TVN se reserva el derecho de exhibir publicidad competitiva dentro de cada tanda.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 t="str">
            <v>TVN se reserva el derecho de exhibir publicidad competitiva dentro de cada tanda.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B3">
            <v>0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3">
          <cell r="B3">
            <v>0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3">
          <cell r="B3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>
        <row r="3">
          <cell r="B3">
            <v>0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>
        <row r="3">
          <cell r="B3">
            <v>0</v>
          </cell>
        </row>
      </sheetData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3">
          <cell r="B3">
            <v>0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>
        <row r="3">
          <cell r="B3">
            <v>0</v>
          </cell>
        </row>
      </sheetData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>
        <row r="3">
          <cell r="B3">
            <v>0</v>
          </cell>
        </row>
      </sheetData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>
        <row r="3">
          <cell r="B3">
            <v>0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>
        <row r="3">
          <cell r="B3">
            <v>0</v>
          </cell>
        </row>
      </sheetData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>
        <row r="3">
          <cell r="B3">
            <v>0</v>
          </cell>
        </row>
      </sheetData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ntificador TP"/>
      <sheetName val="Datos por región"/>
      <sheetName val="DatosTP"/>
      <sheetName val="Datos"/>
      <sheetName val="Cuantificador"/>
      <sheetName val="Cuantificador Total país"/>
      <sheetName val="RATGA"/>
      <sheetName val="an-r"/>
      <sheetName val="RD제품개발투자비(매가)"/>
      <sheetName val="Cuantificador_TP"/>
      <sheetName val="Datos_por_región"/>
      <sheetName val="Cuantificador_Total_país"/>
      <sheetName val="대외공문"/>
      <sheetName val="ratingj"/>
      <sheetName val="ratingP"/>
      <sheetName val="PROGRAMAS"/>
      <sheetName val="Cuantificador_TP1"/>
      <sheetName val="Datos_por_región1"/>
      <sheetName val="Cuantificador_Total_país1"/>
      <sheetName val="Rk"/>
      <sheetName val="Analisis"/>
      <sheetName val="actual Nov02"/>
      <sheetName val="계실5-1"/>
      <sheetName val="HCCE01"/>
      <sheetName val="Pauta"/>
      <sheetName val="Sheet1"/>
      <sheetName val="Cuantificador_TP2"/>
      <sheetName val="Datos_por_región2"/>
      <sheetName val="Cuantificador_Total_país2"/>
      <sheetName val="actual_Nov02"/>
      <sheetName val="Cuantificador%20Total%20país.xl"/>
      <sheetName val="Cuantificador%20Total%20pa%C3%A"/>
      <sheetName val="POST PAUTA TOTAL Rat Canales "/>
      <sheetName val="Cuantificador_TP3"/>
      <sheetName val="Datos_por_región3"/>
      <sheetName val="Cuantificador_Total_país3"/>
      <sheetName val="actual_Nov021"/>
      <sheetName val="Ranking"/>
      <sheetName val="Cuantificador%20Total%20país_xl"/>
      <sheetName val="RD???????(??)"/>
      <sheetName val="????"/>
      <sheetName val="a-rad"/>
      <sheetName val="ChanGr_cfg"/>
      <sheetName val="Cities_cfg"/>
      <sheetName val="Предлож_СПб"/>
      <sheetName val="Cuantificador_TP4"/>
      <sheetName val="Datos_por_región4"/>
      <sheetName val="Cuantificador_Total_país4"/>
      <sheetName val="actual_Nov022"/>
      <sheetName val="Cuantificador%20Total%20país_x1"/>
      <sheetName val="POST_PAUTA_TOTAL_Rat_Canales_"/>
      <sheetName val="Cuantificador_TP6"/>
      <sheetName val="Datos_por_región6"/>
      <sheetName val="Cuantificador_Total_país6"/>
      <sheetName val="actual_Nov024"/>
      <sheetName val="Cuantificador%20Total%20país_x3"/>
      <sheetName val="POST_PAUTA_TOTAL_Rat_Canales_2"/>
      <sheetName val="Cuantificador_TP5"/>
      <sheetName val="Datos_por_región5"/>
      <sheetName val="Cuantificador_Total_país5"/>
      <sheetName val="actual_Nov023"/>
      <sheetName val="Cuantificador%20Total%20país_x2"/>
      <sheetName val="POST_PAUTA_TOTAL_Rat_Canales_1"/>
      <sheetName val="Cuantificador_TP7"/>
      <sheetName val="Datos_por_región7"/>
      <sheetName val="Cuantificador_Total_país7"/>
      <sheetName val="actual_Nov025"/>
      <sheetName val="Cuantificador%20Total%20país_x4"/>
      <sheetName val="POST_PAUTA_TOTAL_Rat_Canales_3"/>
      <sheetName val="Cuantificador_TP8"/>
      <sheetName val="Datos_por_región8"/>
      <sheetName val="Cuantificador_Total_país8"/>
      <sheetName val="actual_Nov026"/>
      <sheetName val="Cuantificador%20Total%20país_x5"/>
      <sheetName val="POST_PAUTA_TOTAL_Rat_Canales_4"/>
      <sheetName val="Budgets"/>
      <sheetName val=""/>
      <sheetName val="Rk Tv II"/>
      <sheetName val="Cuantificador_TP9"/>
      <sheetName val="Datos_por_región9"/>
      <sheetName val="Cuantificador_Total_país9"/>
      <sheetName val="actual_Nov027"/>
      <sheetName val="Cuantificador%20Total%20país_x6"/>
      <sheetName val="POST_PAUTA_TOTAL_Rat_Canales_5"/>
      <sheetName val="tapa"/>
      <sheetName val="Rat M25-64C2C3"/>
      <sheetName val="Rat H25-64ABCD"/>
      <sheetName val="Rat HM18-24ABC"/>
      <sheetName val="Rat HM25-49ABC1C2"/>
      <sheetName val="Rat HM25-64ABC"/>
      <sheetName val="Rat M25-64ABC"/>
      <sheetName val="Rat HM25-64ABCD"/>
      <sheetName val="RANGOS"/>
      <sheetName val="res rat"/>
      <sheetName val="Hoja1"/>
      <sheetName val="계열사현황종합"/>
      <sheetName val="생산"/>
      <sheetName val="진도현황"/>
      <sheetName val="Flow"/>
      <sheetName val="."/>
      <sheetName val="Img"/>
      <sheetName val="RESUMEN"/>
      <sheetName val="CONSOLIDADO VARIABLES"/>
      <sheetName val="Listas"/>
      <sheetName val="RESUMEN "/>
      <sheetName val="CONSUMOS DE MEDIOS "/>
      <sheetName val="Rankeo TV"/>
      <sheetName val="TV"/>
      <sheetName val="Hoja3"/>
      <sheetName val="TV NACIONAL"/>
      <sheetName val="PRENSA"/>
      <sheetName val="RK.PR"/>
      <sheetName val="Hoja5"/>
      <sheetName val="Rankeos Radio"/>
      <sheetName val="REVISTAS"/>
      <sheetName val="PARADEROS"/>
      <sheetName val="VALLAS"/>
      <sheetName val="Hoja2"/>
      <sheetName val="Dependencias"/>
      <sheetName val="TREND"/>
      <sheetName val="Vehicles"/>
      <sheetName val="Auxiliar"/>
      <sheetName val="Inversióm"/>
      <sheetName val="Tarifas Febrero 2013"/>
      <sheetName val="Cuantificador_TP10"/>
      <sheetName val="Datos_por_región10"/>
      <sheetName val="Cuantificador_Total_país10"/>
      <sheetName val="actual_Nov028"/>
      <sheetName val="Cuantificador%20Total%20país_x7"/>
      <sheetName val="POST_PAUTA_TOTAL_Rat_Canales_6"/>
      <sheetName val="Rk_Tv_II"/>
      <sheetName val="Rat_M25-64C2C3"/>
      <sheetName val="Rat_H25-64ABCD"/>
      <sheetName val="Rat_HM18-24ABC"/>
      <sheetName val="Rat_HM25-49ABC1C2"/>
      <sheetName val="Rat_HM25-64ABC"/>
      <sheetName val="Rat_M25-64ABC"/>
      <sheetName val="Rat_HM25-64ABCD"/>
      <sheetName val="res_rat"/>
      <sheetName val="_"/>
      <sheetName val="CONSOLIDADO_VARIABLES"/>
      <sheetName val="RESUMEN_"/>
      <sheetName val="CONSUMOS_DE_MEDIOS_"/>
      <sheetName val="Rankeo_TV"/>
      <sheetName val="TV_NACIONAL"/>
      <sheetName val="RK_PR"/>
      <sheetName val="Rankeos_Radio"/>
      <sheetName val="Tarifas_Febrero_2013"/>
      <sheetName val="negociaciones1"/>
      <sheetName val="Cuantificador_TP11"/>
      <sheetName val="Datos_por_región11"/>
      <sheetName val="Cuantificador_Total_país11"/>
      <sheetName val="actual_Nov029"/>
      <sheetName val="Cuantificador%20Total%20país_x8"/>
      <sheetName val="POST_PAUTA_TOTAL_Rat_Canales_7"/>
      <sheetName val="Rk_Tv_II1"/>
      <sheetName val="_1"/>
      <sheetName val="CONSOLIDADO_VARIABLES1"/>
      <sheetName val="RESUMEN_1"/>
      <sheetName val="CONSUMOS_DE_MEDIOS_1"/>
      <sheetName val="Rankeo_TV1"/>
      <sheetName val="TV_NACIONAL1"/>
      <sheetName val="RK_PR1"/>
      <sheetName val="Rankeos_Radio1"/>
      <sheetName val="PARAMETROS"/>
      <sheetName val="RESUMEN FLOW"/>
      <sheetName val="TV "/>
      <sheetName val="CABLE"/>
      <sheetName val="FALABELLA"/>
      <sheetName val="HUAWEI"/>
      <sheetName val="SAMSUNG"/>
      <sheetName val="APPLE"/>
      <sheetName val="Rankeo Radio Ciudades"/>
      <sheetName val="channel"/>
      <sheetName val="CPM (2)"/>
      <sheetName val="CPM"/>
      <sheetName val="Cuantificador_TP12"/>
      <sheetName val="Datos_por_región12"/>
      <sheetName val="Cuantificador_Total_país12"/>
      <sheetName val="actual_Nov0210"/>
      <sheetName val="Cuantificador%20Total%20país_x9"/>
      <sheetName val="POST_PAUTA_TOTAL_Rat_Canales_8"/>
      <sheetName val="Rk_Tv_II2"/>
      <sheetName val="_2"/>
      <sheetName val="CONSOLIDADO_VARIABLES2"/>
      <sheetName val="RESUMEN_2"/>
      <sheetName val="CONSUMOS_DE_MEDIOS_2"/>
      <sheetName val="Rankeo_TV2"/>
      <sheetName val="TV_NACIONAL2"/>
      <sheetName val="RK_PR2"/>
      <sheetName val="Rankeos_Radio2"/>
      <sheetName val="RESUMEN_FLOW"/>
      <sheetName val="TV_"/>
      <sheetName val="Rankeo_Radio_Ciudades"/>
      <sheetName val="#G.O."/>
      <sheetName val="Cuantificador_TP13"/>
      <sheetName val="Datos_por_región13"/>
      <sheetName val="Cuantificador_Total_país13"/>
      <sheetName val="actual_Nov0211"/>
      <sheetName val="Cuantificador%20Total%20país_10"/>
      <sheetName val="POST_PAUTA_TOTAL_Rat_Canales_9"/>
      <sheetName val="Rk_Tv_II3"/>
      <sheetName val="Rat_M25-64C2C31"/>
      <sheetName val="Rat_H25-64ABCD1"/>
      <sheetName val="Rat_HM18-24ABC1"/>
      <sheetName val="Rat_HM25-49ABC1C21"/>
      <sheetName val="Rat_HM25-64ABC1"/>
      <sheetName val="Rat_M25-64ABC1"/>
      <sheetName val="Rat_HM25-64ABCD1"/>
      <sheetName val="res_rat1"/>
      <sheetName val="_3"/>
      <sheetName val="CONSOLIDADO_VARIABLES3"/>
      <sheetName val="RESUMEN_3"/>
      <sheetName val="CONSUMOS_DE_MEDIOS_3"/>
      <sheetName val="Rankeo_TV3"/>
      <sheetName val="TV_NACIONAL3"/>
      <sheetName val="RK_PR3"/>
      <sheetName val="Rankeos_Radio3"/>
      <sheetName val="Tarifas_Febrero_20131"/>
      <sheetName val="RESUMEN_FLOW1"/>
      <sheetName val="TV_1"/>
      <sheetName val="Rankeo_Radio_Ciudades1"/>
      <sheetName val="CPM_(2)"/>
      <sheetName val="Channel Mix"/>
      <sheetName val="Rat_M25-64C2C32"/>
      <sheetName val="Rat_H25-64ABCD2"/>
      <sheetName val="Rat_HM18-24ABC2"/>
      <sheetName val="Rat_HM25-49ABC1C22"/>
      <sheetName val="Rat_HM25-64ABC2"/>
      <sheetName val="Rat_M25-64ABC2"/>
      <sheetName val="Rat_HM25-64ABCD2"/>
      <sheetName val="res_rat2"/>
      <sheetName val="Tarifas_Febrero_20132"/>
      <sheetName val="ESTADO"/>
      <sheetName val="#G_O_"/>
      <sheetName val="Cuantificador_TP14"/>
      <sheetName val="Datos_por_región14"/>
      <sheetName val="Cuantificador_Total_país14"/>
      <sheetName val="actual_Nov0212"/>
      <sheetName val="Cuantificador%20Total%20país_11"/>
      <sheetName val="POST_PAUTA_TOTAL_Rat_Canales_10"/>
      <sheetName val="Rk_Tv_II4"/>
      <sheetName val="_4"/>
      <sheetName val="CONSOLIDADO_VARIABLES4"/>
      <sheetName val="RESUMEN_4"/>
      <sheetName val="CONSUMOS_DE_MEDIOS_4"/>
      <sheetName val="Rankeo_TV4"/>
      <sheetName val="TV_NACIONAL4"/>
      <sheetName val="RK_PR4"/>
      <sheetName val="Rankeos_Radio4"/>
      <sheetName val="RESUMEN_FLOW2"/>
      <sheetName val="TV_2"/>
      <sheetName val="Rankeo_Radio_Ciudades2"/>
      <sheetName val="CPM_(2)1"/>
      <sheetName val="#G_O_1"/>
      <sheetName val="Cuantificador_TP15"/>
      <sheetName val="Datos_por_región15"/>
      <sheetName val="Cuantificador_Total_país15"/>
      <sheetName val="actual_Nov0213"/>
      <sheetName val="Cuantificador%20Total%20país_12"/>
      <sheetName val="POST_PAUTA_TOTAL_Rat_Canales_11"/>
      <sheetName val="Rk_Tv_II5"/>
      <sheetName val="_5"/>
      <sheetName val="CONSOLIDADO_VARIABLES5"/>
      <sheetName val="RESUMEN_5"/>
      <sheetName val="CONSUMOS_DE_MEDIOS_5"/>
      <sheetName val="Rankeo_TV5"/>
      <sheetName val="TV_NACIONAL5"/>
      <sheetName val="RK_PR5"/>
      <sheetName val="Rankeos_Radio5"/>
      <sheetName val="Rat_M25-64C2C33"/>
      <sheetName val="Rat_H25-64ABCD3"/>
      <sheetName val="Rat_HM18-24ABC3"/>
      <sheetName val="Rat_HM25-49ABC1C23"/>
      <sheetName val="Rat_HM25-64ABC3"/>
      <sheetName val="Rat_M25-64ABC3"/>
      <sheetName val="Rat_HM25-64ABCD3"/>
      <sheetName val="res_rat3"/>
      <sheetName val="Tarifas_Febrero_20133"/>
      <sheetName val="RESUMEN_FLOW3"/>
      <sheetName val="TV_3"/>
      <sheetName val="Rankeo_Radio_Ciudades3"/>
      <sheetName val="CPM_(2)2"/>
      <sheetName val="#G_O_2"/>
      <sheetName val="Channel_Mix"/>
      <sheetName val="Cuantificador_TP16"/>
      <sheetName val="Datos_por_región16"/>
      <sheetName val="Cuantificador_Total_país16"/>
      <sheetName val="actual_Nov0214"/>
      <sheetName val="Cuantificador%20Total%20país_13"/>
      <sheetName val="POST_PAUTA_TOTAL_Rat_Canales_12"/>
      <sheetName val="Rk_Tv_II6"/>
      <sheetName val="_6"/>
      <sheetName val="CONSOLIDADO_VARIABLES6"/>
      <sheetName val="RESUMEN_6"/>
      <sheetName val="CONSUMOS_DE_MEDIOS_6"/>
      <sheetName val="Rankeo_TV6"/>
      <sheetName val="TV_NACIONAL6"/>
      <sheetName val="RK_PR6"/>
      <sheetName val="Rankeos_Radio6"/>
      <sheetName val="Rat_M25-64C2C34"/>
      <sheetName val="Rat_H25-64ABCD4"/>
      <sheetName val="Rat_HM18-24ABC4"/>
      <sheetName val="Rat_HM25-49ABC1C24"/>
      <sheetName val="Rat_HM25-64ABC4"/>
      <sheetName val="Rat_M25-64ABC4"/>
      <sheetName val="Rat_HM25-64ABCD4"/>
      <sheetName val="res_rat4"/>
      <sheetName val="Tarifas_Febrero_20134"/>
      <sheetName val="RESUMEN_FLOW4"/>
      <sheetName val="TV_4"/>
      <sheetName val="Rankeo_Radio_Ciudades4"/>
      <sheetName val="CPM_(2)3"/>
      <sheetName val="#G_O_3"/>
      <sheetName val="Cuantificador_TP17"/>
      <sheetName val="Datos_por_región17"/>
      <sheetName val="Cuantificador_Total_país17"/>
      <sheetName val="actual_Nov0215"/>
      <sheetName val="Cuantificador%20Total%20país_14"/>
      <sheetName val="POST_PAUTA_TOTAL_Rat_Canales_13"/>
      <sheetName val="Rk_Tv_II7"/>
      <sheetName val="_7"/>
      <sheetName val="CONSOLIDADO_VARIABLES7"/>
      <sheetName val="RESUMEN_7"/>
      <sheetName val="CONSUMOS_DE_MEDIOS_7"/>
      <sheetName val="Rankeo_TV7"/>
      <sheetName val="TV_NACIONAL7"/>
      <sheetName val="RK_PR7"/>
      <sheetName val="Rankeos_Radio7"/>
      <sheetName val="Rat_M25-64C2C35"/>
      <sheetName val="Rat_H25-64ABCD5"/>
      <sheetName val="Rat_HM18-24ABC5"/>
      <sheetName val="Rat_HM25-49ABC1C25"/>
      <sheetName val="Rat_HM25-64ABC5"/>
      <sheetName val="Rat_M25-64ABC5"/>
      <sheetName val="Rat_HM25-64ABCD5"/>
      <sheetName val="res_rat5"/>
      <sheetName val="Tarifas_Febrero_20135"/>
      <sheetName val="RESUMEN_FLOW5"/>
      <sheetName val="TV_5"/>
      <sheetName val="Rankeo_Radio_Ciudades5"/>
      <sheetName val="CPM_(2)4"/>
      <sheetName val="#G_O_4"/>
      <sheetName val="Channel_Mix1"/>
      <sheetName val="VPS"/>
      <sheetName val="module1"/>
    </sheetNames>
    <sheetDataSet>
      <sheetData sheetId="0">
        <row r="5">
          <cell r="C5" t="str">
            <v>Total país</v>
          </cell>
        </row>
      </sheetData>
      <sheetData sheetId="1">
        <row r="5">
          <cell r="C5" t="str">
            <v>Total país</v>
          </cell>
        </row>
      </sheetData>
      <sheetData sheetId="2" refreshError="1">
        <row r="5">
          <cell r="C5" t="str">
            <v>Total país</v>
          </cell>
          <cell r="D5" t="str">
            <v>0</v>
          </cell>
          <cell r="E5" t="str">
            <v>4</v>
          </cell>
          <cell r="F5">
            <v>1151076</v>
          </cell>
          <cell r="G5">
            <v>7.6147319126500398E-2</v>
          </cell>
          <cell r="H5">
            <v>585999</v>
          </cell>
          <cell r="I5">
            <v>7.8681927764227722E-2</v>
          </cell>
          <cell r="J5">
            <v>565077</v>
          </cell>
          <cell r="K5">
            <v>7.3685768457399783E-2</v>
          </cell>
        </row>
        <row r="6">
          <cell r="C6" t="str">
            <v>Total país</v>
          </cell>
          <cell r="D6">
            <v>5</v>
          </cell>
          <cell r="E6">
            <v>9</v>
          </cell>
          <cell r="F6">
            <v>1316598</v>
          </cell>
          <cell r="G6">
            <v>8.7097123098137885E-2</v>
          </cell>
          <cell r="H6">
            <v>670674</v>
          </cell>
          <cell r="I6">
            <v>9.0051217188673816E-2</v>
          </cell>
          <cell r="J6">
            <v>645924</v>
          </cell>
          <cell r="K6">
            <v>8.4228178292653028E-2</v>
          </cell>
        </row>
        <row r="7">
          <cell r="C7" t="str">
            <v>Total país</v>
          </cell>
          <cell r="D7">
            <v>10</v>
          </cell>
          <cell r="E7">
            <v>14</v>
          </cell>
          <cell r="F7">
            <v>1422452</v>
          </cell>
          <cell r="G7">
            <v>9.4099700094632102E-2</v>
          </cell>
          <cell r="H7">
            <v>725364</v>
          </cell>
          <cell r="I7">
            <v>9.7394428746075123E-2</v>
          </cell>
          <cell r="J7">
            <v>697088</v>
          </cell>
          <cell r="K7">
            <v>9.0899939233824598E-2</v>
          </cell>
        </row>
        <row r="8">
          <cell r="C8" t="str">
            <v>Total país</v>
          </cell>
          <cell r="D8">
            <v>15</v>
          </cell>
          <cell r="E8">
            <v>19</v>
          </cell>
          <cell r="F8">
            <v>1280089</v>
          </cell>
          <cell r="G8">
            <v>8.4681937242478134E-2</v>
          </cell>
          <cell r="H8">
            <v>651713</v>
          </cell>
          <cell r="I8">
            <v>8.7505328829926579E-2</v>
          </cell>
          <cell r="J8">
            <v>628376</v>
          </cell>
          <cell r="K8">
            <v>8.1939927550027769E-2</v>
          </cell>
        </row>
        <row r="9">
          <cell r="C9" t="str">
            <v>Total país</v>
          </cell>
          <cell r="D9">
            <v>20</v>
          </cell>
          <cell r="E9">
            <v>24</v>
          </cell>
          <cell r="F9">
            <v>1201426</v>
          </cell>
          <cell r="G9">
            <v>7.9478130921741802E-2</v>
          </cell>
          <cell r="H9">
            <v>605430</v>
          </cell>
          <cell r="I9">
            <v>8.129092289627865E-2</v>
          </cell>
          <cell r="J9">
            <v>595996</v>
          </cell>
          <cell r="K9">
            <v>7.7717591155783083E-2</v>
          </cell>
        </row>
        <row r="10">
          <cell r="C10" t="str">
            <v>Total país</v>
          </cell>
          <cell r="D10">
            <v>25</v>
          </cell>
          <cell r="E10">
            <v>29</v>
          </cell>
          <cell r="F10">
            <v>1192724</v>
          </cell>
          <cell r="G10">
            <v>7.8902466090715176E-2</v>
          </cell>
          <cell r="H10">
            <v>593539</v>
          </cell>
          <cell r="I10">
            <v>7.9694321531695381E-2</v>
          </cell>
          <cell r="J10">
            <v>599185</v>
          </cell>
          <cell r="K10">
            <v>7.8133435218823433E-2</v>
          </cell>
        </row>
        <row r="11">
          <cell r="C11" t="str">
            <v>Total país</v>
          </cell>
          <cell r="D11">
            <v>30</v>
          </cell>
          <cell r="E11">
            <v>34</v>
          </cell>
          <cell r="F11">
            <v>1200191</v>
          </cell>
          <cell r="G11">
            <v>7.9396431764500036E-2</v>
          </cell>
          <cell r="H11">
            <v>594484</v>
          </cell>
          <cell r="I11">
            <v>7.9821206426954922E-2</v>
          </cell>
          <cell r="J11">
            <v>605707</v>
          </cell>
          <cell r="K11">
            <v>7.8983900875502361E-2</v>
          </cell>
        </row>
        <row r="12">
          <cell r="C12" t="str">
            <v>Total país</v>
          </cell>
          <cell r="D12">
            <v>35</v>
          </cell>
          <cell r="E12">
            <v>39</v>
          </cell>
          <cell r="F12">
            <v>1235000</v>
          </cell>
          <cell r="G12">
            <v>8.1699157241770293E-2</v>
          </cell>
          <cell r="H12">
            <v>605957</v>
          </cell>
          <cell r="I12">
            <v>8.1361683044217037E-2</v>
          </cell>
          <cell r="J12">
            <v>629043</v>
          </cell>
          <cell r="K12">
            <v>8.2026904028562705E-2</v>
          </cell>
        </row>
        <row r="13">
          <cell r="C13" t="str">
            <v>Total país</v>
          </cell>
          <cell r="D13">
            <v>40</v>
          </cell>
          <cell r="E13">
            <v>44</v>
          </cell>
          <cell r="F13">
            <v>1131758</v>
          </cell>
          <cell r="G13">
            <v>7.4869372309013332E-2</v>
          </cell>
          <cell r="H13">
            <v>552928</v>
          </cell>
          <cell r="I13">
            <v>7.4241493509065559E-2</v>
          </cell>
          <cell r="J13">
            <v>578830</v>
          </cell>
          <cell r="K13">
            <v>7.5479153029050408E-2</v>
          </cell>
        </row>
        <row r="14">
          <cell r="C14" t="str">
            <v>Total país</v>
          </cell>
          <cell r="D14">
            <v>45</v>
          </cell>
          <cell r="E14">
            <v>49</v>
          </cell>
          <cell r="F14">
            <v>904666</v>
          </cell>
          <cell r="G14">
            <v>5.9846518044763861E-2</v>
          </cell>
          <cell r="H14">
            <v>441756</v>
          </cell>
          <cell r="I14">
            <v>5.9314459037326316E-2</v>
          </cell>
          <cell r="J14">
            <v>462910</v>
          </cell>
          <cell r="K14">
            <v>6.0363240897461645E-2</v>
          </cell>
        </row>
        <row r="15">
          <cell r="C15" t="str">
            <v>Total país</v>
          </cell>
          <cell r="D15">
            <v>50</v>
          </cell>
          <cell r="E15">
            <v>54</v>
          </cell>
          <cell r="F15">
            <v>759003</v>
          </cell>
          <cell r="G15">
            <v>5.0210449752206787E-2</v>
          </cell>
          <cell r="H15">
            <v>369400</v>
          </cell>
          <cell r="I15">
            <v>4.9599238422088979E-2</v>
          </cell>
          <cell r="J15">
            <v>389603</v>
          </cell>
          <cell r="K15">
            <v>5.0804043428255487E-2</v>
          </cell>
        </row>
        <row r="16">
          <cell r="C16" t="str">
            <v>Total país</v>
          </cell>
          <cell r="D16">
            <v>55</v>
          </cell>
          <cell r="E16">
            <v>59</v>
          </cell>
          <cell r="F16">
            <v>603974</v>
          </cell>
          <cell r="G16">
            <v>3.9954790927887431E-2</v>
          </cell>
          <cell r="H16">
            <v>292402</v>
          </cell>
          <cell r="I16">
            <v>3.9260737718179922E-2</v>
          </cell>
          <cell r="J16">
            <v>311572</v>
          </cell>
          <cell r="K16">
            <v>4.0628838635812403E-2</v>
          </cell>
        </row>
        <row r="17">
          <cell r="C17" t="str">
            <v>Total país</v>
          </cell>
          <cell r="D17">
            <v>60</v>
          </cell>
          <cell r="E17">
            <v>64</v>
          </cell>
          <cell r="F17">
            <v>499902</v>
          </cell>
          <cell r="G17">
            <v>3.3070098869210897E-2</v>
          </cell>
          <cell r="H17">
            <v>235497</v>
          </cell>
          <cell r="I17">
            <v>3.1620118707868676E-2</v>
          </cell>
          <cell r="J17">
            <v>264405</v>
          </cell>
          <cell r="K17">
            <v>3.4478284568260235E-2</v>
          </cell>
        </row>
        <row r="18">
          <cell r="C18" t="str">
            <v>Total país</v>
          </cell>
          <cell r="D18">
            <v>65</v>
          </cell>
          <cell r="E18">
            <v>69</v>
          </cell>
          <cell r="F18">
            <v>399287</v>
          </cell>
          <cell r="G18">
            <v>2.641409829764756E-2</v>
          </cell>
          <cell r="H18">
            <v>184208</v>
          </cell>
          <cell r="I18">
            <v>2.4733558503671271E-2</v>
          </cell>
          <cell r="J18">
            <v>215079</v>
          </cell>
          <cell r="K18">
            <v>2.8046197941252408E-2</v>
          </cell>
        </row>
        <row r="19">
          <cell r="C19" t="str">
            <v>Total país</v>
          </cell>
          <cell r="D19">
            <v>70</v>
          </cell>
          <cell r="E19">
            <v>74</v>
          </cell>
          <cell r="F19">
            <v>348118</v>
          </cell>
          <cell r="G19">
            <v>2.302910706128793E-2</v>
          </cell>
          <cell r="H19">
            <v>153908</v>
          </cell>
          <cell r="I19">
            <v>2.0665185671539986E-2</v>
          </cell>
          <cell r="J19">
            <v>194210</v>
          </cell>
          <cell r="K19">
            <v>2.5324890399205085E-2</v>
          </cell>
        </row>
        <row r="20">
          <cell r="C20" t="str">
            <v>Total país</v>
          </cell>
          <cell r="D20">
            <v>75</v>
          </cell>
          <cell r="E20">
            <v>79</v>
          </cell>
          <cell r="F20">
            <v>219331</v>
          </cell>
          <cell r="G20">
            <v>1.4509439560319613E-2</v>
          </cell>
          <cell r="H20">
            <v>93489</v>
          </cell>
          <cell r="I20">
            <v>1.255274282848586E-2</v>
          </cell>
          <cell r="J20">
            <v>125842</v>
          </cell>
          <cell r="K20">
            <v>1.6409736149615189E-2</v>
          </cell>
        </row>
        <row r="21">
          <cell r="C21" t="str">
            <v>Total país</v>
          </cell>
          <cell r="D21">
            <v>80</v>
          </cell>
          <cell r="E21">
            <v>84</v>
          </cell>
          <cell r="F21">
            <v>137154</v>
          </cell>
          <cell r="G21">
            <v>9.0731710221358414E-3</v>
          </cell>
          <cell r="H21">
            <v>52730</v>
          </cell>
          <cell r="I21">
            <v>7.0800428857519006E-3</v>
          </cell>
          <cell r="J21">
            <v>84424</v>
          </cell>
          <cell r="K21">
            <v>1.1008848911294424E-2</v>
          </cell>
        </row>
        <row r="22">
          <cell r="C22" t="str">
            <v>Total país</v>
          </cell>
          <cell r="D22">
            <v>85</v>
          </cell>
          <cell r="E22">
            <v>89</v>
          </cell>
          <cell r="F22">
            <v>75130</v>
          </cell>
          <cell r="G22">
            <v>4.970087193177492E-3</v>
          </cell>
          <cell r="H22">
            <v>25906</v>
          </cell>
          <cell r="I22">
            <v>3.4783916366070309E-3</v>
          </cell>
          <cell r="J22">
            <v>49224</v>
          </cell>
          <cell r="K22">
            <v>6.4187858761674014E-3</v>
          </cell>
        </row>
        <row r="23">
          <cell r="C23" t="str">
            <v>Total país</v>
          </cell>
          <cell r="D23">
            <v>90</v>
          </cell>
          <cell r="E23">
            <v>94</v>
          </cell>
          <cell r="F23">
            <v>28396</v>
          </cell>
          <cell r="G23">
            <v>1.8784852380868901E-3</v>
          </cell>
          <cell r="H23">
            <v>9022</v>
          </cell>
          <cell r="I23">
            <v>1.2113815079699156E-3</v>
          </cell>
          <cell r="J23">
            <v>19374</v>
          </cell>
          <cell r="K23">
            <v>2.5263602625724695E-3</v>
          </cell>
        </row>
        <row r="24">
          <cell r="C24" t="str">
            <v>Total país</v>
          </cell>
          <cell r="D24">
            <v>95</v>
          </cell>
          <cell r="E24">
            <v>99</v>
          </cell>
          <cell r="F24">
            <v>9019</v>
          </cell>
          <cell r="G24">
            <v>5.9663538393807804E-4</v>
          </cell>
          <cell r="H24">
            <v>2817</v>
          </cell>
          <cell r="I24">
            <v>3.7823783063081935E-4</v>
          </cell>
          <cell r="J24">
            <v>6202</v>
          </cell>
          <cell r="K24">
            <v>8.0873781090505092E-4</v>
          </cell>
        </row>
        <row r="25">
          <cell r="C25" t="str">
            <v>Total país</v>
          </cell>
          <cell r="D25">
            <v>100</v>
          </cell>
          <cell r="E25">
            <v>104</v>
          </cell>
          <cell r="F25">
            <v>813</v>
          </cell>
          <cell r="G25">
            <v>5.378252213567551E-5</v>
          </cell>
          <cell r="H25">
            <v>297</v>
          </cell>
          <cell r="I25">
            <v>3.987810993871258E-5</v>
          </cell>
          <cell r="J25">
            <v>516</v>
          </cell>
          <cell r="K25">
            <v>6.728615131038476E-5</v>
          </cell>
        </row>
        <row r="26">
          <cell r="C26" t="str">
            <v>Total país</v>
          </cell>
          <cell r="D26">
            <v>105</v>
          </cell>
          <cell r="E26">
            <v>109</v>
          </cell>
          <cell r="F26">
            <v>328</v>
          </cell>
          <cell r="G26">
            <v>2.1698237712794054E-5</v>
          </cell>
          <cell r="H26">
            <v>175</v>
          </cell>
          <cell r="I26">
            <v>2.3497202825840747E-5</v>
          </cell>
          <cell r="J26">
            <v>153</v>
          </cell>
          <cell r="K26">
            <v>1.9951126260637341E-5</v>
          </cell>
        </row>
        <row r="27">
          <cell r="C27" t="str">
            <v>Total</v>
          </cell>
          <cell r="F27">
            <v>15116435</v>
          </cell>
          <cell r="H27">
            <v>7447695</v>
          </cell>
          <cell r="J27">
            <v>7668740</v>
          </cell>
        </row>
        <row r="32">
          <cell r="D32" t="str">
            <v>ABC1</v>
          </cell>
          <cell r="E32">
            <v>4.6605270105634568E-2</v>
          </cell>
        </row>
        <row r="33">
          <cell r="D33" t="str">
            <v>ABC1C2</v>
          </cell>
          <cell r="E33">
            <v>0.1607887319091823</v>
          </cell>
        </row>
        <row r="34">
          <cell r="D34" t="str">
            <v>ABC</v>
          </cell>
          <cell r="E34">
            <v>0.43267616959698663</v>
          </cell>
        </row>
        <row r="35">
          <cell r="D35" t="str">
            <v>ABCD</v>
          </cell>
          <cell r="E35">
            <v>0.85988313851773956</v>
          </cell>
        </row>
        <row r="36">
          <cell r="D36" t="str">
            <v>C2</v>
          </cell>
          <cell r="E36">
            <v>0.11418346180354773</v>
          </cell>
        </row>
        <row r="37">
          <cell r="D37" t="str">
            <v>C2C3</v>
          </cell>
          <cell r="E37">
            <v>0.38607089949135209</v>
          </cell>
        </row>
        <row r="38">
          <cell r="D38" t="str">
            <v>C2C3D</v>
          </cell>
          <cell r="E38">
            <v>0.81327786841210492</v>
          </cell>
        </row>
        <row r="39">
          <cell r="D39" t="str">
            <v>C3</v>
          </cell>
          <cell r="E39">
            <v>0.27188743768780432</v>
          </cell>
        </row>
        <row r="40">
          <cell r="D40" t="str">
            <v>C3D</v>
          </cell>
          <cell r="E40">
            <v>0.69909440660855726</v>
          </cell>
        </row>
        <row r="41">
          <cell r="D41" t="str">
            <v>D</v>
          </cell>
          <cell r="E41">
            <v>0.42720696892075288</v>
          </cell>
        </row>
      </sheetData>
      <sheetData sheetId="3">
        <row r="5">
          <cell r="C5" t="str">
            <v>Total país</v>
          </cell>
        </row>
      </sheetData>
      <sheetData sheetId="4">
        <row r="5">
          <cell r="C5" t="str">
            <v>Total país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5">
          <cell r="C5" t="str">
            <v>Total país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5">
          <cell r="C5" t="str">
            <v>Total país</v>
          </cell>
        </row>
      </sheetData>
      <sheetData sheetId="49">
        <row r="5">
          <cell r="C5" t="str">
            <v>Total país</v>
          </cell>
        </row>
      </sheetData>
      <sheetData sheetId="50">
        <row r="5">
          <cell r="C5" t="str">
            <v>Total país</v>
          </cell>
        </row>
      </sheetData>
      <sheetData sheetId="51">
        <row r="5">
          <cell r="C5" t="str">
            <v>Total país</v>
          </cell>
        </row>
      </sheetData>
      <sheetData sheetId="52">
        <row r="5">
          <cell r="C5" t="str">
            <v>Total país</v>
          </cell>
        </row>
      </sheetData>
      <sheetData sheetId="53">
        <row r="5">
          <cell r="C5" t="str">
            <v>Total país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 t="str">
            <v>Total país</v>
          </cell>
        </row>
      </sheetData>
      <sheetData sheetId="79">
        <row r="5">
          <cell r="C5" t="str">
            <v>Total país</v>
          </cell>
        </row>
      </sheetData>
      <sheetData sheetId="80"/>
      <sheetData sheetId="81">
        <row r="12">
          <cell r="C12">
            <v>0</v>
          </cell>
        </row>
      </sheetData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>
        <row r="5">
          <cell r="C5" t="str">
            <v>Total país</v>
          </cell>
        </row>
      </sheetData>
      <sheetData sheetId="99">
        <row r="5">
          <cell r="C5" t="str">
            <v>Total país</v>
          </cell>
        </row>
      </sheetData>
      <sheetData sheetId="100">
        <row r="5">
          <cell r="C5" t="str">
            <v>Total país</v>
          </cell>
        </row>
      </sheetData>
      <sheetData sheetId="101">
        <row r="5">
          <cell r="C5" t="str">
            <v>Total país</v>
          </cell>
        </row>
      </sheetData>
      <sheetData sheetId="102">
        <row r="5">
          <cell r="C5" t="str">
            <v>Total país</v>
          </cell>
        </row>
      </sheetData>
      <sheetData sheetId="103">
        <row r="5">
          <cell r="C5" t="str">
            <v>Total país</v>
          </cell>
        </row>
      </sheetData>
      <sheetData sheetId="104">
        <row r="5">
          <cell r="C5" t="str">
            <v>Total país</v>
          </cell>
        </row>
      </sheetData>
      <sheetData sheetId="105">
        <row r="5">
          <cell r="C5" t="str">
            <v>Total país</v>
          </cell>
        </row>
      </sheetData>
      <sheetData sheetId="106">
        <row r="5">
          <cell r="C5" t="str">
            <v>Total país</v>
          </cell>
        </row>
      </sheetData>
      <sheetData sheetId="107">
        <row r="5">
          <cell r="C5" t="str">
            <v>Total país</v>
          </cell>
        </row>
      </sheetData>
      <sheetData sheetId="108">
        <row r="5">
          <cell r="C5" t="str">
            <v>Total país</v>
          </cell>
        </row>
      </sheetData>
      <sheetData sheetId="109">
        <row r="5">
          <cell r="C5" t="str">
            <v>Total país</v>
          </cell>
        </row>
      </sheetData>
      <sheetData sheetId="110">
        <row r="5">
          <cell r="C5" t="str">
            <v>Total país</v>
          </cell>
        </row>
      </sheetData>
      <sheetData sheetId="111">
        <row r="5">
          <cell r="C5" t="str">
            <v>Total país</v>
          </cell>
        </row>
      </sheetData>
      <sheetData sheetId="112">
        <row r="5">
          <cell r="C5" t="str">
            <v>Total país</v>
          </cell>
        </row>
      </sheetData>
      <sheetData sheetId="113">
        <row r="5">
          <cell r="C5" t="str">
            <v>Total país</v>
          </cell>
        </row>
      </sheetData>
      <sheetData sheetId="114">
        <row r="5">
          <cell r="C5" t="str">
            <v>Total país</v>
          </cell>
        </row>
      </sheetData>
      <sheetData sheetId="115">
        <row r="5">
          <cell r="C5" t="str">
            <v>Total país</v>
          </cell>
        </row>
      </sheetData>
      <sheetData sheetId="116">
        <row r="5">
          <cell r="C5" t="str">
            <v>Total país</v>
          </cell>
        </row>
      </sheetData>
      <sheetData sheetId="117">
        <row r="5">
          <cell r="C5" t="str">
            <v>Total país</v>
          </cell>
        </row>
      </sheetData>
      <sheetData sheetId="118">
        <row r="5">
          <cell r="C5" t="str">
            <v>Total país</v>
          </cell>
        </row>
      </sheetData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>
        <row r="5">
          <cell r="C5" t="str">
            <v>Total país</v>
          </cell>
        </row>
      </sheetData>
      <sheetData sheetId="125">
        <row r="5">
          <cell r="C5" t="str">
            <v>Total país</v>
          </cell>
        </row>
      </sheetData>
      <sheetData sheetId="126">
        <row r="5">
          <cell r="C5" t="str">
            <v>Total país</v>
          </cell>
        </row>
      </sheetData>
      <sheetData sheetId="127">
        <row r="5">
          <cell r="C5" t="str">
            <v>Total país</v>
          </cell>
        </row>
      </sheetData>
      <sheetData sheetId="128">
        <row r="5">
          <cell r="C5" t="str">
            <v>Total país</v>
          </cell>
        </row>
      </sheetData>
      <sheetData sheetId="129">
        <row r="5">
          <cell r="C5" t="str">
            <v>Total país</v>
          </cell>
        </row>
      </sheetData>
      <sheetData sheetId="130">
        <row r="5">
          <cell r="C5" t="str">
            <v>Total país</v>
          </cell>
        </row>
      </sheetData>
      <sheetData sheetId="131">
        <row r="5">
          <cell r="C5" t="str">
            <v>Total país</v>
          </cell>
        </row>
      </sheetData>
      <sheetData sheetId="132">
        <row r="5">
          <cell r="C5" t="str">
            <v>Total país</v>
          </cell>
        </row>
      </sheetData>
      <sheetData sheetId="133">
        <row r="5">
          <cell r="C5" t="str">
            <v>Total país</v>
          </cell>
        </row>
      </sheetData>
      <sheetData sheetId="134">
        <row r="5">
          <cell r="C5" t="str">
            <v>Total país</v>
          </cell>
        </row>
      </sheetData>
      <sheetData sheetId="135">
        <row r="5">
          <cell r="C5" t="str">
            <v>Total país</v>
          </cell>
        </row>
      </sheetData>
      <sheetData sheetId="136">
        <row r="5">
          <cell r="C5" t="str">
            <v>Total país</v>
          </cell>
        </row>
      </sheetData>
      <sheetData sheetId="137">
        <row r="5">
          <cell r="C5" t="str">
            <v>Total país</v>
          </cell>
        </row>
      </sheetData>
      <sheetData sheetId="138">
        <row r="5">
          <cell r="C5" t="str">
            <v>Total país</v>
          </cell>
        </row>
      </sheetData>
      <sheetData sheetId="139">
        <row r="5">
          <cell r="C5" t="str">
            <v>Total país</v>
          </cell>
        </row>
      </sheetData>
      <sheetData sheetId="140">
        <row r="5">
          <cell r="C5" t="str">
            <v>Total país</v>
          </cell>
        </row>
      </sheetData>
      <sheetData sheetId="141">
        <row r="5">
          <cell r="C5" t="str">
            <v>Total país</v>
          </cell>
        </row>
      </sheetData>
      <sheetData sheetId="142">
        <row r="5">
          <cell r="C5" t="str">
            <v>Total país</v>
          </cell>
        </row>
      </sheetData>
      <sheetData sheetId="143">
        <row r="5">
          <cell r="C5">
            <v>43903</v>
          </cell>
        </row>
      </sheetData>
      <sheetData sheetId="144">
        <row r="5">
          <cell r="C5">
            <v>43903</v>
          </cell>
        </row>
      </sheetData>
      <sheetData sheetId="145">
        <row r="5">
          <cell r="C5" t="str">
            <v>Total país</v>
          </cell>
        </row>
      </sheetData>
      <sheetData sheetId="146">
        <row r="5">
          <cell r="C5" t="str">
            <v>Total país</v>
          </cell>
        </row>
      </sheetData>
      <sheetData sheetId="147">
        <row r="5">
          <cell r="C5" t="str">
            <v>Total país</v>
          </cell>
        </row>
      </sheetData>
      <sheetData sheetId="148" refreshError="1"/>
      <sheetData sheetId="149">
        <row r="5">
          <cell r="C5">
            <v>43903</v>
          </cell>
        </row>
      </sheetData>
      <sheetData sheetId="150">
        <row r="5">
          <cell r="C5">
            <v>43903</v>
          </cell>
        </row>
      </sheetData>
      <sheetData sheetId="151">
        <row r="5">
          <cell r="C5">
            <v>43903</v>
          </cell>
        </row>
      </sheetData>
      <sheetData sheetId="152">
        <row r="5">
          <cell r="C5">
            <v>43903</v>
          </cell>
        </row>
      </sheetData>
      <sheetData sheetId="153">
        <row r="5">
          <cell r="C5">
            <v>43903</v>
          </cell>
        </row>
      </sheetData>
      <sheetData sheetId="154">
        <row r="5">
          <cell r="C5">
            <v>43903</v>
          </cell>
        </row>
      </sheetData>
      <sheetData sheetId="155">
        <row r="5">
          <cell r="C5">
            <v>43903</v>
          </cell>
        </row>
      </sheetData>
      <sheetData sheetId="156">
        <row r="5">
          <cell r="C5">
            <v>43903</v>
          </cell>
        </row>
      </sheetData>
      <sheetData sheetId="157">
        <row r="5">
          <cell r="C5">
            <v>43903</v>
          </cell>
        </row>
      </sheetData>
      <sheetData sheetId="158">
        <row r="5">
          <cell r="C5">
            <v>43903</v>
          </cell>
        </row>
      </sheetData>
      <sheetData sheetId="159">
        <row r="5">
          <cell r="C5">
            <v>43903</v>
          </cell>
        </row>
      </sheetData>
      <sheetData sheetId="160">
        <row r="5">
          <cell r="C5">
            <v>43903</v>
          </cell>
        </row>
      </sheetData>
      <sheetData sheetId="161">
        <row r="5">
          <cell r="C5">
            <v>43903</v>
          </cell>
        </row>
      </sheetData>
      <sheetData sheetId="162">
        <row r="5">
          <cell r="C5">
            <v>43903</v>
          </cell>
        </row>
      </sheetData>
      <sheetData sheetId="163">
        <row r="5">
          <cell r="C5">
            <v>43903</v>
          </cell>
        </row>
      </sheetData>
      <sheetData sheetId="164" refreshError="1"/>
      <sheetData sheetId="165">
        <row r="5">
          <cell r="C5">
            <v>43903</v>
          </cell>
        </row>
      </sheetData>
      <sheetData sheetId="166">
        <row r="5">
          <cell r="C5">
            <v>43903</v>
          </cell>
        </row>
      </sheetData>
      <sheetData sheetId="167">
        <row r="5">
          <cell r="C5">
            <v>43903</v>
          </cell>
        </row>
      </sheetData>
      <sheetData sheetId="168">
        <row r="5">
          <cell r="C5">
            <v>43903</v>
          </cell>
        </row>
      </sheetData>
      <sheetData sheetId="169">
        <row r="5">
          <cell r="C5">
            <v>43903</v>
          </cell>
        </row>
      </sheetData>
      <sheetData sheetId="170">
        <row r="5">
          <cell r="C5">
            <v>43903</v>
          </cell>
        </row>
      </sheetData>
      <sheetData sheetId="171">
        <row r="5">
          <cell r="C5">
            <v>43903</v>
          </cell>
        </row>
      </sheetData>
      <sheetData sheetId="172">
        <row r="5">
          <cell r="C5">
            <v>43903</v>
          </cell>
        </row>
      </sheetData>
      <sheetData sheetId="173" refreshError="1"/>
      <sheetData sheetId="174" refreshError="1"/>
      <sheetData sheetId="175" refreshError="1"/>
      <sheetData sheetId="176">
        <row r="5">
          <cell r="C5" t="str">
            <v>Total país</v>
          </cell>
        </row>
      </sheetData>
      <sheetData sheetId="177">
        <row r="5">
          <cell r="C5" t="str">
            <v>Total país</v>
          </cell>
        </row>
      </sheetData>
      <sheetData sheetId="178"/>
      <sheetData sheetId="179"/>
      <sheetData sheetId="180"/>
      <sheetData sheetId="181">
        <row r="5">
          <cell r="C5" t="str">
            <v>Total país</v>
          </cell>
        </row>
      </sheetData>
      <sheetData sheetId="182"/>
      <sheetData sheetId="183">
        <row r="5">
          <cell r="C5" t="str">
            <v>Total país</v>
          </cell>
        </row>
      </sheetData>
      <sheetData sheetId="184">
        <row r="5">
          <cell r="C5" t="str">
            <v>Total país</v>
          </cell>
        </row>
      </sheetData>
      <sheetData sheetId="185">
        <row r="5">
          <cell r="C5" t="str">
            <v>Total país</v>
          </cell>
        </row>
      </sheetData>
      <sheetData sheetId="186">
        <row r="5">
          <cell r="C5" t="str">
            <v>Total país</v>
          </cell>
        </row>
      </sheetData>
      <sheetData sheetId="187">
        <row r="5">
          <cell r="C5" t="str">
            <v>Total país</v>
          </cell>
        </row>
      </sheetData>
      <sheetData sheetId="188">
        <row r="5">
          <cell r="C5" t="str">
            <v>Total país</v>
          </cell>
        </row>
      </sheetData>
      <sheetData sheetId="189">
        <row r="5">
          <cell r="C5">
            <v>43903</v>
          </cell>
        </row>
      </sheetData>
      <sheetData sheetId="190">
        <row r="5">
          <cell r="C5" t="str">
            <v>Total país</v>
          </cell>
        </row>
      </sheetData>
      <sheetData sheetId="191">
        <row r="5">
          <cell r="C5">
            <v>43903</v>
          </cell>
        </row>
      </sheetData>
      <sheetData sheetId="192">
        <row r="5">
          <cell r="C5">
            <v>43903</v>
          </cell>
        </row>
      </sheetData>
      <sheetData sheetId="193">
        <row r="5">
          <cell r="C5">
            <v>43903</v>
          </cell>
        </row>
      </sheetData>
      <sheetData sheetId="194" refreshError="1"/>
      <sheetData sheetId="195">
        <row r="5">
          <cell r="C5" t="str">
            <v>Total país</v>
          </cell>
        </row>
      </sheetData>
      <sheetData sheetId="196">
        <row r="5">
          <cell r="C5" t="str">
            <v>Total país</v>
          </cell>
        </row>
      </sheetData>
      <sheetData sheetId="197"/>
      <sheetData sheetId="198"/>
      <sheetData sheetId="199"/>
      <sheetData sheetId="200">
        <row r="5">
          <cell r="C5" t="str">
            <v>Total país</v>
          </cell>
        </row>
      </sheetData>
      <sheetData sheetId="201"/>
      <sheetData sheetId="202">
        <row r="5">
          <cell r="C5" t="str">
            <v>Total país</v>
          </cell>
        </row>
      </sheetData>
      <sheetData sheetId="203">
        <row r="5">
          <cell r="C5" t="str">
            <v>Total país</v>
          </cell>
        </row>
      </sheetData>
      <sheetData sheetId="204">
        <row r="5">
          <cell r="C5" t="str">
            <v>Total país</v>
          </cell>
        </row>
      </sheetData>
      <sheetData sheetId="205">
        <row r="5">
          <cell r="C5" t="str">
            <v>Total país</v>
          </cell>
        </row>
      </sheetData>
      <sheetData sheetId="206">
        <row r="5">
          <cell r="C5" t="str">
            <v>Total país</v>
          </cell>
        </row>
      </sheetData>
      <sheetData sheetId="207">
        <row r="5">
          <cell r="C5" t="str">
            <v>Total país</v>
          </cell>
        </row>
      </sheetData>
      <sheetData sheetId="208">
        <row r="5">
          <cell r="C5" t="str">
            <v>Total país</v>
          </cell>
        </row>
      </sheetData>
      <sheetData sheetId="209">
        <row r="5">
          <cell r="C5" t="str">
            <v>Total país</v>
          </cell>
        </row>
      </sheetData>
      <sheetData sheetId="210">
        <row r="5">
          <cell r="C5" t="str">
            <v>Total país</v>
          </cell>
        </row>
      </sheetData>
      <sheetData sheetId="211">
        <row r="5">
          <cell r="C5" t="str">
            <v>Total país</v>
          </cell>
        </row>
      </sheetData>
      <sheetData sheetId="212">
        <row r="5">
          <cell r="C5" t="str">
            <v>Total país</v>
          </cell>
        </row>
      </sheetData>
      <sheetData sheetId="213">
        <row r="5">
          <cell r="C5" t="str">
            <v>Total país</v>
          </cell>
        </row>
      </sheetData>
      <sheetData sheetId="214">
        <row r="5">
          <cell r="C5" t="str">
            <v>Total país</v>
          </cell>
        </row>
      </sheetData>
      <sheetData sheetId="215">
        <row r="5">
          <cell r="C5" t="str">
            <v>Total país</v>
          </cell>
        </row>
      </sheetData>
      <sheetData sheetId="216">
        <row r="5">
          <cell r="C5" t="str">
            <v>Total país</v>
          </cell>
        </row>
      </sheetData>
      <sheetData sheetId="217">
        <row r="5">
          <cell r="C5" t="str">
            <v>Total país</v>
          </cell>
        </row>
      </sheetData>
      <sheetData sheetId="218">
        <row r="5">
          <cell r="C5" t="str">
            <v>Total país</v>
          </cell>
        </row>
      </sheetData>
      <sheetData sheetId="219">
        <row r="5">
          <cell r="C5">
            <v>43903</v>
          </cell>
        </row>
      </sheetData>
      <sheetData sheetId="220">
        <row r="5">
          <cell r="C5">
            <v>43903</v>
          </cell>
        </row>
      </sheetData>
      <sheetData sheetId="221">
        <row r="5">
          <cell r="C5">
            <v>43903</v>
          </cell>
        </row>
      </sheetData>
      <sheetData sheetId="222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/>
      <sheetData sheetId="235">
        <row r="5">
          <cell r="C5" t="str">
            <v>Total país</v>
          </cell>
        </row>
      </sheetData>
      <sheetData sheetId="236">
        <row r="5">
          <cell r="C5" t="str">
            <v>Total país</v>
          </cell>
        </row>
      </sheetData>
      <sheetData sheetId="237"/>
      <sheetData sheetId="238"/>
      <sheetData sheetId="239"/>
      <sheetData sheetId="240">
        <row r="5">
          <cell r="C5" t="str">
            <v>Total país</v>
          </cell>
        </row>
      </sheetData>
      <sheetData sheetId="241"/>
      <sheetData sheetId="242">
        <row r="5">
          <cell r="C5" t="str">
            <v>Total país</v>
          </cell>
        </row>
      </sheetData>
      <sheetData sheetId="243">
        <row r="5">
          <cell r="C5" t="str">
            <v>Total país</v>
          </cell>
        </row>
      </sheetData>
      <sheetData sheetId="244">
        <row r="5">
          <cell r="C5" t="str">
            <v>Total país</v>
          </cell>
        </row>
      </sheetData>
      <sheetData sheetId="245">
        <row r="5">
          <cell r="C5" t="str">
            <v>Total país</v>
          </cell>
        </row>
      </sheetData>
      <sheetData sheetId="246">
        <row r="5">
          <cell r="C5" t="str">
            <v>Total país</v>
          </cell>
        </row>
      </sheetData>
      <sheetData sheetId="247">
        <row r="5">
          <cell r="C5" t="str">
            <v>Total país</v>
          </cell>
        </row>
      </sheetData>
      <sheetData sheetId="248">
        <row r="5">
          <cell r="C5" t="str">
            <v>Total país</v>
          </cell>
        </row>
      </sheetData>
      <sheetData sheetId="249">
        <row r="5">
          <cell r="C5" t="str">
            <v>Total país</v>
          </cell>
        </row>
      </sheetData>
      <sheetData sheetId="250">
        <row r="5">
          <cell r="C5">
            <v>43903</v>
          </cell>
        </row>
      </sheetData>
      <sheetData sheetId="251">
        <row r="5">
          <cell r="C5">
            <v>43903</v>
          </cell>
        </row>
      </sheetData>
      <sheetData sheetId="252">
        <row r="5">
          <cell r="C5" t="str">
            <v>Total país</v>
          </cell>
        </row>
      </sheetData>
      <sheetData sheetId="253"/>
      <sheetData sheetId="254"/>
      <sheetData sheetId="255">
        <row r="5">
          <cell r="C5" t="str">
            <v>Total país</v>
          </cell>
        </row>
      </sheetData>
      <sheetData sheetId="256">
        <row r="5">
          <cell r="C5" t="str">
            <v>Total país</v>
          </cell>
        </row>
      </sheetData>
      <sheetData sheetId="257"/>
      <sheetData sheetId="258"/>
      <sheetData sheetId="259"/>
      <sheetData sheetId="260">
        <row r="5">
          <cell r="C5" t="str">
            <v>Total país</v>
          </cell>
        </row>
      </sheetData>
      <sheetData sheetId="261"/>
      <sheetData sheetId="262">
        <row r="5">
          <cell r="C5" t="str">
            <v>Total país</v>
          </cell>
        </row>
      </sheetData>
      <sheetData sheetId="263">
        <row r="5">
          <cell r="C5" t="str">
            <v>Total país</v>
          </cell>
        </row>
      </sheetData>
      <sheetData sheetId="264">
        <row r="5">
          <cell r="C5" t="str">
            <v>Total país</v>
          </cell>
        </row>
      </sheetData>
      <sheetData sheetId="265">
        <row r="5">
          <cell r="C5" t="str">
            <v>Total país</v>
          </cell>
        </row>
      </sheetData>
      <sheetData sheetId="266">
        <row r="5">
          <cell r="C5" t="str">
            <v>Total país</v>
          </cell>
        </row>
      </sheetData>
      <sheetData sheetId="267">
        <row r="5">
          <cell r="C5" t="str">
            <v>Total país</v>
          </cell>
        </row>
      </sheetData>
      <sheetData sheetId="268">
        <row r="5">
          <cell r="C5" t="str">
            <v>Total país</v>
          </cell>
        </row>
      </sheetData>
      <sheetData sheetId="269">
        <row r="5">
          <cell r="C5" t="str">
            <v>Total país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>
        <row r="5">
          <cell r="C5" t="str">
            <v>Total país</v>
          </cell>
        </row>
      </sheetData>
      <sheetData sheetId="279">
        <row r="5">
          <cell r="C5">
            <v>43903</v>
          </cell>
        </row>
      </sheetData>
      <sheetData sheetId="280">
        <row r="5">
          <cell r="C5">
            <v>43903</v>
          </cell>
        </row>
      </sheetData>
      <sheetData sheetId="281">
        <row r="5">
          <cell r="C5">
            <v>43903</v>
          </cell>
        </row>
      </sheetData>
      <sheetData sheetId="282"/>
      <sheetData sheetId="283"/>
      <sheetData sheetId="284"/>
      <sheetData sheetId="285">
        <row r="5">
          <cell r="C5" t="str">
            <v>Total país</v>
          </cell>
        </row>
      </sheetData>
      <sheetData sheetId="286">
        <row r="5">
          <cell r="C5" t="str">
            <v>Total país</v>
          </cell>
        </row>
      </sheetData>
      <sheetData sheetId="287"/>
      <sheetData sheetId="288"/>
      <sheetData sheetId="289"/>
      <sheetData sheetId="290">
        <row r="5">
          <cell r="C5" t="str">
            <v>Total país</v>
          </cell>
        </row>
      </sheetData>
      <sheetData sheetId="291"/>
      <sheetData sheetId="292">
        <row r="5">
          <cell r="C5" t="str">
            <v>Total país</v>
          </cell>
        </row>
      </sheetData>
      <sheetData sheetId="293">
        <row r="5">
          <cell r="C5" t="str">
            <v>Total país</v>
          </cell>
        </row>
      </sheetData>
      <sheetData sheetId="294">
        <row r="5">
          <cell r="C5" t="str">
            <v>Total país</v>
          </cell>
        </row>
      </sheetData>
      <sheetData sheetId="295">
        <row r="5">
          <cell r="C5" t="str">
            <v>Total país</v>
          </cell>
        </row>
      </sheetData>
      <sheetData sheetId="296">
        <row r="5">
          <cell r="C5" t="str">
            <v>Total país</v>
          </cell>
        </row>
      </sheetData>
      <sheetData sheetId="297">
        <row r="5">
          <cell r="C5" t="str">
            <v>Total país</v>
          </cell>
        </row>
      </sheetData>
      <sheetData sheetId="298">
        <row r="5">
          <cell r="C5" t="str">
            <v>Total país</v>
          </cell>
        </row>
      </sheetData>
      <sheetData sheetId="299">
        <row r="5">
          <cell r="C5" t="str">
            <v>Total país</v>
          </cell>
        </row>
      </sheetData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>
        <row r="5">
          <cell r="C5" t="str">
            <v>Total país</v>
          </cell>
        </row>
      </sheetData>
      <sheetData sheetId="309">
        <row r="5">
          <cell r="C5">
            <v>43903</v>
          </cell>
        </row>
      </sheetData>
      <sheetData sheetId="310">
        <row r="5">
          <cell r="C5">
            <v>43903</v>
          </cell>
        </row>
      </sheetData>
      <sheetData sheetId="311">
        <row r="5">
          <cell r="C5">
            <v>43903</v>
          </cell>
        </row>
      </sheetData>
      <sheetData sheetId="312"/>
      <sheetData sheetId="313"/>
      <sheetData sheetId="314">
        <row r="5">
          <cell r="C5" t="str">
            <v>Total país</v>
          </cell>
        </row>
      </sheetData>
      <sheetData sheetId="315">
        <row r="5">
          <cell r="C5" t="str">
            <v>Total país</v>
          </cell>
        </row>
      </sheetData>
      <sheetData sheetId="316"/>
      <sheetData sheetId="317"/>
      <sheetData sheetId="318"/>
      <sheetData sheetId="319">
        <row r="5">
          <cell r="C5" t="str">
            <v>Total país</v>
          </cell>
        </row>
      </sheetData>
      <sheetData sheetId="320"/>
      <sheetData sheetId="321">
        <row r="5">
          <cell r="C5" t="str">
            <v>Total país</v>
          </cell>
        </row>
      </sheetData>
      <sheetData sheetId="322">
        <row r="5">
          <cell r="C5" t="str">
            <v>Total país</v>
          </cell>
        </row>
      </sheetData>
      <sheetData sheetId="323">
        <row r="5">
          <cell r="C5" t="str">
            <v>Total país</v>
          </cell>
        </row>
      </sheetData>
      <sheetData sheetId="324">
        <row r="5">
          <cell r="C5" t="str">
            <v>Total país</v>
          </cell>
        </row>
      </sheetData>
      <sheetData sheetId="325">
        <row r="5">
          <cell r="C5" t="str">
            <v>Total país</v>
          </cell>
        </row>
      </sheetData>
      <sheetData sheetId="326">
        <row r="5">
          <cell r="C5" t="str">
            <v>Total país</v>
          </cell>
        </row>
      </sheetData>
      <sheetData sheetId="327">
        <row r="5">
          <cell r="C5" t="str">
            <v>Total país</v>
          </cell>
        </row>
      </sheetData>
      <sheetData sheetId="328">
        <row r="5">
          <cell r="C5" t="str">
            <v>Total país</v>
          </cell>
        </row>
      </sheetData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>
        <row r="5">
          <cell r="C5" t="str">
            <v>Total país</v>
          </cell>
        </row>
      </sheetData>
      <sheetData sheetId="338">
        <row r="5">
          <cell r="C5">
            <v>43903</v>
          </cell>
        </row>
      </sheetData>
      <sheetData sheetId="339">
        <row r="5">
          <cell r="C5">
            <v>43903</v>
          </cell>
        </row>
      </sheetData>
      <sheetData sheetId="340">
        <row r="5">
          <cell r="C5">
            <v>43903</v>
          </cell>
        </row>
      </sheetData>
      <sheetData sheetId="341"/>
      <sheetData sheetId="342"/>
      <sheetData sheetId="343"/>
      <sheetData sheetId="344" refreshError="1"/>
      <sheetData sheetId="34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RM"/>
      <sheetName val="Cuantificador RM"/>
      <sheetName val="DatosTP"/>
      <sheetName val="Cuantificador TP"/>
      <sheetName val="Tarifa PLUS"/>
      <sheetName val="Tarifa Preferencial"/>
      <sheetName val="Pauta"/>
      <sheetName val="Rating1"/>
      <sheetName val="COL"/>
      <sheetName val="Cuantificador_RM"/>
      <sheetName val="Cuantificador_TP"/>
      <sheetName val="Tarifa_PLUS"/>
      <sheetName val="Tarifa_Preferencial"/>
      <sheetName val="Cuantificador_RM2"/>
      <sheetName val="Cuantificador_TP2"/>
      <sheetName val="Tarifa_PLUS2"/>
      <sheetName val="Tarifa_Preferencial2"/>
      <sheetName val="Cuantificador_RM1"/>
      <sheetName val="Cuantificador_TP1"/>
      <sheetName val="Tarifa_PLUS1"/>
      <sheetName val="Tarifa_Preferencial1"/>
      <sheetName val="Cuantificador_RM3"/>
      <sheetName val="Cuantificador_TP3"/>
      <sheetName val="Tarifa_PLUS3"/>
      <sheetName val="Tarifa_Preferencial3"/>
      <sheetName val="Bayer Aspirina"/>
      <sheetName val="Cuantificador_RM4"/>
      <sheetName val="Cuantificador_TP4"/>
      <sheetName val="Tarifa_PLUS4"/>
      <sheetName val="Tarifa_Preferencial4"/>
      <sheetName val="Bayer_Aspirina"/>
      <sheetName val="Cuantificador_RM5"/>
      <sheetName val="Cuantificador_TP5"/>
      <sheetName val="Tarifa_PLUS5"/>
      <sheetName val="Tarifa_Preferencial5"/>
      <sheetName val="Bayer_Aspirina1"/>
      <sheetName val="Cuantificador_RM6"/>
      <sheetName val="Cuantificador_TP6"/>
      <sheetName val="Tarifa_PLUS6"/>
      <sheetName val="Tarifa_Preferencial6"/>
      <sheetName val="Bayer_Aspirina2"/>
      <sheetName val="Cuantificador_RM8"/>
      <sheetName val="Cuantificador_TP8"/>
      <sheetName val="Tarifa_PLUS8"/>
      <sheetName val="Tarifa_Preferencial8"/>
      <sheetName val="Bayer_Aspirina4"/>
      <sheetName val="Cuantificador_RM7"/>
      <sheetName val="Cuantificador_TP7"/>
      <sheetName val="Tarifa_PLUS7"/>
      <sheetName val="Tarifa_Preferencial7"/>
      <sheetName val="Bayer_Aspirina3"/>
      <sheetName val="Cuantificador_RM9"/>
      <sheetName val="Cuantificador_TP9"/>
      <sheetName val="Tarifa_PLUS9"/>
      <sheetName val="Tarifa_Preferencial9"/>
      <sheetName val="Bayer_Aspirina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2">
          <cell r="J22" t="str">
            <v>TRASNOCHE</v>
          </cell>
          <cell r="K22">
            <v>0.57777777777777783</v>
          </cell>
        </row>
        <row r="25">
          <cell r="J25" t="str">
            <v>24 HORAS A LA HORAJ</v>
          </cell>
          <cell r="K25">
            <v>0.9</v>
          </cell>
        </row>
        <row r="26">
          <cell r="J26" t="str">
            <v>0,243055555555556LMWJVD</v>
          </cell>
          <cell r="K26">
            <v>0.6</v>
          </cell>
        </row>
        <row r="27">
          <cell r="J27" t="str">
            <v>ADOPTA UN FAMOSO (R)S</v>
          </cell>
          <cell r="K27">
            <v>0.4</v>
          </cell>
        </row>
        <row r="28">
          <cell r="J28" t="str">
            <v>AMERICA MIA (R)J</v>
          </cell>
          <cell r="K28">
            <v>0.7</v>
          </cell>
        </row>
        <row r="29">
          <cell r="J29" t="str">
            <v>APUESTO POR TI (R)SD</v>
          </cell>
          <cell r="K29">
            <v>0.5</v>
          </cell>
        </row>
        <row r="30">
          <cell r="J30" t="str">
            <v>CHILE CONECTADO (R)D</v>
          </cell>
          <cell r="K30">
            <v>0.4</v>
          </cell>
        </row>
        <row r="31">
          <cell r="J31" t="str">
            <v>CON QUE SUENAS (R)D</v>
          </cell>
          <cell r="K31">
            <v>0.5</v>
          </cell>
        </row>
        <row r="32">
          <cell r="J32" t="str">
            <v>DOCTOR HOUSE (R)D</v>
          </cell>
          <cell r="K32">
            <v>0.5</v>
          </cell>
        </row>
        <row r="33">
          <cell r="J33" t="str">
            <v>DUENOS DEL PARAISO MIAMI EN (RLMW</v>
          </cell>
          <cell r="K33">
            <v>0.2</v>
          </cell>
        </row>
        <row r="34">
          <cell r="J34" t="str">
            <v>EL DIA MENOS PENSADO (R)LMWJ</v>
          </cell>
          <cell r="K34">
            <v>0.3</v>
          </cell>
        </row>
      </sheetData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039DB-00F7-4D7B-9C12-4B8CA7334AFB}">
  <dimension ref="A1:BD35"/>
  <sheetViews>
    <sheetView showGridLines="0" tabSelected="1" zoomScale="66" workbookViewId="0">
      <selection activeCell="A11" sqref="A11"/>
    </sheetView>
  </sheetViews>
  <sheetFormatPr baseColWidth="10" defaultColWidth="15.453125" defaultRowHeight="13" x14ac:dyDescent="0.3"/>
  <cols>
    <col min="1" max="1" width="15.453125" style="30"/>
    <col min="2" max="2" width="26.26953125" style="28" customWidth="1"/>
    <col min="3" max="3" width="25.453125" style="28" customWidth="1"/>
    <col min="4" max="4" width="11.36328125" style="29" bestFit="1" customWidth="1"/>
    <col min="5" max="5" width="19" style="29" customWidth="1"/>
    <col min="6" max="6" width="10.26953125" style="29" customWidth="1"/>
    <col min="7" max="7" width="14.6328125" style="29" customWidth="1"/>
    <col min="8" max="8" width="15.453125" style="52" hidden="1" customWidth="1"/>
    <col min="9" max="9" width="15.453125" style="30" hidden="1" customWidth="1"/>
    <col min="10" max="11" width="15.453125" style="30" customWidth="1"/>
    <col min="12" max="22" width="16.6328125" style="30" bestFit="1" customWidth="1"/>
    <col min="23" max="23" width="15.6328125" style="30" bestFit="1" customWidth="1"/>
    <col min="24" max="16384" width="15.453125" style="30"/>
  </cols>
  <sheetData>
    <row r="1" spans="1:56" ht="14.5" x14ac:dyDescent="0.3">
      <c r="A1" s="39" t="s">
        <v>39</v>
      </c>
      <c r="B1" s="40" t="s">
        <v>45</v>
      </c>
      <c r="C1" s="71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</row>
    <row r="2" spans="1:56" ht="14.5" x14ac:dyDescent="0.3">
      <c r="A2" s="39" t="s">
        <v>40</v>
      </c>
      <c r="B2" s="40" t="s">
        <v>46</v>
      </c>
      <c r="C2" s="71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</row>
    <row r="3" spans="1:56" ht="14.5" x14ac:dyDescent="0.3">
      <c r="A3" s="39" t="s">
        <v>41</v>
      </c>
      <c r="B3" s="41" t="s">
        <v>61</v>
      </c>
      <c r="C3" s="71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</row>
    <row r="4" spans="1:56" ht="14.5" x14ac:dyDescent="0.3">
      <c r="A4" s="39" t="s">
        <v>42</v>
      </c>
      <c r="B4" s="39" t="s">
        <v>47</v>
      </c>
      <c r="C4" s="71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</row>
    <row r="5" spans="1:56" ht="14.5" x14ac:dyDescent="0.3">
      <c r="A5" s="39" t="s">
        <v>43</v>
      </c>
      <c r="B5" s="42" t="s">
        <v>62</v>
      </c>
      <c r="C5" s="71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</row>
    <row r="6" spans="1:56" s="2" customFormat="1" ht="21" x14ac:dyDescent="0.35">
      <c r="B6" s="73"/>
      <c r="C6" s="73"/>
      <c r="D6" s="1"/>
      <c r="G6" s="3"/>
      <c r="H6" s="49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</row>
    <row r="7" spans="1:56" s="4" customFormat="1" ht="16" x14ac:dyDescent="0.4">
      <c r="C7" s="5"/>
      <c r="D7" s="6"/>
      <c r="E7" s="7"/>
      <c r="F7" s="2"/>
      <c r="G7" s="3"/>
      <c r="H7" s="49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</row>
    <row r="8" spans="1:56" s="11" customFormat="1" ht="31" x14ac:dyDescent="0.3">
      <c r="B8" s="8" t="s">
        <v>63</v>
      </c>
      <c r="C8" s="9"/>
      <c r="D8" s="10"/>
      <c r="F8" s="2"/>
      <c r="G8" s="3"/>
      <c r="H8" s="49"/>
      <c r="L8" s="74" t="s">
        <v>38</v>
      </c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</row>
    <row r="9" spans="1:56" s="4" customFormat="1" ht="14.5" x14ac:dyDescent="0.35">
      <c r="B9" s="12" t="s">
        <v>0</v>
      </c>
      <c r="C9" s="13" t="s">
        <v>1</v>
      </c>
      <c r="D9" s="13" t="s">
        <v>2</v>
      </c>
      <c r="E9" s="13" t="s">
        <v>3</v>
      </c>
      <c r="F9" s="14" t="s">
        <v>4</v>
      </c>
      <c r="G9" s="31" t="s">
        <v>5</v>
      </c>
      <c r="H9" s="50"/>
      <c r="I9" s="32" t="s">
        <v>37</v>
      </c>
      <c r="J9" s="32" t="s">
        <v>155</v>
      </c>
      <c r="K9" s="32" t="s">
        <v>64</v>
      </c>
      <c r="L9" s="32" t="s">
        <v>65</v>
      </c>
      <c r="M9" s="32" t="s">
        <v>66</v>
      </c>
      <c r="N9" s="32" t="s">
        <v>67</v>
      </c>
      <c r="O9" s="32" t="s">
        <v>68</v>
      </c>
      <c r="P9" s="32" t="s">
        <v>69</v>
      </c>
      <c r="Q9" s="32" t="s">
        <v>70</v>
      </c>
      <c r="R9" s="33" t="s">
        <v>71</v>
      </c>
      <c r="S9" s="32" t="s">
        <v>72</v>
      </c>
      <c r="T9" s="32" t="s">
        <v>73</v>
      </c>
      <c r="U9" s="32" t="s">
        <v>74</v>
      </c>
      <c r="V9" s="32" t="s">
        <v>75</v>
      </c>
      <c r="W9" s="32" t="s">
        <v>76</v>
      </c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</row>
    <row r="10" spans="1:56" s="16" customFormat="1" ht="16" x14ac:dyDescent="0.4">
      <c r="B10" s="44" t="s">
        <v>6</v>
      </c>
      <c r="C10" s="45" t="s">
        <v>7</v>
      </c>
      <c r="D10" s="46" t="s">
        <v>8</v>
      </c>
      <c r="E10" s="53">
        <v>0.32291666666666669</v>
      </c>
      <c r="F10" s="15" t="s">
        <v>26</v>
      </c>
      <c r="G10" s="47">
        <v>651142.61159356509</v>
      </c>
      <c r="H10" s="51">
        <v>0.7</v>
      </c>
      <c r="I10" s="43"/>
      <c r="J10" s="75" t="s">
        <v>6</v>
      </c>
      <c r="K10" s="79">
        <v>0.8809697646406931</v>
      </c>
      <c r="L10" s="223">
        <f>R10*2.33</f>
        <v>455148.68550390209</v>
      </c>
      <c r="M10" s="223">
        <f>R10*2.04</f>
        <v>398499.2782952619</v>
      </c>
      <c r="N10" s="223">
        <f>R10*1.77</f>
        <v>345756.72675618314</v>
      </c>
      <c r="O10" s="223">
        <f>R10*1.51</f>
        <v>294967.60305188503</v>
      </c>
      <c r="P10" s="223">
        <f>R10*1.34</f>
        <v>261759.32986061322</v>
      </c>
      <c r="Q10" s="224">
        <f>R10*1.17</f>
        <v>228551.05666934137</v>
      </c>
      <c r="R10" s="223">
        <f>G10*(1-H10)</f>
        <v>195342.78347806956</v>
      </c>
      <c r="S10" s="224">
        <f>R10*0.93</f>
        <v>181668.78863460469</v>
      </c>
      <c r="T10" s="224">
        <f>R10*0.85</f>
        <v>166041.36595635911</v>
      </c>
      <c r="U10" s="224">
        <f>R10*0.75</f>
        <v>146507.08760855216</v>
      </c>
      <c r="V10" s="224">
        <f>R10*0.6</f>
        <v>117205.67008684172</v>
      </c>
      <c r="W10" s="225">
        <f>R10*0.36</f>
        <v>70323.402052105041</v>
      </c>
      <c r="X10" s="37"/>
      <c r="Y10" s="35"/>
      <c r="Z10" s="35"/>
      <c r="AA10" s="35"/>
      <c r="AB10" s="35"/>
      <c r="AC10" s="35"/>
      <c r="AD10" s="35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</row>
    <row r="11" spans="1:56" s="16" customFormat="1" ht="16" x14ac:dyDescent="0.4">
      <c r="B11" s="17" t="s">
        <v>6</v>
      </c>
      <c r="C11" s="18" t="s">
        <v>10</v>
      </c>
      <c r="D11" s="19" t="s">
        <v>8</v>
      </c>
      <c r="E11" s="54" t="s">
        <v>11</v>
      </c>
      <c r="F11" s="15" t="s">
        <v>44</v>
      </c>
      <c r="G11" s="20">
        <v>1289217.8324355942</v>
      </c>
      <c r="H11" s="51">
        <v>0.7</v>
      </c>
      <c r="J11" s="76" t="s">
        <v>6</v>
      </c>
      <c r="K11" s="77">
        <v>1.8710094028520816</v>
      </c>
      <c r="L11" s="226">
        <f t="shared" ref="L11:L29" si="0">R11*2.33</f>
        <v>901163.26487248053</v>
      </c>
      <c r="M11" s="226">
        <f t="shared" ref="M11:M29" si="1">R11*2.04</f>
        <v>789001.31345058372</v>
      </c>
      <c r="N11" s="226">
        <f t="shared" ref="N11:N29" si="2">R11*1.77</f>
        <v>684574.66902330064</v>
      </c>
      <c r="O11" s="226">
        <f t="shared" ref="O11:O29" si="3">R11*1.51</f>
        <v>584015.6780933243</v>
      </c>
      <c r="P11" s="226">
        <f t="shared" ref="P11:P29" si="4">R11*1.34</f>
        <v>518265.56863910897</v>
      </c>
      <c r="Q11" s="227">
        <f t="shared" ref="Q11:Q29" si="5">R11*1.17</f>
        <v>452515.45918489358</v>
      </c>
      <c r="R11" s="226">
        <f t="shared" ref="R11:R29" si="6">G11*(1-H11)</f>
        <v>386765.34973067831</v>
      </c>
      <c r="S11" s="227">
        <f t="shared" ref="S11:S29" si="7">R11*0.93</f>
        <v>359691.77524953085</v>
      </c>
      <c r="T11" s="227">
        <f t="shared" ref="T11:T29" si="8">R11*0.85</f>
        <v>328750.54727107653</v>
      </c>
      <c r="U11" s="227">
        <f t="shared" ref="U11:U29" si="9">R11*0.75</f>
        <v>290074.01229800872</v>
      </c>
      <c r="V11" s="227">
        <f t="shared" ref="V11:V29" si="10">R11*0.6</f>
        <v>232059.20983840697</v>
      </c>
      <c r="W11" s="228">
        <f t="shared" ref="W11:W29" si="11">R11*0.36</f>
        <v>139235.52590304418</v>
      </c>
      <c r="X11" s="37"/>
      <c r="Y11" s="35"/>
      <c r="Z11" s="35"/>
      <c r="AA11" s="35"/>
      <c r="AB11" s="35"/>
      <c r="AC11" s="35"/>
      <c r="AD11" s="35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</row>
    <row r="12" spans="1:56" s="16" customFormat="1" ht="16" x14ac:dyDescent="0.4">
      <c r="B12" s="17" t="s">
        <v>6</v>
      </c>
      <c r="C12" s="18" t="s">
        <v>12</v>
      </c>
      <c r="D12" s="19" t="s">
        <v>8</v>
      </c>
      <c r="E12" s="54" t="s">
        <v>13</v>
      </c>
      <c r="F12" s="15" t="s">
        <v>44</v>
      </c>
      <c r="G12" s="20">
        <v>1289217.8324355942</v>
      </c>
      <c r="H12" s="51">
        <v>0.7</v>
      </c>
      <c r="J12" s="76" t="s">
        <v>6</v>
      </c>
      <c r="K12" s="77">
        <v>1.903026346322596</v>
      </c>
      <c r="L12" s="226">
        <f t="shared" si="0"/>
        <v>901163.26487248053</v>
      </c>
      <c r="M12" s="226">
        <f t="shared" si="1"/>
        <v>789001.31345058372</v>
      </c>
      <c r="N12" s="226">
        <f t="shared" si="2"/>
        <v>684574.66902330064</v>
      </c>
      <c r="O12" s="226">
        <f t="shared" si="3"/>
        <v>584015.6780933243</v>
      </c>
      <c r="P12" s="226">
        <f t="shared" si="4"/>
        <v>518265.56863910897</v>
      </c>
      <c r="Q12" s="227">
        <f t="shared" si="5"/>
        <v>452515.45918489358</v>
      </c>
      <c r="R12" s="226">
        <f t="shared" si="6"/>
        <v>386765.34973067831</v>
      </c>
      <c r="S12" s="227">
        <f t="shared" si="7"/>
        <v>359691.77524953085</v>
      </c>
      <c r="T12" s="227">
        <f t="shared" si="8"/>
        <v>328750.54727107653</v>
      </c>
      <c r="U12" s="227">
        <f t="shared" si="9"/>
        <v>290074.01229800872</v>
      </c>
      <c r="V12" s="227">
        <f t="shared" si="10"/>
        <v>232059.20983840697</v>
      </c>
      <c r="W12" s="228">
        <f t="shared" si="11"/>
        <v>139235.52590304418</v>
      </c>
      <c r="X12" s="37"/>
      <c r="Y12" s="35"/>
      <c r="Z12" s="35"/>
      <c r="AA12" s="35"/>
      <c r="AB12" s="35"/>
      <c r="AC12" s="35"/>
      <c r="AD12" s="35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spans="1:56" s="16" customFormat="1" ht="16" x14ac:dyDescent="0.4">
      <c r="B13" s="17" t="s">
        <v>6</v>
      </c>
      <c r="C13" s="48" t="s">
        <v>14</v>
      </c>
      <c r="D13" s="19" t="s">
        <v>8</v>
      </c>
      <c r="E13" s="54">
        <v>0.54166666666666663</v>
      </c>
      <c r="F13" s="15" t="s">
        <v>48</v>
      </c>
      <c r="G13" s="20">
        <v>1645404.9495837642</v>
      </c>
      <c r="H13" s="51">
        <v>0.7</v>
      </c>
      <c r="J13" s="76" t="s">
        <v>6</v>
      </c>
      <c r="K13" s="77">
        <v>2.3556206271102358</v>
      </c>
      <c r="L13" s="226">
        <f t="shared" si="0"/>
        <v>1150138.0597590513</v>
      </c>
      <c r="M13" s="226">
        <f t="shared" si="1"/>
        <v>1006987.8291452638</v>
      </c>
      <c r="N13" s="226">
        <f t="shared" si="2"/>
        <v>873710.02822897886</v>
      </c>
      <c r="O13" s="226">
        <f t="shared" si="3"/>
        <v>745368.44216144527</v>
      </c>
      <c r="P13" s="226">
        <f t="shared" si="4"/>
        <v>661452.78973267332</v>
      </c>
      <c r="Q13" s="227">
        <f t="shared" si="5"/>
        <v>577537.13730390125</v>
      </c>
      <c r="R13" s="226">
        <f t="shared" si="6"/>
        <v>493621.4848751293</v>
      </c>
      <c r="S13" s="227">
        <f t="shared" si="7"/>
        <v>459067.98093387025</v>
      </c>
      <c r="T13" s="227">
        <f t="shared" si="8"/>
        <v>419578.26214385987</v>
      </c>
      <c r="U13" s="227">
        <f t="shared" si="9"/>
        <v>370216.11365634698</v>
      </c>
      <c r="V13" s="227">
        <f t="shared" si="10"/>
        <v>296172.89092507755</v>
      </c>
      <c r="W13" s="228">
        <f t="shared" si="11"/>
        <v>177703.73455504654</v>
      </c>
      <c r="X13" s="37"/>
      <c r="Y13" s="35"/>
      <c r="Z13" s="35"/>
      <c r="AA13" s="35"/>
      <c r="AB13" s="35"/>
      <c r="AC13" s="35"/>
      <c r="AD13" s="35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spans="1:56" s="16" customFormat="1" ht="16" x14ac:dyDescent="0.4">
      <c r="B14" s="17" t="s">
        <v>6</v>
      </c>
      <c r="C14" s="48" t="s">
        <v>15</v>
      </c>
      <c r="D14" s="19" t="s">
        <v>8</v>
      </c>
      <c r="E14" s="54">
        <v>0.64583333333333337</v>
      </c>
      <c r="F14" s="15" t="s">
        <v>44</v>
      </c>
      <c r="G14" s="20">
        <v>1289217.8324355942</v>
      </c>
      <c r="H14" s="51">
        <v>0.7</v>
      </c>
      <c r="J14" s="76" t="s">
        <v>6</v>
      </c>
      <c r="K14" s="77">
        <v>2.3479629385720227</v>
      </c>
      <c r="L14" s="226">
        <f t="shared" si="0"/>
        <v>901163.26487248053</v>
      </c>
      <c r="M14" s="226">
        <f t="shared" si="1"/>
        <v>789001.31345058372</v>
      </c>
      <c r="N14" s="226">
        <f t="shared" si="2"/>
        <v>684574.66902330064</v>
      </c>
      <c r="O14" s="226">
        <f t="shared" si="3"/>
        <v>584015.6780933243</v>
      </c>
      <c r="P14" s="226">
        <f t="shared" si="4"/>
        <v>518265.56863910897</v>
      </c>
      <c r="Q14" s="227">
        <f t="shared" si="5"/>
        <v>452515.45918489358</v>
      </c>
      <c r="R14" s="226">
        <f t="shared" si="6"/>
        <v>386765.34973067831</v>
      </c>
      <c r="S14" s="227">
        <f t="shared" si="7"/>
        <v>359691.77524953085</v>
      </c>
      <c r="T14" s="227">
        <f t="shared" si="8"/>
        <v>328750.54727107653</v>
      </c>
      <c r="U14" s="227">
        <f t="shared" si="9"/>
        <v>290074.01229800872</v>
      </c>
      <c r="V14" s="227">
        <f t="shared" si="10"/>
        <v>232059.20983840697</v>
      </c>
      <c r="W14" s="228">
        <f t="shared" si="11"/>
        <v>139235.52590304418</v>
      </c>
      <c r="X14" s="37"/>
      <c r="Y14" s="35"/>
      <c r="Z14" s="35"/>
      <c r="AA14" s="35"/>
      <c r="AB14" s="35"/>
      <c r="AC14" s="35"/>
      <c r="AD14" s="35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</row>
    <row r="15" spans="1:56" s="16" customFormat="1" ht="16" x14ac:dyDescent="0.4">
      <c r="B15" s="17" t="s">
        <v>6</v>
      </c>
      <c r="C15" s="48" t="s">
        <v>16</v>
      </c>
      <c r="D15" s="19" t="s">
        <v>8</v>
      </c>
      <c r="E15" s="54">
        <v>0.70833333333333337</v>
      </c>
      <c r="F15" s="15" t="s">
        <v>49</v>
      </c>
      <c r="G15" s="20">
        <v>1421362.6602602429</v>
      </c>
      <c r="H15" s="51">
        <v>0.7</v>
      </c>
      <c r="J15" s="76" t="s">
        <v>6</v>
      </c>
      <c r="K15" s="77">
        <v>2.1397667293049749</v>
      </c>
      <c r="L15" s="226">
        <f t="shared" si="0"/>
        <v>993532.49952190986</v>
      </c>
      <c r="M15" s="226">
        <f t="shared" si="1"/>
        <v>869873.94807926868</v>
      </c>
      <c r="N15" s="226">
        <f t="shared" si="2"/>
        <v>754743.572598189</v>
      </c>
      <c r="O15" s="226">
        <f t="shared" si="3"/>
        <v>643877.28509789007</v>
      </c>
      <c r="P15" s="226">
        <f t="shared" si="4"/>
        <v>571387.78942461777</v>
      </c>
      <c r="Q15" s="227">
        <f t="shared" si="5"/>
        <v>498898.29375134525</v>
      </c>
      <c r="R15" s="226">
        <f t="shared" si="6"/>
        <v>426408.7980780729</v>
      </c>
      <c r="S15" s="227">
        <f t="shared" si="7"/>
        <v>396560.18221260782</v>
      </c>
      <c r="T15" s="227">
        <f t="shared" si="8"/>
        <v>362447.47836636193</v>
      </c>
      <c r="U15" s="227">
        <f t="shared" si="9"/>
        <v>319806.59855855466</v>
      </c>
      <c r="V15" s="227">
        <f t="shared" si="10"/>
        <v>255845.27884684372</v>
      </c>
      <c r="W15" s="228">
        <f t="shared" si="11"/>
        <v>153507.16730810623</v>
      </c>
      <c r="X15" s="37"/>
      <c r="Y15" s="35"/>
      <c r="Z15" s="35"/>
      <c r="AA15" s="35"/>
      <c r="AB15" s="35"/>
      <c r="AC15" s="35"/>
      <c r="AD15" s="35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</row>
    <row r="16" spans="1:56" s="37" customFormat="1" ht="16" x14ac:dyDescent="0.4">
      <c r="B16" s="56" t="s">
        <v>17</v>
      </c>
      <c r="C16" s="57" t="s">
        <v>18</v>
      </c>
      <c r="D16" s="58" t="s">
        <v>8</v>
      </c>
      <c r="E16" s="59">
        <v>0.85416666666666663</v>
      </c>
      <c r="F16" s="60" t="s">
        <v>52</v>
      </c>
      <c r="G16" s="61">
        <v>3420678.7162326262</v>
      </c>
      <c r="H16" s="62">
        <v>0.65</v>
      </c>
      <c r="I16" s="63"/>
      <c r="J16" s="78" t="s">
        <v>156</v>
      </c>
      <c r="K16" s="80">
        <v>2.8291209498086678</v>
      </c>
      <c r="L16" s="229">
        <f t="shared" si="0"/>
        <v>2789563.4930877066</v>
      </c>
      <c r="M16" s="229">
        <f t="shared" si="1"/>
        <v>2442364.6033900953</v>
      </c>
      <c r="N16" s="229">
        <f t="shared" si="2"/>
        <v>2119110.4647061122</v>
      </c>
      <c r="O16" s="229">
        <f t="shared" si="3"/>
        <v>1807828.7015289429</v>
      </c>
      <c r="P16" s="229">
        <f t="shared" si="4"/>
        <v>1604298.3179131018</v>
      </c>
      <c r="Q16" s="230">
        <f t="shared" si="5"/>
        <v>1400767.9342972604</v>
      </c>
      <c r="R16" s="229">
        <f>G16*(1-H16)</f>
        <v>1197237.5506814192</v>
      </c>
      <c r="S16" s="230">
        <f t="shared" si="7"/>
        <v>1113430.92213372</v>
      </c>
      <c r="T16" s="230">
        <f t="shared" si="8"/>
        <v>1017651.9180792063</v>
      </c>
      <c r="U16" s="230">
        <f t="shared" si="9"/>
        <v>897928.1630110644</v>
      </c>
      <c r="V16" s="230">
        <f t="shared" si="10"/>
        <v>718342.53040885145</v>
      </c>
      <c r="W16" s="231">
        <f t="shared" si="11"/>
        <v>431005.51824531087</v>
      </c>
      <c r="Y16" s="35"/>
      <c r="Z16" s="35"/>
      <c r="AA16" s="35"/>
      <c r="AB16" s="35"/>
      <c r="AC16" s="35"/>
      <c r="AD16" s="35"/>
    </row>
    <row r="17" spans="1:56" s="21" customFormat="1" ht="16" x14ac:dyDescent="0.4">
      <c r="A17" s="16"/>
      <c r="B17" s="56" t="s">
        <v>17</v>
      </c>
      <c r="C17" s="57" t="s">
        <v>18</v>
      </c>
      <c r="D17" s="58" t="s">
        <v>19</v>
      </c>
      <c r="E17" s="59">
        <v>0.85416666666666663</v>
      </c>
      <c r="F17" s="60" t="s">
        <v>56</v>
      </c>
      <c r="G17" s="61">
        <v>2814200.8453124994</v>
      </c>
      <c r="H17" s="62">
        <v>0.65</v>
      </c>
      <c r="I17" s="63"/>
      <c r="J17" s="78" t="s">
        <v>156</v>
      </c>
      <c r="K17" s="80">
        <v>2</v>
      </c>
      <c r="L17" s="229">
        <f t="shared" si="0"/>
        <v>2294980.789352343</v>
      </c>
      <c r="M17" s="229">
        <f t="shared" si="1"/>
        <v>2009339.4035531243</v>
      </c>
      <c r="N17" s="229">
        <f t="shared" si="2"/>
        <v>1743397.4236710933</v>
      </c>
      <c r="O17" s="229">
        <f t="shared" si="3"/>
        <v>1487305.1467476557</v>
      </c>
      <c r="P17" s="229">
        <f t="shared" si="4"/>
        <v>1319860.1964515622</v>
      </c>
      <c r="Q17" s="230">
        <f t="shared" si="5"/>
        <v>1152415.2461554683</v>
      </c>
      <c r="R17" s="229">
        <f t="shared" si="6"/>
        <v>984970.29585937469</v>
      </c>
      <c r="S17" s="230">
        <f t="shared" si="7"/>
        <v>916022.37514921848</v>
      </c>
      <c r="T17" s="230">
        <f t="shared" si="8"/>
        <v>837224.75148046843</v>
      </c>
      <c r="U17" s="230">
        <f t="shared" si="9"/>
        <v>738727.72189453105</v>
      </c>
      <c r="V17" s="230">
        <f t="shared" si="10"/>
        <v>590982.17751562479</v>
      </c>
      <c r="W17" s="231">
        <f t="shared" si="11"/>
        <v>354589.30650937487</v>
      </c>
      <c r="X17" s="37"/>
      <c r="Y17" s="35"/>
      <c r="Z17" s="35"/>
      <c r="AA17" s="35"/>
      <c r="AB17" s="35"/>
      <c r="AC17" s="35"/>
      <c r="AD17" s="35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</row>
    <row r="18" spans="1:56" s="21" customFormat="1" ht="16" x14ac:dyDescent="0.4">
      <c r="A18" s="16"/>
      <c r="B18" s="56" t="s">
        <v>17</v>
      </c>
      <c r="C18" s="57" t="s">
        <v>18</v>
      </c>
      <c r="D18" s="58" t="s">
        <v>20</v>
      </c>
      <c r="E18" s="59">
        <v>0.85416666666666663</v>
      </c>
      <c r="F18" s="60" t="s">
        <v>57</v>
      </c>
      <c r="G18" s="61">
        <v>3771298.2846464696</v>
      </c>
      <c r="H18" s="62">
        <v>0.65</v>
      </c>
      <c r="I18" s="63"/>
      <c r="J18" s="78" t="s">
        <v>156</v>
      </c>
      <c r="K18" s="80">
        <v>2.8291209498086678</v>
      </c>
      <c r="L18" s="229">
        <f t="shared" si="0"/>
        <v>3075493.751129196</v>
      </c>
      <c r="M18" s="229">
        <f t="shared" si="1"/>
        <v>2692706.9752375796</v>
      </c>
      <c r="N18" s="229">
        <f t="shared" si="2"/>
        <v>2336319.2873384878</v>
      </c>
      <c r="O18" s="229">
        <f t="shared" si="3"/>
        <v>1993131.1434356591</v>
      </c>
      <c r="P18" s="229">
        <f t="shared" si="4"/>
        <v>1768738.8954991943</v>
      </c>
      <c r="Q18" s="230">
        <f t="shared" si="5"/>
        <v>1544346.6475627292</v>
      </c>
      <c r="R18" s="229">
        <f t="shared" si="6"/>
        <v>1319954.3996262643</v>
      </c>
      <c r="S18" s="230">
        <f t="shared" si="7"/>
        <v>1227557.5916524259</v>
      </c>
      <c r="T18" s="230">
        <f t="shared" si="8"/>
        <v>1121961.2396823247</v>
      </c>
      <c r="U18" s="230">
        <f t="shared" si="9"/>
        <v>989965.79971969826</v>
      </c>
      <c r="V18" s="230">
        <f t="shared" si="10"/>
        <v>791972.63977575861</v>
      </c>
      <c r="W18" s="231">
        <f t="shared" si="11"/>
        <v>475183.58386545512</v>
      </c>
      <c r="X18" s="37"/>
      <c r="Y18" s="35"/>
      <c r="Z18" s="35"/>
      <c r="AA18" s="35"/>
      <c r="AB18" s="35"/>
      <c r="AC18" s="35"/>
      <c r="AD18" s="35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</row>
    <row r="19" spans="1:56" s="21" customFormat="1" ht="16" x14ac:dyDescent="0.4">
      <c r="A19" s="16"/>
      <c r="B19" s="56" t="s">
        <v>17</v>
      </c>
      <c r="C19" s="57" t="s">
        <v>58</v>
      </c>
      <c r="D19" s="58" t="s">
        <v>21</v>
      </c>
      <c r="E19" s="59">
        <v>0.9375</v>
      </c>
      <c r="F19" s="60" t="s">
        <v>59</v>
      </c>
      <c r="G19" s="61">
        <v>3102656.4319570302</v>
      </c>
      <c r="H19" s="62">
        <v>0.65</v>
      </c>
      <c r="I19" s="63"/>
      <c r="J19" s="78" t="s">
        <v>156</v>
      </c>
      <c r="K19" s="80">
        <v>1.8585546011217149</v>
      </c>
      <c r="L19" s="229">
        <f t="shared" si="0"/>
        <v>2530216.3202609583</v>
      </c>
      <c r="M19" s="229">
        <f t="shared" si="1"/>
        <v>2215296.6924173199</v>
      </c>
      <c r="N19" s="229">
        <f t="shared" si="2"/>
        <v>1922095.6595973803</v>
      </c>
      <c r="O19" s="229">
        <f t="shared" si="3"/>
        <v>1639753.9242892906</v>
      </c>
      <c r="P19" s="229">
        <f t="shared" si="4"/>
        <v>1455145.8665878472</v>
      </c>
      <c r="Q19" s="230">
        <f t="shared" si="5"/>
        <v>1270537.8088864039</v>
      </c>
      <c r="R19" s="229">
        <f t="shared" si="6"/>
        <v>1085929.7511849606</v>
      </c>
      <c r="S19" s="230">
        <f t="shared" si="7"/>
        <v>1009914.6686020134</v>
      </c>
      <c r="T19" s="230">
        <f t="shared" si="8"/>
        <v>923040.28850721649</v>
      </c>
      <c r="U19" s="230">
        <f t="shared" si="9"/>
        <v>814447.31338872039</v>
      </c>
      <c r="V19" s="230">
        <f t="shared" si="10"/>
        <v>651557.85071097629</v>
      </c>
      <c r="W19" s="231">
        <f t="shared" si="11"/>
        <v>390934.71042658581</v>
      </c>
      <c r="X19" s="37"/>
      <c r="Y19" s="35"/>
      <c r="Z19" s="35"/>
      <c r="AA19" s="35"/>
      <c r="AB19" s="35"/>
      <c r="AC19" s="35"/>
      <c r="AD19" s="35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</row>
    <row r="20" spans="1:56" s="21" customFormat="1" ht="16" x14ac:dyDescent="0.4">
      <c r="A20" s="16"/>
      <c r="B20" s="56" t="s">
        <v>17</v>
      </c>
      <c r="C20" s="57" t="s">
        <v>50</v>
      </c>
      <c r="D20" s="58" t="s">
        <v>22</v>
      </c>
      <c r="E20" s="59">
        <v>0.9375</v>
      </c>
      <c r="F20" s="60" t="s">
        <v>24</v>
      </c>
      <c r="G20" s="61">
        <v>2315250</v>
      </c>
      <c r="H20" s="62">
        <v>0.67</v>
      </c>
      <c r="I20" s="63"/>
      <c r="J20" s="78" t="s">
        <v>156</v>
      </c>
      <c r="K20" s="80">
        <v>1.7176602104534611</v>
      </c>
      <c r="L20" s="229">
        <f t="shared" si="0"/>
        <v>1780195.7249999999</v>
      </c>
      <c r="M20" s="229">
        <f t="shared" si="1"/>
        <v>1558626.2999999998</v>
      </c>
      <c r="N20" s="229">
        <f t="shared" si="2"/>
        <v>1352337.5249999999</v>
      </c>
      <c r="O20" s="229">
        <f t="shared" si="3"/>
        <v>1153689.0749999997</v>
      </c>
      <c r="P20" s="229">
        <f t="shared" si="4"/>
        <v>1023803.5499999999</v>
      </c>
      <c r="Q20" s="230">
        <f t="shared" si="5"/>
        <v>893918.02499999979</v>
      </c>
      <c r="R20" s="229">
        <f t="shared" si="6"/>
        <v>764032.49999999988</v>
      </c>
      <c r="S20" s="230">
        <f t="shared" si="7"/>
        <v>710550.22499999998</v>
      </c>
      <c r="T20" s="230">
        <f t="shared" si="8"/>
        <v>649427.62499999988</v>
      </c>
      <c r="U20" s="230">
        <f t="shared" si="9"/>
        <v>573024.37499999988</v>
      </c>
      <c r="V20" s="230">
        <f t="shared" si="10"/>
        <v>458419.49999999994</v>
      </c>
      <c r="W20" s="231">
        <f t="shared" si="11"/>
        <v>275051.69999999995</v>
      </c>
      <c r="X20" s="37"/>
      <c r="Y20" s="35"/>
      <c r="Z20" s="35"/>
      <c r="AA20" s="35"/>
      <c r="AB20" s="35"/>
      <c r="AC20" s="35"/>
      <c r="AD20" s="35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</row>
    <row r="21" spans="1:56" s="21" customFormat="1" ht="16" x14ac:dyDescent="0.4">
      <c r="A21" s="16"/>
      <c r="B21" s="56" t="s">
        <v>17</v>
      </c>
      <c r="C21" s="57" t="s">
        <v>25</v>
      </c>
      <c r="D21" s="58" t="s">
        <v>23</v>
      </c>
      <c r="E21" s="59">
        <v>0.9375</v>
      </c>
      <c r="F21" s="60" t="s">
        <v>53</v>
      </c>
      <c r="G21" s="61">
        <v>2100000</v>
      </c>
      <c r="H21" s="62">
        <v>0.67</v>
      </c>
      <c r="I21" s="63"/>
      <c r="J21" s="78" t="s">
        <v>156</v>
      </c>
      <c r="K21" s="80">
        <v>1.7</v>
      </c>
      <c r="L21" s="229">
        <f t="shared" si="0"/>
        <v>1614689.9999999998</v>
      </c>
      <c r="M21" s="229">
        <f t="shared" si="1"/>
        <v>1413719.9999999998</v>
      </c>
      <c r="N21" s="229">
        <f t="shared" si="2"/>
        <v>1226609.9999999998</v>
      </c>
      <c r="O21" s="229">
        <f t="shared" si="3"/>
        <v>1046429.9999999999</v>
      </c>
      <c r="P21" s="229">
        <f t="shared" si="4"/>
        <v>928619.99999999988</v>
      </c>
      <c r="Q21" s="230">
        <f t="shared" si="5"/>
        <v>810809.99999999977</v>
      </c>
      <c r="R21" s="229">
        <f t="shared" si="6"/>
        <v>692999.99999999988</v>
      </c>
      <c r="S21" s="230">
        <f t="shared" si="7"/>
        <v>644489.99999999988</v>
      </c>
      <c r="T21" s="230">
        <f t="shared" si="8"/>
        <v>589049.99999999988</v>
      </c>
      <c r="U21" s="230">
        <f t="shared" si="9"/>
        <v>519749.99999999988</v>
      </c>
      <c r="V21" s="230">
        <f t="shared" si="10"/>
        <v>415799.99999999994</v>
      </c>
      <c r="W21" s="231">
        <f t="shared" si="11"/>
        <v>249479.99999999994</v>
      </c>
      <c r="X21" s="37"/>
      <c r="Y21" s="35"/>
      <c r="Z21" s="35"/>
      <c r="AA21" s="35"/>
      <c r="AB21" s="35"/>
      <c r="AC21" s="35"/>
      <c r="AD21" s="35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</row>
    <row r="22" spans="1:56" s="21" customFormat="1" ht="16" x14ac:dyDescent="0.4">
      <c r="A22" s="16"/>
      <c r="B22" s="56" t="s">
        <v>17</v>
      </c>
      <c r="C22" s="57" t="s">
        <v>54</v>
      </c>
      <c r="D22" s="58" t="s">
        <v>19</v>
      </c>
      <c r="E22" s="59">
        <v>0.91666666666666663</v>
      </c>
      <c r="F22" s="60" t="s">
        <v>24</v>
      </c>
      <c r="G22" s="61">
        <v>2315250</v>
      </c>
      <c r="H22" s="62">
        <v>0.67</v>
      </c>
      <c r="I22" s="63"/>
      <c r="J22" s="78" t="s">
        <v>156</v>
      </c>
      <c r="K22" s="80">
        <v>1.6561442402875033</v>
      </c>
      <c r="L22" s="229">
        <f t="shared" si="0"/>
        <v>1780195.7249999999</v>
      </c>
      <c r="M22" s="229">
        <f t="shared" si="1"/>
        <v>1558626.2999999998</v>
      </c>
      <c r="N22" s="229">
        <f t="shared" si="2"/>
        <v>1352337.5249999999</v>
      </c>
      <c r="O22" s="229">
        <f t="shared" si="3"/>
        <v>1153689.0749999997</v>
      </c>
      <c r="P22" s="229">
        <f t="shared" si="4"/>
        <v>1023803.5499999999</v>
      </c>
      <c r="Q22" s="230">
        <f t="shared" si="5"/>
        <v>893918.02499999979</v>
      </c>
      <c r="R22" s="229">
        <f t="shared" si="6"/>
        <v>764032.49999999988</v>
      </c>
      <c r="S22" s="230">
        <f t="shared" si="7"/>
        <v>710550.22499999998</v>
      </c>
      <c r="T22" s="230">
        <f t="shared" si="8"/>
        <v>649427.62499999988</v>
      </c>
      <c r="U22" s="230">
        <f t="shared" si="9"/>
        <v>573024.37499999988</v>
      </c>
      <c r="V22" s="230">
        <f t="shared" si="10"/>
        <v>458419.49999999994</v>
      </c>
      <c r="W22" s="231">
        <f t="shared" si="11"/>
        <v>275051.69999999995</v>
      </c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</row>
    <row r="23" spans="1:56" s="21" customFormat="1" ht="16" x14ac:dyDescent="0.4">
      <c r="A23" s="16"/>
      <c r="B23" s="56" t="s">
        <v>17</v>
      </c>
      <c r="C23" s="57" t="s">
        <v>58</v>
      </c>
      <c r="D23" s="58" t="s">
        <v>20</v>
      </c>
      <c r="E23" s="59">
        <v>0.9375</v>
      </c>
      <c r="F23" s="60" t="s">
        <v>59</v>
      </c>
      <c r="G23" s="61">
        <v>3102656.4319570302</v>
      </c>
      <c r="H23" s="62">
        <v>0.65</v>
      </c>
      <c r="I23" s="63"/>
      <c r="J23" s="78" t="s">
        <v>156</v>
      </c>
      <c r="K23" s="80">
        <v>1.8585546011217149</v>
      </c>
      <c r="L23" s="229">
        <f t="shared" si="0"/>
        <v>2530216.3202609583</v>
      </c>
      <c r="M23" s="229">
        <f t="shared" si="1"/>
        <v>2215296.6924173199</v>
      </c>
      <c r="N23" s="229">
        <f t="shared" si="2"/>
        <v>1922095.6595973803</v>
      </c>
      <c r="O23" s="229">
        <f t="shared" si="3"/>
        <v>1639753.9242892906</v>
      </c>
      <c r="P23" s="229">
        <f t="shared" si="4"/>
        <v>1455145.8665878472</v>
      </c>
      <c r="Q23" s="230">
        <f t="shared" si="5"/>
        <v>1270537.8088864039</v>
      </c>
      <c r="R23" s="229">
        <f t="shared" si="6"/>
        <v>1085929.7511849606</v>
      </c>
      <c r="S23" s="230">
        <f t="shared" si="7"/>
        <v>1009914.6686020134</v>
      </c>
      <c r="T23" s="230">
        <f t="shared" si="8"/>
        <v>923040.28850721649</v>
      </c>
      <c r="U23" s="230">
        <f t="shared" si="9"/>
        <v>814447.31338872039</v>
      </c>
      <c r="V23" s="230">
        <f t="shared" si="10"/>
        <v>651557.85071097629</v>
      </c>
      <c r="W23" s="231">
        <f t="shared" si="11"/>
        <v>390934.71042658581</v>
      </c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 s="37" customFormat="1" ht="16" x14ac:dyDescent="0.4">
      <c r="B24" s="64" t="s">
        <v>6</v>
      </c>
      <c r="C24" s="65" t="s">
        <v>51</v>
      </c>
      <c r="D24" s="66" t="s">
        <v>21</v>
      </c>
      <c r="E24" s="67">
        <v>3.125E-2</v>
      </c>
      <c r="F24" s="68" t="s">
        <v>9</v>
      </c>
      <c r="G24" s="69">
        <v>831041.30973496602</v>
      </c>
      <c r="H24" s="70">
        <v>0.7</v>
      </c>
      <c r="J24" s="76" t="s">
        <v>6</v>
      </c>
      <c r="K24" s="81">
        <v>0.84076494805662627</v>
      </c>
      <c r="L24" s="232">
        <f t="shared" si="0"/>
        <v>580897.87550474133</v>
      </c>
      <c r="M24" s="232">
        <f t="shared" si="1"/>
        <v>508597.28155779926</v>
      </c>
      <c r="N24" s="232">
        <f t="shared" si="2"/>
        <v>441282.93546926702</v>
      </c>
      <c r="O24" s="232">
        <f t="shared" si="3"/>
        <v>376461.71330993966</v>
      </c>
      <c r="P24" s="232">
        <f t="shared" si="4"/>
        <v>334078.60651345638</v>
      </c>
      <c r="Q24" s="233">
        <f t="shared" si="5"/>
        <v>291695.49971697311</v>
      </c>
      <c r="R24" s="232">
        <f t="shared" si="6"/>
        <v>249312.39292048983</v>
      </c>
      <c r="S24" s="233">
        <f t="shared" si="7"/>
        <v>231860.52541605555</v>
      </c>
      <c r="T24" s="233">
        <f t="shared" si="8"/>
        <v>211915.53398241635</v>
      </c>
      <c r="U24" s="233">
        <f t="shared" si="9"/>
        <v>186984.29469036736</v>
      </c>
      <c r="V24" s="233">
        <f t="shared" si="10"/>
        <v>149587.43575229388</v>
      </c>
      <c r="W24" s="234">
        <f t="shared" si="11"/>
        <v>89752.461451376337</v>
      </c>
    </row>
    <row r="25" spans="1:56" s="16" customFormat="1" ht="16" x14ac:dyDescent="0.4">
      <c r="B25" s="22" t="s">
        <v>6</v>
      </c>
      <c r="C25" s="18" t="s">
        <v>29</v>
      </c>
      <c r="D25" s="19" t="s">
        <v>28</v>
      </c>
      <c r="E25" s="53">
        <v>0.33333333333333331</v>
      </c>
      <c r="F25" s="15" t="s">
        <v>27</v>
      </c>
      <c r="G25" s="20">
        <v>257679.2736339258</v>
      </c>
      <c r="H25" s="51">
        <v>0.7</v>
      </c>
      <c r="J25" s="76" t="s">
        <v>6</v>
      </c>
      <c r="K25" s="77">
        <v>0.19332562329920527</v>
      </c>
      <c r="L25" s="226">
        <f t="shared" si="0"/>
        <v>180117.81227011414</v>
      </c>
      <c r="M25" s="226">
        <f t="shared" si="1"/>
        <v>157699.71546396261</v>
      </c>
      <c r="N25" s="226">
        <f t="shared" si="2"/>
        <v>136827.69429961461</v>
      </c>
      <c r="O25" s="226">
        <f t="shared" si="3"/>
        <v>116728.71095616839</v>
      </c>
      <c r="P25" s="226">
        <f t="shared" si="4"/>
        <v>103587.06800083819</v>
      </c>
      <c r="Q25" s="227">
        <f t="shared" si="5"/>
        <v>90445.42504550796</v>
      </c>
      <c r="R25" s="226">
        <f t="shared" si="6"/>
        <v>77303.782090177745</v>
      </c>
      <c r="S25" s="227">
        <f t="shared" si="7"/>
        <v>71892.5173438653</v>
      </c>
      <c r="T25" s="227">
        <f t="shared" si="8"/>
        <v>65708.214776651075</v>
      </c>
      <c r="U25" s="227">
        <f t="shared" si="9"/>
        <v>57977.836567633305</v>
      </c>
      <c r="V25" s="227">
        <f t="shared" si="10"/>
        <v>46382.269254106643</v>
      </c>
      <c r="W25" s="228">
        <f t="shared" si="11"/>
        <v>27829.361552463986</v>
      </c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</row>
    <row r="26" spans="1:56" s="16" customFormat="1" ht="16" x14ac:dyDescent="0.4">
      <c r="B26" s="22" t="s">
        <v>6</v>
      </c>
      <c r="C26" s="18" t="s">
        <v>30</v>
      </c>
      <c r="D26" s="19" t="s">
        <v>28</v>
      </c>
      <c r="E26" s="53">
        <v>0.375</v>
      </c>
      <c r="F26" s="15" t="s">
        <v>55</v>
      </c>
      <c r="G26" s="20">
        <v>791467.91403330094</v>
      </c>
      <c r="H26" s="51">
        <v>0.7</v>
      </c>
      <c r="J26" s="76" t="s">
        <v>6</v>
      </c>
      <c r="K26" s="77">
        <v>1.7511399732605031</v>
      </c>
      <c r="L26" s="226">
        <f t="shared" si="0"/>
        <v>553236.07190927747</v>
      </c>
      <c r="M26" s="226">
        <f t="shared" si="1"/>
        <v>484378.36338838027</v>
      </c>
      <c r="N26" s="226">
        <f t="shared" si="2"/>
        <v>420269.46235168289</v>
      </c>
      <c r="O26" s="226">
        <f t="shared" si="3"/>
        <v>358534.96505708538</v>
      </c>
      <c r="P26" s="226">
        <f t="shared" si="4"/>
        <v>318170.10144138703</v>
      </c>
      <c r="Q26" s="227">
        <f t="shared" si="5"/>
        <v>277805.23782568867</v>
      </c>
      <c r="R26" s="226">
        <f t="shared" si="6"/>
        <v>237440.37420999032</v>
      </c>
      <c r="S26" s="227">
        <f t="shared" si="7"/>
        <v>220819.54801529102</v>
      </c>
      <c r="T26" s="227">
        <f t="shared" si="8"/>
        <v>201824.31807849178</v>
      </c>
      <c r="U26" s="227">
        <f t="shared" si="9"/>
        <v>178080.28065749275</v>
      </c>
      <c r="V26" s="227">
        <f t="shared" si="10"/>
        <v>142464.22452599418</v>
      </c>
      <c r="W26" s="228">
        <f t="shared" si="11"/>
        <v>85478.534715596514</v>
      </c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</row>
    <row r="27" spans="1:56" s="16" customFormat="1" ht="16" x14ac:dyDescent="0.4">
      <c r="B27" s="22" t="s">
        <v>6</v>
      </c>
      <c r="C27" s="48" t="s">
        <v>31</v>
      </c>
      <c r="D27" s="19" t="s">
        <v>28</v>
      </c>
      <c r="E27" s="54">
        <v>0.54166666666666663</v>
      </c>
      <c r="F27" s="15" t="s">
        <v>49</v>
      </c>
      <c r="G27" s="20">
        <v>1421362.6602602429</v>
      </c>
      <c r="H27" s="51">
        <v>0.7</v>
      </c>
      <c r="J27" s="76" t="s">
        <v>6</v>
      </c>
      <c r="K27" s="77">
        <v>2.3556206271102358</v>
      </c>
      <c r="L27" s="226">
        <f t="shared" si="0"/>
        <v>993532.49952190986</v>
      </c>
      <c r="M27" s="226">
        <f t="shared" si="1"/>
        <v>869873.94807926868</v>
      </c>
      <c r="N27" s="226">
        <f t="shared" si="2"/>
        <v>754743.572598189</v>
      </c>
      <c r="O27" s="226">
        <f t="shared" si="3"/>
        <v>643877.28509789007</v>
      </c>
      <c r="P27" s="226">
        <f t="shared" si="4"/>
        <v>571387.78942461777</v>
      </c>
      <c r="Q27" s="227">
        <f t="shared" si="5"/>
        <v>498898.29375134525</v>
      </c>
      <c r="R27" s="226">
        <f t="shared" si="6"/>
        <v>426408.7980780729</v>
      </c>
      <c r="S27" s="227">
        <f t="shared" si="7"/>
        <v>396560.18221260782</v>
      </c>
      <c r="T27" s="227">
        <f t="shared" si="8"/>
        <v>362447.47836636193</v>
      </c>
      <c r="U27" s="227">
        <f t="shared" si="9"/>
        <v>319806.59855855466</v>
      </c>
      <c r="V27" s="227">
        <f t="shared" si="10"/>
        <v>255845.27884684372</v>
      </c>
      <c r="W27" s="228">
        <f t="shared" si="11"/>
        <v>153507.16730810623</v>
      </c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</row>
    <row r="28" spans="1:56" s="16" customFormat="1" ht="16" x14ac:dyDescent="0.4">
      <c r="B28" s="22" t="s">
        <v>6</v>
      </c>
      <c r="C28" s="48" t="s">
        <v>32</v>
      </c>
      <c r="D28" s="19" t="s">
        <v>28</v>
      </c>
      <c r="E28" s="54" t="s">
        <v>33</v>
      </c>
      <c r="F28" s="15" t="s">
        <v>34</v>
      </c>
      <c r="G28" s="20">
        <v>1010135.9059910371</v>
      </c>
      <c r="H28" s="51">
        <v>0.7</v>
      </c>
      <c r="J28" s="76" t="s">
        <v>6</v>
      </c>
      <c r="K28" s="77">
        <v>1.5161658638204496</v>
      </c>
      <c r="L28" s="226">
        <f t="shared" si="0"/>
        <v>706084.99828773516</v>
      </c>
      <c r="M28" s="226">
        <f t="shared" si="1"/>
        <v>618203.17446651484</v>
      </c>
      <c r="N28" s="226">
        <f t="shared" si="2"/>
        <v>536382.16608124087</v>
      </c>
      <c r="O28" s="226">
        <f t="shared" si="3"/>
        <v>457591.56541393994</v>
      </c>
      <c r="P28" s="226">
        <f t="shared" si="4"/>
        <v>406074.63420839701</v>
      </c>
      <c r="Q28" s="227">
        <f t="shared" si="5"/>
        <v>354557.70300285408</v>
      </c>
      <c r="R28" s="226">
        <f t="shared" si="6"/>
        <v>303040.7717973112</v>
      </c>
      <c r="S28" s="227">
        <f t="shared" si="7"/>
        <v>281827.91777149943</v>
      </c>
      <c r="T28" s="227">
        <f t="shared" si="8"/>
        <v>257584.65602771452</v>
      </c>
      <c r="U28" s="227">
        <f t="shared" si="9"/>
        <v>227280.57884798339</v>
      </c>
      <c r="V28" s="227">
        <f t="shared" si="10"/>
        <v>181824.4630783867</v>
      </c>
      <c r="W28" s="228">
        <f t="shared" si="11"/>
        <v>109094.67784703203</v>
      </c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</row>
    <row r="29" spans="1:56" s="16" customFormat="1" ht="16" x14ac:dyDescent="0.4">
      <c r="B29" s="23" t="s">
        <v>6</v>
      </c>
      <c r="C29" s="24" t="s">
        <v>35</v>
      </c>
      <c r="D29" s="25" t="s">
        <v>28</v>
      </c>
      <c r="E29" s="55" t="s">
        <v>36</v>
      </c>
      <c r="F29" s="26" t="s">
        <v>60</v>
      </c>
      <c r="G29" s="27">
        <v>1113674.8363551185</v>
      </c>
      <c r="H29" s="51">
        <v>0.7</v>
      </c>
      <c r="J29" s="158" t="s">
        <v>6</v>
      </c>
      <c r="K29" s="77">
        <v>1.830004305763764</v>
      </c>
      <c r="L29" s="226">
        <f t="shared" si="0"/>
        <v>778458.71061222802</v>
      </c>
      <c r="M29" s="226">
        <f t="shared" si="1"/>
        <v>681568.99984933261</v>
      </c>
      <c r="N29" s="226">
        <f t="shared" si="2"/>
        <v>591361.33810456807</v>
      </c>
      <c r="O29" s="226">
        <f t="shared" si="3"/>
        <v>504494.70086886879</v>
      </c>
      <c r="P29" s="226">
        <f t="shared" si="4"/>
        <v>447697.28421475773</v>
      </c>
      <c r="Q29" s="227">
        <f t="shared" si="5"/>
        <v>390899.86756064661</v>
      </c>
      <c r="R29" s="226">
        <f t="shared" si="6"/>
        <v>334102.45090653561</v>
      </c>
      <c r="S29" s="227">
        <f t="shared" si="7"/>
        <v>310715.27934307815</v>
      </c>
      <c r="T29" s="227">
        <f t="shared" si="8"/>
        <v>283987.08327055525</v>
      </c>
      <c r="U29" s="227">
        <f t="shared" si="9"/>
        <v>250576.83817990171</v>
      </c>
      <c r="V29" s="227">
        <f t="shared" si="10"/>
        <v>200461.47054392137</v>
      </c>
      <c r="W29" s="228">
        <f t="shared" si="11"/>
        <v>120276.88232635282</v>
      </c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</row>
    <row r="30" spans="1:56" x14ac:dyDescent="0.3"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</row>
    <row r="31" spans="1:56" x14ac:dyDescent="0.3"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</row>
    <row r="32" spans="1:56" x14ac:dyDescent="0.3"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</row>
    <row r="33" spans="24:56" x14ac:dyDescent="0.3"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</row>
    <row r="34" spans="24:56" x14ac:dyDescent="0.3"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</row>
    <row r="35" spans="24:56" x14ac:dyDescent="0.3"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</row>
  </sheetData>
  <mergeCells count="3">
    <mergeCell ref="C1:W5"/>
    <mergeCell ref="B6:C6"/>
    <mergeCell ref="L8:W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07F4D-DC65-449F-9E67-33E4B0BFAF96}">
  <dimension ref="A1:R122"/>
  <sheetViews>
    <sheetView showGridLines="0" topLeftCell="E1" zoomScale="80" zoomScaleNormal="80" workbookViewId="0">
      <selection activeCell="G12" sqref="G12:R42"/>
    </sheetView>
  </sheetViews>
  <sheetFormatPr baseColWidth="10" defaultColWidth="11.453125" defaultRowHeight="14.5" x14ac:dyDescent="0.35"/>
  <cols>
    <col min="1" max="1" width="3.1796875" style="82" customWidth="1"/>
    <col min="2" max="2" width="37.81640625" style="154" bestFit="1" customWidth="1"/>
    <col min="3" max="3" width="9.1796875" style="155" customWidth="1"/>
    <col min="4" max="5" width="18.08984375" style="156" customWidth="1"/>
    <col min="6" max="6" width="18.08984375" style="157" customWidth="1"/>
    <col min="7" max="7" width="13.81640625" customWidth="1"/>
    <col min="8" max="8" width="14.08984375" customWidth="1"/>
    <col min="9" max="9" width="14" customWidth="1"/>
    <col min="10" max="10" width="14.453125" style="82" customWidth="1"/>
    <col min="11" max="11" width="13.6328125" customWidth="1"/>
    <col min="12" max="12" width="17.6328125" customWidth="1"/>
    <col min="13" max="13" width="13.36328125" customWidth="1"/>
    <col min="14" max="14" width="13.54296875" customWidth="1"/>
    <col min="15" max="15" width="13" customWidth="1"/>
    <col min="16" max="16" width="12.54296875" customWidth="1"/>
    <col min="17" max="17" width="12.453125" customWidth="1"/>
    <col min="18" max="18" width="13.54296875" customWidth="1"/>
    <col min="170" max="170" width="2.81640625" customWidth="1"/>
    <col min="171" max="171" width="40.453125" customWidth="1"/>
    <col min="173" max="176" width="9" customWidth="1"/>
    <col min="177" max="177" width="11.81640625" customWidth="1"/>
    <col min="178" max="183" width="9" customWidth="1"/>
    <col min="184" max="185" width="23" customWidth="1"/>
    <col min="426" max="426" width="2.81640625" customWidth="1"/>
    <col min="427" max="427" width="40.453125" customWidth="1"/>
    <col min="429" max="432" width="9" customWidth="1"/>
    <col min="433" max="433" width="11.81640625" customWidth="1"/>
    <col min="434" max="439" width="9" customWidth="1"/>
    <col min="440" max="441" width="23" customWidth="1"/>
    <col min="682" max="682" width="2.81640625" customWidth="1"/>
    <col min="683" max="683" width="40.453125" customWidth="1"/>
    <col min="685" max="688" width="9" customWidth="1"/>
    <col min="689" max="689" width="11.81640625" customWidth="1"/>
    <col min="690" max="695" width="9" customWidth="1"/>
    <col min="696" max="697" width="23" customWidth="1"/>
    <col min="938" max="938" width="2.81640625" customWidth="1"/>
    <col min="939" max="939" width="40.453125" customWidth="1"/>
    <col min="941" max="944" width="9" customWidth="1"/>
    <col min="945" max="945" width="11.81640625" customWidth="1"/>
    <col min="946" max="951" width="9" customWidth="1"/>
    <col min="952" max="953" width="23" customWidth="1"/>
    <col min="1194" max="1194" width="2.81640625" customWidth="1"/>
    <col min="1195" max="1195" width="40.453125" customWidth="1"/>
    <col min="1197" max="1200" width="9" customWidth="1"/>
    <col min="1201" max="1201" width="11.81640625" customWidth="1"/>
    <col min="1202" max="1207" width="9" customWidth="1"/>
    <col min="1208" max="1209" width="23" customWidth="1"/>
    <col min="1450" max="1450" width="2.81640625" customWidth="1"/>
    <col min="1451" max="1451" width="40.453125" customWidth="1"/>
    <col min="1453" max="1456" width="9" customWidth="1"/>
    <col min="1457" max="1457" width="11.81640625" customWidth="1"/>
    <col min="1458" max="1463" width="9" customWidth="1"/>
    <col min="1464" max="1465" width="23" customWidth="1"/>
    <col min="1706" max="1706" width="2.81640625" customWidth="1"/>
    <col min="1707" max="1707" width="40.453125" customWidth="1"/>
    <col min="1709" max="1712" width="9" customWidth="1"/>
    <col min="1713" max="1713" width="11.81640625" customWidth="1"/>
    <col min="1714" max="1719" width="9" customWidth="1"/>
    <col min="1720" max="1721" width="23" customWidth="1"/>
    <col min="1962" max="1962" width="2.81640625" customWidth="1"/>
    <col min="1963" max="1963" width="40.453125" customWidth="1"/>
    <col min="1965" max="1968" width="9" customWidth="1"/>
    <col min="1969" max="1969" width="11.81640625" customWidth="1"/>
    <col min="1970" max="1975" width="9" customWidth="1"/>
    <col min="1976" max="1977" width="23" customWidth="1"/>
    <col min="2218" max="2218" width="2.81640625" customWidth="1"/>
    <col min="2219" max="2219" width="40.453125" customWidth="1"/>
    <col min="2221" max="2224" width="9" customWidth="1"/>
    <col min="2225" max="2225" width="11.81640625" customWidth="1"/>
    <col min="2226" max="2231" width="9" customWidth="1"/>
    <col min="2232" max="2233" width="23" customWidth="1"/>
    <col min="2474" max="2474" width="2.81640625" customWidth="1"/>
    <col min="2475" max="2475" width="40.453125" customWidth="1"/>
    <col min="2477" max="2480" width="9" customWidth="1"/>
    <col min="2481" max="2481" width="11.81640625" customWidth="1"/>
    <col min="2482" max="2487" width="9" customWidth="1"/>
    <col min="2488" max="2489" width="23" customWidth="1"/>
    <col min="2730" max="2730" width="2.81640625" customWidth="1"/>
    <col min="2731" max="2731" width="40.453125" customWidth="1"/>
    <col min="2733" max="2736" width="9" customWidth="1"/>
    <col min="2737" max="2737" width="11.81640625" customWidth="1"/>
    <col min="2738" max="2743" width="9" customWidth="1"/>
    <col min="2744" max="2745" width="23" customWidth="1"/>
    <col min="2986" max="2986" width="2.81640625" customWidth="1"/>
    <col min="2987" max="2987" width="40.453125" customWidth="1"/>
    <col min="2989" max="2992" width="9" customWidth="1"/>
    <col min="2993" max="2993" width="11.81640625" customWidth="1"/>
    <col min="2994" max="2999" width="9" customWidth="1"/>
    <col min="3000" max="3001" width="23" customWidth="1"/>
    <col min="3242" max="3242" width="2.81640625" customWidth="1"/>
    <col min="3243" max="3243" width="40.453125" customWidth="1"/>
    <col min="3245" max="3248" width="9" customWidth="1"/>
    <col min="3249" max="3249" width="11.81640625" customWidth="1"/>
    <col min="3250" max="3255" width="9" customWidth="1"/>
    <col min="3256" max="3257" width="23" customWidth="1"/>
    <col min="3498" max="3498" width="2.81640625" customWidth="1"/>
    <col min="3499" max="3499" width="40.453125" customWidth="1"/>
    <col min="3501" max="3504" width="9" customWidth="1"/>
    <col min="3505" max="3505" width="11.81640625" customWidth="1"/>
    <col min="3506" max="3511" width="9" customWidth="1"/>
    <col min="3512" max="3513" width="23" customWidth="1"/>
    <col min="3754" max="3754" width="2.81640625" customWidth="1"/>
    <col min="3755" max="3755" width="40.453125" customWidth="1"/>
    <col min="3757" max="3760" width="9" customWidth="1"/>
    <col min="3761" max="3761" width="11.81640625" customWidth="1"/>
    <col min="3762" max="3767" width="9" customWidth="1"/>
    <col min="3768" max="3769" width="23" customWidth="1"/>
    <col min="4010" max="4010" width="2.81640625" customWidth="1"/>
    <col min="4011" max="4011" width="40.453125" customWidth="1"/>
    <col min="4013" max="4016" width="9" customWidth="1"/>
    <col min="4017" max="4017" width="11.81640625" customWidth="1"/>
    <col min="4018" max="4023" width="9" customWidth="1"/>
    <col min="4024" max="4025" width="23" customWidth="1"/>
    <col min="4266" max="4266" width="2.81640625" customWidth="1"/>
    <col min="4267" max="4267" width="40.453125" customWidth="1"/>
    <col min="4269" max="4272" width="9" customWidth="1"/>
    <col min="4273" max="4273" width="11.81640625" customWidth="1"/>
    <col min="4274" max="4279" width="9" customWidth="1"/>
    <col min="4280" max="4281" width="23" customWidth="1"/>
    <col min="4522" max="4522" width="2.81640625" customWidth="1"/>
    <col min="4523" max="4523" width="40.453125" customWidth="1"/>
    <col min="4525" max="4528" width="9" customWidth="1"/>
    <col min="4529" max="4529" width="11.81640625" customWidth="1"/>
    <col min="4530" max="4535" width="9" customWidth="1"/>
    <col min="4536" max="4537" width="23" customWidth="1"/>
    <col min="4778" max="4778" width="2.81640625" customWidth="1"/>
    <col min="4779" max="4779" width="40.453125" customWidth="1"/>
    <col min="4781" max="4784" width="9" customWidth="1"/>
    <col min="4785" max="4785" width="11.81640625" customWidth="1"/>
    <col min="4786" max="4791" width="9" customWidth="1"/>
    <col min="4792" max="4793" width="23" customWidth="1"/>
    <col min="5034" max="5034" width="2.81640625" customWidth="1"/>
    <col min="5035" max="5035" width="40.453125" customWidth="1"/>
    <col min="5037" max="5040" width="9" customWidth="1"/>
    <col min="5041" max="5041" width="11.81640625" customWidth="1"/>
    <col min="5042" max="5047" width="9" customWidth="1"/>
    <col min="5048" max="5049" width="23" customWidth="1"/>
    <col min="5290" max="5290" width="2.81640625" customWidth="1"/>
    <col min="5291" max="5291" width="40.453125" customWidth="1"/>
    <col min="5293" max="5296" width="9" customWidth="1"/>
    <col min="5297" max="5297" width="11.81640625" customWidth="1"/>
    <col min="5298" max="5303" width="9" customWidth="1"/>
    <col min="5304" max="5305" width="23" customWidth="1"/>
    <col min="5546" max="5546" width="2.81640625" customWidth="1"/>
    <col min="5547" max="5547" width="40.453125" customWidth="1"/>
    <col min="5549" max="5552" width="9" customWidth="1"/>
    <col min="5553" max="5553" width="11.81640625" customWidth="1"/>
    <col min="5554" max="5559" width="9" customWidth="1"/>
    <col min="5560" max="5561" width="23" customWidth="1"/>
    <col min="5802" max="5802" width="2.81640625" customWidth="1"/>
    <col min="5803" max="5803" width="40.453125" customWidth="1"/>
    <col min="5805" max="5808" width="9" customWidth="1"/>
    <col min="5809" max="5809" width="11.81640625" customWidth="1"/>
    <col min="5810" max="5815" width="9" customWidth="1"/>
    <col min="5816" max="5817" width="23" customWidth="1"/>
    <col min="6058" max="6058" width="2.81640625" customWidth="1"/>
    <col min="6059" max="6059" width="40.453125" customWidth="1"/>
    <col min="6061" max="6064" width="9" customWidth="1"/>
    <col min="6065" max="6065" width="11.81640625" customWidth="1"/>
    <col min="6066" max="6071" width="9" customWidth="1"/>
    <col min="6072" max="6073" width="23" customWidth="1"/>
    <col min="6314" max="6314" width="2.81640625" customWidth="1"/>
    <col min="6315" max="6315" width="40.453125" customWidth="1"/>
    <col min="6317" max="6320" width="9" customWidth="1"/>
    <col min="6321" max="6321" width="11.81640625" customWidth="1"/>
    <col min="6322" max="6327" width="9" customWidth="1"/>
    <col min="6328" max="6329" width="23" customWidth="1"/>
    <col min="6570" max="6570" width="2.81640625" customWidth="1"/>
    <col min="6571" max="6571" width="40.453125" customWidth="1"/>
    <col min="6573" max="6576" width="9" customWidth="1"/>
    <col min="6577" max="6577" width="11.81640625" customWidth="1"/>
    <col min="6578" max="6583" width="9" customWidth="1"/>
    <col min="6584" max="6585" width="23" customWidth="1"/>
    <col min="6826" max="6826" width="2.81640625" customWidth="1"/>
    <col min="6827" max="6827" width="40.453125" customWidth="1"/>
    <col min="6829" max="6832" width="9" customWidth="1"/>
    <col min="6833" max="6833" width="11.81640625" customWidth="1"/>
    <col min="6834" max="6839" width="9" customWidth="1"/>
    <col min="6840" max="6841" width="23" customWidth="1"/>
    <col min="7082" max="7082" width="2.81640625" customWidth="1"/>
    <col min="7083" max="7083" width="40.453125" customWidth="1"/>
    <col min="7085" max="7088" width="9" customWidth="1"/>
    <col min="7089" max="7089" width="11.81640625" customWidth="1"/>
    <col min="7090" max="7095" width="9" customWidth="1"/>
    <col min="7096" max="7097" width="23" customWidth="1"/>
    <col min="7338" max="7338" width="2.81640625" customWidth="1"/>
    <col min="7339" max="7339" width="40.453125" customWidth="1"/>
    <col min="7341" max="7344" width="9" customWidth="1"/>
    <col min="7345" max="7345" width="11.81640625" customWidth="1"/>
    <col min="7346" max="7351" width="9" customWidth="1"/>
    <col min="7352" max="7353" width="23" customWidth="1"/>
    <col min="7594" max="7594" width="2.81640625" customWidth="1"/>
    <col min="7595" max="7595" width="40.453125" customWidth="1"/>
    <col min="7597" max="7600" width="9" customWidth="1"/>
    <col min="7601" max="7601" width="11.81640625" customWidth="1"/>
    <col min="7602" max="7607" width="9" customWidth="1"/>
    <col min="7608" max="7609" width="23" customWidth="1"/>
    <col min="7850" max="7850" width="2.81640625" customWidth="1"/>
    <col min="7851" max="7851" width="40.453125" customWidth="1"/>
    <col min="7853" max="7856" width="9" customWidth="1"/>
    <col min="7857" max="7857" width="11.81640625" customWidth="1"/>
    <col min="7858" max="7863" width="9" customWidth="1"/>
    <col min="7864" max="7865" width="23" customWidth="1"/>
    <col min="8106" max="8106" width="2.81640625" customWidth="1"/>
    <col min="8107" max="8107" width="40.453125" customWidth="1"/>
    <col min="8109" max="8112" width="9" customWidth="1"/>
    <col min="8113" max="8113" width="11.81640625" customWidth="1"/>
    <col min="8114" max="8119" width="9" customWidth="1"/>
    <col min="8120" max="8121" width="23" customWidth="1"/>
    <col min="8362" max="8362" width="2.81640625" customWidth="1"/>
    <col min="8363" max="8363" width="40.453125" customWidth="1"/>
    <col min="8365" max="8368" width="9" customWidth="1"/>
    <col min="8369" max="8369" width="11.81640625" customWidth="1"/>
    <col min="8370" max="8375" width="9" customWidth="1"/>
    <col min="8376" max="8377" width="23" customWidth="1"/>
    <col min="8618" max="8618" width="2.81640625" customWidth="1"/>
    <col min="8619" max="8619" width="40.453125" customWidth="1"/>
    <col min="8621" max="8624" width="9" customWidth="1"/>
    <col min="8625" max="8625" width="11.81640625" customWidth="1"/>
    <col min="8626" max="8631" width="9" customWidth="1"/>
    <col min="8632" max="8633" width="23" customWidth="1"/>
    <col min="8874" max="8874" width="2.81640625" customWidth="1"/>
    <col min="8875" max="8875" width="40.453125" customWidth="1"/>
    <col min="8877" max="8880" width="9" customWidth="1"/>
    <col min="8881" max="8881" width="11.81640625" customWidth="1"/>
    <col min="8882" max="8887" width="9" customWidth="1"/>
    <col min="8888" max="8889" width="23" customWidth="1"/>
    <col min="9130" max="9130" width="2.81640625" customWidth="1"/>
    <col min="9131" max="9131" width="40.453125" customWidth="1"/>
    <col min="9133" max="9136" width="9" customWidth="1"/>
    <col min="9137" max="9137" width="11.81640625" customWidth="1"/>
    <col min="9138" max="9143" width="9" customWidth="1"/>
    <col min="9144" max="9145" width="23" customWidth="1"/>
    <col min="9386" max="9386" width="2.81640625" customWidth="1"/>
    <col min="9387" max="9387" width="40.453125" customWidth="1"/>
    <col min="9389" max="9392" width="9" customWidth="1"/>
    <col min="9393" max="9393" width="11.81640625" customWidth="1"/>
    <col min="9394" max="9399" width="9" customWidth="1"/>
    <col min="9400" max="9401" width="23" customWidth="1"/>
    <col min="9642" max="9642" width="2.81640625" customWidth="1"/>
    <col min="9643" max="9643" width="40.453125" customWidth="1"/>
    <col min="9645" max="9648" width="9" customWidth="1"/>
    <col min="9649" max="9649" width="11.81640625" customWidth="1"/>
    <col min="9650" max="9655" width="9" customWidth="1"/>
    <col min="9656" max="9657" width="23" customWidth="1"/>
    <col min="9898" max="9898" width="2.81640625" customWidth="1"/>
    <col min="9899" max="9899" width="40.453125" customWidth="1"/>
    <col min="9901" max="9904" width="9" customWidth="1"/>
    <col min="9905" max="9905" width="11.81640625" customWidth="1"/>
    <col min="9906" max="9911" width="9" customWidth="1"/>
    <col min="9912" max="9913" width="23" customWidth="1"/>
    <col min="10154" max="10154" width="2.81640625" customWidth="1"/>
    <col min="10155" max="10155" width="40.453125" customWidth="1"/>
    <col min="10157" max="10160" width="9" customWidth="1"/>
    <col min="10161" max="10161" width="11.81640625" customWidth="1"/>
    <col min="10162" max="10167" width="9" customWidth="1"/>
    <col min="10168" max="10169" width="23" customWidth="1"/>
    <col min="10410" max="10410" width="2.81640625" customWidth="1"/>
    <col min="10411" max="10411" width="40.453125" customWidth="1"/>
    <col min="10413" max="10416" width="9" customWidth="1"/>
    <col min="10417" max="10417" width="11.81640625" customWidth="1"/>
    <col min="10418" max="10423" width="9" customWidth="1"/>
    <col min="10424" max="10425" width="23" customWidth="1"/>
    <col min="10666" max="10666" width="2.81640625" customWidth="1"/>
    <col min="10667" max="10667" width="40.453125" customWidth="1"/>
    <col min="10669" max="10672" width="9" customWidth="1"/>
    <col min="10673" max="10673" width="11.81640625" customWidth="1"/>
    <col min="10674" max="10679" width="9" customWidth="1"/>
    <col min="10680" max="10681" width="23" customWidth="1"/>
    <col min="10922" max="10922" width="2.81640625" customWidth="1"/>
    <col min="10923" max="10923" width="40.453125" customWidth="1"/>
    <col min="10925" max="10928" width="9" customWidth="1"/>
    <col min="10929" max="10929" width="11.81640625" customWidth="1"/>
    <col min="10930" max="10935" width="9" customWidth="1"/>
    <col min="10936" max="10937" width="23" customWidth="1"/>
    <col min="11178" max="11178" width="2.81640625" customWidth="1"/>
    <col min="11179" max="11179" width="40.453125" customWidth="1"/>
    <col min="11181" max="11184" width="9" customWidth="1"/>
    <col min="11185" max="11185" width="11.81640625" customWidth="1"/>
    <col min="11186" max="11191" width="9" customWidth="1"/>
    <col min="11192" max="11193" width="23" customWidth="1"/>
    <col min="11434" max="11434" width="2.81640625" customWidth="1"/>
    <col min="11435" max="11435" width="40.453125" customWidth="1"/>
    <col min="11437" max="11440" width="9" customWidth="1"/>
    <col min="11441" max="11441" width="11.81640625" customWidth="1"/>
    <col min="11442" max="11447" width="9" customWidth="1"/>
    <col min="11448" max="11449" width="23" customWidth="1"/>
    <col min="11690" max="11690" width="2.81640625" customWidth="1"/>
    <col min="11691" max="11691" width="40.453125" customWidth="1"/>
    <col min="11693" max="11696" width="9" customWidth="1"/>
    <col min="11697" max="11697" width="11.81640625" customWidth="1"/>
    <col min="11698" max="11703" width="9" customWidth="1"/>
    <col min="11704" max="11705" width="23" customWidth="1"/>
    <col min="11946" max="11946" width="2.81640625" customWidth="1"/>
    <col min="11947" max="11947" width="40.453125" customWidth="1"/>
    <col min="11949" max="11952" width="9" customWidth="1"/>
    <col min="11953" max="11953" width="11.81640625" customWidth="1"/>
    <col min="11954" max="11959" width="9" customWidth="1"/>
    <col min="11960" max="11961" width="23" customWidth="1"/>
    <col min="12202" max="12202" width="2.81640625" customWidth="1"/>
    <col min="12203" max="12203" width="40.453125" customWidth="1"/>
    <col min="12205" max="12208" width="9" customWidth="1"/>
    <col min="12209" max="12209" width="11.81640625" customWidth="1"/>
    <col min="12210" max="12215" width="9" customWidth="1"/>
    <col min="12216" max="12217" width="23" customWidth="1"/>
    <col min="12458" max="12458" width="2.81640625" customWidth="1"/>
    <col min="12459" max="12459" width="40.453125" customWidth="1"/>
    <col min="12461" max="12464" width="9" customWidth="1"/>
    <col min="12465" max="12465" width="11.81640625" customWidth="1"/>
    <col min="12466" max="12471" width="9" customWidth="1"/>
    <col min="12472" max="12473" width="23" customWidth="1"/>
    <col min="12714" max="12714" width="2.81640625" customWidth="1"/>
    <col min="12715" max="12715" width="40.453125" customWidth="1"/>
    <col min="12717" max="12720" width="9" customWidth="1"/>
    <col min="12721" max="12721" width="11.81640625" customWidth="1"/>
    <col min="12722" max="12727" width="9" customWidth="1"/>
    <col min="12728" max="12729" width="23" customWidth="1"/>
    <col min="12970" max="12970" width="2.81640625" customWidth="1"/>
    <col min="12971" max="12971" width="40.453125" customWidth="1"/>
    <col min="12973" max="12976" width="9" customWidth="1"/>
    <col min="12977" max="12977" width="11.81640625" customWidth="1"/>
    <col min="12978" max="12983" width="9" customWidth="1"/>
    <col min="12984" max="12985" width="23" customWidth="1"/>
    <col min="13226" max="13226" width="2.81640625" customWidth="1"/>
    <col min="13227" max="13227" width="40.453125" customWidth="1"/>
    <col min="13229" max="13232" width="9" customWidth="1"/>
    <col min="13233" max="13233" width="11.81640625" customWidth="1"/>
    <col min="13234" max="13239" width="9" customWidth="1"/>
    <col min="13240" max="13241" width="23" customWidth="1"/>
    <col min="13482" max="13482" width="2.81640625" customWidth="1"/>
    <col min="13483" max="13483" width="40.453125" customWidth="1"/>
    <col min="13485" max="13488" width="9" customWidth="1"/>
    <col min="13489" max="13489" width="11.81640625" customWidth="1"/>
    <col min="13490" max="13495" width="9" customWidth="1"/>
    <col min="13496" max="13497" width="23" customWidth="1"/>
    <col min="13738" max="13738" width="2.81640625" customWidth="1"/>
    <col min="13739" max="13739" width="40.453125" customWidth="1"/>
    <col min="13741" max="13744" width="9" customWidth="1"/>
    <col min="13745" max="13745" width="11.81640625" customWidth="1"/>
    <col min="13746" max="13751" width="9" customWidth="1"/>
    <col min="13752" max="13753" width="23" customWidth="1"/>
    <col min="13994" max="13994" width="2.81640625" customWidth="1"/>
    <col min="13995" max="13995" width="40.453125" customWidth="1"/>
    <col min="13997" max="14000" width="9" customWidth="1"/>
    <col min="14001" max="14001" width="11.81640625" customWidth="1"/>
    <col min="14002" max="14007" width="9" customWidth="1"/>
    <col min="14008" max="14009" width="23" customWidth="1"/>
    <col min="14250" max="14250" width="2.81640625" customWidth="1"/>
    <col min="14251" max="14251" width="40.453125" customWidth="1"/>
    <col min="14253" max="14256" width="9" customWidth="1"/>
    <col min="14257" max="14257" width="11.81640625" customWidth="1"/>
    <col min="14258" max="14263" width="9" customWidth="1"/>
    <col min="14264" max="14265" width="23" customWidth="1"/>
    <col min="14506" max="14506" width="2.81640625" customWidth="1"/>
    <col min="14507" max="14507" width="40.453125" customWidth="1"/>
    <col min="14509" max="14512" width="9" customWidth="1"/>
    <col min="14513" max="14513" width="11.81640625" customWidth="1"/>
    <col min="14514" max="14519" width="9" customWidth="1"/>
    <col min="14520" max="14521" width="23" customWidth="1"/>
    <col min="14762" max="14762" width="2.81640625" customWidth="1"/>
    <col min="14763" max="14763" width="40.453125" customWidth="1"/>
    <col min="14765" max="14768" width="9" customWidth="1"/>
    <col min="14769" max="14769" width="11.81640625" customWidth="1"/>
    <col min="14770" max="14775" width="9" customWidth="1"/>
    <col min="14776" max="14777" width="23" customWidth="1"/>
    <col min="15018" max="15018" width="2.81640625" customWidth="1"/>
    <col min="15019" max="15019" width="40.453125" customWidth="1"/>
    <col min="15021" max="15024" width="9" customWidth="1"/>
    <col min="15025" max="15025" width="11.81640625" customWidth="1"/>
    <col min="15026" max="15031" width="9" customWidth="1"/>
    <col min="15032" max="15033" width="23" customWidth="1"/>
    <col min="15274" max="15274" width="2.81640625" customWidth="1"/>
    <col min="15275" max="15275" width="40.453125" customWidth="1"/>
    <col min="15277" max="15280" width="9" customWidth="1"/>
    <col min="15281" max="15281" width="11.81640625" customWidth="1"/>
    <col min="15282" max="15287" width="9" customWidth="1"/>
    <col min="15288" max="15289" width="23" customWidth="1"/>
    <col min="15530" max="15530" width="2.81640625" customWidth="1"/>
    <col min="15531" max="15531" width="40.453125" customWidth="1"/>
    <col min="15533" max="15536" width="9" customWidth="1"/>
    <col min="15537" max="15537" width="11.81640625" customWidth="1"/>
    <col min="15538" max="15543" width="9" customWidth="1"/>
    <col min="15544" max="15545" width="23" customWidth="1"/>
    <col min="15786" max="15786" width="2.81640625" customWidth="1"/>
    <col min="15787" max="15787" width="40.453125" customWidth="1"/>
    <col min="15789" max="15792" width="9" customWidth="1"/>
    <col min="15793" max="15793" width="11.81640625" customWidth="1"/>
    <col min="15794" max="15799" width="9" customWidth="1"/>
    <col min="15800" max="15801" width="23" customWidth="1"/>
    <col min="16042" max="16042" width="2.81640625" customWidth="1"/>
    <col min="16043" max="16043" width="40.453125" customWidth="1"/>
    <col min="16045" max="16048" width="9" customWidth="1"/>
    <col min="16049" max="16049" width="11.81640625" customWidth="1"/>
    <col min="16050" max="16055" width="9" customWidth="1"/>
    <col min="16056" max="16057" width="23" customWidth="1"/>
  </cols>
  <sheetData>
    <row r="1" spans="2:18" s="82" customFormat="1" ht="26" x14ac:dyDescent="0.35"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spans="2:18" s="82" customFormat="1" ht="23.5" x14ac:dyDescent="0.55000000000000004">
      <c r="B2" s="84"/>
      <c r="C2" s="85"/>
      <c r="D2" s="86"/>
      <c r="E2" s="86"/>
      <c r="F2" s="86"/>
      <c r="I2" s="87" t="s">
        <v>45</v>
      </c>
      <c r="J2" s="87"/>
      <c r="K2" s="87"/>
      <c r="L2" s="87"/>
      <c r="M2" s="87"/>
    </row>
    <row r="3" spans="2:18" s="82" customFormat="1" ht="18.5" x14ac:dyDescent="0.45">
      <c r="B3" s="84"/>
      <c r="C3" s="85"/>
      <c r="D3" s="86"/>
      <c r="E3" s="86"/>
      <c r="F3" s="86"/>
      <c r="J3"/>
      <c r="K3" s="88"/>
      <c r="L3" s="88"/>
    </row>
    <row r="4" spans="2:18" s="82" customFormat="1" x14ac:dyDescent="0.35">
      <c r="C4" s="85"/>
      <c r="D4" s="86"/>
      <c r="E4" s="86"/>
      <c r="F4" s="86"/>
    </row>
    <row r="5" spans="2:18" s="82" customFormat="1" x14ac:dyDescent="0.35">
      <c r="B5" s="84"/>
      <c r="C5" s="85"/>
      <c r="D5" s="86"/>
      <c r="E5" s="86"/>
      <c r="F5" s="86"/>
    </row>
    <row r="6" spans="2:18" s="82" customFormat="1" x14ac:dyDescent="0.35">
      <c r="B6" s="89" t="s">
        <v>77</v>
      </c>
      <c r="C6" s="90"/>
      <c r="D6" s="91"/>
      <c r="E6" s="91"/>
      <c r="F6" s="91"/>
    </row>
    <row r="7" spans="2:18" s="82" customFormat="1" x14ac:dyDescent="0.35">
      <c r="B7" s="84"/>
      <c r="C7" s="85"/>
      <c r="D7" s="86"/>
      <c r="E7" s="86"/>
      <c r="F7" s="86"/>
      <c r="G7" s="92">
        <v>0.38</v>
      </c>
      <c r="H7" s="92">
        <v>0.64</v>
      </c>
      <c r="I7" s="92">
        <v>0.77</v>
      </c>
      <c r="J7" s="92">
        <v>0.87</v>
      </c>
      <c r="K7" s="92">
        <v>0.92</v>
      </c>
      <c r="L7" s="93">
        <v>1</v>
      </c>
      <c r="M7" s="92">
        <v>1.17</v>
      </c>
      <c r="N7" s="92">
        <v>1.35</v>
      </c>
      <c r="O7" s="92">
        <v>1.57</v>
      </c>
      <c r="P7" s="92">
        <v>1.82</v>
      </c>
      <c r="Q7" s="92">
        <v>2.12</v>
      </c>
      <c r="R7" s="92">
        <v>2.4</v>
      </c>
    </row>
    <row r="8" spans="2:18" ht="15" hidden="1" customHeight="1" x14ac:dyDescent="0.35">
      <c r="B8" s="94"/>
      <c r="C8" s="95"/>
      <c r="D8" s="96"/>
      <c r="E8" s="96"/>
      <c r="F8" s="96"/>
      <c r="G8" s="97">
        <v>0.38</v>
      </c>
      <c r="H8" s="97">
        <v>0.64</v>
      </c>
      <c r="I8" s="97">
        <v>0.77</v>
      </c>
      <c r="J8" s="98">
        <v>0.87</v>
      </c>
      <c r="K8" s="98">
        <v>0.92</v>
      </c>
      <c r="L8" s="98">
        <v>1</v>
      </c>
      <c r="M8" s="98">
        <v>1.17</v>
      </c>
      <c r="N8" s="98">
        <v>1.35</v>
      </c>
      <c r="O8" s="98">
        <v>1.57</v>
      </c>
      <c r="P8" s="98">
        <v>1.82</v>
      </c>
      <c r="Q8" s="98">
        <v>2.12</v>
      </c>
      <c r="R8" s="98">
        <v>2.4</v>
      </c>
    </row>
    <row r="9" spans="2:18" ht="15" hidden="1" customHeight="1" x14ac:dyDescent="0.35">
      <c r="B9" s="99"/>
      <c r="C9" s="100"/>
      <c r="D9" s="101"/>
      <c r="E9" s="101"/>
      <c r="F9" s="101"/>
      <c r="G9" s="102"/>
      <c r="H9" s="103"/>
      <c r="I9" s="103"/>
      <c r="J9" s="104"/>
      <c r="K9" s="104"/>
      <c r="L9" s="104"/>
      <c r="M9" s="104"/>
      <c r="N9" s="104"/>
      <c r="O9" s="104"/>
      <c r="P9" s="104"/>
      <c r="Q9" s="104"/>
      <c r="R9" s="104"/>
    </row>
    <row r="10" spans="2:18" ht="16.5" customHeight="1" x14ac:dyDescent="0.35">
      <c r="B10" s="105"/>
      <c r="C10" s="95"/>
      <c r="D10" s="106"/>
      <c r="E10" s="101"/>
      <c r="F10" s="101"/>
      <c r="G10" s="107">
        <v>5</v>
      </c>
      <c r="H10" s="108">
        <v>10</v>
      </c>
      <c r="I10" s="108">
        <v>15</v>
      </c>
      <c r="J10" s="108">
        <v>20</v>
      </c>
      <c r="K10" s="108">
        <v>25</v>
      </c>
      <c r="L10" s="109">
        <v>30</v>
      </c>
      <c r="M10" s="108">
        <v>35</v>
      </c>
      <c r="N10" s="108">
        <v>40</v>
      </c>
      <c r="O10" s="108">
        <v>45</v>
      </c>
      <c r="P10" s="108">
        <v>50</v>
      </c>
      <c r="Q10" s="108">
        <v>55</v>
      </c>
      <c r="R10" s="108">
        <v>60</v>
      </c>
    </row>
    <row r="11" spans="2:18" x14ac:dyDescent="0.35">
      <c r="B11" s="110" t="s">
        <v>1</v>
      </c>
      <c r="C11" s="111" t="s">
        <v>78</v>
      </c>
      <c r="D11" s="112" t="s">
        <v>79</v>
      </c>
      <c r="E11" s="112" t="s">
        <v>0</v>
      </c>
      <c r="F11" s="112" t="s">
        <v>157</v>
      </c>
      <c r="G11" s="111" t="s">
        <v>80</v>
      </c>
      <c r="H11" s="111" t="s">
        <v>81</v>
      </c>
      <c r="I11" s="111" t="s">
        <v>82</v>
      </c>
      <c r="J11" s="111" t="s">
        <v>83</v>
      </c>
      <c r="K11" s="111" t="s">
        <v>84</v>
      </c>
      <c r="L11" s="113" t="s">
        <v>85</v>
      </c>
      <c r="M11" s="111" t="s">
        <v>86</v>
      </c>
      <c r="N11" s="111" t="s">
        <v>87</v>
      </c>
      <c r="O11" s="111" t="s">
        <v>88</v>
      </c>
      <c r="P11" s="111" t="s">
        <v>89</v>
      </c>
      <c r="Q11" s="111" t="s">
        <v>90</v>
      </c>
      <c r="R11" s="111" t="s">
        <v>91</v>
      </c>
    </row>
    <row r="12" spans="2:18" x14ac:dyDescent="0.35">
      <c r="B12" s="114" t="s">
        <v>92</v>
      </c>
      <c r="C12" s="115" t="s">
        <v>93</v>
      </c>
      <c r="D12" s="116" t="s">
        <v>94</v>
      </c>
      <c r="E12" s="116" t="s">
        <v>6</v>
      </c>
      <c r="F12" s="117">
        <v>0.94</v>
      </c>
      <c r="G12" s="217">
        <f>L12*$G$8</f>
        <v>54720</v>
      </c>
      <c r="H12" s="218">
        <f>L12*$H$8</f>
        <v>92160</v>
      </c>
      <c r="I12" s="218">
        <f t="shared" ref="I12:I42" si="0">L12*$I$8</f>
        <v>110880</v>
      </c>
      <c r="J12" s="218">
        <f t="shared" ref="J12:J42" si="1">L12*$J$8</f>
        <v>125280</v>
      </c>
      <c r="K12" s="218">
        <f t="shared" ref="K12:K42" si="2">L12*$K$8</f>
        <v>132480</v>
      </c>
      <c r="L12" s="219">
        <v>144000</v>
      </c>
      <c r="M12" s="218">
        <f t="shared" ref="M12:M38" si="3">L12*$M$8</f>
        <v>168480</v>
      </c>
      <c r="N12" s="217">
        <f t="shared" ref="N12:N38" si="4">L12*$N$8</f>
        <v>194400</v>
      </c>
      <c r="O12" s="217">
        <f t="shared" ref="O12:O38" si="5">L12*$O$8</f>
        <v>226080</v>
      </c>
      <c r="P12" s="217">
        <f t="shared" ref="P12:P38" si="6">L12*$P$8</f>
        <v>262080</v>
      </c>
      <c r="Q12" s="217">
        <f t="shared" ref="Q12:Q38" si="7">L12*$Q$8</f>
        <v>305280</v>
      </c>
      <c r="R12" s="217">
        <f t="shared" ref="R12:R26" si="8">L12*$R$8</f>
        <v>345600</v>
      </c>
    </row>
    <row r="13" spans="2:18" x14ac:dyDescent="0.35">
      <c r="B13" s="114" t="s">
        <v>95</v>
      </c>
      <c r="C13" s="115" t="s">
        <v>93</v>
      </c>
      <c r="D13" s="116" t="s">
        <v>96</v>
      </c>
      <c r="E13" s="116" t="s">
        <v>6</v>
      </c>
      <c r="F13" s="117">
        <v>2.6914646464646461</v>
      </c>
      <c r="G13" s="217">
        <f t="shared" ref="G13:G42" si="9">L13*$G$8</f>
        <v>206720</v>
      </c>
      <c r="H13" s="218">
        <f t="shared" ref="H13:H42" si="10">L13*$H$8</f>
        <v>348160</v>
      </c>
      <c r="I13" s="218">
        <f t="shared" si="0"/>
        <v>418880</v>
      </c>
      <c r="J13" s="218">
        <f t="shared" si="1"/>
        <v>473280</v>
      </c>
      <c r="K13" s="218">
        <f t="shared" si="2"/>
        <v>500480</v>
      </c>
      <c r="L13" s="219">
        <v>544000</v>
      </c>
      <c r="M13" s="218">
        <f t="shared" si="3"/>
        <v>636480</v>
      </c>
      <c r="N13" s="217">
        <f t="shared" si="4"/>
        <v>734400</v>
      </c>
      <c r="O13" s="217">
        <f t="shared" si="5"/>
        <v>854080</v>
      </c>
      <c r="P13" s="217">
        <f t="shared" si="6"/>
        <v>990080</v>
      </c>
      <c r="Q13" s="217">
        <f t="shared" si="7"/>
        <v>1153280</v>
      </c>
      <c r="R13" s="217">
        <f t="shared" si="8"/>
        <v>1305600</v>
      </c>
    </row>
    <row r="14" spans="2:18" ht="16" customHeight="1" x14ac:dyDescent="0.35">
      <c r="B14" s="114" t="s">
        <v>97</v>
      </c>
      <c r="C14" s="115" t="s">
        <v>93</v>
      </c>
      <c r="D14" s="116" t="s">
        <v>98</v>
      </c>
      <c r="E14" s="116" t="s">
        <v>6</v>
      </c>
      <c r="F14" s="117">
        <v>3.2579054054054044</v>
      </c>
      <c r="G14" s="217">
        <f t="shared" si="9"/>
        <v>194560</v>
      </c>
      <c r="H14" s="218">
        <f t="shared" si="10"/>
        <v>327680</v>
      </c>
      <c r="I14" s="218">
        <f t="shared" si="0"/>
        <v>394240</v>
      </c>
      <c r="J14" s="218">
        <f t="shared" si="1"/>
        <v>445440</v>
      </c>
      <c r="K14" s="218">
        <f t="shared" si="2"/>
        <v>471040</v>
      </c>
      <c r="L14" s="219">
        <v>512000</v>
      </c>
      <c r="M14" s="218">
        <f t="shared" si="3"/>
        <v>599040</v>
      </c>
      <c r="N14" s="217">
        <f t="shared" si="4"/>
        <v>691200</v>
      </c>
      <c r="O14" s="217">
        <f t="shared" si="5"/>
        <v>803840</v>
      </c>
      <c r="P14" s="217">
        <f t="shared" si="6"/>
        <v>931840</v>
      </c>
      <c r="Q14" s="217">
        <f t="shared" si="7"/>
        <v>1085440</v>
      </c>
      <c r="R14" s="217">
        <f t="shared" si="8"/>
        <v>1228800</v>
      </c>
    </row>
    <row r="15" spans="2:18" x14ac:dyDescent="0.35">
      <c r="B15" s="114" t="s">
        <v>99</v>
      </c>
      <c r="C15" s="115" t="s">
        <v>93</v>
      </c>
      <c r="D15" s="116" t="s">
        <v>100</v>
      </c>
      <c r="E15" s="116" t="s">
        <v>6</v>
      </c>
      <c r="F15" s="117">
        <v>2.389705882352942</v>
      </c>
      <c r="G15" s="217">
        <f t="shared" si="9"/>
        <v>162640</v>
      </c>
      <c r="H15" s="218">
        <f t="shared" si="10"/>
        <v>273920</v>
      </c>
      <c r="I15" s="218">
        <f t="shared" si="0"/>
        <v>329560</v>
      </c>
      <c r="J15" s="218">
        <f t="shared" si="1"/>
        <v>372360</v>
      </c>
      <c r="K15" s="218">
        <f t="shared" si="2"/>
        <v>393760</v>
      </c>
      <c r="L15" s="219">
        <v>428000</v>
      </c>
      <c r="M15" s="218">
        <f>L15*$M$8</f>
        <v>500759.99999999994</v>
      </c>
      <c r="N15" s="217">
        <f>L15*$N$8</f>
        <v>577800</v>
      </c>
      <c r="O15" s="217">
        <f>L15*$O$8</f>
        <v>671960</v>
      </c>
      <c r="P15" s="217">
        <f>L15*$P$8</f>
        <v>778960</v>
      </c>
      <c r="Q15" s="217">
        <f>L15*$Q$8</f>
        <v>907360</v>
      </c>
      <c r="R15" s="217">
        <f>L15*$R$8</f>
        <v>1027200</v>
      </c>
    </row>
    <row r="16" spans="2:18" x14ac:dyDescent="0.35">
      <c r="B16" s="114" t="s">
        <v>101</v>
      </c>
      <c r="C16" s="115" t="s">
        <v>93</v>
      </c>
      <c r="D16" s="116" t="s">
        <v>102</v>
      </c>
      <c r="E16" s="116" t="s">
        <v>6</v>
      </c>
      <c r="F16" s="117">
        <v>2.422680412371133</v>
      </c>
      <c r="G16" s="217">
        <f t="shared" si="9"/>
        <v>170240</v>
      </c>
      <c r="H16" s="218">
        <f t="shared" si="10"/>
        <v>286720</v>
      </c>
      <c r="I16" s="218">
        <f t="shared" si="0"/>
        <v>344960</v>
      </c>
      <c r="J16" s="218">
        <f t="shared" si="1"/>
        <v>389760</v>
      </c>
      <c r="K16" s="218">
        <f t="shared" si="2"/>
        <v>412160</v>
      </c>
      <c r="L16" s="219">
        <v>448000</v>
      </c>
      <c r="M16" s="218">
        <f t="shared" si="3"/>
        <v>524159.99999999994</v>
      </c>
      <c r="N16" s="217">
        <f t="shared" si="4"/>
        <v>604800</v>
      </c>
      <c r="O16" s="217">
        <f t="shared" si="5"/>
        <v>703360</v>
      </c>
      <c r="P16" s="217">
        <f t="shared" si="6"/>
        <v>815360</v>
      </c>
      <c r="Q16" s="217">
        <f t="shared" si="7"/>
        <v>949760</v>
      </c>
      <c r="R16" s="217">
        <f t="shared" si="8"/>
        <v>1075200</v>
      </c>
    </row>
    <row r="17" spans="2:18" x14ac:dyDescent="0.35">
      <c r="B17" s="114" t="s">
        <v>103</v>
      </c>
      <c r="C17" s="115" t="s">
        <v>93</v>
      </c>
      <c r="D17" s="116" t="s">
        <v>104</v>
      </c>
      <c r="E17" s="116" t="s">
        <v>6</v>
      </c>
      <c r="F17" s="117">
        <v>2.5461538461538469</v>
      </c>
      <c r="G17" s="217">
        <f t="shared" si="9"/>
        <v>182400</v>
      </c>
      <c r="H17" s="218">
        <f t="shared" si="10"/>
        <v>307200</v>
      </c>
      <c r="I17" s="218">
        <f t="shared" si="0"/>
        <v>369600</v>
      </c>
      <c r="J17" s="218">
        <f t="shared" si="1"/>
        <v>417600</v>
      </c>
      <c r="K17" s="218">
        <f t="shared" si="2"/>
        <v>441600</v>
      </c>
      <c r="L17" s="219">
        <v>480000</v>
      </c>
      <c r="M17" s="218">
        <f t="shared" si="3"/>
        <v>561600</v>
      </c>
      <c r="N17" s="217">
        <f t="shared" si="4"/>
        <v>648000</v>
      </c>
      <c r="O17" s="217">
        <f t="shared" si="5"/>
        <v>753600</v>
      </c>
      <c r="P17" s="217">
        <f t="shared" si="6"/>
        <v>873600</v>
      </c>
      <c r="Q17" s="217">
        <f t="shared" si="7"/>
        <v>1017600</v>
      </c>
      <c r="R17" s="217">
        <f t="shared" si="8"/>
        <v>1152000</v>
      </c>
    </row>
    <row r="18" spans="2:18" x14ac:dyDescent="0.35">
      <c r="B18" s="114" t="s">
        <v>105</v>
      </c>
      <c r="C18" s="115" t="s">
        <v>93</v>
      </c>
      <c r="D18" s="116" t="s">
        <v>106</v>
      </c>
      <c r="E18" s="116" t="s">
        <v>6</v>
      </c>
      <c r="F18" s="117">
        <v>3.2423595505617975</v>
      </c>
      <c r="G18" s="217">
        <f t="shared" si="9"/>
        <v>323000</v>
      </c>
      <c r="H18" s="218">
        <f t="shared" si="10"/>
        <v>544000</v>
      </c>
      <c r="I18" s="218">
        <f t="shared" si="0"/>
        <v>654500</v>
      </c>
      <c r="J18" s="218">
        <f t="shared" si="1"/>
        <v>739500</v>
      </c>
      <c r="K18" s="218">
        <f t="shared" si="2"/>
        <v>782000</v>
      </c>
      <c r="L18" s="219">
        <v>850000</v>
      </c>
      <c r="M18" s="218">
        <f t="shared" si="3"/>
        <v>994499.99999999988</v>
      </c>
      <c r="N18" s="217">
        <f t="shared" si="4"/>
        <v>1147500</v>
      </c>
      <c r="O18" s="217">
        <f t="shared" si="5"/>
        <v>1334500</v>
      </c>
      <c r="P18" s="217">
        <f t="shared" si="6"/>
        <v>1547000</v>
      </c>
      <c r="Q18" s="217">
        <f t="shared" si="7"/>
        <v>1802000</v>
      </c>
      <c r="R18" s="217">
        <f t="shared" si="8"/>
        <v>2040000</v>
      </c>
    </row>
    <row r="19" spans="2:18" x14ac:dyDescent="0.35">
      <c r="B19" s="114" t="s">
        <v>107</v>
      </c>
      <c r="C19" s="115" t="s">
        <v>93</v>
      </c>
      <c r="D19" s="116" t="s">
        <v>108</v>
      </c>
      <c r="E19" s="116" t="s">
        <v>6</v>
      </c>
      <c r="F19" s="117">
        <v>3.8590624999999985</v>
      </c>
      <c r="G19" s="217">
        <f t="shared" si="9"/>
        <v>361000</v>
      </c>
      <c r="H19" s="218">
        <f t="shared" si="10"/>
        <v>608000</v>
      </c>
      <c r="I19" s="218">
        <f t="shared" si="0"/>
        <v>731500</v>
      </c>
      <c r="J19" s="218">
        <f t="shared" si="1"/>
        <v>826500</v>
      </c>
      <c r="K19" s="218">
        <f t="shared" si="2"/>
        <v>874000</v>
      </c>
      <c r="L19" s="219">
        <v>950000</v>
      </c>
      <c r="M19" s="218">
        <f>L19*$M$8</f>
        <v>1111500</v>
      </c>
      <c r="N19" s="217">
        <f>L19*$N$8</f>
        <v>1282500</v>
      </c>
      <c r="O19" s="217">
        <f>L19*$O$8</f>
        <v>1491500</v>
      </c>
      <c r="P19" s="217">
        <f>L19*$P$8</f>
        <v>1729000</v>
      </c>
      <c r="Q19" s="217">
        <f>L19*$Q$8</f>
        <v>2014000</v>
      </c>
      <c r="R19" s="217">
        <f>L19*$R$8</f>
        <v>2280000</v>
      </c>
    </row>
    <row r="20" spans="2:18" s="82" customFormat="1" x14ac:dyDescent="0.35">
      <c r="B20" s="118" t="s">
        <v>109</v>
      </c>
      <c r="C20" s="119" t="s">
        <v>110</v>
      </c>
      <c r="D20" s="120" t="s">
        <v>111</v>
      </c>
      <c r="E20" s="120" t="s">
        <v>6</v>
      </c>
      <c r="F20" s="121">
        <v>2.0961538461538463</v>
      </c>
      <c r="G20" s="217">
        <f t="shared" si="9"/>
        <v>124640</v>
      </c>
      <c r="H20" s="218">
        <f t="shared" si="10"/>
        <v>209920</v>
      </c>
      <c r="I20" s="218">
        <f t="shared" si="0"/>
        <v>252560</v>
      </c>
      <c r="J20" s="218">
        <f t="shared" si="1"/>
        <v>285360</v>
      </c>
      <c r="K20" s="218">
        <f t="shared" si="2"/>
        <v>301760</v>
      </c>
      <c r="L20" s="219">
        <v>328000</v>
      </c>
      <c r="M20" s="220">
        <f>L20*$M$8</f>
        <v>383760</v>
      </c>
      <c r="N20" s="221">
        <f>L20*$N$8</f>
        <v>442800.00000000006</v>
      </c>
      <c r="O20" s="221">
        <f>L20*$O$8</f>
        <v>514960</v>
      </c>
      <c r="P20" s="221">
        <f>L20*$P$8</f>
        <v>596960</v>
      </c>
      <c r="Q20" s="221">
        <f>L20*$Q$8</f>
        <v>695360</v>
      </c>
      <c r="R20" s="221">
        <f t="shared" ref="R20" si="11">L20*$R$8</f>
        <v>787200</v>
      </c>
    </row>
    <row r="21" spans="2:18" x14ac:dyDescent="0.35">
      <c r="B21" s="118" t="s">
        <v>112</v>
      </c>
      <c r="C21" s="119" t="s">
        <v>110</v>
      </c>
      <c r="D21" s="120" t="s">
        <v>98</v>
      </c>
      <c r="E21" s="120" t="s">
        <v>6</v>
      </c>
      <c r="F21" s="121">
        <v>1.85</v>
      </c>
      <c r="G21" s="217">
        <f t="shared" si="9"/>
        <v>124640</v>
      </c>
      <c r="H21" s="218">
        <f t="shared" si="10"/>
        <v>209920</v>
      </c>
      <c r="I21" s="218">
        <f t="shared" si="0"/>
        <v>252560</v>
      </c>
      <c r="J21" s="218">
        <f t="shared" si="1"/>
        <v>285360</v>
      </c>
      <c r="K21" s="218">
        <f t="shared" si="2"/>
        <v>301760</v>
      </c>
      <c r="L21" s="219">
        <v>328000</v>
      </c>
      <c r="M21" s="218">
        <f t="shared" si="3"/>
        <v>383760</v>
      </c>
      <c r="N21" s="217">
        <f t="shared" si="4"/>
        <v>442800.00000000006</v>
      </c>
      <c r="O21" s="217">
        <f t="shared" si="5"/>
        <v>514960</v>
      </c>
      <c r="P21" s="217">
        <f t="shared" si="6"/>
        <v>596960</v>
      </c>
      <c r="Q21" s="217">
        <f t="shared" si="7"/>
        <v>695360</v>
      </c>
      <c r="R21" s="217">
        <f>L21*$R$8</f>
        <v>787200</v>
      </c>
    </row>
    <row r="22" spans="2:18" x14ac:dyDescent="0.35">
      <c r="B22" s="118" t="s">
        <v>113</v>
      </c>
      <c r="C22" s="119" t="s">
        <v>20</v>
      </c>
      <c r="D22" s="120" t="s">
        <v>114</v>
      </c>
      <c r="E22" s="120" t="s">
        <v>6</v>
      </c>
      <c r="F22" s="121">
        <v>1.423</v>
      </c>
      <c r="G22" s="217">
        <f t="shared" si="9"/>
        <v>76000</v>
      </c>
      <c r="H22" s="218">
        <f t="shared" si="10"/>
        <v>128000</v>
      </c>
      <c r="I22" s="218">
        <f t="shared" si="0"/>
        <v>154000</v>
      </c>
      <c r="J22" s="218">
        <f t="shared" si="1"/>
        <v>174000</v>
      </c>
      <c r="K22" s="218">
        <f t="shared" si="2"/>
        <v>184000</v>
      </c>
      <c r="L22" s="219">
        <v>200000</v>
      </c>
      <c r="M22" s="218">
        <f t="shared" si="3"/>
        <v>234000</v>
      </c>
      <c r="N22" s="217">
        <f t="shared" si="4"/>
        <v>270000</v>
      </c>
      <c r="O22" s="217">
        <f t="shared" si="5"/>
        <v>314000</v>
      </c>
      <c r="P22" s="217">
        <f t="shared" si="6"/>
        <v>364000</v>
      </c>
      <c r="Q22" s="217">
        <f t="shared" si="7"/>
        <v>424000</v>
      </c>
      <c r="R22" s="217">
        <f t="shared" si="8"/>
        <v>480000</v>
      </c>
    </row>
    <row r="23" spans="2:18" x14ac:dyDescent="0.35">
      <c r="B23" s="118" t="s">
        <v>115</v>
      </c>
      <c r="C23" s="119" t="s">
        <v>19</v>
      </c>
      <c r="D23" s="120" t="s">
        <v>114</v>
      </c>
      <c r="E23" s="120" t="s">
        <v>6</v>
      </c>
      <c r="F23" s="121">
        <v>1.0185</v>
      </c>
      <c r="G23" s="217">
        <f t="shared" si="9"/>
        <v>76000</v>
      </c>
      <c r="H23" s="218">
        <f t="shared" si="10"/>
        <v>128000</v>
      </c>
      <c r="I23" s="218">
        <f t="shared" si="0"/>
        <v>154000</v>
      </c>
      <c r="J23" s="218">
        <f t="shared" si="1"/>
        <v>174000</v>
      </c>
      <c r="K23" s="218">
        <f t="shared" si="2"/>
        <v>184000</v>
      </c>
      <c r="L23" s="219">
        <v>200000</v>
      </c>
      <c r="M23" s="218">
        <f t="shared" si="3"/>
        <v>234000</v>
      </c>
      <c r="N23" s="217">
        <f t="shared" si="4"/>
        <v>270000</v>
      </c>
      <c r="O23" s="217">
        <f t="shared" si="5"/>
        <v>314000</v>
      </c>
      <c r="P23" s="217">
        <f t="shared" si="6"/>
        <v>364000</v>
      </c>
      <c r="Q23" s="217">
        <f t="shared" si="7"/>
        <v>424000</v>
      </c>
      <c r="R23" s="217">
        <f t="shared" si="8"/>
        <v>480000</v>
      </c>
    </row>
    <row r="24" spans="2:18" x14ac:dyDescent="0.35">
      <c r="B24" s="118" t="s">
        <v>116</v>
      </c>
      <c r="C24" s="119" t="s">
        <v>20</v>
      </c>
      <c r="D24" s="120" t="s">
        <v>117</v>
      </c>
      <c r="E24" s="120" t="s">
        <v>6</v>
      </c>
      <c r="F24" s="121">
        <v>1.1595238095238096</v>
      </c>
      <c r="G24" s="217">
        <f t="shared" si="9"/>
        <v>76000</v>
      </c>
      <c r="H24" s="218">
        <f t="shared" si="10"/>
        <v>128000</v>
      </c>
      <c r="I24" s="218">
        <f t="shared" si="0"/>
        <v>154000</v>
      </c>
      <c r="J24" s="218">
        <f t="shared" si="1"/>
        <v>174000</v>
      </c>
      <c r="K24" s="218">
        <f t="shared" si="2"/>
        <v>184000</v>
      </c>
      <c r="L24" s="219">
        <v>200000</v>
      </c>
      <c r="M24" s="218">
        <f>L24*$M$8</f>
        <v>234000</v>
      </c>
      <c r="N24" s="217">
        <f>L24*$N$8</f>
        <v>270000</v>
      </c>
      <c r="O24" s="217">
        <f>L24*$O$8</f>
        <v>314000</v>
      </c>
      <c r="P24" s="217">
        <f>L24*$P$8</f>
        <v>364000</v>
      </c>
      <c r="Q24" s="217">
        <f>L24*$Q$8</f>
        <v>424000</v>
      </c>
      <c r="R24" s="217">
        <f>L24*$R$8</f>
        <v>480000</v>
      </c>
    </row>
    <row r="25" spans="2:18" x14ac:dyDescent="0.35">
      <c r="B25" s="118" t="s">
        <v>118</v>
      </c>
      <c r="C25" s="119" t="s">
        <v>19</v>
      </c>
      <c r="D25" s="120" t="s">
        <v>119</v>
      </c>
      <c r="E25" s="120" t="s">
        <v>6</v>
      </c>
      <c r="F25" s="121">
        <v>1.0715384615384616</v>
      </c>
      <c r="G25" s="217">
        <f t="shared" si="9"/>
        <v>76000</v>
      </c>
      <c r="H25" s="218">
        <f t="shared" si="10"/>
        <v>128000</v>
      </c>
      <c r="I25" s="218">
        <f t="shared" si="0"/>
        <v>154000</v>
      </c>
      <c r="J25" s="218">
        <f t="shared" si="1"/>
        <v>174000</v>
      </c>
      <c r="K25" s="218">
        <f t="shared" si="2"/>
        <v>184000</v>
      </c>
      <c r="L25" s="219">
        <v>200000</v>
      </c>
      <c r="M25" s="218">
        <f>L25*$M$8</f>
        <v>234000</v>
      </c>
      <c r="N25" s="217">
        <f>L25*$N$8</f>
        <v>270000</v>
      </c>
      <c r="O25" s="217">
        <f>L25*$O$8</f>
        <v>314000</v>
      </c>
      <c r="P25" s="217">
        <f>L25*$P$8</f>
        <v>364000</v>
      </c>
      <c r="Q25" s="217">
        <f>L25*$Q$8</f>
        <v>424000</v>
      </c>
      <c r="R25" s="217">
        <f>L25*$R$8</f>
        <v>480000</v>
      </c>
    </row>
    <row r="26" spans="2:18" x14ac:dyDescent="0.35">
      <c r="B26" s="118" t="s">
        <v>120</v>
      </c>
      <c r="C26" s="119" t="s">
        <v>19</v>
      </c>
      <c r="D26" s="120" t="s">
        <v>121</v>
      </c>
      <c r="E26" s="120" t="s">
        <v>6</v>
      </c>
      <c r="F26" s="121">
        <v>1.052</v>
      </c>
      <c r="G26" s="217">
        <f t="shared" si="9"/>
        <v>76000</v>
      </c>
      <c r="H26" s="218">
        <f t="shared" si="10"/>
        <v>128000</v>
      </c>
      <c r="I26" s="218">
        <f t="shared" si="0"/>
        <v>154000</v>
      </c>
      <c r="J26" s="218">
        <f t="shared" si="1"/>
        <v>174000</v>
      </c>
      <c r="K26" s="218">
        <f t="shared" si="2"/>
        <v>184000</v>
      </c>
      <c r="L26" s="219">
        <v>200000</v>
      </c>
      <c r="M26" s="218">
        <f t="shared" si="3"/>
        <v>234000</v>
      </c>
      <c r="N26" s="217">
        <f t="shared" si="4"/>
        <v>270000</v>
      </c>
      <c r="O26" s="217">
        <f t="shared" si="5"/>
        <v>314000</v>
      </c>
      <c r="P26" s="217">
        <f t="shared" si="6"/>
        <v>364000</v>
      </c>
      <c r="Q26" s="217">
        <f t="shared" si="7"/>
        <v>424000</v>
      </c>
      <c r="R26" s="217">
        <f t="shared" si="8"/>
        <v>480000</v>
      </c>
    </row>
    <row r="27" spans="2:18" x14ac:dyDescent="0.35">
      <c r="B27" s="118" t="s">
        <v>122</v>
      </c>
      <c r="C27" s="119" t="s">
        <v>19</v>
      </c>
      <c r="D27" s="120" t="s">
        <v>123</v>
      </c>
      <c r="E27" s="120" t="s">
        <v>6</v>
      </c>
      <c r="F27" s="121">
        <v>1.2274999999999998</v>
      </c>
      <c r="G27" s="217">
        <f t="shared" si="9"/>
        <v>76000</v>
      </c>
      <c r="H27" s="218">
        <f t="shared" si="10"/>
        <v>128000</v>
      </c>
      <c r="I27" s="218">
        <f t="shared" si="0"/>
        <v>154000</v>
      </c>
      <c r="J27" s="218">
        <f t="shared" si="1"/>
        <v>174000</v>
      </c>
      <c r="K27" s="218">
        <f t="shared" si="2"/>
        <v>184000</v>
      </c>
      <c r="L27" s="219">
        <v>200000</v>
      </c>
      <c r="M27" s="218">
        <f t="shared" si="3"/>
        <v>234000</v>
      </c>
      <c r="N27" s="217">
        <f t="shared" si="4"/>
        <v>270000</v>
      </c>
      <c r="O27" s="217">
        <f t="shared" si="5"/>
        <v>314000</v>
      </c>
      <c r="P27" s="217">
        <f t="shared" si="6"/>
        <v>364000</v>
      </c>
      <c r="Q27" s="217">
        <f t="shared" si="7"/>
        <v>424000</v>
      </c>
      <c r="R27" s="217">
        <f>L27*$R$8</f>
        <v>480000</v>
      </c>
    </row>
    <row r="28" spans="2:18" x14ac:dyDescent="0.35">
      <c r="B28" s="118" t="s">
        <v>124</v>
      </c>
      <c r="C28" s="119" t="s">
        <v>20</v>
      </c>
      <c r="D28" s="120" t="s">
        <v>125</v>
      </c>
      <c r="E28" s="120" t="s">
        <v>6</v>
      </c>
      <c r="F28" s="121">
        <v>1.3152631578947365</v>
      </c>
      <c r="G28" s="217">
        <f t="shared" si="9"/>
        <v>76000</v>
      </c>
      <c r="H28" s="218">
        <f t="shared" si="10"/>
        <v>128000</v>
      </c>
      <c r="I28" s="218">
        <f t="shared" si="0"/>
        <v>154000</v>
      </c>
      <c r="J28" s="218">
        <f t="shared" si="1"/>
        <v>174000</v>
      </c>
      <c r="K28" s="218">
        <f t="shared" si="2"/>
        <v>184000</v>
      </c>
      <c r="L28" s="219">
        <v>200000</v>
      </c>
      <c r="M28" s="218">
        <f t="shared" si="3"/>
        <v>234000</v>
      </c>
      <c r="N28" s="217">
        <f t="shared" si="4"/>
        <v>270000</v>
      </c>
      <c r="O28" s="217">
        <f t="shared" si="5"/>
        <v>314000</v>
      </c>
      <c r="P28" s="217">
        <f t="shared" si="6"/>
        <v>364000</v>
      </c>
      <c r="Q28" s="217">
        <f t="shared" si="7"/>
        <v>424000</v>
      </c>
      <c r="R28" s="217">
        <f t="shared" ref="R28:R38" si="12">L28*$R$8</f>
        <v>480000</v>
      </c>
    </row>
    <row r="29" spans="2:18" x14ac:dyDescent="0.35">
      <c r="B29" s="122" t="s">
        <v>126</v>
      </c>
      <c r="C29" s="123" t="s">
        <v>93</v>
      </c>
      <c r="D29" s="124" t="s">
        <v>127</v>
      </c>
      <c r="E29" s="124" t="s">
        <v>156</v>
      </c>
      <c r="F29" s="125">
        <v>3.5312142857142854</v>
      </c>
      <c r="G29" s="217">
        <f t="shared" si="9"/>
        <v>304000</v>
      </c>
      <c r="H29" s="218">
        <f t="shared" si="10"/>
        <v>512000</v>
      </c>
      <c r="I29" s="218">
        <f t="shared" si="0"/>
        <v>616000</v>
      </c>
      <c r="J29" s="218">
        <f t="shared" si="1"/>
        <v>696000</v>
      </c>
      <c r="K29" s="218">
        <f t="shared" si="2"/>
        <v>736000</v>
      </c>
      <c r="L29" s="219">
        <v>800000</v>
      </c>
      <c r="M29" s="218">
        <f t="shared" si="3"/>
        <v>936000</v>
      </c>
      <c r="N29" s="217">
        <f t="shared" si="4"/>
        <v>1080000</v>
      </c>
      <c r="O29" s="217">
        <f t="shared" si="5"/>
        <v>1256000</v>
      </c>
      <c r="P29" s="217">
        <f t="shared" si="6"/>
        <v>1456000</v>
      </c>
      <c r="Q29" s="217">
        <f t="shared" si="7"/>
        <v>1696000</v>
      </c>
      <c r="R29" s="217">
        <f t="shared" si="12"/>
        <v>1920000</v>
      </c>
    </row>
    <row r="30" spans="2:18" s="82" customFormat="1" x14ac:dyDescent="0.35">
      <c r="B30" s="126" t="s">
        <v>128</v>
      </c>
      <c r="C30" s="127" t="s">
        <v>93</v>
      </c>
      <c r="D30" s="128" t="s">
        <v>129</v>
      </c>
      <c r="E30" s="128" t="s">
        <v>156</v>
      </c>
      <c r="F30" s="129">
        <v>3.6299337748344365</v>
      </c>
      <c r="G30" s="217">
        <f t="shared" si="9"/>
        <v>608000</v>
      </c>
      <c r="H30" s="218">
        <f t="shared" si="10"/>
        <v>1024000</v>
      </c>
      <c r="I30" s="218">
        <f t="shared" si="0"/>
        <v>1232000</v>
      </c>
      <c r="J30" s="218">
        <f t="shared" si="1"/>
        <v>1392000</v>
      </c>
      <c r="K30" s="218">
        <f t="shared" si="2"/>
        <v>1472000</v>
      </c>
      <c r="L30" s="219">
        <v>1600000</v>
      </c>
      <c r="M30" s="218">
        <f t="shared" si="3"/>
        <v>1872000</v>
      </c>
      <c r="N30" s="217">
        <f t="shared" si="4"/>
        <v>2160000</v>
      </c>
      <c r="O30" s="217">
        <f t="shared" si="5"/>
        <v>2512000</v>
      </c>
      <c r="P30" s="217">
        <f t="shared" si="6"/>
        <v>2912000</v>
      </c>
      <c r="Q30" s="217">
        <f t="shared" si="7"/>
        <v>3392000</v>
      </c>
      <c r="R30" s="217">
        <f t="shared" si="12"/>
        <v>3840000</v>
      </c>
    </row>
    <row r="31" spans="2:18" x14ac:dyDescent="0.35">
      <c r="B31" s="126" t="s">
        <v>130</v>
      </c>
      <c r="C31" s="127" t="s">
        <v>131</v>
      </c>
      <c r="D31" s="128" t="s">
        <v>132</v>
      </c>
      <c r="E31" s="128" t="s">
        <v>156</v>
      </c>
      <c r="F31" s="129">
        <v>5.1373333333333324</v>
      </c>
      <c r="G31" s="217">
        <f t="shared" si="9"/>
        <v>836000</v>
      </c>
      <c r="H31" s="218">
        <f t="shared" si="10"/>
        <v>1408000</v>
      </c>
      <c r="I31" s="218">
        <f t="shared" si="0"/>
        <v>1694000</v>
      </c>
      <c r="J31" s="218">
        <f t="shared" si="1"/>
        <v>1914000</v>
      </c>
      <c r="K31" s="218">
        <f t="shared" si="2"/>
        <v>2024000</v>
      </c>
      <c r="L31" s="219">
        <v>2200000</v>
      </c>
      <c r="M31" s="218">
        <f>L31*$M$8</f>
        <v>2574000</v>
      </c>
      <c r="N31" s="217">
        <f>L31*$N$8</f>
        <v>2970000</v>
      </c>
      <c r="O31" s="217">
        <f>L31*$O$8</f>
        <v>3454000</v>
      </c>
      <c r="P31" s="217">
        <f>L31*$P$8</f>
        <v>4004000</v>
      </c>
      <c r="Q31" s="217">
        <f>L31*$Q$8</f>
        <v>4664000</v>
      </c>
      <c r="R31" s="217">
        <f t="shared" si="12"/>
        <v>5280000</v>
      </c>
    </row>
    <row r="32" spans="2:18" s="82" customFormat="1" x14ac:dyDescent="0.35">
      <c r="B32" s="130" t="s">
        <v>133</v>
      </c>
      <c r="C32" s="131" t="s">
        <v>131</v>
      </c>
      <c r="D32" s="132" t="s">
        <v>132</v>
      </c>
      <c r="E32" s="132" t="s">
        <v>156</v>
      </c>
      <c r="F32" s="133">
        <v>5.1373333333333324</v>
      </c>
      <c r="G32" s="217">
        <f t="shared" si="9"/>
        <v>836000</v>
      </c>
      <c r="H32" s="218">
        <f t="shared" si="10"/>
        <v>1408000</v>
      </c>
      <c r="I32" s="218">
        <f t="shared" si="0"/>
        <v>1694000</v>
      </c>
      <c r="J32" s="218">
        <f t="shared" si="1"/>
        <v>1914000</v>
      </c>
      <c r="K32" s="218">
        <f t="shared" si="2"/>
        <v>2024000</v>
      </c>
      <c r="L32" s="219">
        <v>2200000</v>
      </c>
      <c r="M32" s="218">
        <f>L32*$M$8</f>
        <v>2574000</v>
      </c>
      <c r="N32" s="217">
        <f>L32*$N$8</f>
        <v>2970000</v>
      </c>
      <c r="O32" s="217">
        <f>L32*$O$8</f>
        <v>3454000</v>
      </c>
      <c r="P32" s="217">
        <f>L32*$P$8</f>
        <v>4004000</v>
      </c>
      <c r="Q32" s="217">
        <f>L32*$Q$8</f>
        <v>4664000</v>
      </c>
      <c r="R32" s="217">
        <f>L32*$R$8</f>
        <v>5280000</v>
      </c>
    </row>
    <row r="33" spans="2:18" s="82" customFormat="1" x14ac:dyDescent="0.35">
      <c r="B33" s="134" t="s">
        <v>134</v>
      </c>
      <c r="C33" s="135" t="s">
        <v>135</v>
      </c>
      <c r="D33" s="132" t="s">
        <v>136</v>
      </c>
      <c r="E33" s="132" t="s">
        <v>156</v>
      </c>
      <c r="F33" s="133">
        <v>3.9052307692307671</v>
      </c>
      <c r="G33" s="217">
        <f>L33*$G$8</f>
        <v>418000</v>
      </c>
      <c r="H33" s="218">
        <f t="shared" si="10"/>
        <v>704000</v>
      </c>
      <c r="I33" s="218">
        <f t="shared" si="0"/>
        <v>847000</v>
      </c>
      <c r="J33" s="218">
        <f t="shared" si="1"/>
        <v>957000</v>
      </c>
      <c r="K33" s="218">
        <f t="shared" si="2"/>
        <v>1012000</v>
      </c>
      <c r="L33" s="219">
        <v>1100000</v>
      </c>
      <c r="M33" s="218">
        <f>L33*$M$8</f>
        <v>1287000</v>
      </c>
      <c r="N33" s="217">
        <f>L33*$N$8</f>
        <v>1485000</v>
      </c>
      <c r="O33" s="217">
        <f>L33*$O$8</f>
        <v>1727000</v>
      </c>
      <c r="P33" s="217">
        <f>L33*$P$8</f>
        <v>2002000</v>
      </c>
      <c r="Q33" s="217">
        <f>L33*$Q$8</f>
        <v>2332000</v>
      </c>
      <c r="R33" s="217">
        <f>L33*$R$8</f>
        <v>2640000</v>
      </c>
    </row>
    <row r="34" spans="2:18" s="82" customFormat="1" x14ac:dyDescent="0.35">
      <c r="B34" s="134" t="s">
        <v>137</v>
      </c>
      <c r="C34" s="135" t="s">
        <v>19</v>
      </c>
      <c r="D34" s="136" t="s">
        <v>138</v>
      </c>
      <c r="E34" s="132" t="s">
        <v>156</v>
      </c>
      <c r="F34" s="137">
        <v>1.955714285714286</v>
      </c>
      <c r="G34" s="217">
        <f t="shared" si="9"/>
        <v>456000</v>
      </c>
      <c r="H34" s="218">
        <f t="shared" si="10"/>
        <v>768000</v>
      </c>
      <c r="I34" s="218">
        <f t="shared" si="0"/>
        <v>924000</v>
      </c>
      <c r="J34" s="218">
        <f t="shared" si="1"/>
        <v>1044000</v>
      </c>
      <c r="K34" s="218">
        <f t="shared" si="2"/>
        <v>1104000</v>
      </c>
      <c r="L34" s="219">
        <v>1200000</v>
      </c>
      <c r="M34" s="218">
        <f>L34*$M$8</f>
        <v>1404000</v>
      </c>
      <c r="N34" s="217">
        <f>L34*$N$8</f>
        <v>1620000</v>
      </c>
      <c r="O34" s="217">
        <f>L34*$O$8</f>
        <v>1884000</v>
      </c>
      <c r="P34" s="217">
        <f>L34*$P$8</f>
        <v>2184000</v>
      </c>
      <c r="Q34" s="217">
        <f>L34*$Q$8</f>
        <v>2544000</v>
      </c>
      <c r="R34" s="217">
        <f>L34*$R$8</f>
        <v>2880000</v>
      </c>
    </row>
    <row r="35" spans="2:18" x14ac:dyDescent="0.35">
      <c r="B35" s="134" t="s">
        <v>139</v>
      </c>
      <c r="C35" s="135" t="s">
        <v>20</v>
      </c>
      <c r="D35" s="136" t="s">
        <v>140</v>
      </c>
      <c r="E35" s="132" t="s">
        <v>156</v>
      </c>
      <c r="F35" s="137">
        <v>3.4789285714285718</v>
      </c>
      <c r="G35" s="217">
        <f t="shared" si="9"/>
        <v>418000</v>
      </c>
      <c r="H35" s="218">
        <f t="shared" si="10"/>
        <v>704000</v>
      </c>
      <c r="I35" s="218">
        <f t="shared" si="0"/>
        <v>847000</v>
      </c>
      <c r="J35" s="218">
        <f t="shared" si="1"/>
        <v>957000</v>
      </c>
      <c r="K35" s="218">
        <f t="shared" si="2"/>
        <v>1012000</v>
      </c>
      <c r="L35" s="219">
        <v>1100000</v>
      </c>
      <c r="M35" s="218">
        <f t="shared" si="3"/>
        <v>1287000</v>
      </c>
      <c r="N35" s="217">
        <f t="shared" si="4"/>
        <v>1485000</v>
      </c>
      <c r="O35" s="217">
        <f t="shared" si="5"/>
        <v>1727000</v>
      </c>
      <c r="P35" s="217">
        <f t="shared" si="6"/>
        <v>2002000</v>
      </c>
      <c r="Q35" s="217">
        <f t="shared" si="7"/>
        <v>2332000</v>
      </c>
      <c r="R35" s="217">
        <f t="shared" si="12"/>
        <v>2640000</v>
      </c>
    </row>
    <row r="36" spans="2:18" s="82" customFormat="1" ht="16.75" customHeight="1" x14ac:dyDescent="0.35">
      <c r="B36" s="138" t="s">
        <v>141</v>
      </c>
      <c r="C36" s="139" t="s">
        <v>23</v>
      </c>
      <c r="D36" s="140" t="s">
        <v>142</v>
      </c>
      <c r="E36" s="140" t="s">
        <v>156</v>
      </c>
      <c r="F36" s="141">
        <v>4.3213888888888894</v>
      </c>
      <c r="G36" s="217">
        <f t="shared" si="9"/>
        <v>722000</v>
      </c>
      <c r="H36" s="218">
        <f t="shared" si="10"/>
        <v>1216000</v>
      </c>
      <c r="I36" s="218">
        <f t="shared" si="0"/>
        <v>1463000</v>
      </c>
      <c r="J36" s="218">
        <f t="shared" si="1"/>
        <v>1653000</v>
      </c>
      <c r="K36" s="218">
        <f t="shared" si="2"/>
        <v>1748000</v>
      </c>
      <c r="L36" s="219">
        <v>1900000</v>
      </c>
      <c r="M36" s="217">
        <f>L36*$M$8</f>
        <v>2223000</v>
      </c>
      <c r="N36" s="217">
        <f>L36*$N$8</f>
        <v>2565000</v>
      </c>
      <c r="O36" s="217">
        <f>L36*$O$8</f>
        <v>2983000</v>
      </c>
      <c r="P36" s="217">
        <f>L36*$P$8</f>
        <v>3458000</v>
      </c>
      <c r="Q36" s="217">
        <f>L36*$Q$8</f>
        <v>4028000</v>
      </c>
      <c r="R36" s="217">
        <f t="shared" si="12"/>
        <v>4560000</v>
      </c>
    </row>
    <row r="37" spans="2:18" s="82" customFormat="1" x14ac:dyDescent="0.35">
      <c r="B37" s="130" t="s">
        <v>143</v>
      </c>
      <c r="C37" s="142" t="s">
        <v>20</v>
      </c>
      <c r="D37" s="143" t="s">
        <v>144</v>
      </c>
      <c r="E37" s="143" t="s">
        <v>156</v>
      </c>
      <c r="F37" s="144">
        <v>4.7179999999999991</v>
      </c>
      <c r="G37" s="217">
        <f t="shared" si="9"/>
        <v>410400</v>
      </c>
      <c r="H37" s="218">
        <f t="shared" si="10"/>
        <v>691200</v>
      </c>
      <c r="I37" s="218">
        <f t="shared" si="0"/>
        <v>831600</v>
      </c>
      <c r="J37" s="218">
        <f t="shared" si="1"/>
        <v>939600</v>
      </c>
      <c r="K37" s="218">
        <f t="shared" si="2"/>
        <v>993600</v>
      </c>
      <c r="L37" s="219">
        <v>1080000</v>
      </c>
      <c r="M37" s="217">
        <f t="shared" si="3"/>
        <v>1263600</v>
      </c>
      <c r="N37" s="217">
        <f t="shared" si="4"/>
        <v>1458000</v>
      </c>
      <c r="O37" s="217">
        <f t="shared" si="5"/>
        <v>1695600</v>
      </c>
      <c r="P37" s="217">
        <f t="shared" si="6"/>
        <v>1965600</v>
      </c>
      <c r="Q37" s="217">
        <f t="shared" si="7"/>
        <v>2289600</v>
      </c>
      <c r="R37" s="217">
        <f t="shared" si="12"/>
        <v>2592000</v>
      </c>
    </row>
    <row r="38" spans="2:18" s="82" customFormat="1" x14ac:dyDescent="0.35">
      <c r="B38" s="130" t="s">
        <v>145</v>
      </c>
      <c r="C38" s="142" t="s">
        <v>19</v>
      </c>
      <c r="D38" s="143" t="s">
        <v>144</v>
      </c>
      <c r="E38" s="143" t="s">
        <v>156</v>
      </c>
      <c r="F38" s="144">
        <v>2.4466666666666668</v>
      </c>
      <c r="G38" s="217">
        <f t="shared" si="9"/>
        <v>380000</v>
      </c>
      <c r="H38" s="218">
        <f t="shared" si="10"/>
        <v>640000</v>
      </c>
      <c r="I38" s="218">
        <f t="shared" si="0"/>
        <v>770000</v>
      </c>
      <c r="J38" s="218">
        <f t="shared" si="1"/>
        <v>870000</v>
      </c>
      <c r="K38" s="218">
        <f t="shared" si="2"/>
        <v>920000</v>
      </c>
      <c r="L38" s="222">
        <v>1000000</v>
      </c>
      <c r="M38" s="218">
        <f t="shared" si="3"/>
        <v>1170000</v>
      </c>
      <c r="N38" s="217">
        <f t="shared" si="4"/>
        <v>1350000</v>
      </c>
      <c r="O38" s="217">
        <f t="shared" si="5"/>
        <v>1570000</v>
      </c>
      <c r="P38" s="217">
        <f t="shared" si="6"/>
        <v>1820000</v>
      </c>
      <c r="Q38" s="217">
        <f t="shared" si="7"/>
        <v>2120000</v>
      </c>
      <c r="R38" s="217">
        <f t="shared" si="12"/>
        <v>2400000</v>
      </c>
    </row>
    <row r="39" spans="2:18" s="82" customFormat="1" x14ac:dyDescent="0.35">
      <c r="B39" s="145" t="s">
        <v>146</v>
      </c>
      <c r="C39" s="146" t="s">
        <v>131</v>
      </c>
      <c r="D39" s="147" t="s">
        <v>147</v>
      </c>
      <c r="E39" s="147" t="s">
        <v>6</v>
      </c>
      <c r="F39" s="148">
        <v>0.80529411764705916</v>
      </c>
      <c r="G39" s="217">
        <f t="shared" si="9"/>
        <v>39520</v>
      </c>
      <c r="H39" s="218">
        <f t="shared" si="10"/>
        <v>66560</v>
      </c>
      <c r="I39" s="218">
        <f t="shared" si="0"/>
        <v>80080</v>
      </c>
      <c r="J39" s="218">
        <f t="shared" si="1"/>
        <v>90480</v>
      </c>
      <c r="K39" s="218">
        <f t="shared" si="2"/>
        <v>95680</v>
      </c>
      <c r="L39" s="219">
        <v>104000</v>
      </c>
      <c r="M39" s="218">
        <f>L39*$M$8</f>
        <v>121679.99999999999</v>
      </c>
      <c r="N39" s="217">
        <f>L39*$N$8</f>
        <v>140400</v>
      </c>
      <c r="O39" s="217">
        <f>L39*$O$8</f>
        <v>163280</v>
      </c>
      <c r="P39" s="217">
        <f>L39*$P$8</f>
        <v>189280</v>
      </c>
      <c r="Q39" s="217">
        <f>L39*$Q$8</f>
        <v>220480</v>
      </c>
      <c r="R39" s="217">
        <f>L39*$R$8</f>
        <v>249600</v>
      </c>
    </row>
    <row r="40" spans="2:18" s="82" customFormat="1" x14ac:dyDescent="0.35">
      <c r="B40" s="145" t="s">
        <v>148</v>
      </c>
      <c r="C40" s="146" t="s">
        <v>149</v>
      </c>
      <c r="D40" s="147" t="s">
        <v>150</v>
      </c>
      <c r="E40" s="147" t="s">
        <v>6</v>
      </c>
      <c r="F40" s="148">
        <v>0.49390977443609019</v>
      </c>
      <c r="G40" s="217">
        <f t="shared" si="9"/>
        <v>39520</v>
      </c>
      <c r="H40" s="218">
        <f t="shared" si="10"/>
        <v>66560</v>
      </c>
      <c r="I40" s="218">
        <f t="shared" si="0"/>
        <v>80080</v>
      </c>
      <c r="J40" s="218">
        <f t="shared" si="1"/>
        <v>90480</v>
      </c>
      <c r="K40" s="218">
        <f t="shared" si="2"/>
        <v>95680</v>
      </c>
      <c r="L40" s="219">
        <v>104000</v>
      </c>
      <c r="M40" s="218">
        <f>L40*$M$8</f>
        <v>121679.99999999999</v>
      </c>
      <c r="N40" s="217">
        <f>L40*$N$8</f>
        <v>140400</v>
      </c>
      <c r="O40" s="217">
        <f>L40*$O$8</f>
        <v>163280</v>
      </c>
      <c r="P40" s="217">
        <f>L40*$P$8</f>
        <v>189280</v>
      </c>
      <c r="Q40" s="217">
        <f>L40*$Q$8</f>
        <v>220480</v>
      </c>
      <c r="R40" s="217">
        <f>L40*$R$8</f>
        <v>249600</v>
      </c>
    </row>
    <row r="41" spans="2:18" s="82" customFormat="1" x14ac:dyDescent="0.35">
      <c r="B41" s="149" t="s">
        <v>151</v>
      </c>
      <c r="C41" s="150" t="s">
        <v>19</v>
      </c>
      <c r="D41" s="151" t="s">
        <v>152</v>
      </c>
      <c r="E41" s="151" t="s">
        <v>6</v>
      </c>
      <c r="F41" s="152">
        <v>1.1755555555555555</v>
      </c>
      <c r="G41" s="217">
        <f t="shared" si="9"/>
        <v>39520</v>
      </c>
      <c r="H41" s="218">
        <f t="shared" si="10"/>
        <v>66560</v>
      </c>
      <c r="I41" s="218">
        <f t="shared" si="0"/>
        <v>80080</v>
      </c>
      <c r="J41" s="218">
        <f t="shared" si="1"/>
        <v>90480</v>
      </c>
      <c r="K41" s="218">
        <f t="shared" si="2"/>
        <v>95680</v>
      </c>
      <c r="L41" s="219">
        <v>104000</v>
      </c>
      <c r="M41" s="218">
        <f t="shared" ref="M41:M42" si="13">L41*$M$8</f>
        <v>121679.99999999999</v>
      </c>
      <c r="N41" s="217">
        <f t="shared" ref="N41:N42" si="14">L41*$N$8</f>
        <v>140400</v>
      </c>
      <c r="O41" s="217">
        <f t="shared" ref="O41:O42" si="15">L41*$O$8</f>
        <v>163280</v>
      </c>
      <c r="P41" s="217">
        <f t="shared" ref="P41:P42" si="16">L41*$P$8</f>
        <v>189280</v>
      </c>
      <c r="Q41" s="217">
        <f t="shared" ref="Q41:Q42" si="17">L41*$Q$8</f>
        <v>220480</v>
      </c>
      <c r="R41" s="217">
        <f t="shared" ref="R41:R42" si="18">L41*$R$8</f>
        <v>249600</v>
      </c>
    </row>
    <row r="42" spans="2:18" s="82" customFormat="1" x14ac:dyDescent="0.35">
      <c r="B42" s="149" t="s">
        <v>153</v>
      </c>
      <c r="C42" s="150" t="s">
        <v>19</v>
      </c>
      <c r="D42" s="151" t="s">
        <v>154</v>
      </c>
      <c r="E42" s="151" t="s">
        <v>6</v>
      </c>
      <c r="F42" s="152">
        <v>0.84149999999999991</v>
      </c>
      <c r="G42" s="217">
        <f t="shared" si="9"/>
        <v>39520</v>
      </c>
      <c r="H42" s="218">
        <f t="shared" si="10"/>
        <v>66560</v>
      </c>
      <c r="I42" s="218">
        <f t="shared" si="0"/>
        <v>80080</v>
      </c>
      <c r="J42" s="218">
        <f t="shared" si="1"/>
        <v>90480</v>
      </c>
      <c r="K42" s="218">
        <f t="shared" si="2"/>
        <v>95680</v>
      </c>
      <c r="L42" s="219">
        <v>104000</v>
      </c>
      <c r="M42" s="218">
        <f t="shared" si="13"/>
        <v>121679.99999999999</v>
      </c>
      <c r="N42" s="217">
        <f t="shared" si="14"/>
        <v>140400</v>
      </c>
      <c r="O42" s="217">
        <f t="shared" si="15"/>
        <v>163280</v>
      </c>
      <c r="P42" s="217">
        <f t="shared" si="16"/>
        <v>189280</v>
      </c>
      <c r="Q42" s="217">
        <f t="shared" si="17"/>
        <v>220480</v>
      </c>
      <c r="R42" s="217">
        <f t="shared" si="18"/>
        <v>249600</v>
      </c>
    </row>
    <row r="43" spans="2:18" s="82" customFormat="1" x14ac:dyDescent="0.35">
      <c r="B43" s="84"/>
      <c r="C43" s="85"/>
      <c r="D43" s="86"/>
      <c r="E43" s="86"/>
      <c r="F43" s="153"/>
    </row>
    <row r="44" spans="2:18" s="82" customFormat="1" x14ac:dyDescent="0.35">
      <c r="B44" s="84"/>
      <c r="C44" s="85"/>
      <c r="D44" s="86"/>
      <c r="E44" s="86"/>
      <c r="F44" s="153"/>
    </row>
    <row r="45" spans="2:18" s="82" customFormat="1" x14ac:dyDescent="0.35">
      <c r="B45" s="84"/>
      <c r="C45" s="85"/>
      <c r="D45" s="86"/>
      <c r="E45" s="86"/>
      <c r="F45" s="153"/>
    </row>
    <row r="46" spans="2:18" s="82" customFormat="1" x14ac:dyDescent="0.35">
      <c r="B46" s="84"/>
      <c r="C46" s="85"/>
      <c r="D46" s="86"/>
      <c r="E46" s="86"/>
      <c r="F46" s="153"/>
    </row>
    <row r="47" spans="2:18" s="82" customFormat="1" x14ac:dyDescent="0.35">
      <c r="B47" s="84"/>
      <c r="C47" s="85"/>
      <c r="D47" s="86"/>
      <c r="E47" s="86"/>
      <c r="F47" s="153"/>
    </row>
    <row r="48" spans="2:18" s="82" customFormat="1" x14ac:dyDescent="0.35">
      <c r="B48" s="84"/>
      <c r="C48" s="85"/>
      <c r="D48" s="86"/>
      <c r="E48" s="86"/>
      <c r="F48" s="153"/>
    </row>
    <row r="49" spans="2:6" s="82" customFormat="1" x14ac:dyDescent="0.35">
      <c r="B49" s="84"/>
      <c r="C49" s="85"/>
      <c r="D49" s="86"/>
      <c r="E49" s="86"/>
      <c r="F49" s="153"/>
    </row>
    <row r="50" spans="2:6" s="82" customFormat="1" x14ac:dyDescent="0.35">
      <c r="B50" s="84"/>
      <c r="C50" s="85"/>
      <c r="D50" s="86"/>
      <c r="E50" s="86"/>
      <c r="F50" s="153"/>
    </row>
    <row r="51" spans="2:6" s="82" customFormat="1" x14ac:dyDescent="0.35">
      <c r="B51" s="84"/>
      <c r="C51" s="85"/>
      <c r="D51" s="86"/>
      <c r="E51" s="86"/>
      <c r="F51" s="153"/>
    </row>
    <row r="52" spans="2:6" s="82" customFormat="1" x14ac:dyDescent="0.35">
      <c r="B52" s="84"/>
      <c r="C52" s="85"/>
      <c r="D52" s="86"/>
      <c r="E52" s="86"/>
      <c r="F52" s="153"/>
    </row>
    <row r="53" spans="2:6" s="82" customFormat="1" x14ac:dyDescent="0.35">
      <c r="B53" s="84"/>
      <c r="C53" s="85"/>
      <c r="D53" s="86"/>
      <c r="E53" s="86"/>
      <c r="F53" s="153"/>
    </row>
    <row r="54" spans="2:6" s="82" customFormat="1" x14ac:dyDescent="0.35">
      <c r="B54" s="84"/>
      <c r="C54" s="85"/>
      <c r="D54" s="86"/>
      <c r="E54" s="86"/>
      <c r="F54" s="153"/>
    </row>
    <row r="55" spans="2:6" s="82" customFormat="1" x14ac:dyDescent="0.35">
      <c r="B55" s="84"/>
      <c r="C55" s="85"/>
      <c r="D55" s="86"/>
      <c r="E55" s="86"/>
      <c r="F55" s="153"/>
    </row>
    <row r="56" spans="2:6" s="82" customFormat="1" x14ac:dyDescent="0.35">
      <c r="B56" s="84"/>
      <c r="C56" s="85"/>
      <c r="D56" s="86"/>
      <c r="E56" s="86"/>
      <c r="F56" s="153"/>
    </row>
    <row r="57" spans="2:6" s="82" customFormat="1" x14ac:dyDescent="0.35">
      <c r="B57" s="84"/>
      <c r="C57" s="85"/>
      <c r="D57" s="86"/>
      <c r="E57" s="86"/>
      <c r="F57" s="153"/>
    </row>
    <row r="58" spans="2:6" s="82" customFormat="1" x14ac:dyDescent="0.35">
      <c r="B58" s="84"/>
      <c r="C58" s="85"/>
      <c r="D58" s="86"/>
      <c r="E58" s="86"/>
      <c r="F58" s="153"/>
    </row>
    <row r="59" spans="2:6" s="82" customFormat="1" x14ac:dyDescent="0.35">
      <c r="B59" s="84"/>
      <c r="C59" s="85"/>
      <c r="D59" s="86"/>
      <c r="E59" s="86"/>
      <c r="F59" s="153"/>
    </row>
    <row r="60" spans="2:6" s="82" customFormat="1" x14ac:dyDescent="0.35">
      <c r="B60" s="84"/>
      <c r="C60" s="85"/>
      <c r="D60" s="86"/>
      <c r="E60" s="86"/>
      <c r="F60" s="153"/>
    </row>
    <row r="61" spans="2:6" s="82" customFormat="1" x14ac:dyDescent="0.35">
      <c r="B61" s="84"/>
      <c r="C61" s="85"/>
      <c r="D61" s="86"/>
      <c r="E61" s="86"/>
      <c r="F61" s="153"/>
    </row>
    <row r="62" spans="2:6" s="82" customFormat="1" x14ac:dyDescent="0.35">
      <c r="B62" s="84"/>
      <c r="C62" s="85"/>
      <c r="D62" s="86"/>
      <c r="E62" s="86"/>
      <c r="F62" s="153"/>
    </row>
    <row r="63" spans="2:6" s="82" customFormat="1" x14ac:dyDescent="0.35">
      <c r="B63" s="84"/>
      <c r="C63" s="85"/>
      <c r="D63" s="86"/>
      <c r="E63" s="86"/>
      <c r="F63" s="153"/>
    </row>
    <row r="64" spans="2:6" s="82" customFormat="1" x14ac:dyDescent="0.35">
      <c r="B64" s="84"/>
      <c r="C64" s="85"/>
      <c r="D64" s="86"/>
      <c r="E64" s="86"/>
      <c r="F64" s="153"/>
    </row>
    <row r="65" spans="2:6" s="82" customFormat="1" x14ac:dyDescent="0.35">
      <c r="B65" s="84"/>
      <c r="C65" s="85"/>
      <c r="D65" s="86"/>
      <c r="E65" s="86"/>
      <c r="F65" s="153"/>
    </row>
    <row r="66" spans="2:6" s="82" customFormat="1" x14ac:dyDescent="0.35">
      <c r="B66" s="84"/>
      <c r="C66" s="85"/>
      <c r="D66" s="86"/>
      <c r="E66" s="86"/>
      <c r="F66" s="153"/>
    </row>
    <row r="67" spans="2:6" s="82" customFormat="1" x14ac:dyDescent="0.35">
      <c r="B67" s="84"/>
      <c r="C67" s="85"/>
      <c r="D67" s="86"/>
      <c r="E67" s="86"/>
      <c r="F67" s="153"/>
    </row>
    <row r="68" spans="2:6" s="82" customFormat="1" x14ac:dyDescent="0.35">
      <c r="B68" s="84"/>
      <c r="C68" s="85"/>
      <c r="D68" s="86"/>
      <c r="E68" s="86"/>
      <c r="F68" s="153"/>
    </row>
    <row r="69" spans="2:6" s="82" customFormat="1" x14ac:dyDescent="0.35">
      <c r="B69" s="84"/>
      <c r="C69" s="85"/>
      <c r="D69" s="86"/>
      <c r="E69" s="86"/>
      <c r="F69" s="153"/>
    </row>
    <row r="70" spans="2:6" s="82" customFormat="1" x14ac:dyDescent="0.35">
      <c r="B70" s="84"/>
      <c r="C70" s="85"/>
      <c r="D70" s="86"/>
      <c r="E70" s="86"/>
      <c r="F70" s="153"/>
    </row>
    <row r="71" spans="2:6" s="82" customFormat="1" x14ac:dyDescent="0.35">
      <c r="B71" s="84"/>
      <c r="C71" s="85"/>
      <c r="D71" s="86"/>
      <c r="E71" s="86"/>
      <c r="F71" s="153"/>
    </row>
    <row r="72" spans="2:6" s="82" customFormat="1" x14ac:dyDescent="0.35">
      <c r="B72" s="84"/>
      <c r="C72" s="85"/>
      <c r="D72" s="86"/>
      <c r="E72" s="86"/>
      <c r="F72" s="153"/>
    </row>
    <row r="73" spans="2:6" s="82" customFormat="1" x14ac:dyDescent="0.35">
      <c r="B73" s="84"/>
      <c r="C73" s="85"/>
      <c r="D73" s="86"/>
      <c r="E73" s="86"/>
      <c r="F73" s="153"/>
    </row>
    <row r="74" spans="2:6" s="82" customFormat="1" x14ac:dyDescent="0.35">
      <c r="B74" s="84"/>
      <c r="C74" s="85"/>
      <c r="D74" s="86"/>
      <c r="E74" s="86"/>
      <c r="F74" s="153"/>
    </row>
    <row r="75" spans="2:6" s="82" customFormat="1" x14ac:dyDescent="0.35">
      <c r="B75" s="84"/>
      <c r="C75" s="85"/>
      <c r="D75" s="86"/>
      <c r="E75" s="86"/>
      <c r="F75" s="153"/>
    </row>
    <row r="76" spans="2:6" s="82" customFormat="1" x14ac:dyDescent="0.35">
      <c r="B76" s="84"/>
      <c r="C76" s="85"/>
      <c r="D76" s="86"/>
      <c r="E76" s="86"/>
      <c r="F76" s="153"/>
    </row>
    <row r="77" spans="2:6" s="82" customFormat="1" x14ac:dyDescent="0.35">
      <c r="B77" s="84"/>
      <c r="C77" s="85"/>
      <c r="D77" s="86"/>
      <c r="E77" s="86"/>
      <c r="F77" s="153"/>
    </row>
    <row r="78" spans="2:6" s="82" customFormat="1" x14ac:dyDescent="0.35">
      <c r="B78" s="84"/>
      <c r="C78" s="85"/>
      <c r="D78" s="86"/>
      <c r="E78" s="86"/>
      <c r="F78" s="153"/>
    </row>
    <row r="79" spans="2:6" s="82" customFormat="1" x14ac:dyDescent="0.35">
      <c r="B79" s="84"/>
      <c r="C79" s="85"/>
      <c r="D79" s="86"/>
      <c r="E79" s="86"/>
      <c r="F79" s="153"/>
    </row>
    <row r="80" spans="2:6" s="82" customFormat="1" x14ac:dyDescent="0.35">
      <c r="B80" s="84"/>
      <c r="C80" s="85"/>
      <c r="D80" s="86"/>
      <c r="E80" s="86"/>
      <c r="F80" s="153"/>
    </row>
    <row r="81" spans="2:6" s="82" customFormat="1" x14ac:dyDescent="0.35">
      <c r="B81" s="84"/>
      <c r="C81" s="85"/>
      <c r="D81" s="86"/>
      <c r="E81" s="86"/>
      <c r="F81" s="153"/>
    </row>
    <row r="82" spans="2:6" s="82" customFormat="1" x14ac:dyDescent="0.35">
      <c r="B82" s="84"/>
      <c r="C82" s="85"/>
      <c r="D82" s="86"/>
      <c r="E82" s="86"/>
      <c r="F82" s="153"/>
    </row>
    <row r="83" spans="2:6" s="82" customFormat="1" x14ac:dyDescent="0.35">
      <c r="B83" s="84"/>
      <c r="C83" s="85"/>
      <c r="D83" s="86"/>
      <c r="E83" s="86"/>
      <c r="F83" s="153"/>
    </row>
    <row r="84" spans="2:6" s="82" customFormat="1" x14ac:dyDescent="0.35">
      <c r="B84" s="84"/>
      <c r="C84" s="85"/>
      <c r="D84" s="86"/>
      <c r="E84" s="86"/>
      <c r="F84" s="153"/>
    </row>
    <row r="85" spans="2:6" s="82" customFormat="1" x14ac:dyDescent="0.35">
      <c r="B85" s="84"/>
      <c r="C85" s="85"/>
      <c r="D85" s="86"/>
      <c r="E85" s="86"/>
      <c r="F85" s="153"/>
    </row>
    <row r="86" spans="2:6" s="82" customFormat="1" x14ac:dyDescent="0.35">
      <c r="B86" s="84"/>
      <c r="C86" s="85"/>
      <c r="D86" s="86"/>
      <c r="E86" s="86"/>
      <c r="F86" s="153"/>
    </row>
    <row r="87" spans="2:6" s="82" customFormat="1" x14ac:dyDescent="0.35">
      <c r="B87" s="84"/>
      <c r="C87" s="85"/>
      <c r="D87" s="86"/>
      <c r="E87" s="86"/>
      <c r="F87" s="153"/>
    </row>
    <row r="88" spans="2:6" s="82" customFormat="1" x14ac:dyDescent="0.35">
      <c r="B88" s="84"/>
      <c r="C88" s="85"/>
      <c r="D88" s="86"/>
      <c r="E88" s="86"/>
      <c r="F88" s="153"/>
    </row>
    <row r="89" spans="2:6" s="82" customFormat="1" x14ac:dyDescent="0.35">
      <c r="B89" s="84"/>
      <c r="C89" s="85"/>
      <c r="D89" s="86"/>
      <c r="E89" s="86"/>
      <c r="F89" s="153"/>
    </row>
    <row r="90" spans="2:6" s="82" customFormat="1" x14ac:dyDescent="0.35">
      <c r="B90" s="84"/>
      <c r="C90" s="85"/>
      <c r="D90" s="86"/>
      <c r="E90" s="86"/>
      <c r="F90" s="153"/>
    </row>
    <row r="91" spans="2:6" s="82" customFormat="1" x14ac:dyDescent="0.35">
      <c r="B91" s="84"/>
      <c r="C91" s="85"/>
      <c r="D91" s="86"/>
      <c r="E91" s="86"/>
      <c r="F91" s="153"/>
    </row>
    <row r="92" spans="2:6" s="82" customFormat="1" x14ac:dyDescent="0.35">
      <c r="B92" s="84"/>
      <c r="C92" s="85"/>
      <c r="D92" s="86"/>
      <c r="E92" s="86"/>
      <c r="F92" s="153"/>
    </row>
    <row r="93" spans="2:6" s="82" customFormat="1" x14ac:dyDescent="0.35">
      <c r="B93" s="84"/>
      <c r="C93" s="85"/>
      <c r="D93" s="86"/>
      <c r="E93" s="86"/>
      <c r="F93" s="153"/>
    </row>
    <row r="94" spans="2:6" s="82" customFormat="1" x14ac:dyDescent="0.35">
      <c r="B94" s="84"/>
      <c r="C94" s="85"/>
      <c r="D94" s="86"/>
      <c r="E94" s="86"/>
      <c r="F94" s="153"/>
    </row>
    <row r="95" spans="2:6" s="82" customFormat="1" x14ac:dyDescent="0.35">
      <c r="B95" s="84"/>
      <c r="C95" s="85"/>
      <c r="D95" s="86"/>
      <c r="E95" s="86"/>
      <c r="F95" s="153"/>
    </row>
    <row r="96" spans="2:6" s="82" customFormat="1" x14ac:dyDescent="0.35">
      <c r="B96" s="84"/>
      <c r="C96" s="85"/>
      <c r="D96" s="86"/>
      <c r="E96" s="86"/>
      <c r="F96" s="153"/>
    </row>
    <row r="97" spans="2:6" s="82" customFormat="1" x14ac:dyDescent="0.35">
      <c r="B97" s="84"/>
      <c r="C97" s="85"/>
      <c r="D97" s="86"/>
      <c r="E97" s="86"/>
      <c r="F97" s="153"/>
    </row>
    <row r="98" spans="2:6" s="82" customFormat="1" x14ac:dyDescent="0.35">
      <c r="B98" s="84"/>
      <c r="C98" s="85"/>
      <c r="D98" s="86"/>
      <c r="E98" s="86"/>
      <c r="F98" s="153"/>
    </row>
    <row r="99" spans="2:6" s="82" customFormat="1" x14ac:dyDescent="0.35">
      <c r="B99" s="84"/>
      <c r="C99" s="85"/>
      <c r="D99" s="86"/>
      <c r="E99" s="86"/>
      <c r="F99" s="153"/>
    </row>
    <row r="100" spans="2:6" s="82" customFormat="1" x14ac:dyDescent="0.35">
      <c r="B100" s="84"/>
      <c r="C100" s="85"/>
      <c r="D100" s="86"/>
      <c r="E100" s="86"/>
      <c r="F100" s="153"/>
    </row>
    <row r="101" spans="2:6" s="82" customFormat="1" x14ac:dyDescent="0.35">
      <c r="B101" s="84"/>
      <c r="C101" s="85"/>
      <c r="D101" s="86"/>
      <c r="E101" s="86"/>
      <c r="F101" s="153"/>
    </row>
    <row r="102" spans="2:6" s="82" customFormat="1" x14ac:dyDescent="0.35">
      <c r="B102" s="84"/>
      <c r="C102" s="85"/>
      <c r="D102" s="86"/>
      <c r="E102" s="86"/>
      <c r="F102" s="153"/>
    </row>
    <row r="103" spans="2:6" s="82" customFormat="1" x14ac:dyDescent="0.35">
      <c r="B103" s="84"/>
      <c r="C103" s="85"/>
      <c r="D103" s="86"/>
      <c r="E103" s="86"/>
      <c r="F103" s="153"/>
    </row>
    <row r="104" spans="2:6" s="82" customFormat="1" x14ac:dyDescent="0.35">
      <c r="B104" s="84"/>
      <c r="C104" s="85"/>
      <c r="D104" s="86"/>
      <c r="E104" s="86"/>
      <c r="F104" s="153"/>
    </row>
    <row r="105" spans="2:6" s="82" customFormat="1" x14ac:dyDescent="0.35">
      <c r="B105" s="84"/>
      <c r="C105" s="85"/>
      <c r="D105" s="86"/>
      <c r="E105" s="86"/>
      <c r="F105" s="153"/>
    </row>
    <row r="106" spans="2:6" s="82" customFormat="1" x14ac:dyDescent="0.35">
      <c r="B106" s="84"/>
      <c r="C106" s="85"/>
      <c r="D106" s="86"/>
      <c r="E106" s="86"/>
      <c r="F106" s="153"/>
    </row>
    <row r="107" spans="2:6" s="82" customFormat="1" x14ac:dyDescent="0.35">
      <c r="B107" s="84"/>
      <c r="C107" s="85"/>
      <c r="D107" s="86"/>
      <c r="E107" s="86"/>
      <c r="F107" s="153"/>
    </row>
    <row r="108" spans="2:6" s="82" customFormat="1" x14ac:dyDescent="0.35">
      <c r="B108" s="84"/>
      <c r="C108" s="85"/>
      <c r="D108" s="86"/>
      <c r="E108" s="86"/>
      <c r="F108" s="153"/>
    </row>
    <row r="109" spans="2:6" s="82" customFormat="1" x14ac:dyDescent="0.35">
      <c r="B109" s="84"/>
      <c r="C109" s="85"/>
      <c r="D109" s="86"/>
      <c r="E109" s="86"/>
      <c r="F109" s="153"/>
    </row>
    <row r="110" spans="2:6" s="82" customFormat="1" x14ac:dyDescent="0.35">
      <c r="B110" s="84"/>
      <c r="C110" s="85"/>
      <c r="D110" s="86"/>
      <c r="E110" s="86"/>
      <c r="F110" s="153"/>
    </row>
    <row r="111" spans="2:6" s="82" customFormat="1" x14ac:dyDescent="0.35">
      <c r="B111" s="84"/>
      <c r="C111" s="85"/>
      <c r="D111" s="86"/>
      <c r="E111" s="86"/>
      <c r="F111" s="153"/>
    </row>
    <row r="112" spans="2:6" s="82" customFormat="1" x14ac:dyDescent="0.35">
      <c r="B112" s="84"/>
      <c r="C112" s="85"/>
      <c r="D112" s="86"/>
      <c r="E112" s="86"/>
      <c r="F112" s="153"/>
    </row>
    <row r="113" spans="2:18" s="82" customFormat="1" x14ac:dyDescent="0.35">
      <c r="B113" s="84"/>
      <c r="C113" s="85"/>
      <c r="D113" s="86"/>
      <c r="E113" s="86"/>
      <c r="F113" s="153"/>
    </row>
    <row r="114" spans="2:18" s="82" customFormat="1" x14ac:dyDescent="0.35">
      <c r="B114" s="84"/>
      <c r="C114" s="85"/>
      <c r="D114" s="86"/>
      <c r="E114" s="86"/>
      <c r="F114" s="153"/>
    </row>
    <row r="115" spans="2:18" s="82" customFormat="1" x14ac:dyDescent="0.35">
      <c r="B115" s="84"/>
      <c r="C115" s="85"/>
      <c r="D115" s="86"/>
      <c r="E115" s="86"/>
      <c r="F115" s="153"/>
    </row>
    <row r="116" spans="2:18" s="82" customFormat="1" x14ac:dyDescent="0.35">
      <c r="B116" s="84"/>
      <c r="C116" s="85"/>
      <c r="D116" s="86"/>
      <c r="E116" s="86"/>
      <c r="F116" s="153"/>
    </row>
    <row r="117" spans="2:18" s="82" customFormat="1" x14ac:dyDescent="0.35">
      <c r="B117" s="84"/>
      <c r="C117" s="85"/>
      <c r="D117" s="86"/>
      <c r="E117" s="86"/>
      <c r="F117" s="153"/>
    </row>
    <row r="118" spans="2:18" s="82" customFormat="1" x14ac:dyDescent="0.35">
      <c r="B118" s="84"/>
      <c r="C118" s="85"/>
      <c r="D118" s="86"/>
      <c r="E118" s="86"/>
      <c r="F118" s="153"/>
    </row>
    <row r="119" spans="2:18" s="82" customFormat="1" x14ac:dyDescent="0.35">
      <c r="B119" s="84"/>
      <c r="C119" s="85"/>
      <c r="D119" s="86"/>
      <c r="E119" s="86"/>
      <c r="F119" s="153"/>
    </row>
    <row r="120" spans="2:18" s="82" customFormat="1" x14ac:dyDescent="0.35">
      <c r="B120" s="84"/>
      <c r="C120" s="85"/>
      <c r="D120" s="86"/>
      <c r="E120" s="86"/>
      <c r="F120" s="153"/>
    </row>
    <row r="121" spans="2:18" s="82" customFormat="1" x14ac:dyDescent="0.35">
      <c r="B121" s="154"/>
      <c r="C121" s="155"/>
      <c r="D121" s="156"/>
      <c r="E121" s="156"/>
      <c r="F121" s="157"/>
      <c r="G121"/>
      <c r="H121"/>
      <c r="I121"/>
      <c r="K121"/>
      <c r="L121"/>
      <c r="M121"/>
      <c r="N121"/>
      <c r="O121"/>
      <c r="P121"/>
      <c r="Q121"/>
      <c r="R121"/>
    </row>
    <row r="122" spans="2:18" s="82" customFormat="1" x14ac:dyDescent="0.35">
      <c r="B122" s="154"/>
      <c r="C122" s="155"/>
      <c r="D122" s="156"/>
      <c r="E122" s="156"/>
      <c r="F122" s="157"/>
      <c r="G122"/>
      <c r="H122"/>
      <c r="I122"/>
      <c r="K122"/>
      <c r="L122"/>
      <c r="M122"/>
      <c r="N122"/>
      <c r="O122"/>
      <c r="P122"/>
      <c r="Q122"/>
      <c r="R122"/>
    </row>
  </sheetData>
  <mergeCells count="2">
    <mergeCell ref="B1:R1"/>
    <mergeCell ref="I2:M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868B-CCD6-4422-AC63-5996CC93BB9E}">
  <sheetPr>
    <pageSetUpPr fitToPage="1"/>
  </sheetPr>
  <dimension ref="A1:Z45"/>
  <sheetViews>
    <sheetView topLeftCell="E1" zoomScale="85" zoomScaleNormal="85" workbookViewId="0">
      <selection activeCell="N7" sqref="N7:Z43"/>
    </sheetView>
  </sheetViews>
  <sheetFormatPr baseColWidth="10" defaultColWidth="11.453125" defaultRowHeight="13" x14ac:dyDescent="0.35"/>
  <cols>
    <col min="1" max="1" width="4.54296875" style="189" customWidth="1"/>
    <col min="2" max="2" width="47" style="189" customWidth="1"/>
    <col min="3" max="3" width="9.26953125" style="189" customWidth="1"/>
    <col min="4" max="4" width="11.1796875" style="189" customWidth="1"/>
    <col min="5" max="6" width="8.54296875" style="179" customWidth="1"/>
    <col min="7" max="8" width="9" style="189" hidden="1" customWidth="1"/>
    <col min="9" max="9" width="5.453125" style="189" hidden="1" customWidth="1"/>
    <col min="10" max="10" width="7.81640625" style="189" hidden="1" customWidth="1"/>
    <col min="11" max="11" width="10" style="189" customWidth="1"/>
    <col min="12" max="12" width="16.54296875" style="189" customWidth="1"/>
    <col min="13" max="13" width="11.08984375" style="206" customWidth="1"/>
    <col min="14" max="14" width="10" style="207" customWidth="1"/>
    <col min="15" max="18" width="10" style="179" customWidth="1"/>
    <col min="19" max="19" width="12.1796875" style="179" customWidth="1"/>
    <col min="20" max="23" width="10" style="179" customWidth="1"/>
    <col min="24" max="24" width="10.81640625" style="179" bestFit="1" customWidth="1"/>
    <col min="25" max="25" width="11.453125" style="179" customWidth="1"/>
    <col min="26" max="26" width="11.453125" style="189" customWidth="1"/>
    <col min="27" max="16384" width="11.453125" style="189"/>
  </cols>
  <sheetData>
    <row r="1" spans="1:26" s="160" customFormat="1" ht="33.75" customHeight="1" x14ac:dyDescent="0.35">
      <c r="A1" s="159"/>
      <c r="E1" s="161"/>
      <c r="F1" s="161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X1" s="161"/>
      <c r="Y1" s="161"/>
    </row>
    <row r="2" spans="1:26" s="159" customFormat="1" ht="23.25" customHeight="1" x14ac:dyDescent="0.35">
      <c r="B2" s="163"/>
      <c r="C2" s="163"/>
      <c r="D2" s="163"/>
      <c r="E2" s="164"/>
      <c r="F2" s="164"/>
      <c r="G2" s="163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5" t="s">
        <v>158</v>
      </c>
      <c r="S2" s="166">
        <v>0.77</v>
      </c>
      <c r="T2" s="162"/>
      <c r="U2" s="162"/>
      <c r="V2" s="167"/>
      <c r="W2" s="167"/>
      <c r="X2" s="167"/>
      <c r="Y2" s="167"/>
    </row>
    <row r="3" spans="1:26" s="159" customFormat="1" ht="18.75" customHeight="1" x14ac:dyDescent="0.4">
      <c r="B3" s="168"/>
      <c r="C3" s="168"/>
      <c r="D3" s="168"/>
      <c r="E3" s="169"/>
      <c r="F3" s="169"/>
      <c r="G3" s="168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5" t="s">
        <v>159</v>
      </c>
      <c r="S3" s="166">
        <v>0.77</v>
      </c>
      <c r="T3" s="162"/>
      <c r="U3" s="162"/>
      <c r="V3" s="170"/>
      <c r="W3" s="170"/>
      <c r="X3" s="170"/>
      <c r="Y3" s="170"/>
    </row>
    <row r="4" spans="1:26" s="159" customFormat="1" ht="26" x14ac:dyDescent="0.3">
      <c r="B4" s="171" t="s">
        <v>160</v>
      </c>
      <c r="C4" s="171"/>
      <c r="D4" s="171"/>
      <c r="E4" s="172"/>
      <c r="F4" s="172"/>
      <c r="G4" s="171"/>
      <c r="H4" s="173"/>
      <c r="I4" s="173"/>
      <c r="J4" s="173"/>
      <c r="K4" s="173"/>
      <c r="L4" s="173"/>
      <c r="M4" s="173"/>
      <c r="N4" s="174"/>
      <c r="O4" s="173"/>
      <c r="P4" s="173"/>
      <c r="Q4" s="173"/>
      <c r="R4" s="165" t="s">
        <v>161</v>
      </c>
      <c r="S4" s="166">
        <v>0.8</v>
      </c>
      <c r="T4" s="170"/>
      <c r="U4" s="170"/>
      <c r="V4" s="170"/>
      <c r="W4" s="170"/>
      <c r="X4" s="170"/>
      <c r="Y4" s="170"/>
    </row>
    <row r="5" spans="1:26" s="159" customFormat="1" ht="19" thickBot="1" x14ac:dyDescent="0.35">
      <c r="B5" s="175" t="s">
        <v>162</v>
      </c>
      <c r="C5" s="175"/>
      <c r="D5" s="175"/>
      <c r="E5" s="176"/>
      <c r="F5" s="176"/>
      <c r="G5" s="175"/>
      <c r="H5" s="177"/>
      <c r="I5" s="177"/>
      <c r="J5" s="177"/>
      <c r="K5" s="177"/>
      <c r="L5" s="177"/>
      <c r="M5" s="177"/>
      <c r="N5" s="178"/>
      <c r="O5" s="177"/>
      <c r="P5" s="177"/>
      <c r="Q5" s="177"/>
      <c r="R5" s="165" t="s">
        <v>163</v>
      </c>
      <c r="S5" s="166">
        <v>0.8</v>
      </c>
      <c r="T5" s="170"/>
      <c r="U5" s="170"/>
      <c r="V5" s="170"/>
      <c r="W5" s="170"/>
      <c r="X5" s="170"/>
      <c r="Y5" s="170"/>
    </row>
    <row r="6" spans="1:26" s="179" customFormat="1" ht="32.25" customHeight="1" thickTop="1" x14ac:dyDescent="0.35">
      <c r="B6" s="180" t="s">
        <v>1</v>
      </c>
      <c r="C6" s="181" t="s">
        <v>164</v>
      </c>
      <c r="D6" s="182" t="s">
        <v>165</v>
      </c>
      <c r="E6" s="182" t="s">
        <v>166</v>
      </c>
      <c r="F6" s="182" t="s">
        <v>167</v>
      </c>
      <c r="G6" s="183" t="s">
        <v>168</v>
      </c>
      <c r="H6" s="184" t="s">
        <v>169</v>
      </c>
      <c r="I6" s="184" t="s">
        <v>170</v>
      </c>
      <c r="J6" s="184"/>
      <c r="K6" s="185" t="s">
        <v>171</v>
      </c>
      <c r="L6" s="185" t="s">
        <v>0</v>
      </c>
      <c r="M6" s="186" t="s">
        <v>157</v>
      </c>
      <c r="N6" s="187" t="s">
        <v>80</v>
      </c>
      <c r="O6" s="185" t="s">
        <v>81</v>
      </c>
      <c r="P6" s="185" t="s">
        <v>82</v>
      </c>
      <c r="Q6" s="185" t="s">
        <v>83</v>
      </c>
      <c r="R6" s="185" t="s">
        <v>84</v>
      </c>
      <c r="S6" s="185" t="s">
        <v>85</v>
      </c>
      <c r="T6" s="185" t="s">
        <v>86</v>
      </c>
      <c r="U6" s="185" t="s">
        <v>87</v>
      </c>
      <c r="V6" s="185" t="s">
        <v>88</v>
      </c>
      <c r="W6" s="185" t="s">
        <v>89</v>
      </c>
      <c r="X6" s="185" t="s">
        <v>90</v>
      </c>
      <c r="Y6" s="185" t="s">
        <v>91</v>
      </c>
      <c r="Z6" s="188" t="s">
        <v>172</v>
      </c>
    </row>
    <row r="7" spans="1:26" x14ac:dyDescent="0.35">
      <c r="B7" s="190" t="s">
        <v>173</v>
      </c>
      <c r="C7" s="191" t="s">
        <v>174</v>
      </c>
      <c r="D7" s="191" t="s">
        <v>175</v>
      </c>
      <c r="E7" s="192">
        <v>0.79513888888888884</v>
      </c>
      <c r="F7" s="192">
        <v>0.875</v>
      </c>
      <c r="G7" s="191" t="s">
        <v>176</v>
      </c>
      <c r="H7" s="193">
        <v>86025</v>
      </c>
      <c r="I7" s="193" t="s">
        <v>177</v>
      </c>
      <c r="J7" s="194">
        <f>VLOOKUP(K7,$R$2:$S$5,2,FALSE)</f>
        <v>0.77</v>
      </c>
      <c r="K7" s="193" t="s">
        <v>159</v>
      </c>
      <c r="L7" s="195" t="s">
        <v>156</v>
      </c>
      <c r="M7" s="196">
        <v>2.48</v>
      </c>
      <c r="N7" s="212">
        <f>'[2]VALOR PREFERENCIAL (2)'!L7*(1-TVN!$J7)</f>
        <v>218499.99999999997</v>
      </c>
      <c r="O7" s="213">
        <f>'[2]VALOR PREFERENCIAL (2)'!M7*(1-TVN!$J7)</f>
        <v>436999.99999999994</v>
      </c>
      <c r="P7" s="213">
        <f>'[2]VALOR PREFERENCIAL (2)'!N7*(1-TVN!$J7)</f>
        <v>500249.99999999994</v>
      </c>
      <c r="Q7" s="213">
        <f>'[2]VALOR PREFERENCIAL (2)'!O7*(1-TVN!$J7)</f>
        <v>598000</v>
      </c>
      <c r="R7" s="213">
        <f>'[2]VALOR PREFERENCIAL (2)'!P7*(1-TVN!$J7)</f>
        <v>644000</v>
      </c>
      <c r="S7" s="214">
        <f>'[2]VALOR PREFERENCIAL (2)'!Q7*(1-TVN!$J7)</f>
        <v>690000</v>
      </c>
      <c r="T7" s="213">
        <f>'[2]VALOR PREFERENCIAL (2)'!R7*(1-TVN!$J7)</f>
        <v>804999.99999999988</v>
      </c>
      <c r="U7" s="213">
        <f>'[2]VALOR PREFERENCIAL (2)'!S7*(1-TVN!$J7)</f>
        <v>919999.99999999988</v>
      </c>
      <c r="V7" s="213">
        <f>'[2]VALOR PREFERENCIAL (2)'!T7*(1-TVN!$J7)</f>
        <v>1034999.9999999999</v>
      </c>
      <c r="W7" s="213">
        <f>'[2]VALOR PREFERENCIAL (2)'!U7*(1-TVN!$J7)</f>
        <v>1207500</v>
      </c>
      <c r="X7" s="213">
        <f>'[2]VALOR PREFERENCIAL (2)'!V7*(1-TVN!$J7)</f>
        <v>1391500</v>
      </c>
      <c r="Y7" s="213">
        <f>'[2]VALOR PREFERENCIAL (2)'!W7*(1-TVN!$J7)</f>
        <v>1586999.9999999998</v>
      </c>
      <c r="Z7" s="215">
        <f>'[2]VALOR PREFERENCIAL (2)'!X7*(1-TVN!$J7)</f>
        <v>1719249.9999999998</v>
      </c>
    </row>
    <row r="8" spans="1:26" x14ac:dyDescent="0.35">
      <c r="B8" s="190" t="s">
        <v>178</v>
      </c>
      <c r="C8" s="191" t="s">
        <v>23</v>
      </c>
      <c r="D8" s="191" t="s">
        <v>175</v>
      </c>
      <c r="E8" s="192">
        <v>0.79513888888888884</v>
      </c>
      <c r="F8" s="192">
        <v>0.875</v>
      </c>
      <c r="G8" s="191" t="s">
        <v>179</v>
      </c>
      <c r="H8" s="193">
        <v>87200</v>
      </c>
      <c r="I8" s="193" t="s">
        <v>177</v>
      </c>
      <c r="J8" s="194">
        <f>VLOOKUP(K8,$R$2:$S$5,2,FALSE)</f>
        <v>0.77</v>
      </c>
      <c r="K8" s="193" t="s">
        <v>159</v>
      </c>
      <c r="L8" s="193" t="s">
        <v>156</v>
      </c>
      <c r="M8" s="196">
        <v>2</v>
      </c>
      <c r="N8" s="212">
        <f>'[2]VALOR PREFERENCIAL (2)'!L8*(1-TVN!$J8)</f>
        <v>218499.99999999997</v>
      </c>
      <c r="O8" s="213">
        <f>'[2]VALOR PREFERENCIAL (2)'!M8*(1-TVN!$J8)</f>
        <v>436999.99999999994</v>
      </c>
      <c r="P8" s="213">
        <f>'[2]VALOR PREFERENCIAL (2)'!N8*(1-TVN!$J8)</f>
        <v>500249.99999999994</v>
      </c>
      <c r="Q8" s="213">
        <f>'[2]VALOR PREFERENCIAL (2)'!O8*(1-TVN!$J8)</f>
        <v>598000</v>
      </c>
      <c r="R8" s="213">
        <f>'[2]VALOR PREFERENCIAL (2)'!P8*(1-TVN!$J8)</f>
        <v>644000</v>
      </c>
      <c r="S8" s="214">
        <f>'[2]VALOR PREFERENCIAL (2)'!Q8*(1-TVN!$J8)</f>
        <v>690000</v>
      </c>
      <c r="T8" s="213">
        <f>'[2]VALOR PREFERENCIAL (2)'!R8*(1-TVN!$J8)</f>
        <v>804999.99999999988</v>
      </c>
      <c r="U8" s="213">
        <f>'[2]VALOR PREFERENCIAL (2)'!S8*(1-TVN!$J8)</f>
        <v>919999.99999999988</v>
      </c>
      <c r="V8" s="213">
        <f>'[2]VALOR PREFERENCIAL (2)'!T8*(1-TVN!$J8)</f>
        <v>1034999.9999999999</v>
      </c>
      <c r="W8" s="213">
        <f>'[2]VALOR PREFERENCIAL (2)'!U8*(1-TVN!$J8)</f>
        <v>1207500</v>
      </c>
      <c r="X8" s="213">
        <f>'[2]VALOR PREFERENCIAL (2)'!V8*(1-TVN!$J8)</f>
        <v>1391500</v>
      </c>
      <c r="Y8" s="213">
        <f>'[2]VALOR PREFERENCIAL (2)'!W8*(1-TVN!$J8)</f>
        <v>1586999.9999999998</v>
      </c>
      <c r="Z8" s="215">
        <f>'[2]VALOR PREFERENCIAL (2)'!X8*(1-TVN!$J8)</f>
        <v>1719249.9999999998</v>
      </c>
    </row>
    <row r="9" spans="1:26" x14ac:dyDescent="0.35">
      <c r="B9" s="190" t="s">
        <v>180</v>
      </c>
      <c r="C9" s="191" t="s">
        <v>8</v>
      </c>
      <c r="D9" s="191" t="s">
        <v>175</v>
      </c>
      <c r="E9" s="192">
        <v>0.875</v>
      </c>
      <c r="F9" s="192">
        <v>0.94791666666666663</v>
      </c>
      <c r="G9" s="191" t="s">
        <v>181</v>
      </c>
      <c r="H9" s="193">
        <v>67138</v>
      </c>
      <c r="I9" s="193" t="s">
        <v>182</v>
      </c>
      <c r="J9" s="194">
        <f t="shared" ref="J9:J43" si="0">VLOOKUP(K9,$R$2:$S$5,2,FALSE)</f>
        <v>0.77</v>
      </c>
      <c r="K9" s="193" t="s">
        <v>158</v>
      </c>
      <c r="L9" s="193" t="s">
        <v>156</v>
      </c>
      <c r="M9" s="196">
        <v>2.5099999999999998</v>
      </c>
      <c r="N9" s="212">
        <f>'[2]VALOR PREFERENCIAL (2)'!L9*(1-TVN!$J9)</f>
        <v>335110</v>
      </c>
      <c r="O9" s="213">
        <f>'[2]VALOR PREFERENCIAL (2)'!M9*(1-TVN!$J9)</f>
        <v>669990</v>
      </c>
      <c r="P9" s="213">
        <f>'[2]VALOR PREFERENCIAL (2)'!N9*(1-TVN!$J9)</f>
        <v>767049.99999999988</v>
      </c>
      <c r="Q9" s="213">
        <f>'[2]VALOR PREFERENCIAL (2)'!O9*(1-TVN!$J9)</f>
        <v>917009.99999999988</v>
      </c>
      <c r="R9" s="213">
        <f>'[2]VALOR PREFERENCIAL (2)'!P9*(1-TVN!$J9)</f>
        <v>987389.99999999988</v>
      </c>
      <c r="S9" s="214">
        <f>'[2]VALOR PREFERENCIAL (2)'!Q9*(1-TVN!$J9)</f>
        <v>1058000</v>
      </c>
      <c r="T9" s="213">
        <f>'[2]VALOR PREFERENCIAL (2)'!R9*(1-TVN!$J9)</f>
        <v>1234410</v>
      </c>
      <c r="U9" s="213">
        <f>'[2]VALOR PREFERENCIAL (2)'!S9*(1-TVN!$J9)</f>
        <v>1410590</v>
      </c>
      <c r="V9" s="213">
        <f>'[2]VALOR PREFERENCIAL (2)'!T9*(1-TVN!$J9)</f>
        <v>1586999.9999999998</v>
      </c>
      <c r="W9" s="213">
        <f>'[2]VALOR PREFERENCIAL (2)'!U9*(1-TVN!$J9)</f>
        <v>1851499.9999999998</v>
      </c>
      <c r="X9" s="213">
        <f>'[2]VALOR PREFERENCIAL (2)'!V9*(1-TVN!$J9)</f>
        <v>2133710</v>
      </c>
      <c r="Y9" s="213">
        <f>'[2]VALOR PREFERENCIAL (2)'!W9*(1-TVN!$J9)</f>
        <v>2433400</v>
      </c>
      <c r="Z9" s="215">
        <f>'[2]VALOR PREFERENCIAL (2)'!X9*(1-TVN!$J9)</f>
        <v>2636260</v>
      </c>
    </row>
    <row r="10" spans="1:26" x14ac:dyDescent="0.35">
      <c r="B10" s="190" t="s">
        <v>183</v>
      </c>
      <c r="C10" s="191" t="s">
        <v>19</v>
      </c>
      <c r="D10" s="191" t="s">
        <v>175</v>
      </c>
      <c r="E10" s="192">
        <v>0.875</v>
      </c>
      <c r="F10" s="192">
        <v>0.94097222222222221</v>
      </c>
      <c r="G10" s="191" t="s">
        <v>184</v>
      </c>
      <c r="H10" s="193">
        <v>86469</v>
      </c>
      <c r="I10" s="193" t="s">
        <v>185</v>
      </c>
      <c r="J10" s="194">
        <f t="shared" si="0"/>
        <v>0.77</v>
      </c>
      <c r="K10" s="193" t="s">
        <v>158</v>
      </c>
      <c r="L10" s="193" t="s">
        <v>156</v>
      </c>
      <c r="M10" s="196">
        <v>1.32</v>
      </c>
      <c r="N10" s="212">
        <f>'[2]VALOR PREFERENCIAL (2)'!L10*(1-TVN!$J10)</f>
        <v>189289.99999999997</v>
      </c>
      <c r="O10" s="213">
        <f>'[2]VALOR PREFERENCIAL (2)'!M10*(1-TVN!$J10)</f>
        <v>378809.99999999994</v>
      </c>
      <c r="P10" s="213">
        <f>'[2]VALOR PREFERENCIAL (2)'!N10*(1-TVN!$J10)</f>
        <v>433549.99999999994</v>
      </c>
      <c r="Q10" s="213">
        <f>'[2]VALOR PREFERENCIAL (2)'!O10*(1-TVN!$J10)</f>
        <v>518189.99999999994</v>
      </c>
      <c r="R10" s="213">
        <f>'[2]VALOR PREFERENCIAL (2)'!P10*(1-TVN!$J10)</f>
        <v>558210</v>
      </c>
      <c r="S10" s="214">
        <f>'[2]VALOR PREFERENCIAL (2)'!Q10*(1-TVN!$J10)</f>
        <v>598000</v>
      </c>
      <c r="T10" s="213">
        <f>'[2]VALOR PREFERENCIAL (2)'!R10*(1-TVN!$J10)</f>
        <v>697590</v>
      </c>
      <c r="U10" s="213">
        <f>'[2]VALOR PREFERENCIAL (2)'!S10*(1-TVN!$J10)</f>
        <v>797409.99999999988</v>
      </c>
      <c r="V10" s="213">
        <f>'[2]VALOR PREFERENCIAL (2)'!T10*(1-TVN!$J10)</f>
        <v>896999.99999999988</v>
      </c>
      <c r="W10" s="213">
        <f>'[2]VALOR PREFERENCIAL (2)'!U10*(1-TVN!$J10)</f>
        <v>1046499.9999999999</v>
      </c>
      <c r="X10" s="213">
        <f>'[2]VALOR PREFERENCIAL (2)'!V10*(1-TVN!$J10)</f>
        <v>1205890</v>
      </c>
      <c r="Y10" s="213">
        <f>'[2]VALOR PREFERENCIAL (2)'!W10*(1-TVN!$J10)</f>
        <v>1375400</v>
      </c>
      <c r="Z10" s="215">
        <f>'[2]VALOR PREFERENCIAL (2)'!X10*(1-TVN!$J10)</f>
        <v>1489940</v>
      </c>
    </row>
    <row r="11" spans="1:26" x14ac:dyDescent="0.35">
      <c r="B11" s="190" t="s">
        <v>186</v>
      </c>
      <c r="C11" s="191" t="s">
        <v>20</v>
      </c>
      <c r="D11" s="191" t="s">
        <v>175</v>
      </c>
      <c r="E11" s="192">
        <v>0.875</v>
      </c>
      <c r="F11" s="192">
        <v>0.94791666666666663</v>
      </c>
      <c r="G11" s="191" t="s">
        <v>187</v>
      </c>
      <c r="H11" s="193">
        <v>86470</v>
      </c>
      <c r="I11" s="193" t="s">
        <v>188</v>
      </c>
      <c r="J11" s="194">
        <f t="shared" si="0"/>
        <v>0.77</v>
      </c>
      <c r="K11" s="193" t="s">
        <v>158</v>
      </c>
      <c r="L11" s="193" t="s">
        <v>156</v>
      </c>
      <c r="M11" s="196">
        <v>2.0499999999999998</v>
      </c>
      <c r="N11" s="212">
        <f>'[2]VALOR PREFERENCIAL (2)'!L11*(1-TVN!$J11)</f>
        <v>254839.99999999997</v>
      </c>
      <c r="O11" s="213">
        <f>'[2]VALOR PREFERENCIAL (2)'!M11*(1-TVN!$J11)</f>
        <v>509909.99999999994</v>
      </c>
      <c r="P11" s="213">
        <f>'[2]VALOR PREFERENCIAL (2)'!N11*(1-TVN!$J11)</f>
        <v>583740</v>
      </c>
      <c r="Q11" s="213">
        <f>'[2]VALOR PREFERENCIAL (2)'!O11*(1-TVN!$J11)</f>
        <v>697590</v>
      </c>
      <c r="R11" s="213">
        <f>'[2]VALOR PREFERENCIAL (2)'!P11*(1-TVN!$J11)</f>
        <v>751410</v>
      </c>
      <c r="S11" s="214">
        <f>'[2]VALOR PREFERENCIAL (2)'!Q11*(1-TVN!$J11)</f>
        <v>804999.99999999988</v>
      </c>
      <c r="T11" s="213">
        <f>'[2]VALOR PREFERENCIAL (2)'!R11*(1-TVN!$J11)</f>
        <v>939089.99999999988</v>
      </c>
      <c r="U11" s="213">
        <f>'[2]VALOR PREFERENCIAL (2)'!S11*(1-TVN!$J11)</f>
        <v>1073410</v>
      </c>
      <c r="V11" s="213">
        <f>'[2]VALOR PREFERENCIAL (2)'!T11*(1-TVN!$J11)</f>
        <v>1207500</v>
      </c>
      <c r="W11" s="213">
        <f>'[2]VALOR PREFERENCIAL (2)'!U11*(1-TVN!$J11)</f>
        <v>1408750</v>
      </c>
      <c r="X11" s="213">
        <f>'[2]VALOR PREFERENCIAL (2)'!V11*(1-TVN!$J11)</f>
        <v>1623339.9999999998</v>
      </c>
      <c r="Y11" s="213">
        <f>'[2]VALOR PREFERENCIAL (2)'!W11*(1-TVN!$J11)</f>
        <v>1851499.9999999998</v>
      </c>
      <c r="Z11" s="215">
        <f>'[2]VALOR PREFERENCIAL (2)'!X11*(1-TVN!$J11)</f>
        <v>2005829.9999999998</v>
      </c>
    </row>
    <row r="12" spans="1:26" x14ac:dyDescent="0.35">
      <c r="B12" s="190" t="s">
        <v>189</v>
      </c>
      <c r="C12" s="191" t="s">
        <v>8</v>
      </c>
      <c r="D12" s="191" t="s">
        <v>175</v>
      </c>
      <c r="E12" s="192">
        <v>0.94791666666666663</v>
      </c>
      <c r="F12" s="192">
        <v>0.95138888888888884</v>
      </c>
      <c r="G12" s="191" t="s">
        <v>190</v>
      </c>
      <c r="H12" s="193">
        <v>10029</v>
      </c>
      <c r="I12" s="193" t="s">
        <v>182</v>
      </c>
      <c r="J12" s="194">
        <f t="shared" si="0"/>
        <v>0.77</v>
      </c>
      <c r="K12" s="193" t="s">
        <v>159</v>
      </c>
      <c r="L12" s="193" t="s">
        <v>156</v>
      </c>
      <c r="M12" s="196">
        <v>2.5099999999999998</v>
      </c>
      <c r="N12" s="212">
        <f>'[2]VALOR PREFERENCIAL (2)'!L12*(1-TVN!$J12)</f>
        <v>342240</v>
      </c>
      <c r="O12" s="213">
        <f>'[2]VALOR PREFERENCIAL (2)'!M12*(1-TVN!$J12)</f>
        <v>684710</v>
      </c>
      <c r="P12" s="213">
        <f>'[2]VALOR PREFERENCIAL (2)'!N12*(1-TVN!$J12)</f>
        <v>783839.99999999988</v>
      </c>
      <c r="Q12" s="213">
        <f>'[2]VALOR PREFERENCIAL (2)'!O12*(1-TVN!$J12)</f>
        <v>936789.99999999988</v>
      </c>
      <c r="R12" s="213">
        <f>'[2]VALOR PREFERENCIAL (2)'!P12*(1-TVN!$J12)</f>
        <v>1009009.9999999999</v>
      </c>
      <c r="S12" s="214">
        <f>'[2]VALOR PREFERENCIAL (2)'!Q12*(1-TVN!$J12)</f>
        <v>1081000</v>
      </c>
      <c r="T12" s="213">
        <f>'[2]VALOR PREFERENCIAL (2)'!R12*(1-TVN!$J12)</f>
        <v>1261090</v>
      </c>
      <c r="U12" s="213">
        <f>'[2]VALOR PREFERENCIAL (2)'!S12*(1-TVN!$J12)</f>
        <v>1441410</v>
      </c>
      <c r="V12" s="213">
        <f>'[2]VALOR PREFERENCIAL (2)'!T12*(1-TVN!$J12)</f>
        <v>1621499.9999999998</v>
      </c>
      <c r="W12" s="213">
        <f>'[2]VALOR PREFERENCIAL (2)'!U12*(1-TVN!$J12)</f>
        <v>1891749.9999999998</v>
      </c>
      <c r="X12" s="213">
        <f>'[2]VALOR PREFERENCIAL (2)'!V12*(1-TVN!$J12)</f>
        <v>2179940</v>
      </c>
      <c r="Y12" s="213">
        <f>'[2]VALOR PREFERENCIAL (2)'!W12*(1-TVN!$J12)</f>
        <v>2486300</v>
      </c>
      <c r="Z12" s="215">
        <f>'[2]VALOR PREFERENCIAL (2)'!X12*(1-TVN!$J12)</f>
        <v>2693530</v>
      </c>
    </row>
    <row r="13" spans="1:26" x14ac:dyDescent="0.35">
      <c r="B13" s="190" t="s">
        <v>189</v>
      </c>
      <c r="C13" s="191" t="s">
        <v>19</v>
      </c>
      <c r="D13" s="191" t="s">
        <v>175</v>
      </c>
      <c r="E13" s="192">
        <v>0.94097222222222221</v>
      </c>
      <c r="F13" s="192">
        <v>0.94444444444444453</v>
      </c>
      <c r="G13" s="191" t="s">
        <v>191</v>
      </c>
      <c r="H13" s="193">
        <v>10029</v>
      </c>
      <c r="I13" s="193" t="s">
        <v>185</v>
      </c>
      <c r="J13" s="194">
        <f t="shared" si="0"/>
        <v>0.77</v>
      </c>
      <c r="K13" s="193" t="s">
        <v>159</v>
      </c>
      <c r="L13" s="193" t="s">
        <v>156</v>
      </c>
      <c r="M13" s="196">
        <v>1.32</v>
      </c>
      <c r="N13" s="212">
        <f>'[2]VALOR PREFERENCIAL (2)'!L13*(1-TVN!$J13)</f>
        <v>196649.99999999997</v>
      </c>
      <c r="O13" s="213">
        <f>'[2]VALOR PREFERENCIAL (2)'!M13*(1-TVN!$J13)</f>
        <v>393299.99999999994</v>
      </c>
      <c r="P13" s="213">
        <f>'[2]VALOR PREFERENCIAL (2)'!N13*(1-TVN!$J13)</f>
        <v>450339.99999999994</v>
      </c>
      <c r="Q13" s="213">
        <f>'[2]VALOR PREFERENCIAL (2)'!O13*(1-TVN!$J13)</f>
        <v>538200</v>
      </c>
      <c r="R13" s="213">
        <f>'[2]VALOR PREFERENCIAL (2)'!P13*(1-TVN!$J13)</f>
        <v>579600</v>
      </c>
      <c r="S13" s="214">
        <f>'[2]VALOR PREFERENCIAL (2)'!Q13*(1-TVN!$J13)</f>
        <v>621000</v>
      </c>
      <c r="T13" s="213">
        <f>'[2]VALOR PREFERENCIAL (2)'!R13*(1-TVN!$J13)</f>
        <v>724500</v>
      </c>
      <c r="U13" s="213">
        <f>'[2]VALOR PREFERENCIAL (2)'!S13*(1-TVN!$J13)</f>
        <v>827999.99999999988</v>
      </c>
      <c r="V13" s="213">
        <f>'[2]VALOR PREFERENCIAL (2)'!T13*(1-TVN!$J13)</f>
        <v>931499.99999999988</v>
      </c>
      <c r="W13" s="213">
        <f>'[2]VALOR PREFERENCIAL (2)'!U13*(1-TVN!$J13)</f>
        <v>1086750</v>
      </c>
      <c r="X13" s="213">
        <f>'[2]VALOR PREFERENCIAL (2)'!V13*(1-TVN!$J13)</f>
        <v>1252350</v>
      </c>
      <c r="Y13" s="213">
        <f>'[2]VALOR PREFERENCIAL (2)'!W13*(1-TVN!$J13)</f>
        <v>1428300</v>
      </c>
      <c r="Z13" s="215">
        <f>'[2]VALOR PREFERENCIAL (2)'!X13*(1-TVN!$J13)</f>
        <v>1547439.9999999998</v>
      </c>
    </row>
    <row r="14" spans="1:26" x14ac:dyDescent="0.35">
      <c r="B14" s="190" t="s">
        <v>189</v>
      </c>
      <c r="C14" s="191" t="s">
        <v>20</v>
      </c>
      <c r="D14" s="191" t="s">
        <v>175</v>
      </c>
      <c r="E14" s="192">
        <v>0.94791666666666663</v>
      </c>
      <c r="F14" s="192">
        <v>0.95138888888888884</v>
      </c>
      <c r="G14" s="191" t="s">
        <v>192</v>
      </c>
      <c r="H14" s="193">
        <v>10029</v>
      </c>
      <c r="I14" s="193" t="s">
        <v>188</v>
      </c>
      <c r="J14" s="194">
        <f t="shared" si="0"/>
        <v>0.77</v>
      </c>
      <c r="K14" s="193" t="s">
        <v>159</v>
      </c>
      <c r="L14" s="193" t="s">
        <v>156</v>
      </c>
      <c r="M14" s="196">
        <v>2.0499999999999998</v>
      </c>
      <c r="N14" s="212">
        <f>'[2]VALOR PREFERENCIAL (2)'!L14*(1-TVN!$J14)</f>
        <v>262200</v>
      </c>
      <c r="O14" s="213">
        <f>'[2]VALOR PREFERENCIAL (2)'!M14*(1-TVN!$J14)</f>
        <v>524400</v>
      </c>
      <c r="P14" s="213">
        <f>'[2]VALOR PREFERENCIAL (2)'!N14*(1-TVN!$J14)</f>
        <v>600300</v>
      </c>
      <c r="Q14" s="213">
        <f>'[2]VALOR PREFERENCIAL (2)'!O14*(1-TVN!$J14)</f>
        <v>717600</v>
      </c>
      <c r="R14" s="213">
        <f>'[2]VALOR PREFERENCIAL (2)'!P14*(1-TVN!$J14)</f>
        <v>772799.99999999988</v>
      </c>
      <c r="S14" s="214">
        <f>'[2]VALOR PREFERENCIAL (2)'!Q14*(1-TVN!$J14)</f>
        <v>827999.99999999988</v>
      </c>
      <c r="T14" s="213">
        <f>'[2]VALOR PREFERENCIAL (2)'!R14*(1-TVN!$J14)</f>
        <v>965999.99999999988</v>
      </c>
      <c r="U14" s="213">
        <f>'[2]VALOR PREFERENCIAL (2)'!S14*(1-TVN!$J14)</f>
        <v>1104000</v>
      </c>
      <c r="V14" s="213">
        <f>'[2]VALOR PREFERENCIAL (2)'!T14*(1-TVN!$J14)</f>
        <v>1242000</v>
      </c>
      <c r="W14" s="213">
        <f>'[2]VALOR PREFERENCIAL (2)'!U14*(1-TVN!$J14)</f>
        <v>1449000</v>
      </c>
      <c r="X14" s="213">
        <f>'[2]VALOR PREFERENCIAL (2)'!V14*(1-TVN!$J14)</f>
        <v>1669799.9999999998</v>
      </c>
      <c r="Y14" s="213">
        <f>'[2]VALOR PREFERENCIAL (2)'!W14*(1-TVN!$J14)</f>
        <v>1904399.9999999998</v>
      </c>
      <c r="Z14" s="215">
        <f>'[2]VALOR PREFERENCIAL (2)'!X14*(1-TVN!$J14)</f>
        <v>2063099.9999999998</v>
      </c>
    </row>
    <row r="15" spans="1:26" x14ac:dyDescent="0.35">
      <c r="B15" s="190" t="s">
        <v>193</v>
      </c>
      <c r="C15" s="191" t="s">
        <v>194</v>
      </c>
      <c r="D15" s="191" t="s">
        <v>175</v>
      </c>
      <c r="E15" s="192">
        <v>0.95138888888888884</v>
      </c>
      <c r="F15" s="192">
        <v>2.0833333333333332E-2</v>
      </c>
      <c r="G15" s="191" t="s">
        <v>195</v>
      </c>
      <c r="H15" s="193">
        <v>87364</v>
      </c>
      <c r="I15" s="193" t="s">
        <v>182</v>
      </c>
      <c r="J15" s="194">
        <f t="shared" si="0"/>
        <v>0.77</v>
      </c>
      <c r="K15" s="193" t="s">
        <v>158</v>
      </c>
      <c r="L15" s="193" t="s">
        <v>156</v>
      </c>
      <c r="M15" s="196">
        <v>2.27</v>
      </c>
      <c r="N15" s="212">
        <f>'[2]VALOR PREFERENCIAL (2)'!L15*(1-TVN!$J15)</f>
        <v>342240</v>
      </c>
      <c r="O15" s="213">
        <f>'[2]VALOR PREFERENCIAL (2)'!M15*(1-TVN!$J15)</f>
        <v>684710</v>
      </c>
      <c r="P15" s="213">
        <f>'[2]VALOR PREFERENCIAL (2)'!N15*(1-TVN!$J15)</f>
        <v>783839.99999999988</v>
      </c>
      <c r="Q15" s="213">
        <f>'[2]VALOR PREFERENCIAL (2)'!O15*(1-TVN!$J15)</f>
        <v>936789.99999999988</v>
      </c>
      <c r="R15" s="213">
        <f>'[2]VALOR PREFERENCIAL (2)'!P15*(1-TVN!$J15)</f>
        <v>1009009.9999999999</v>
      </c>
      <c r="S15" s="216">
        <f>'[2]VALOR PREFERENCIAL (2)'!Q15*(1-TVN!$J15)</f>
        <v>1081000</v>
      </c>
      <c r="T15" s="213">
        <f>'[2]VALOR PREFERENCIAL (2)'!R15*(1-TVN!$J15)</f>
        <v>1261090</v>
      </c>
      <c r="U15" s="213">
        <f>'[2]VALOR PREFERENCIAL (2)'!S15*(1-TVN!$J15)</f>
        <v>1441410</v>
      </c>
      <c r="V15" s="213">
        <f>'[2]VALOR PREFERENCIAL (2)'!T15*(1-TVN!$J15)</f>
        <v>1621499.9999999998</v>
      </c>
      <c r="W15" s="213">
        <f>'[2]VALOR PREFERENCIAL (2)'!U15*(1-TVN!$J15)</f>
        <v>1891749.9999999998</v>
      </c>
      <c r="X15" s="213">
        <f>'[2]VALOR PREFERENCIAL (2)'!V15*(1-TVN!$J15)</f>
        <v>2179940</v>
      </c>
      <c r="Y15" s="213">
        <f>'[2]VALOR PREFERENCIAL (2)'!W15*(1-TVN!$J15)</f>
        <v>2486300</v>
      </c>
      <c r="Z15" s="215">
        <f>'[2]VALOR PREFERENCIAL (2)'!X15*(1-TVN!$J15)</f>
        <v>2693530</v>
      </c>
    </row>
    <row r="16" spans="1:26" x14ac:dyDescent="0.35">
      <c r="B16" s="190" t="s">
        <v>196</v>
      </c>
      <c r="C16" s="191" t="s">
        <v>23</v>
      </c>
      <c r="D16" s="191" t="s">
        <v>175</v>
      </c>
      <c r="E16" s="192">
        <v>0.94444444444444453</v>
      </c>
      <c r="F16" s="192">
        <v>3.125E-2</v>
      </c>
      <c r="G16" s="191" t="s">
        <v>197</v>
      </c>
      <c r="H16" s="193">
        <v>86071</v>
      </c>
      <c r="I16" s="193" t="s">
        <v>198</v>
      </c>
      <c r="J16" s="194">
        <f t="shared" si="0"/>
        <v>0.77</v>
      </c>
      <c r="K16" s="193" t="s">
        <v>159</v>
      </c>
      <c r="L16" s="193" t="s">
        <v>156</v>
      </c>
      <c r="M16" s="196">
        <v>0.91</v>
      </c>
      <c r="N16" s="212">
        <f>'[2]VALOR PREFERENCIAL (2)'!L16*(1-TVN!$J16)</f>
        <v>83720</v>
      </c>
      <c r="O16" s="213">
        <f>'[2]VALOR PREFERENCIAL (2)'!M16*(1-TVN!$J16)</f>
        <v>167440</v>
      </c>
      <c r="P16" s="213">
        <f>'[2]VALOR PREFERENCIAL (2)'!N16*(1-TVN!$J16)</f>
        <v>191819.99999999997</v>
      </c>
      <c r="Q16" s="213">
        <f>'[2]VALOR PREFERENCIAL (2)'!O16*(1-TVN!$J16)</f>
        <v>229309.99999999997</v>
      </c>
      <c r="R16" s="213">
        <f>'[2]VALOR PREFERENCIAL (2)'!P16*(1-TVN!$J16)</f>
        <v>246789.99999999997</v>
      </c>
      <c r="S16" s="214">
        <f>'[2]VALOR PREFERENCIAL (2)'!Q16*(1-TVN!$J16)</f>
        <v>264500</v>
      </c>
      <c r="T16" s="213">
        <f>'[2]VALOR PREFERENCIAL (2)'!R16*(1-TVN!$J16)</f>
        <v>308660</v>
      </c>
      <c r="U16" s="213">
        <f>'[2]VALOR PREFERENCIAL (2)'!S16*(1-TVN!$J16)</f>
        <v>352590</v>
      </c>
      <c r="V16" s="213">
        <f>'[2]VALOR PREFERENCIAL (2)'!T16*(1-TVN!$J16)</f>
        <v>396749.99999999994</v>
      </c>
      <c r="W16" s="213">
        <f>'[2]VALOR PREFERENCIAL (2)'!U16*(1-TVN!$J16)</f>
        <v>462989.99999999994</v>
      </c>
      <c r="X16" s="213">
        <f>'[2]VALOR PREFERENCIAL (2)'!V16*(1-TVN!$J16)</f>
        <v>533370</v>
      </c>
      <c r="Y16" s="213">
        <f>'[2]VALOR PREFERENCIAL (2)'!W16*(1-TVN!$J16)</f>
        <v>608350</v>
      </c>
      <c r="Z16" s="215">
        <f>'[2]VALOR PREFERENCIAL (2)'!X16*(1-TVN!$J16)</f>
        <v>658950</v>
      </c>
    </row>
    <row r="17" spans="2:26" x14ac:dyDescent="0.35">
      <c r="B17" s="190" t="s">
        <v>199</v>
      </c>
      <c r="C17" s="191" t="s">
        <v>19</v>
      </c>
      <c r="D17" s="191" t="s">
        <v>175</v>
      </c>
      <c r="E17" s="192">
        <v>0.94444444444444453</v>
      </c>
      <c r="F17" s="192">
        <v>3.125E-2</v>
      </c>
      <c r="G17" s="191" t="s">
        <v>200</v>
      </c>
      <c r="H17" s="193">
        <v>82858</v>
      </c>
      <c r="I17" s="193" t="s">
        <v>201</v>
      </c>
      <c r="J17" s="194">
        <f t="shared" si="0"/>
        <v>0.77</v>
      </c>
      <c r="K17" s="193" t="s">
        <v>159</v>
      </c>
      <c r="L17" s="193" t="s">
        <v>156</v>
      </c>
      <c r="M17" s="196">
        <v>0.76</v>
      </c>
      <c r="N17" s="212">
        <f>'[2]VALOR PREFERENCIAL (2)'!L17*(1-TVN!$J17)</f>
        <v>87400</v>
      </c>
      <c r="O17" s="213">
        <f>'[2]VALOR PREFERENCIAL (2)'!M17*(1-TVN!$J17)</f>
        <v>174800</v>
      </c>
      <c r="P17" s="213">
        <f>'[2]VALOR PREFERENCIAL (2)'!N17*(1-TVN!$J17)</f>
        <v>200099.99999999997</v>
      </c>
      <c r="Q17" s="213">
        <f>'[2]VALOR PREFERENCIAL (2)'!O17*(1-TVN!$J17)</f>
        <v>239199.99999999997</v>
      </c>
      <c r="R17" s="213">
        <f>'[2]VALOR PREFERENCIAL (2)'!P17*(1-TVN!$J17)</f>
        <v>257599.99999999997</v>
      </c>
      <c r="S17" s="214">
        <f>'[2]VALOR PREFERENCIAL (2)'!Q17*(1-TVN!$J17)</f>
        <v>276000</v>
      </c>
      <c r="T17" s="213">
        <f>'[2]VALOR PREFERENCIAL (2)'!R17*(1-TVN!$J17)</f>
        <v>322000</v>
      </c>
      <c r="U17" s="213">
        <f>'[2]VALOR PREFERENCIAL (2)'!S17*(1-TVN!$J17)</f>
        <v>368000</v>
      </c>
      <c r="V17" s="213">
        <f>'[2]VALOR PREFERENCIAL (2)'!T17*(1-TVN!$J17)</f>
        <v>413999.99999999994</v>
      </c>
      <c r="W17" s="213">
        <f>'[2]VALOR PREFERENCIAL (2)'!U17*(1-TVN!$J17)</f>
        <v>482999.99999999994</v>
      </c>
      <c r="X17" s="213">
        <f>'[2]VALOR PREFERENCIAL (2)'!V17*(1-TVN!$J17)</f>
        <v>556600</v>
      </c>
      <c r="Y17" s="213">
        <f>'[2]VALOR PREFERENCIAL (2)'!W17*(1-TVN!$J17)</f>
        <v>634800</v>
      </c>
      <c r="Z17" s="215">
        <f>'[2]VALOR PREFERENCIAL (2)'!X17*(1-TVN!$J17)</f>
        <v>687700</v>
      </c>
    </row>
    <row r="18" spans="2:26" x14ac:dyDescent="0.35">
      <c r="B18" s="190" t="s">
        <v>202</v>
      </c>
      <c r="C18" s="191" t="s">
        <v>194</v>
      </c>
      <c r="D18" s="191" t="s">
        <v>175</v>
      </c>
      <c r="E18" s="192">
        <v>2.0833333333333332E-2</v>
      </c>
      <c r="F18" s="192">
        <v>6.25E-2</v>
      </c>
      <c r="G18" s="191" t="s">
        <v>203</v>
      </c>
      <c r="H18" s="193">
        <v>87129</v>
      </c>
      <c r="I18" s="193" t="s">
        <v>204</v>
      </c>
      <c r="J18" s="194">
        <f t="shared" si="0"/>
        <v>0.8</v>
      </c>
      <c r="K18" s="193" t="s">
        <v>161</v>
      </c>
      <c r="L18" s="193" t="s">
        <v>6</v>
      </c>
      <c r="M18" s="196">
        <v>0.83</v>
      </c>
      <c r="N18" s="212">
        <f>'[2]VALOR PREFERENCIAL (2)'!L18*(1-TVN!$J18)</f>
        <v>20599.999999999996</v>
      </c>
      <c r="O18" s="213">
        <f>'[2]VALOR PREFERENCIAL (2)'!M18*(1-TVN!$J18)</f>
        <v>41199.999999999993</v>
      </c>
      <c r="P18" s="213">
        <f>'[2]VALOR PREFERENCIAL (2)'!N18*(1-TVN!$J18)</f>
        <v>47199.999999999993</v>
      </c>
      <c r="Q18" s="213">
        <f>'[2]VALOR PREFERENCIAL (2)'!O18*(1-TVN!$J18)</f>
        <v>56399.999999999985</v>
      </c>
      <c r="R18" s="213">
        <f>'[2]VALOR PREFERENCIAL (2)'!P18*(1-TVN!$J18)</f>
        <v>60599.999999999985</v>
      </c>
      <c r="S18" s="214">
        <f>'[2]VALOR PREFERENCIAL (2)'!Q18*(1-TVN!$J18)</f>
        <v>64999.999999999985</v>
      </c>
      <c r="T18" s="213">
        <f>'[2]VALOR PREFERENCIAL (2)'!R18*(1-TVN!$J18)</f>
        <v>75799.999999999985</v>
      </c>
      <c r="U18" s="213">
        <f>'[2]VALOR PREFERENCIAL (2)'!S18*(1-TVN!$J18)</f>
        <v>86599.999999999985</v>
      </c>
      <c r="V18" s="213">
        <f>'[2]VALOR PREFERENCIAL (2)'!T18*(1-TVN!$J18)</f>
        <v>97599.999999999985</v>
      </c>
      <c r="W18" s="213">
        <f>'[2]VALOR PREFERENCIAL (2)'!U18*(1-TVN!$J18)</f>
        <v>113799.99999999997</v>
      </c>
      <c r="X18" s="213">
        <f>'[2]VALOR PREFERENCIAL (2)'!V18*(1-TVN!$J18)</f>
        <v>130999.99999999997</v>
      </c>
      <c r="Y18" s="213">
        <f>'[2]VALOR PREFERENCIAL (2)'!W18*(1-TVN!$J18)</f>
        <v>149599.99999999997</v>
      </c>
      <c r="Z18" s="215">
        <f>'[2]VALOR PREFERENCIAL (2)'!X18*(1-TVN!$J18)</f>
        <v>161999.99999999997</v>
      </c>
    </row>
    <row r="19" spans="2:26" x14ac:dyDescent="0.35">
      <c r="B19" s="190" t="s">
        <v>205</v>
      </c>
      <c r="C19" s="191" t="s">
        <v>174</v>
      </c>
      <c r="D19" s="191" t="s">
        <v>175</v>
      </c>
      <c r="E19" s="192">
        <v>6.25E-2</v>
      </c>
      <c r="F19" s="192">
        <v>9.375E-2</v>
      </c>
      <c r="G19" s="191" t="s">
        <v>206</v>
      </c>
      <c r="H19" s="193">
        <v>86272</v>
      </c>
      <c r="I19" s="193" t="s">
        <v>207</v>
      </c>
      <c r="J19" s="194">
        <f t="shared" si="0"/>
        <v>0.8</v>
      </c>
      <c r="K19" s="193" t="s">
        <v>161</v>
      </c>
      <c r="L19" s="193" t="s">
        <v>6</v>
      </c>
      <c r="M19" s="196">
        <v>0.63</v>
      </c>
      <c r="N19" s="212">
        <f>'[2]VALOR PREFERENCIAL (2)'!L19*(1-TVN!$J19)</f>
        <v>15799.999999999996</v>
      </c>
      <c r="O19" s="213">
        <f>'[2]VALOR PREFERENCIAL (2)'!M19*(1-TVN!$J19)</f>
        <v>31599.999999999993</v>
      </c>
      <c r="P19" s="213">
        <f>'[2]VALOR PREFERENCIAL (2)'!N19*(1-TVN!$J19)</f>
        <v>36199.999999999993</v>
      </c>
      <c r="Q19" s="213">
        <f>'[2]VALOR PREFERENCIAL (2)'!O19*(1-TVN!$J19)</f>
        <v>43399.999999999993</v>
      </c>
      <c r="R19" s="213">
        <f>'[2]VALOR PREFERENCIAL (2)'!P19*(1-TVN!$J19)</f>
        <v>46599.999999999993</v>
      </c>
      <c r="S19" s="214">
        <f>'[2]VALOR PREFERENCIAL (2)'!Q19*(1-TVN!$J19)</f>
        <v>49999.999999999985</v>
      </c>
      <c r="T19" s="213">
        <f>'[2]VALOR PREFERENCIAL (2)'!R19*(1-TVN!$J19)</f>
        <v>58399.999999999985</v>
      </c>
      <c r="U19" s="213">
        <f>'[2]VALOR PREFERENCIAL (2)'!S19*(1-TVN!$J19)</f>
        <v>66599.999999999985</v>
      </c>
      <c r="V19" s="213">
        <f>'[2]VALOR PREFERENCIAL (2)'!T19*(1-TVN!$J19)</f>
        <v>74999.999999999985</v>
      </c>
      <c r="W19" s="213">
        <f>'[2]VALOR PREFERENCIAL (2)'!U19*(1-TVN!$J19)</f>
        <v>87599.999999999985</v>
      </c>
      <c r="X19" s="213">
        <f>'[2]VALOR PREFERENCIAL (2)'!V19*(1-TVN!$J19)</f>
        <v>100799.99999999997</v>
      </c>
      <c r="Y19" s="213">
        <f>'[2]VALOR PREFERENCIAL (2)'!W19*(1-TVN!$J19)</f>
        <v>114999.99999999997</v>
      </c>
      <c r="Z19" s="215">
        <f>'[2]VALOR PREFERENCIAL (2)'!X19*(1-TVN!$J19)</f>
        <v>124599.99999999997</v>
      </c>
    </row>
    <row r="20" spans="2:26" x14ac:dyDescent="0.35">
      <c r="B20" s="190" t="s">
        <v>208</v>
      </c>
      <c r="C20" s="191" t="s">
        <v>8</v>
      </c>
      <c r="D20" s="191" t="s">
        <v>175</v>
      </c>
      <c r="E20" s="192">
        <v>0.25</v>
      </c>
      <c r="F20" s="192">
        <v>0.29166666666666669</v>
      </c>
      <c r="G20" s="191" t="s">
        <v>209</v>
      </c>
      <c r="H20" s="193">
        <v>86273</v>
      </c>
      <c r="I20" s="193" t="s">
        <v>210</v>
      </c>
      <c r="J20" s="194">
        <f t="shared" si="0"/>
        <v>0.8</v>
      </c>
      <c r="K20" s="193" t="s">
        <v>161</v>
      </c>
      <c r="L20" s="193" t="s">
        <v>6</v>
      </c>
      <c r="M20" s="196">
        <v>0.41</v>
      </c>
      <c r="N20" s="212">
        <f>'[2]VALOR PREFERENCIAL (2)'!L33*(1-TVN!$J20)</f>
        <v>18999.999999999996</v>
      </c>
      <c r="O20" s="213">
        <f>'[2]VALOR PREFERENCIAL (2)'!M33*(1-TVN!$J20)</f>
        <v>37999.999999999993</v>
      </c>
      <c r="P20" s="213">
        <f>'[2]VALOR PREFERENCIAL (2)'!N33*(1-TVN!$J20)</f>
        <v>43599.999999999993</v>
      </c>
      <c r="Q20" s="213">
        <f>'[2]VALOR PREFERENCIAL (2)'!O33*(1-TVN!$J20)</f>
        <v>51999.999999999985</v>
      </c>
      <c r="R20" s="213">
        <f>'[2]VALOR PREFERENCIAL (2)'!P33*(1-TVN!$J20)</f>
        <v>55999.999999999985</v>
      </c>
      <c r="S20" s="214">
        <f>'[2]VALOR PREFERENCIAL (2)'!Q33*(1-TVN!$J20)</f>
        <v>59999.999999999985</v>
      </c>
      <c r="T20" s="213">
        <f>'[2]VALOR PREFERENCIAL (2)'!R33*(1-TVN!$J20)</f>
        <v>69999.999999999985</v>
      </c>
      <c r="U20" s="213">
        <f>'[2]VALOR PREFERENCIAL (2)'!S33*(1-TVN!$J20)</f>
        <v>79999.999999999985</v>
      </c>
      <c r="V20" s="213">
        <f>'[2]VALOR PREFERENCIAL (2)'!T33*(1-TVN!$J20)</f>
        <v>89999.999999999985</v>
      </c>
      <c r="W20" s="213">
        <f>'[2]VALOR PREFERENCIAL (2)'!U33*(1-TVN!$J20)</f>
        <v>104999.99999999997</v>
      </c>
      <c r="X20" s="213">
        <f>'[2]VALOR PREFERENCIAL (2)'!V33*(1-TVN!$J20)</f>
        <v>120999.99999999997</v>
      </c>
      <c r="Y20" s="213">
        <f>'[2]VALOR PREFERENCIAL (2)'!W33*(1-TVN!$J20)</f>
        <v>137999.99999999997</v>
      </c>
      <c r="Z20" s="215">
        <f>'[2]VALOR PREFERENCIAL (2)'!X33*(1-TVN!$J20)</f>
        <v>149599.99999999997</v>
      </c>
    </row>
    <row r="21" spans="2:26" x14ac:dyDescent="0.35">
      <c r="B21" s="190" t="s">
        <v>211</v>
      </c>
      <c r="C21" s="191" t="s">
        <v>8</v>
      </c>
      <c r="D21" s="191" t="s">
        <v>175</v>
      </c>
      <c r="E21" s="192">
        <v>0.29166666666666669</v>
      </c>
      <c r="F21" s="192">
        <v>0.33333333333333331</v>
      </c>
      <c r="G21" s="191" t="s">
        <v>212</v>
      </c>
      <c r="H21" s="193">
        <v>86274</v>
      </c>
      <c r="I21" s="193" t="s">
        <v>213</v>
      </c>
      <c r="J21" s="194">
        <f t="shared" si="0"/>
        <v>0.8</v>
      </c>
      <c r="K21" s="193" t="s">
        <v>161</v>
      </c>
      <c r="L21" s="193" t="s">
        <v>6</v>
      </c>
      <c r="M21" s="196">
        <v>0.7</v>
      </c>
      <c r="N21" s="212">
        <f>'[2]VALOR PREFERENCIAL (2)'!L34*(1-TVN!$J21)</f>
        <v>37999.999999999993</v>
      </c>
      <c r="O21" s="213">
        <f>'[2]VALOR PREFERENCIAL (2)'!M34*(1-TVN!$J21)</f>
        <v>75999.999999999985</v>
      </c>
      <c r="P21" s="213">
        <f>'[2]VALOR PREFERENCIAL (2)'!N34*(1-TVN!$J21)</f>
        <v>86999.999999999985</v>
      </c>
      <c r="Q21" s="213">
        <f>'[2]VALOR PREFERENCIAL (2)'!O34*(1-TVN!$J21)</f>
        <v>103999.99999999997</v>
      </c>
      <c r="R21" s="213">
        <f>'[2]VALOR PREFERENCIAL (2)'!P34*(1-TVN!$J21)</f>
        <v>111999.99999999997</v>
      </c>
      <c r="S21" s="214">
        <f>'[2]VALOR PREFERENCIAL (2)'!Q34*(1-TVN!$J21)</f>
        <v>119999.99999999997</v>
      </c>
      <c r="T21" s="213">
        <f>'[2]VALOR PREFERENCIAL (2)'!R34*(1-TVN!$J21)</f>
        <v>139999.99999999997</v>
      </c>
      <c r="U21" s="213">
        <f>'[2]VALOR PREFERENCIAL (2)'!S34*(1-TVN!$J21)</f>
        <v>159999.99999999997</v>
      </c>
      <c r="V21" s="213">
        <f>'[2]VALOR PREFERENCIAL (2)'!T34*(1-TVN!$J21)</f>
        <v>179999.99999999997</v>
      </c>
      <c r="W21" s="213">
        <f>'[2]VALOR PREFERENCIAL (2)'!U34*(1-TVN!$J21)</f>
        <v>209999.99999999994</v>
      </c>
      <c r="X21" s="213">
        <f>'[2]VALOR PREFERENCIAL (2)'!V34*(1-TVN!$J21)</f>
        <v>241999.99999999994</v>
      </c>
      <c r="Y21" s="213">
        <f>'[2]VALOR PREFERENCIAL (2)'!W34*(1-TVN!$J21)</f>
        <v>275999.99999999994</v>
      </c>
      <c r="Z21" s="215">
        <f>'[2]VALOR PREFERENCIAL (2)'!X34*(1-TVN!$J21)</f>
        <v>298999.99999999994</v>
      </c>
    </row>
    <row r="22" spans="2:26" x14ac:dyDescent="0.35">
      <c r="B22" s="190" t="s">
        <v>214</v>
      </c>
      <c r="C22" s="191" t="s">
        <v>8</v>
      </c>
      <c r="D22" s="191" t="s">
        <v>175</v>
      </c>
      <c r="E22" s="192">
        <v>0.33333333333333331</v>
      </c>
      <c r="F22" s="192">
        <v>0.45833333333333331</v>
      </c>
      <c r="G22" s="191" t="s">
        <v>215</v>
      </c>
      <c r="H22" s="193">
        <v>10463</v>
      </c>
      <c r="I22" s="193" t="s">
        <v>216</v>
      </c>
      <c r="J22" s="194">
        <f t="shared" si="0"/>
        <v>0.8</v>
      </c>
      <c r="K22" s="193" t="s">
        <v>161</v>
      </c>
      <c r="L22" s="193" t="s">
        <v>6</v>
      </c>
      <c r="M22" s="196">
        <v>0.98</v>
      </c>
      <c r="N22" s="212">
        <f>'[2]VALOR PREFERENCIAL (2)'!L35*(1-TVN!$J22)</f>
        <v>44399.999999999993</v>
      </c>
      <c r="O22" s="213">
        <f>'[2]VALOR PREFERENCIAL (2)'!M35*(1-TVN!$J22)</f>
        <v>88599.999999999985</v>
      </c>
      <c r="P22" s="213">
        <f>'[2]VALOR PREFERENCIAL (2)'!N35*(1-TVN!$J22)</f>
        <v>101599.99999999997</v>
      </c>
      <c r="Q22" s="213">
        <f>'[2]VALOR PREFERENCIAL (2)'!O35*(1-TVN!$J22)</f>
        <v>121399.99999999997</v>
      </c>
      <c r="R22" s="213">
        <f>'[2]VALOR PREFERENCIAL (2)'!P35*(1-TVN!$J22)</f>
        <v>130599.99999999997</v>
      </c>
      <c r="S22" s="214">
        <f>'[2]VALOR PREFERENCIAL (2)'!Q35*(1-TVN!$J22)</f>
        <v>139999.99999999997</v>
      </c>
      <c r="T22" s="213">
        <f>'[2]VALOR PREFERENCIAL (2)'!R35*(1-TVN!$J22)</f>
        <v>163399.99999999997</v>
      </c>
      <c r="U22" s="213">
        <f>'[2]VALOR PREFERENCIAL (2)'!S35*(1-TVN!$J22)</f>
        <v>186599.99999999997</v>
      </c>
      <c r="V22" s="213">
        <f>'[2]VALOR PREFERENCIAL (2)'!T35*(1-TVN!$J22)</f>
        <v>209999.99999999994</v>
      </c>
      <c r="W22" s="213">
        <f>'[2]VALOR PREFERENCIAL (2)'!U35*(1-TVN!$J22)</f>
        <v>244999.99999999994</v>
      </c>
      <c r="X22" s="213">
        <f>'[2]VALOR PREFERENCIAL (2)'!V35*(1-TVN!$J22)</f>
        <v>282399.99999999994</v>
      </c>
      <c r="Y22" s="213">
        <f>'[2]VALOR PREFERENCIAL (2)'!W35*(1-TVN!$J22)</f>
        <v>321999.99999999994</v>
      </c>
      <c r="Z22" s="215">
        <f>'[2]VALOR PREFERENCIAL (2)'!X35*(1-TVN!$J22)</f>
        <v>348799.99999999994</v>
      </c>
    </row>
    <row r="23" spans="2:26" x14ac:dyDescent="0.35">
      <c r="B23" s="190" t="s">
        <v>217</v>
      </c>
      <c r="C23" s="191" t="s">
        <v>8</v>
      </c>
      <c r="D23" s="191" t="s">
        <v>175</v>
      </c>
      <c r="E23" s="192">
        <v>0.45833333333333331</v>
      </c>
      <c r="F23" s="192">
        <v>0.54166666666666663</v>
      </c>
      <c r="G23" s="191" t="s">
        <v>218</v>
      </c>
      <c r="H23" s="193">
        <v>86555</v>
      </c>
      <c r="I23" s="193" t="s">
        <v>219</v>
      </c>
      <c r="J23" s="194">
        <f t="shared" si="0"/>
        <v>0.8</v>
      </c>
      <c r="K23" s="193" t="s">
        <v>161</v>
      </c>
      <c r="L23" s="193" t="s">
        <v>6</v>
      </c>
      <c r="M23" s="196">
        <v>1.1100000000000001</v>
      </c>
      <c r="N23" s="212">
        <f>'[2]VALOR PREFERENCIAL (2)'!L36*(1-TVN!$J23)</f>
        <v>50599.999999999985</v>
      </c>
      <c r="O23" s="213">
        <f>'[2]VALOR PREFERENCIAL (2)'!M36*(1-TVN!$J23)</f>
        <v>101399.99999999997</v>
      </c>
      <c r="P23" s="213">
        <f>'[2]VALOR PREFERENCIAL (2)'!N36*(1-TVN!$J23)</f>
        <v>115999.99999999997</v>
      </c>
      <c r="Q23" s="213">
        <f>'[2]VALOR PREFERENCIAL (2)'!O36*(1-TVN!$J23)</f>
        <v>138599.99999999997</v>
      </c>
      <c r="R23" s="213">
        <f>'[2]VALOR PREFERENCIAL (2)'!P36*(1-TVN!$J23)</f>
        <v>149399.99999999997</v>
      </c>
      <c r="S23" s="214">
        <f>'[2]VALOR PREFERENCIAL (2)'!Q36*(1-TVN!$J23)</f>
        <v>159999.99999999997</v>
      </c>
      <c r="T23" s="213">
        <f>'[2]VALOR PREFERENCIAL (2)'!R36*(1-TVN!$J23)</f>
        <v>186599.99999999997</v>
      </c>
      <c r="U23" s="213">
        <f>'[2]VALOR PREFERENCIAL (2)'!S36*(1-TVN!$J23)</f>
        <v>213399.99999999994</v>
      </c>
      <c r="V23" s="213">
        <f>'[2]VALOR PREFERENCIAL (2)'!T36*(1-TVN!$J23)</f>
        <v>239999.99999999994</v>
      </c>
      <c r="W23" s="213">
        <f>'[2]VALOR PREFERENCIAL (2)'!U36*(1-TVN!$J23)</f>
        <v>279999.99999999994</v>
      </c>
      <c r="X23" s="213">
        <f>'[2]VALOR PREFERENCIAL (2)'!V36*(1-TVN!$J23)</f>
        <v>322599.99999999994</v>
      </c>
      <c r="Y23" s="213">
        <f>'[2]VALOR PREFERENCIAL (2)'!W36*(1-TVN!$J23)</f>
        <v>367999.99999999994</v>
      </c>
      <c r="Z23" s="215">
        <f>'[2]VALOR PREFERENCIAL (2)'!X36*(1-TVN!$J23)</f>
        <v>398599.99999999988</v>
      </c>
    </row>
    <row r="24" spans="2:26" x14ac:dyDescent="0.35">
      <c r="B24" s="190" t="s">
        <v>220</v>
      </c>
      <c r="C24" s="191" t="s">
        <v>8</v>
      </c>
      <c r="D24" s="191" t="s">
        <v>175</v>
      </c>
      <c r="E24" s="192">
        <v>0.54166666666666663</v>
      </c>
      <c r="F24" s="192">
        <v>0.625</v>
      </c>
      <c r="G24" s="191" t="s">
        <v>221</v>
      </c>
      <c r="H24" s="193">
        <v>67141</v>
      </c>
      <c r="I24" s="193" t="s">
        <v>222</v>
      </c>
      <c r="J24" s="194">
        <f t="shared" si="0"/>
        <v>0.8</v>
      </c>
      <c r="K24" s="193" t="s">
        <v>161</v>
      </c>
      <c r="L24" s="193" t="s">
        <v>6</v>
      </c>
      <c r="M24" s="196">
        <v>1.25</v>
      </c>
      <c r="N24" s="212">
        <f>'[2]VALOR PREFERENCIAL (2)'!L37*(1-TVN!$J24)</f>
        <v>63399.999999999985</v>
      </c>
      <c r="O24" s="213">
        <f>'[2]VALOR PREFERENCIAL (2)'!M37*(1-TVN!$J24)</f>
        <v>126599.99999999997</v>
      </c>
      <c r="P24" s="213">
        <f>'[2]VALOR PREFERENCIAL (2)'!N37*(1-TVN!$J24)</f>
        <v>144999.99999999997</v>
      </c>
      <c r="Q24" s="213">
        <f>'[2]VALOR PREFERENCIAL (2)'!O37*(1-TVN!$J24)</f>
        <v>173399.99999999997</v>
      </c>
      <c r="R24" s="213">
        <f>'[2]VALOR PREFERENCIAL (2)'!P37*(1-TVN!$J24)</f>
        <v>186599.99999999997</v>
      </c>
      <c r="S24" s="214">
        <f>'[2]VALOR PREFERENCIAL (2)'!Q37*(1-TVN!$J24)</f>
        <v>199999.99999999994</v>
      </c>
      <c r="T24" s="213">
        <f>'[2]VALOR PREFERENCIAL (2)'!R37*(1-TVN!$J24)</f>
        <v>233399.99999999994</v>
      </c>
      <c r="U24" s="213">
        <f>'[2]VALOR PREFERENCIAL (2)'!S37*(1-TVN!$J24)</f>
        <v>266599.99999999994</v>
      </c>
      <c r="V24" s="213">
        <f>'[2]VALOR PREFERENCIAL (2)'!T37*(1-TVN!$J24)</f>
        <v>299999.99999999994</v>
      </c>
      <c r="W24" s="213">
        <f>'[2]VALOR PREFERENCIAL (2)'!U37*(1-TVN!$J24)</f>
        <v>349999.99999999994</v>
      </c>
      <c r="X24" s="213">
        <f>'[2]VALOR PREFERENCIAL (2)'!V37*(1-TVN!$J24)</f>
        <v>403399.99999999988</v>
      </c>
      <c r="Y24" s="213">
        <f>'[2]VALOR PREFERENCIAL (2)'!W37*(1-TVN!$J24)</f>
        <v>459999.99999999988</v>
      </c>
      <c r="Z24" s="215">
        <f>'[2]VALOR PREFERENCIAL (2)'!X37*(1-TVN!$J24)</f>
        <v>498399.99999999988</v>
      </c>
    </row>
    <row r="25" spans="2:26" x14ac:dyDescent="0.35">
      <c r="B25" s="190" t="s">
        <v>223</v>
      </c>
      <c r="C25" s="191" t="s">
        <v>8</v>
      </c>
      <c r="D25" s="191" t="s">
        <v>175</v>
      </c>
      <c r="E25" s="192">
        <v>0.625</v>
      </c>
      <c r="F25" s="192">
        <v>0.67708333333333337</v>
      </c>
      <c r="G25" s="191" t="s">
        <v>224</v>
      </c>
      <c r="H25" s="193">
        <v>72207</v>
      </c>
      <c r="I25" s="193" t="s">
        <v>225</v>
      </c>
      <c r="J25" s="194">
        <f t="shared" si="0"/>
        <v>0.8</v>
      </c>
      <c r="K25" s="193" t="s">
        <v>161</v>
      </c>
      <c r="L25" s="193" t="s">
        <v>6</v>
      </c>
      <c r="M25" s="196">
        <v>2.2999999999999998</v>
      </c>
      <c r="N25" s="212">
        <f>'[2]VALOR PREFERENCIAL (2)'!L38*(1-TVN!$J25)</f>
        <v>117199.99999999997</v>
      </c>
      <c r="O25" s="213">
        <f>'[2]VALOR PREFERENCIAL (2)'!M38*(1-TVN!$J25)</f>
        <v>234399.99999999994</v>
      </c>
      <c r="P25" s="213">
        <f>'[2]VALOR PREFERENCIAL (2)'!N38*(1-TVN!$J25)</f>
        <v>268199.99999999994</v>
      </c>
      <c r="Q25" s="213">
        <f>'[2]VALOR PREFERENCIAL (2)'!O38*(1-TVN!$J25)</f>
        <v>320599.99999999994</v>
      </c>
      <c r="R25" s="213">
        <f>'[2]VALOR PREFERENCIAL (2)'!P38*(1-TVN!$J25)</f>
        <v>345399.99999999994</v>
      </c>
      <c r="S25" s="214">
        <f>'[2]VALOR PREFERENCIAL (2)'!Q38*(1-TVN!$J25)</f>
        <v>369999.99999999994</v>
      </c>
      <c r="T25" s="213">
        <f>'[2]VALOR PREFERENCIAL (2)'!R38*(1-TVN!$J25)</f>
        <v>431599.99999999988</v>
      </c>
      <c r="U25" s="213">
        <f>'[2]VALOR PREFERENCIAL (2)'!S38*(1-TVN!$J25)</f>
        <v>493399.99999999988</v>
      </c>
      <c r="V25" s="213">
        <f>'[2]VALOR PREFERENCIAL (2)'!T38*(1-TVN!$J25)</f>
        <v>554999.99999999988</v>
      </c>
      <c r="W25" s="213">
        <f>'[2]VALOR PREFERENCIAL (2)'!U38*(1-TVN!$J25)</f>
        <v>647599.99999999988</v>
      </c>
      <c r="X25" s="213">
        <f>'[2]VALOR PREFERENCIAL (2)'!V38*(1-TVN!$J25)</f>
        <v>746199.99999999988</v>
      </c>
      <c r="Y25" s="213">
        <f>'[2]VALOR PREFERENCIAL (2)'!W38*(1-TVN!$J25)</f>
        <v>850999.99999999977</v>
      </c>
      <c r="Z25" s="215">
        <f>'[2]VALOR PREFERENCIAL (2)'!X38*(1-TVN!$J25)</f>
        <v>921999.99999999977</v>
      </c>
    </row>
    <row r="26" spans="2:26" x14ac:dyDescent="0.35">
      <c r="B26" s="190" t="s">
        <v>226</v>
      </c>
      <c r="C26" s="191" t="s">
        <v>8</v>
      </c>
      <c r="D26" s="191" t="s">
        <v>175</v>
      </c>
      <c r="E26" s="192">
        <v>0.67708333333333337</v>
      </c>
      <c r="F26" s="192">
        <v>0.71875</v>
      </c>
      <c r="G26" s="191" t="s">
        <v>227</v>
      </c>
      <c r="H26" s="193">
        <v>86994</v>
      </c>
      <c r="I26" s="193" t="s">
        <v>222</v>
      </c>
      <c r="J26" s="194">
        <f t="shared" si="0"/>
        <v>0.8</v>
      </c>
      <c r="K26" s="193" t="s">
        <v>161</v>
      </c>
      <c r="L26" s="193" t="s">
        <v>6</v>
      </c>
      <c r="M26" s="196">
        <v>1.37</v>
      </c>
      <c r="N26" s="212">
        <f>'[2]VALOR PREFERENCIAL (2)'!L39*(1-TVN!$J26)</f>
        <v>63399.999999999985</v>
      </c>
      <c r="O26" s="213">
        <f>'[2]VALOR PREFERENCIAL (2)'!M39*(1-TVN!$J26)</f>
        <v>126599.99999999997</v>
      </c>
      <c r="P26" s="213">
        <f>'[2]VALOR PREFERENCIAL (2)'!N39*(1-TVN!$J26)</f>
        <v>144999.99999999997</v>
      </c>
      <c r="Q26" s="213">
        <f>'[2]VALOR PREFERENCIAL (2)'!O39*(1-TVN!$J26)</f>
        <v>173399.99999999997</v>
      </c>
      <c r="R26" s="213">
        <f>'[2]VALOR PREFERENCIAL (2)'!P39*(1-TVN!$J26)</f>
        <v>186599.99999999997</v>
      </c>
      <c r="S26" s="214">
        <f>'[2]VALOR PREFERENCIAL (2)'!Q39*(1-TVN!$J26)</f>
        <v>199999.99999999994</v>
      </c>
      <c r="T26" s="213">
        <f>'[2]VALOR PREFERENCIAL (2)'!R39*(1-TVN!$J26)</f>
        <v>233399.99999999994</v>
      </c>
      <c r="U26" s="213">
        <f>'[2]VALOR PREFERENCIAL (2)'!S39*(1-TVN!$J26)</f>
        <v>266599.99999999994</v>
      </c>
      <c r="V26" s="213">
        <f>'[2]VALOR PREFERENCIAL (2)'!T39*(1-TVN!$J26)</f>
        <v>299999.99999999994</v>
      </c>
      <c r="W26" s="213">
        <f>'[2]VALOR PREFERENCIAL (2)'!U39*(1-TVN!$J26)</f>
        <v>349999.99999999994</v>
      </c>
      <c r="X26" s="213">
        <f>'[2]VALOR PREFERENCIAL (2)'!V39*(1-TVN!$J26)</f>
        <v>403399.99999999988</v>
      </c>
      <c r="Y26" s="213">
        <f>'[2]VALOR PREFERENCIAL (2)'!W39*(1-TVN!$J26)</f>
        <v>459999.99999999988</v>
      </c>
      <c r="Z26" s="215">
        <f>'[2]VALOR PREFERENCIAL (2)'!X39*(1-TVN!$J26)</f>
        <v>498399.99999999988</v>
      </c>
    </row>
    <row r="27" spans="2:26" x14ac:dyDescent="0.35">
      <c r="B27" s="190" t="s">
        <v>228</v>
      </c>
      <c r="C27" s="191" t="s">
        <v>8</v>
      </c>
      <c r="D27" s="191" t="s">
        <v>175</v>
      </c>
      <c r="E27" s="192">
        <v>0.71875</v>
      </c>
      <c r="F27" s="192">
        <v>0.79513888888888884</v>
      </c>
      <c r="G27" s="191" t="s">
        <v>229</v>
      </c>
      <c r="H27" s="193">
        <v>85956</v>
      </c>
      <c r="I27" s="193" t="s">
        <v>201</v>
      </c>
      <c r="J27" s="194">
        <f t="shared" si="0"/>
        <v>0.8</v>
      </c>
      <c r="K27" s="193" t="s">
        <v>161</v>
      </c>
      <c r="L27" s="193" t="s">
        <v>6</v>
      </c>
      <c r="M27" s="196">
        <v>1.54</v>
      </c>
      <c r="N27" s="212">
        <f>'[2]VALOR PREFERENCIAL (2)'!L40*(1-TVN!$J27)</f>
        <v>75999.999999999985</v>
      </c>
      <c r="O27" s="213">
        <f>'[2]VALOR PREFERENCIAL (2)'!M40*(1-TVN!$J27)</f>
        <v>151999.99999999997</v>
      </c>
      <c r="P27" s="213">
        <f>'[2]VALOR PREFERENCIAL (2)'!N40*(1-TVN!$J27)</f>
        <v>173999.99999999997</v>
      </c>
      <c r="Q27" s="213">
        <f>'[2]VALOR PREFERENCIAL (2)'!O40*(1-TVN!$J27)</f>
        <v>207999.99999999994</v>
      </c>
      <c r="R27" s="213">
        <f>'[2]VALOR PREFERENCIAL (2)'!P40*(1-TVN!$J27)</f>
        <v>223999.99999999994</v>
      </c>
      <c r="S27" s="214">
        <f>'[2]VALOR PREFERENCIAL (2)'!Q40*(1-TVN!$J27)</f>
        <v>239999.99999999994</v>
      </c>
      <c r="T27" s="213">
        <f>'[2]VALOR PREFERENCIAL (2)'!R40*(1-TVN!$J27)</f>
        <v>279999.99999999994</v>
      </c>
      <c r="U27" s="213">
        <f>'[2]VALOR PREFERENCIAL (2)'!S40*(1-TVN!$J27)</f>
        <v>319999.99999999994</v>
      </c>
      <c r="V27" s="213">
        <f>'[2]VALOR PREFERENCIAL (2)'!T40*(1-TVN!$J27)</f>
        <v>359999.99999999994</v>
      </c>
      <c r="W27" s="213">
        <f>'[2]VALOR PREFERENCIAL (2)'!U40*(1-TVN!$J27)</f>
        <v>419999.99999999988</v>
      </c>
      <c r="X27" s="213">
        <f>'[2]VALOR PREFERENCIAL (2)'!V40*(1-TVN!$J27)</f>
        <v>483999.99999999988</v>
      </c>
      <c r="Y27" s="213">
        <f>'[2]VALOR PREFERENCIAL (2)'!W40*(1-TVN!$J27)</f>
        <v>551999.99999999988</v>
      </c>
      <c r="Z27" s="215">
        <f>'[2]VALOR PREFERENCIAL (2)'!X40*(1-TVN!$J27)</f>
        <v>597999.99999999988</v>
      </c>
    </row>
    <row r="28" spans="2:26" x14ac:dyDescent="0.35">
      <c r="B28" s="190" t="s">
        <v>230</v>
      </c>
      <c r="C28" s="191" t="s">
        <v>19</v>
      </c>
      <c r="D28" s="191" t="s">
        <v>175</v>
      </c>
      <c r="E28" s="192">
        <v>0.30208333333333331</v>
      </c>
      <c r="F28" s="192">
        <v>0.35416666666666669</v>
      </c>
      <c r="G28" s="191" t="s">
        <v>231</v>
      </c>
      <c r="H28" s="193">
        <v>86484</v>
      </c>
      <c r="I28" s="193" t="s">
        <v>232</v>
      </c>
      <c r="J28" s="194">
        <f t="shared" si="0"/>
        <v>0.8</v>
      </c>
      <c r="K28" s="193" t="s">
        <v>163</v>
      </c>
      <c r="L28" s="193" t="s">
        <v>6</v>
      </c>
      <c r="M28" s="196">
        <v>0.25</v>
      </c>
      <c r="N28" s="212">
        <f>'[2]VALOR PREFERENCIAL (2)'!L42*(1-TVN!$J28)</f>
        <v>9599.9999999999982</v>
      </c>
      <c r="O28" s="213">
        <f>'[2]VALOR PREFERENCIAL (2)'!M42*(1-TVN!$J28)</f>
        <v>18999.999999999996</v>
      </c>
      <c r="P28" s="213">
        <f>'[2]VALOR PREFERENCIAL (2)'!N42*(1-TVN!$J28)</f>
        <v>21799.999999999996</v>
      </c>
      <c r="Q28" s="213">
        <f>'[2]VALOR PREFERENCIAL (2)'!O42*(1-TVN!$J28)</f>
        <v>25999.999999999993</v>
      </c>
      <c r="R28" s="213">
        <f>'[2]VALOR PREFERENCIAL (2)'!P42*(1-TVN!$J28)</f>
        <v>27999.999999999993</v>
      </c>
      <c r="S28" s="214">
        <f>'[2]VALOR PREFERENCIAL (2)'!Q42*(1-TVN!$J28)</f>
        <v>29999.999999999993</v>
      </c>
      <c r="T28" s="213">
        <f>'[2]VALOR PREFERENCIAL (2)'!R42*(1-TVN!$J28)</f>
        <v>34999.999999999993</v>
      </c>
      <c r="U28" s="213">
        <f>'[2]VALOR PREFERENCIAL (2)'!S42*(1-TVN!$J28)</f>
        <v>39999.999999999993</v>
      </c>
      <c r="V28" s="213">
        <f>'[2]VALOR PREFERENCIAL (2)'!T42*(1-TVN!$J28)</f>
        <v>44999.999999999993</v>
      </c>
      <c r="W28" s="213">
        <f>'[2]VALOR PREFERENCIAL (2)'!U42*(1-TVN!$J28)</f>
        <v>52599.999999999985</v>
      </c>
      <c r="X28" s="213">
        <f>'[2]VALOR PREFERENCIAL (2)'!V42*(1-TVN!$J28)</f>
        <v>60599.999999999985</v>
      </c>
      <c r="Y28" s="213">
        <f>'[2]VALOR PREFERENCIAL (2)'!W42*(1-TVN!$J28)</f>
        <v>68999.999999999985</v>
      </c>
      <c r="Z28" s="215">
        <f>'[2]VALOR PREFERENCIAL (2)'!X42*(1-TVN!$J28)</f>
        <v>74799.999999999985</v>
      </c>
    </row>
    <row r="29" spans="2:26" x14ac:dyDescent="0.35">
      <c r="B29" s="190" t="s">
        <v>233</v>
      </c>
      <c r="C29" s="191" t="s">
        <v>19</v>
      </c>
      <c r="D29" s="191" t="s">
        <v>175</v>
      </c>
      <c r="E29" s="192">
        <v>0.35416666666666669</v>
      </c>
      <c r="F29" s="192">
        <v>0.4375</v>
      </c>
      <c r="G29" s="191" t="s">
        <v>234</v>
      </c>
      <c r="H29" s="193">
        <v>86995</v>
      </c>
      <c r="I29" s="193" t="s">
        <v>235</v>
      </c>
      <c r="J29" s="194">
        <f t="shared" si="0"/>
        <v>0.8</v>
      </c>
      <c r="K29" s="193" t="s">
        <v>163</v>
      </c>
      <c r="L29" s="193" t="s">
        <v>6</v>
      </c>
      <c r="M29" s="196">
        <v>0.41</v>
      </c>
      <c r="N29" s="212">
        <f>'[2]VALOR PREFERENCIAL (2)'!L43*(1-TVN!$J29)</f>
        <v>12599.999999999996</v>
      </c>
      <c r="O29" s="213">
        <f>'[2]VALOR PREFERENCIAL (2)'!M43*(1-TVN!$J29)</f>
        <v>25399.999999999993</v>
      </c>
      <c r="P29" s="213">
        <f>'[2]VALOR PREFERENCIAL (2)'!N43*(1-TVN!$J29)</f>
        <v>28999.999999999993</v>
      </c>
      <c r="Q29" s="213">
        <f>'[2]VALOR PREFERENCIAL (2)'!O43*(1-TVN!$J29)</f>
        <v>34599.999999999993</v>
      </c>
      <c r="R29" s="213">
        <f>'[2]VALOR PREFERENCIAL (2)'!P43*(1-TVN!$J29)</f>
        <v>37399.999999999993</v>
      </c>
      <c r="S29" s="214">
        <f>'[2]VALOR PREFERENCIAL (2)'!Q43*(1-TVN!$J29)</f>
        <v>39999.999999999993</v>
      </c>
      <c r="T29" s="213">
        <f>'[2]VALOR PREFERENCIAL (2)'!R43*(1-TVN!$J29)</f>
        <v>46599.999999999993</v>
      </c>
      <c r="U29" s="213">
        <f>'[2]VALOR PREFERENCIAL (2)'!S43*(1-TVN!$J29)</f>
        <v>53399.999999999985</v>
      </c>
      <c r="V29" s="213">
        <f>'[2]VALOR PREFERENCIAL (2)'!T43*(1-TVN!$J29)</f>
        <v>59999.999999999985</v>
      </c>
      <c r="W29" s="213">
        <f>'[2]VALOR PREFERENCIAL (2)'!U43*(1-TVN!$J29)</f>
        <v>69999.999999999985</v>
      </c>
      <c r="X29" s="213">
        <f>'[2]VALOR PREFERENCIAL (2)'!V43*(1-TVN!$J29)</f>
        <v>80599.999999999985</v>
      </c>
      <c r="Y29" s="213">
        <f>'[2]VALOR PREFERENCIAL (2)'!W43*(1-TVN!$J29)</f>
        <v>91999.999999999985</v>
      </c>
      <c r="Z29" s="215">
        <f>'[2]VALOR PREFERENCIAL (2)'!X43*(1-TVN!$J29)</f>
        <v>99599.999999999971</v>
      </c>
    </row>
    <row r="30" spans="2:26" x14ac:dyDescent="0.35">
      <c r="B30" s="190" t="s">
        <v>236</v>
      </c>
      <c r="C30" s="191" t="s">
        <v>19</v>
      </c>
      <c r="D30" s="191" t="s">
        <v>175</v>
      </c>
      <c r="E30" s="192">
        <v>0.4375</v>
      </c>
      <c r="F30" s="192">
        <v>0.5625</v>
      </c>
      <c r="G30" s="191" t="s">
        <v>237</v>
      </c>
      <c r="H30" s="193">
        <v>86647</v>
      </c>
      <c r="I30" s="193" t="s">
        <v>238</v>
      </c>
      <c r="J30" s="194">
        <f t="shared" si="0"/>
        <v>0.8</v>
      </c>
      <c r="K30" s="193" t="s">
        <v>161</v>
      </c>
      <c r="L30" s="193" t="s">
        <v>6</v>
      </c>
      <c r="M30" s="196">
        <v>0.91</v>
      </c>
      <c r="N30" s="212">
        <f>'[2]VALOR PREFERENCIAL (2)'!L44*(1-TVN!$J30)</f>
        <v>31599.999999999993</v>
      </c>
      <c r="O30" s="213">
        <f>'[2]VALOR PREFERENCIAL (2)'!M44*(1-TVN!$J30)</f>
        <v>63399.999999999985</v>
      </c>
      <c r="P30" s="213">
        <f>'[2]VALOR PREFERENCIAL (2)'!N44*(1-TVN!$J30)</f>
        <v>72599.999999999985</v>
      </c>
      <c r="Q30" s="213">
        <f>'[2]VALOR PREFERENCIAL (2)'!O44*(1-TVN!$J30)</f>
        <v>86599.999999999985</v>
      </c>
      <c r="R30" s="213">
        <f>'[2]VALOR PREFERENCIAL (2)'!P44*(1-TVN!$J30)</f>
        <v>93399.999999999985</v>
      </c>
      <c r="S30" s="214">
        <f>'[2]VALOR PREFERENCIAL (2)'!Q44*(1-TVN!$J30)</f>
        <v>99999.999999999971</v>
      </c>
      <c r="T30" s="213">
        <f>'[2]VALOR PREFERENCIAL (2)'!R44*(1-TVN!$J30)</f>
        <v>116599.99999999997</v>
      </c>
      <c r="U30" s="213">
        <f>'[2]VALOR PREFERENCIAL (2)'!S44*(1-TVN!$J30)</f>
        <v>133399.99999999997</v>
      </c>
      <c r="V30" s="213">
        <f>'[2]VALOR PREFERENCIAL (2)'!T44*(1-TVN!$J30)</f>
        <v>149999.99999999997</v>
      </c>
      <c r="W30" s="213">
        <f>'[2]VALOR PREFERENCIAL (2)'!U44*(1-TVN!$J30)</f>
        <v>174999.99999999997</v>
      </c>
      <c r="X30" s="213">
        <f>'[2]VALOR PREFERENCIAL (2)'!V44*(1-TVN!$J30)</f>
        <v>201599.99999999994</v>
      </c>
      <c r="Y30" s="213">
        <f>'[2]VALOR PREFERENCIAL (2)'!W44*(1-TVN!$J30)</f>
        <v>229999.99999999994</v>
      </c>
      <c r="Z30" s="215">
        <f>'[2]VALOR PREFERENCIAL (2)'!X44*(1-TVN!$J30)</f>
        <v>249199.99999999994</v>
      </c>
    </row>
    <row r="31" spans="2:26" x14ac:dyDescent="0.35">
      <c r="B31" s="190" t="s">
        <v>220</v>
      </c>
      <c r="C31" s="191" t="s">
        <v>19</v>
      </c>
      <c r="D31" s="191" t="s">
        <v>175</v>
      </c>
      <c r="E31" s="192">
        <v>0.5625</v>
      </c>
      <c r="F31" s="192">
        <v>0.64583333333333337</v>
      </c>
      <c r="G31" s="191" t="s">
        <v>239</v>
      </c>
      <c r="H31" s="193">
        <v>67141</v>
      </c>
      <c r="I31" s="193" t="s">
        <v>219</v>
      </c>
      <c r="J31" s="194">
        <f t="shared" si="0"/>
        <v>0.8</v>
      </c>
      <c r="K31" s="193" t="s">
        <v>161</v>
      </c>
      <c r="L31" s="193" t="s">
        <v>6</v>
      </c>
      <c r="M31" s="196">
        <v>0.9</v>
      </c>
      <c r="N31" s="212">
        <f>'[2]VALOR PREFERENCIAL (2)'!L45*(1-TVN!$J31)</f>
        <v>50599.999999999985</v>
      </c>
      <c r="O31" s="213">
        <f>'[2]VALOR PREFERENCIAL (2)'!M45*(1-TVN!$J31)</f>
        <v>101399.99999999997</v>
      </c>
      <c r="P31" s="213">
        <f>'[2]VALOR PREFERENCIAL (2)'!N45*(1-TVN!$J31)</f>
        <v>115999.99999999997</v>
      </c>
      <c r="Q31" s="213">
        <f>'[2]VALOR PREFERENCIAL (2)'!O45*(1-TVN!$J31)</f>
        <v>138599.99999999997</v>
      </c>
      <c r="R31" s="213">
        <f>'[2]VALOR PREFERENCIAL (2)'!P45*(1-TVN!$J31)</f>
        <v>149399.99999999997</v>
      </c>
      <c r="S31" s="214">
        <f>'[2]VALOR PREFERENCIAL (2)'!Q45*(1-TVN!$J31)</f>
        <v>159999.99999999997</v>
      </c>
      <c r="T31" s="213">
        <f>'[2]VALOR PREFERENCIAL (2)'!R45*(1-TVN!$J31)</f>
        <v>186599.99999999997</v>
      </c>
      <c r="U31" s="213">
        <f>'[2]VALOR PREFERENCIAL (2)'!S45*(1-TVN!$J31)</f>
        <v>213399.99999999994</v>
      </c>
      <c r="V31" s="213">
        <f>'[2]VALOR PREFERENCIAL (2)'!T45*(1-TVN!$J31)</f>
        <v>239999.99999999994</v>
      </c>
      <c r="W31" s="213">
        <f>'[2]VALOR PREFERENCIAL (2)'!U45*(1-TVN!$J31)</f>
        <v>279999.99999999994</v>
      </c>
      <c r="X31" s="213">
        <f>'[2]VALOR PREFERENCIAL (2)'!V45*(1-TVN!$J31)</f>
        <v>322599.99999999994</v>
      </c>
      <c r="Y31" s="213">
        <f>'[2]VALOR PREFERENCIAL (2)'!W45*(1-TVN!$J31)</f>
        <v>367999.99999999994</v>
      </c>
      <c r="Z31" s="215">
        <f>'[2]VALOR PREFERENCIAL (2)'!X45*(1-TVN!$J31)</f>
        <v>398599.99999999988</v>
      </c>
    </row>
    <row r="32" spans="2:26" x14ac:dyDescent="0.35">
      <c r="B32" s="190" t="s">
        <v>240</v>
      </c>
      <c r="C32" s="191" t="s">
        <v>19</v>
      </c>
      <c r="D32" s="191" t="s">
        <v>175</v>
      </c>
      <c r="E32" s="192">
        <v>0.64583333333333337</v>
      </c>
      <c r="F32" s="192">
        <v>0.71875</v>
      </c>
      <c r="G32" s="191" t="s">
        <v>241</v>
      </c>
      <c r="H32" s="193">
        <v>85340</v>
      </c>
      <c r="I32" s="193" t="s">
        <v>219</v>
      </c>
      <c r="J32" s="194">
        <f t="shared" si="0"/>
        <v>0.8</v>
      </c>
      <c r="K32" s="193" t="s">
        <v>161</v>
      </c>
      <c r="L32" s="193" t="s">
        <v>6</v>
      </c>
      <c r="M32" s="196">
        <v>1.1000000000000001</v>
      </c>
      <c r="N32" s="212">
        <f>'[2]VALOR PREFERENCIAL (2)'!L46*(1-TVN!$J32)</f>
        <v>47599.999999999993</v>
      </c>
      <c r="O32" s="213">
        <f>'[2]VALOR PREFERENCIAL (2)'!M46*(1-TVN!$J32)</f>
        <v>94999.999999999985</v>
      </c>
      <c r="P32" s="213">
        <f>'[2]VALOR PREFERENCIAL (2)'!N46*(1-TVN!$J32)</f>
        <v>108799.99999999997</v>
      </c>
      <c r="Q32" s="213">
        <f>'[2]VALOR PREFERENCIAL (2)'!O46*(1-TVN!$J32)</f>
        <v>129999.99999999997</v>
      </c>
      <c r="R32" s="213">
        <f>'[2]VALOR PREFERENCIAL (2)'!P46*(1-TVN!$J32)</f>
        <v>139999.99999999997</v>
      </c>
      <c r="S32" s="214">
        <f>'[2]VALOR PREFERENCIAL (2)'!Q46*(1-TVN!$J32)</f>
        <v>149999.99999999997</v>
      </c>
      <c r="T32" s="213">
        <f>'[2]VALOR PREFERENCIAL (2)'!R46*(1-TVN!$J32)</f>
        <v>174999.99999999997</v>
      </c>
      <c r="U32" s="213">
        <f>'[2]VALOR PREFERENCIAL (2)'!S46*(1-TVN!$J32)</f>
        <v>199999.99999999994</v>
      </c>
      <c r="V32" s="213">
        <f>'[2]VALOR PREFERENCIAL (2)'!T46*(1-TVN!$J32)</f>
        <v>224999.99999999994</v>
      </c>
      <c r="W32" s="213">
        <f>'[2]VALOR PREFERENCIAL (2)'!U46*(1-TVN!$J32)</f>
        <v>262599.99999999994</v>
      </c>
      <c r="X32" s="213">
        <f>'[2]VALOR PREFERENCIAL (2)'!V46*(1-TVN!$J32)</f>
        <v>302599.99999999994</v>
      </c>
      <c r="Y32" s="213">
        <f>'[2]VALOR PREFERENCIAL (2)'!W46*(1-TVN!$J32)</f>
        <v>344999.99999999994</v>
      </c>
      <c r="Z32" s="215">
        <f>'[2]VALOR PREFERENCIAL (2)'!X46*(1-TVN!$J32)</f>
        <v>373799.99999999994</v>
      </c>
    </row>
    <row r="33" spans="2:26" x14ac:dyDescent="0.35">
      <c r="B33" s="190" t="s">
        <v>242</v>
      </c>
      <c r="C33" s="191" t="s">
        <v>19</v>
      </c>
      <c r="D33" s="191" t="s">
        <v>175</v>
      </c>
      <c r="E33" s="192">
        <v>0.71875</v>
      </c>
      <c r="F33" s="192">
        <v>0.79166666666666663</v>
      </c>
      <c r="G33" s="191" t="s">
        <v>243</v>
      </c>
      <c r="H33" s="193">
        <v>85341</v>
      </c>
      <c r="I33" s="193" t="s">
        <v>244</v>
      </c>
      <c r="J33" s="194">
        <f t="shared" si="0"/>
        <v>0.8</v>
      </c>
      <c r="K33" s="193" t="s">
        <v>161</v>
      </c>
      <c r="L33" s="193" t="s">
        <v>6</v>
      </c>
      <c r="M33" s="196">
        <v>1.01</v>
      </c>
      <c r="N33" s="212">
        <f>'[2]VALOR PREFERENCIAL (2)'!L47*(1-TVN!$J33)</f>
        <v>53799.999999999985</v>
      </c>
      <c r="O33" s="213">
        <f>'[2]VALOR PREFERENCIAL (2)'!M47*(1-TVN!$J33)</f>
        <v>107599.99999999997</v>
      </c>
      <c r="P33" s="213">
        <f>'[2]VALOR PREFERENCIAL (2)'!N47*(1-TVN!$J33)</f>
        <v>123199.99999999997</v>
      </c>
      <c r="Q33" s="213">
        <f>'[2]VALOR PREFERENCIAL (2)'!O47*(1-TVN!$J33)</f>
        <v>147399.99999999997</v>
      </c>
      <c r="R33" s="213">
        <f>'[2]VALOR PREFERENCIAL (2)'!P47*(1-TVN!$J33)</f>
        <v>158599.99999999997</v>
      </c>
      <c r="S33" s="214">
        <f>'[2]VALOR PREFERENCIAL (2)'!Q47*(1-TVN!$J33)</f>
        <v>169999.99999999997</v>
      </c>
      <c r="T33" s="213">
        <f>'[2]VALOR PREFERENCIAL (2)'!R47*(1-TVN!$J33)</f>
        <v>198399.99999999994</v>
      </c>
      <c r="U33" s="213">
        <f>'[2]VALOR PREFERENCIAL (2)'!S47*(1-TVN!$J33)</f>
        <v>226599.99999999994</v>
      </c>
      <c r="V33" s="213">
        <f>'[2]VALOR PREFERENCIAL (2)'!T47*(1-TVN!$J33)</f>
        <v>254999.99999999994</v>
      </c>
      <c r="W33" s="213">
        <f>'[2]VALOR PREFERENCIAL (2)'!U47*(1-TVN!$J33)</f>
        <v>297599.99999999994</v>
      </c>
      <c r="X33" s="213">
        <f>'[2]VALOR PREFERENCIAL (2)'!V47*(1-TVN!$J33)</f>
        <v>342799.99999999994</v>
      </c>
      <c r="Y33" s="213">
        <f>'[2]VALOR PREFERENCIAL (2)'!W47*(1-TVN!$J33)</f>
        <v>390999.99999999994</v>
      </c>
      <c r="Z33" s="215">
        <f>'[2]VALOR PREFERENCIAL (2)'!X47*(1-TVN!$J33)</f>
        <v>423599.99999999988</v>
      </c>
    </row>
    <row r="34" spans="2:26" x14ac:dyDescent="0.35">
      <c r="B34" s="190" t="s">
        <v>245</v>
      </c>
      <c r="C34" s="191" t="s">
        <v>19</v>
      </c>
      <c r="D34" s="191" t="s">
        <v>175</v>
      </c>
      <c r="E34" s="192">
        <v>0.79166666666666663</v>
      </c>
      <c r="F34" s="192">
        <v>0.875</v>
      </c>
      <c r="G34" s="191" t="s">
        <v>246</v>
      </c>
      <c r="H34" s="193">
        <v>87360</v>
      </c>
      <c r="I34" s="193" t="s">
        <v>247</v>
      </c>
      <c r="J34" s="194">
        <f t="shared" si="0"/>
        <v>0.8</v>
      </c>
      <c r="K34" s="193" t="s">
        <v>161</v>
      </c>
      <c r="L34" s="193" t="s">
        <v>6</v>
      </c>
      <c r="M34" s="196">
        <v>1.73</v>
      </c>
      <c r="N34" s="212">
        <f>'[2]VALOR PREFERENCIAL (2)'!L48*(1-TVN!$J34)</f>
        <v>82399.999999999985</v>
      </c>
      <c r="O34" s="213">
        <f>'[2]VALOR PREFERENCIAL (2)'!M48*(1-TVN!$J34)</f>
        <v>164599.99999999997</v>
      </c>
      <c r="P34" s="213">
        <f>'[2]VALOR PREFERENCIAL (2)'!N48*(1-TVN!$J34)</f>
        <v>188599.99999999997</v>
      </c>
      <c r="Q34" s="213">
        <f>'[2]VALOR PREFERENCIAL (2)'!O48*(1-TVN!$J34)</f>
        <v>225399.99999999994</v>
      </c>
      <c r="R34" s="213">
        <f>'[2]VALOR PREFERENCIAL (2)'!P48*(1-TVN!$J34)</f>
        <v>242599.99999999994</v>
      </c>
      <c r="S34" s="214">
        <f>'[2]VALOR PREFERENCIAL (2)'!Q48*(1-TVN!$J34)</f>
        <v>259999.99999999994</v>
      </c>
      <c r="T34" s="213">
        <f>'[2]VALOR PREFERENCIAL (2)'!R48*(1-TVN!$J34)</f>
        <v>303399.99999999994</v>
      </c>
      <c r="U34" s="213">
        <f>'[2]VALOR PREFERENCIAL (2)'!S48*(1-TVN!$J34)</f>
        <v>346599.99999999994</v>
      </c>
      <c r="V34" s="213">
        <f>'[2]VALOR PREFERENCIAL (2)'!T48*(1-TVN!$J34)</f>
        <v>389999.99999999994</v>
      </c>
      <c r="W34" s="213">
        <f>'[2]VALOR PREFERENCIAL (2)'!U48*(1-TVN!$J34)</f>
        <v>454999.99999999988</v>
      </c>
      <c r="X34" s="213">
        <f>'[2]VALOR PREFERENCIAL (2)'!V48*(1-TVN!$J34)</f>
        <v>524399.99999999988</v>
      </c>
      <c r="Y34" s="213">
        <f>'[2]VALOR PREFERENCIAL (2)'!W48*(1-TVN!$J34)</f>
        <v>597999.99999999988</v>
      </c>
      <c r="Z34" s="215">
        <f>'[2]VALOR PREFERENCIAL (2)'!X48*(1-TVN!$J34)</f>
        <v>647799.99999999988</v>
      </c>
    </row>
    <row r="35" spans="2:26" x14ac:dyDescent="0.35">
      <c r="B35" s="190" t="s">
        <v>230</v>
      </c>
      <c r="C35" s="191" t="s">
        <v>20</v>
      </c>
      <c r="D35" s="191" t="s">
        <v>175</v>
      </c>
      <c r="E35" s="192">
        <v>0.30208333333333331</v>
      </c>
      <c r="F35" s="192">
        <v>0.33333333333333331</v>
      </c>
      <c r="G35" s="191" t="s">
        <v>248</v>
      </c>
      <c r="H35" s="193">
        <v>86484</v>
      </c>
      <c r="I35" s="193" t="s">
        <v>232</v>
      </c>
      <c r="J35" s="194">
        <f t="shared" si="0"/>
        <v>0.8</v>
      </c>
      <c r="K35" s="193" t="s">
        <v>163</v>
      </c>
      <c r="L35" s="193" t="s">
        <v>6</v>
      </c>
      <c r="M35" s="196">
        <v>0.25</v>
      </c>
      <c r="N35" s="212">
        <f>'[2]VALOR PREFERENCIAL (2)'!L50*(1-TVN!$J35)</f>
        <v>9599.9999999999982</v>
      </c>
      <c r="O35" s="213">
        <f>'[2]VALOR PREFERENCIAL (2)'!M50*(1-TVN!$J35)</f>
        <v>18999.999999999996</v>
      </c>
      <c r="P35" s="213">
        <f>'[2]VALOR PREFERENCIAL (2)'!N50*(1-TVN!$J35)</f>
        <v>21799.999999999996</v>
      </c>
      <c r="Q35" s="213">
        <f>'[2]VALOR PREFERENCIAL (2)'!O50*(1-TVN!$J35)</f>
        <v>25999.999999999993</v>
      </c>
      <c r="R35" s="213">
        <f>'[2]VALOR PREFERENCIAL (2)'!P50*(1-TVN!$J35)</f>
        <v>27999.999999999993</v>
      </c>
      <c r="S35" s="214">
        <f>'[2]VALOR PREFERENCIAL (2)'!Q50*(1-TVN!$J35)</f>
        <v>29999.999999999993</v>
      </c>
      <c r="T35" s="213">
        <f>'[2]VALOR PREFERENCIAL (2)'!R50*(1-TVN!$J35)</f>
        <v>34999.999999999993</v>
      </c>
      <c r="U35" s="213">
        <f>'[2]VALOR PREFERENCIAL (2)'!S50*(1-TVN!$J35)</f>
        <v>39999.999999999993</v>
      </c>
      <c r="V35" s="213">
        <f>'[2]VALOR PREFERENCIAL (2)'!T50*(1-TVN!$J35)</f>
        <v>44999.999999999993</v>
      </c>
      <c r="W35" s="213">
        <f>'[2]VALOR PREFERENCIAL (2)'!U50*(1-TVN!$J35)</f>
        <v>52599.999999999985</v>
      </c>
      <c r="X35" s="213">
        <f>'[2]VALOR PREFERENCIAL (2)'!V50*(1-TVN!$J35)</f>
        <v>60599.999999999985</v>
      </c>
      <c r="Y35" s="213">
        <f>'[2]VALOR PREFERENCIAL (2)'!W50*(1-TVN!$J35)</f>
        <v>68999.999999999985</v>
      </c>
      <c r="Z35" s="215">
        <f>'[2]VALOR PREFERENCIAL (2)'!X50*(1-TVN!$J35)</f>
        <v>74799.999999999985</v>
      </c>
    </row>
    <row r="36" spans="2:26" x14ac:dyDescent="0.35">
      <c r="B36" s="190" t="s">
        <v>249</v>
      </c>
      <c r="C36" s="191" t="s">
        <v>20</v>
      </c>
      <c r="D36" s="191" t="s">
        <v>175</v>
      </c>
      <c r="E36" s="192">
        <v>0.375</v>
      </c>
      <c r="F36" s="192">
        <v>0.39583333333333331</v>
      </c>
      <c r="G36" s="191" t="s">
        <v>250</v>
      </c>
      <c r="H36" s="193">
        <v>87085</v>
      </c>
      <c r="I36" s="193" t="s">
        <v>207</v>
      </c>
      <c r="J36" s="194">
        <f t="shared" si="0"/>
        <v>0.8</v>
      </c>
      <c r="K36" s="193" t="s">
        <v>163</v>
      </c>
      <c r="L36" s="193" t="s">
        <v>6</v>
      </c>
      <c r="M36" s="196">
        <v>0.82</v>
      </c>
      <c r="N36" s="212">
        <f>'[2]VALOR PREFERENCIAL (2)'!L52*(1-TVN!$J36)</f>
        <v>15799.999999999996</v>
      </c>
      <c r="O36" s="213">
        <f>'[2]VALOR PREFERENCIAL (2)'!M52*(1-TVN!$J36)</f>
        <v>31599.999999999993</v>
      </c>
      <c r="P36" s="213">
        <f>'[2]VALOR PREFERENCIAL (2)'!N52*(1-TVN!$J36)</f>
        <v>36199.999999999993</v>
      </c>
      <c r="Q36" s="213">
        <f>'[2]VALOR PREFERENCIAL (2)'!O52*(1-TVN!$J36)</f>
        <v>43399.999999999993</v>
      </c>
      <c r="R36" s="213">
        <f>'[2]VALOR PREFERENCIAL (2)'!P52*(1-TVN!$J36)</f>
        <v>46599.999999999993</v>
      </c>
      <c r="S36" s="214">
        <f>'[2]VALOR PREFERENCIAL (2)'!Q52*(1-TVN!$J36)</f>
        <v>49999.999999999985</v>
      </c>
      <c r="T36" s="213">
        <f>'[2]VALOR PREFERENCIAL (2)'!R52*(1-TVN!$J36)</f>
        <v>58399.999999999985</v>
      </c>
      <c r="U36" s="213">
        <f>'[2]VALOR PREFERENCIAL (2)'!S52*(1-TVN!$J36)</f>
        <v>66599.999999999985</v>
      </c>
      <c r="V36" s="213">
        <f>'[2]VALOR PREFERENCIAL (2)'!T52*(1-TVN!$J36)</f>
        <v>74999.999999999985</v>
      </c>
      <c r="W36" s="213">
        <f>'[2]VALOR PREFERENCIAL (2)'!U52*(1-TVN!$J36)</f>
        <v>87599.999999999985</v>
      </c>
      <c r="X36" s="213">
        <f>'[2]VALOR PREFERENCIAL (2)'!V52*(1-TVN!$J36)</f>
        <v>100799.99999999997</v>
      </c>
      <c r="Y36" s="213">
        <f>'[2]VALOR PREFERENCIAL (2)'!W52*(1-TVN!$J36)</f>
        <v>114999.99999999997</v>
      </c>
      <c r="Z36" s="215">
        <f>'[2]VALOR PREFERENCIAL (2)'!X52*(1-TVN!$J36)</f>
        <v>124599.99999999997</v>
      </c>
    </row>
    <row r="37" spans="2:26" x14ac:dyDescent="0.35">
      <c r="B37" s="190" t="s">
        <v>251</v>
      </c>
      <c r="C37" s="191" t="s">
        <v>20</v>
      </c>
      <c r="D37" s="191" t="s">
        <v>175</v>
      </c>
      <c r="E37" s="192">
        <v>0.39583333333333331</v>
      </c>
      <c r="F37" s="192">
        <v>0.46875</v>
      </c>
      <c r="G37" s="191" t="s">
        <v>252</v>
      </c>
      <c r="H37" s="193">
        <v>69474</v>
      </c>
      <c r="I37" s="193" t="s">
        <v>253</v>
      </c>
      <c r="J37" s="194">
        <f t="shared" si="0"/>
        <v>0.8</v>
      </c>
      <c r="K37" s="193" t="s">
        <v>161</v>
      </c>
      <c r="L37" s="193" t="s">
        <v>6</v>
      </c>
      <c r="M37" s="196">
        <v>0.56000000000000005</v>
      </c>
      <c r="N37" s="212">
        <f>'[2]VALOR PREFERENCIAL (2)'!L53*(1-TVN!$J37)</f>
        <v>25399.999999999993</v>
      </c>
      <c r="O37" s="213">
        <f>'[2]VALOR PREFERENCIAL (2)'!M53*(1-TVN!$J37)</f>
        <v>50599.999999999985</v>
      </c>
      <c r="P37" s="213">
        <f>'[2]VALOR PREFERENCIAL (2)'!N53*(1-TVN!$J37)</f>
        <v>57999.999999999985</v>
      </c>
      <c r="Q37" s="213">
        <f>'[2]VALOR PREFERENCIAL (2)'!O53*(1-TVN!$J37)</f>
        <v>69399.999999999985</v>
      </c>
      <c r="R37" s="213">
        <f>'[2]VALOR PREFERENCIAL (2)'!P53*(1-TVN!$J37)</f>
        <v>74599.999999999985</v>
      </c>
      <c r="S37" s="214">
        <f>'[2]VALOR PREFERENCIAL (2)'!Q53*(1-TVN!$J37)</f>
        <v>79999.999999999985</v>
      </c>
      <c r="T37" s="213">
        <f>'[2]VALOR PREFERENCIAL (2)'!R53*(1-TVN!$J37)</f>
        <v>93399.999999999985</v>
      </c>
      <c r="U37" s="213">
        <f>'[2]VALOR PREFERENCIAL (2)'!S53*(1-TVN!$J37)</f>
        <v>106599.99999999997</v>
      </c>
      <c r="V37" s="213">
        <f>'[2]VALOR PREFERENCIAL (2)'!T53*(1-TVN!$J37)</f>
        <v>119999.99999999997</v>
      </c>
      <c r="W37" s="213">
        <f>'[2]VALOR PREFERENCIAL (2)'!U53*(1-TVN!$J37)</f>
        <v>139999.99999999997</v>
      </c>
      <c r="X37" s="213">
        <f>'[2]VALOR PREFERENCIAL (2)'!V53*(1-TVN!$J37)</f>
        <v>161399.99999999997</v>
      </c>
      <c r="Y37" s="213">
        <f>'[2]VALOR PREFERENCIAL (2)'!W53*(1-TVN!$J37)</f>
        <v>183999.99999999997</v>
      </c>
      <c r="Z37" s="215">
        <f>'[2]VALOR PREFERENCIAL (2)'!X53*(1-TVN!$J37)</f>
        <v>199399.99999999994</v>
      </c>
    </row>
    <row r="38" spans="2:26" x14ac:dyDescent="0.35">
      <c r="B38" s="190" t="s">
        <v>254</v>
      </c>
      <c r="C38" s="191" t="s">
        <v>20</v>
      </c>
      <c r="D38" s="191" t="s">
        <v>175</v>
      </c>
      <c r="E38" s="192">
        <v>0.46875</v>
      </c>
      <c r="F38" s="192">
        <v>0.5625</v>
      </c>
      <c r="G38" s="191" t="s">
        <v>255</v>
      </c>
      <c r="H38" s="193">
        <v>85139</v>
      </c>
      <c r="I38" s="193" t="s">
        <v>213</v>
      </c>
      <c r="J38" s="194">
        <f t="shared" si="0"/>
        <v>0.8</v>
      </c>
      <c r="K38" s="193" t="s">
        <v>161</v>
      </c>
      <c r="L38" s="193" t="s">
        <v>6</v>
      </c>
      <c r="M38" s="196">
        <v>0.83</v>
      </c>
      <c r="N38" s="212">
        <f>'[2]VALOR PREFERENCIAL (2)'!L54*(1-TVN!$J38)</f>
        <v>34799.999999999993</v>
      </c>
      <c r="O38" s="213">
        <f>'[2]VALOR PREFERENCIAL (2)'!M54*(1-TVN!$J38)</f>
        <v>69599.999999999985</v>
      </c>
      <c r="P38" s="213">
        <f>'[2]VALOR PREFERENCIAL (2)'!N54*(1-TVN!$J38)</f>
        <v>79799.999999999985</v>
      </c>
      <c r="Q38" s="213">
        <f>'[2]VALOR PREFERENCIAL (2)'!O54*(1-TVN!$J38)</f>
        <v>95399.999999999985</v>
      </c>
      <c r="R38" s="213">
        <f>'[2]VALOR PREFERENCIAL (2)'!P54*(1-TVN!$J38)</f>
        <v>102599.99999999997</v>
      </c>
      <c r="S38" s="214">
        <f>'[2]VALOR PREFERENCIAL (2)'!Q54*(1-TVN!$J38)</f>
        <v>109999.99999999997</v>
      </c>
      <c r="T38" s="213">
        <f>'[2]VALOR PREFERENCIAL (2)'!R54*(1-TVN!$J38)</f>
        <v>128399.99999999997</v>
      </c>
      <c r="U38" s="213">
        <f>'[2]VALOR PREFERENCIAL (2)'!S54*(1-TVN!$J38)</f>
        <v>146599.99999999997</v>
      </c>
      <c r="V38" s="213">
        <f>'[2]VALOR PREFERENCIAL (2)'!T54*(1-TVN!$J38)</f>
        <v>164999.99999999997</v>
      </c>
      <c r="W38" s="213">
        <f>'[2]VALOR PREFERENCIAL (2)'!U54*(1-TVN!$J38)</f>
        <v>192599.99999999997</v>
      </c>
      <c r="X38" s="213">
        <f>'[2]VALOR PREFERENCIAL (2)'!V54*(1-TVN!$J38)</f>
        <v>221799.99999999994</v>
      </c>
      <c r="Y38" s="213">
        <f>'[2]VALOR PREFERENCIAL (2)'!W54*(1-TVN!$J38)</f>
        <v>252999.99999999994</v>
      </c>
      <c r="Z38" s="215">
        <f>'[2]VALOR PREFERENCIAL (2)'!X54*(1-TVN!$J38)</f>
        <v>273999.99999999994</v>
      </c>
    </row>
    <row r="39" spans="2:26" x14ac:dyDescent="0.35">
      <c r="B39" s="190" t="s">
        <v>220</v>
      </c>
      <c r="C39" s="191" t="s">
        <v>20</v>
      </c>
      <c r="D39" s="191" t="s">
        <v>175</v>
      </c>
      <c r="E39" s="192">
        <v>0.5625</v>
      </c>
      <c r="F39" s="192">
        <v>0.64583333333333337</v>
      </c>
      <c r="G39" s="191" t="s">
        <v>256</v>
      </c>
      <c r="H39" s="193">
        <v>67141</v>
      </c>
      <c r="I39" s="193" t="s">
        <v>216</v>
      </c>
      <c r="J39" s="194">
        <f t="shared" si="0"/>
        <v>0.8</v>
      </c>
      <c r="K39" s="193" t="s">
        <v>161</v>
      </c>
      <c r="L39" s="193" t="s">
        <v>6</v>
      </c>
      <c r="M39" s="196">
        <v>1.1000000000000001</v>
      </c>
      <c r="N39" s="212">
        <f>'[2]VALOR PREFERENCIAL (2)'!L55*(1-TVN!$J39)</f>
        <v>44399.999999999993</v>
      </c>
      <c r="O39" s="213">
        <f>'[2]VALOR PREFERENCIAL (2)'!M55*(1-TVN!$J39)</f>
        <v>88599.999999999985</v>
      </c>
      <c r="P39" s="213">
        <f>'[2]VALOR PREFERENCIAL (2)'!N55*(1-TVN!$J39)</f>
        <v>101599.99999999997</v>
      </c>
      <c r="Q39" s="213">
        <f>'[2]VALOR PREFERENCIAL (2)'!O55*(1-TVN!$J39)</f>
        <v>121399.99999999997</v>
      </c>
      <c r="R39" s="213">
        <f>'[2]VALOR PREFERENCIAL (2)'!P55*(1-TVN!$J39)</f>
        <v>130599.99999999997</v>
      </c>
      <c r="S39" s="214">
        <f>'[2]VALOR PREFERENCIAL (2)'!Q55*(1-TVN!$J39)</f>
        <v>139999.99999999997</v>
      </c>
      <c r="T39" s="213">
        <f>'[2]VALOR PREFERENCIAL (2)'!R55*(1-TVN!$J39)</f>
        <v>163399.99999999997</v>
      </c>
      <c r="U39" s="213">
        <f>'[2]VALOR PREFERENCIAL (2)'!S55*(1-TVN!$J39)</f>
        <v>186599.99999999997</v>
      </c>
      <c r="V39" s="213">
        <f>'[2]VALOR PREFERENCIAL (2)'!T55*(1-TVN!$J39)</f>
        <v>209999.99999999994</v>
      </c>
      <c r="W39" s="213">
        <f>'[2]VALOR PREFERENCIAL (2)'!U55*(1-TVN!$J39)</f>
        <v>244999.99999999994</v>
      </c>
      <c r="X39" s="213">
        <f>'[2]VALOR PREFERENCIAL (2)'!V55*(1-TVN!$J39)</f>
        <v>282399.99999999994</v>
      </c>
      <c r="Y39" s="213">
        <f>'[2]VALOR PREFERENCIAL (2)'!W55*(1-TVN!$J39)</f>
        <v>321999.99999999994</v>
      </c>
      <c r="Z39" s="215">
        <f>'[2]VALOR PREFERENCIAL (2)'!X55*(1-TVN!$J39)</f>
        <v>348799.99999999994</v>
      </c>
    </row>
    <row r="40" spans="2:26" x14ac:dyDescent="0.35">
      <c r="B40" s="190" t="s">
        <v>257</v>
      </c>
      <c r="C40" s="191" t="s">
        <v>20</v>
      </c>
      <c r="D40" s="191" t="s">
        <v>175</v>
      </c>
      <c r="E40" s="192">
        <v>0.64583333333333337</v>
      </c>
      <c r="F40" s="192">
        <v>0.73958333333333337</v>
      </c>
      <c r="G40" s="191" t="s">
        <v>258</v>
      </c>
      <c r="H40" s="193">
        <v>87082</v>
      </c>
      <c r="I40" s="193" t="s">
        <v>213</v>
      </c>
      <c r="J40" s="194">
        <f t="shared" si="0"/>
        <v>0.8</v>
      </c>
      <c r="K40" s="193" t="s">
        <v>161</v>
      </c>
      <c r="L40" s="193" t="s">
        <v>6</v>
      </c>
      <c r="M40" s="196">
        <v>0.76</v>
      </c>
      <c r="N40" s="212">
        <f>'[2]VALOR PREFERENCIAL (2)'!L56*(1-TVN!$J40)</f>
        <v>34799.999999999993</v>
      </c>
      <c r="O40" s="213">
        <f>'[2]VALOR PREFERENCIAL (2)'!M56*(1-TVN!$J40)</f>
        <v>69599.999999999985</v>
      </c>
      <c r="P40" s="213">
        <f>'[2]VALOR PREFERENCIAL (2)'!N56*(1-TVN!$J40)</f>
        <v>79799.999999999985</v>
      </c>
      <c r="Q40" s="213">
        <f>'[2]VALOR PREFERENCIAL (2)'!O56*(1-TVN!$J40)</f>
        <v>95399.999999999985</v>
      </c>
      <c r="R40" s="213">
        <f>'[2]VALOR PREFERENCIAL (2)'!P56*(1-TVN!$J40)</f>
        <v>102599.99999999997</v>
      </c>
      <c r="S40" s="214">
        <f>'[2]VALOR PREFERENCIAL (2)'!Q56*(1-TVN!$J40)</f>
        <v>109999.99999999997</v>
      </c>
      <c r="T40" s="213">
        <f>'[2]VALOR PREFERENCIAL (2)'!R56*(1-TVN!$J40)</f>
        <v>128399.99999999997</v>
      </c>
      <c r="U40" s="213">
        <f>'[2]VALOR PREFERENCIAL (2)'!S56*(1-TVN!$J40)</f>
        <v>146599.99999999997</v>
      </c>
      <c r="V40" s="213">
        <f>'[2]VALOR PREFERENCIAL (2)'!T56*(1-TVN!$J40)</f>
        <v>164999.99999999997</v>
      </c>
      <c r="W40" s="213">
        <f>'[2]VALOR PREFERENCIAL (2)'!U56*(1-TVN!$J40)</f>
        <v>192599.99999999997</v>
      </c>
      <c r="X40" s="213">
        <f>'[2]VALOR PREFERENCIAL (2)'!V56*(1-TVN!$J40)</f>
        <v>221799.99999999994</v>
      </c>
      <c r="Y40" s="213">
        <f>'[2]VALOR PREFERENCIAL (2)'!W56*(1-TVN!$J40)</f>
        <v>252999.99999999994</v>
      </c>
      <c r="Z40" s="215">
        <f>'[2]VALOR PREFERENCIAL (2)'!X56*(1-TVN!$J40)</f>
        <v>273999.99999999994</v>
      </c>
    </row>
    <row r="41" spans="2:26" x14ac:dyDescent="0.35">
      <c r="B41" s="190" t="s">
        <v>259</v>
      </c>
      <c r="C41" s="191" t="s">
        <v>20</v>
      </c>
      <c r="D41" s="191" t="s">
        <v>175</v>
      </c>
      <c r="E41" s="192">
        <v>0.73958333333333337</v>
      </c>
      <c r="F41" s="192">
        <v>0.83333333333333337</v>
      </c>
      <c r="G41" s="191" t="s">
        <v>260</v>
      </c>
      <c r="H41" s="193">
        <v>87083</v>
      </c>
      <c r="I41" s="193" t="s">
        <v>261</v>
      </c>
      <c r="J41" s="194">
        <f t="shared" si="0"/>
        <v>0.8</v>
      </c>
      <c r="K41" s="193" t="s">
        <v>161</v>
      </c>
      <c r="L41" s="193" t="s">
        <v>6</v>
      </c>
      <c r="M41" s="196">
        <v>0.52</v>
      </c>
      <c r="N41" s="212">
        <f>'[2]VALOR PREFERENCIAL (2)'!L57*(1-TVN!$J41)</f>
        <v>41199.999999999993</v>
      </c>
      <c r="O41" s="213">
        <f>'[2]VALOR PREFERENCIAL (2)'!M57*(1-TVN!$J41)</f>
        <v>82399.999999999985</v>
      </c>
      <c r="P41" s="213">
        <f>'[2]VALOR PREFERENCIAL (2)'!N57*(1-TVN!$J41)</f>
        <v>94199.999999999985</v>
      </c>
      <c r="Q41" s="213">
        <f>'[2]VALOR PREFERENCIAL (2)'!O57*(1-TVN!$J41)</f>
        <v>112599.99999999997</v>
      </c>
      <c r="R41" s="213">
        <f>'[2]VALOR PREFERENCIAL (2)'!P57*(1-TVN!$J41)</f>
        <v>121399.99999999997</v>
      </c>
      <c r="S41" s="214">
        <f>'[2]VALOR PREFERENCIAL (2)'!Q57*(1-TVN!$J41)</f>
        <v>129999.99999999997</v>
      </c>
      <c r="T41" s="213">
        <f>'[2]VALOR PREFERENCIAL (2)'!R57*(1-TVN!$J41)</f>
        <v>151599.99999999997</v>
      </c>
      <c r="U41" s="213">
        <f>'[2]VALOR PREFERENCIAL (2)'!S57*(1-TVN!$J41)</f>
        <v>173399.99999999997</v>
      </c>
      <c r="V41" s="213">
        <f>'[2]VALOR PREFERENCIAL (2)'!T57*(1-TVN!$J41)</f>
        <v>194999.99999999997</v>
      </c>
      <c r="W41" s="213">
        <f>'[2]VALOR PREFERENCIAL (2)'!U57*(1-TVN!$J41)</f>
        <v>227599.99999999994</v>
      </c>
      <c r="X41" s="213">
        <f>'[2]VALOR PREFERENCIAL (2)'!V57*(1-TVN!$J41)</f>
        <v>262199.99999999994</v>
      </c>
      <c r="Y41" s="213">
        <f>'[2]VALOR PREFERENCIAL (2)'!W57*(1-TVN!$J41)</f>
        <v>298999.99999999994</v>
      </c>
      <c r="Z41" s="215">
        <f>'[2]VALOR PREFERENCIAL (2)'!X57*(1-TVN!$J41)</f>
        <v>323999.99999999994</v>
      </c>
    </row>
    <row r="42" spans="2:26" x14ac:dyDescent="0.35">
      <c r="B42" s="190" t="s">
        <v>262</v>
      </c>
      <c r="C42" s="191" t="s">
        <v>20</v>
      </c>
      <c r="D42" s="191" t="s">
        <v>175</v>
      </c>
      <c r="E42" s="192">
        <v>0.83333333333333337</v>
      </c>
      <c r="F42" s="192">
        <v>0.875</v>
      </c>
      <c r="G42" s="191" t="s">
        <v>263</v>
      </c>
      <c r="H42" s="193">
        <v>87361</v>
      </c>
      <c r="I42" s="193" t="s">
        <v>247</v>
      </c>
      <c r="J42" s="194">
        <f t="shared" si="0"/>
        <v>0.8</v>
      </c>
      <c r="K42" s="193" t="s">
        <v>161</v>
      </c>
      <c r="L42" s="193" t="s">
        <v>6</v>
      </c>
      <c r="M42" s="196">
        <v>0.95</v>
      </c>
      <c r="N42" s="212">
        <f>'[2]VALOR PREFERENCIAL (2)'!L58*(1-TVN!$J42)</f>
        <v>82399.999999999985</v>
      </c>
      <c r="O42" s="213">
        <f>'[2]VALOR PREFERENCIAL (2)'!M58*(1-TVN!$J42)</f>
        <v>164599.99999999997</v>
      </c>
      <c r="P42" s="213">
        <f>'[2]VALOR PREFERENCIAL (2)'!N58*(1-TVN!$J42)</f>
        <v>188599.99999999997</v>
      </c>
      <c r="Q42" s="213">
        <f>'[2]VALOR PREFERENCIAL (2)'!O58*(1-TVN!$J42)</f>
        <v>225399.99999999994</v>
      </c>
      <c r="R42" s="213">
        <f>'[2]VALOR PREFERENCIAL (2)'!P58*(1-TVN!$J42)</f>
        <v>242599.99999999994</v>
      </c>
      <c r="S42" s="214">
        <f>'[2]VALOR PREFERENCIAL (2)'!Q58*(1-TVN!$J42)</f>
        <v>259999.99999999994</v>
      </c>
      <c r="T42" s="213">
        <f>'[2]VALOR PREFERENCIAL (2)'!R58*(1-TVN!$J42)</f>
        <v>303399.99999999994</v>
      </c>
      <c r="U42" s="213">
        <f>'[2]VALOR PREFERENCIAL (2)'!S58*(1-TVN!$J42)</f>
        <v>346599.99999999994</v>
      </c>
      <c r="V42" s="213">
        <f>'[2]VALOR PREFERENCIAL (2)'!T58*(1-TVN!$J42)</f>
        <v>389999.99999999994</v>
      </c>
      <c r="W42" s="213">
        <f>'[2]VALOR PREFERENCIAL (2)'!U58*(1-TVN!$J42)</f>
        <v>454999.99999999988</v>
      </c>
      <c r="X42" s="213">
        <f>'[2]VALOR PREFERENCIAL (2)'!V58*(1-TVN!$J42)</f>
        <v>524399.99999999988</v>
      </c>
      <c r="Y42" s="213">
        <f>'[2]VALOR PREFERENCIAL (2)'!W58*(1-TVN!$J42)</f>
        <v>597999.99999999988</v>
      </c>
      <c r="Z42" s="215">
        <f>'[2]VALOR PREFERENCIAL (2)'!X58*(1-TVN!$J42)</f>
        <v>647799.99999999988</v>
      </c>
    </row>
    <row r="43" spans="2:26" x14ac:dyDescent="0.35">
      <c r="B43" s="190" t="s">
        <v>264</v>
      </c>
      <c r="C43" s="191" t="s">
        <v>20</v>
      </c>
      <c r="D43" s="191" t="s">
        <v>265</v>
      </c>
      <c r="E43" s="192">
        <v>0.32291666666666669</v>
      </c>
      <c r="F43" s="192">
        <v>0.45833333333333331</v>
      </c>
      <c r="G43" s="191" t="s">
        <v>266</v>
      </c>
      <c r="H43" s="193">
        <v>86849</v>
      </c>
      <c r="I43" s="193" t="s">
        <v>222</v>
      </c>
      <c r="J43" s="194">
        <f t="shared" si="0"/>
        <v>0.8</v>
      </c>
      <c r="K43" s="193" t="s">
        <v>161</v>
      </c>
      <c r="L43" s="193" t="s">
        <v>6</v>
      </c>
      <c r="M43" s="196">
        <v>0.55000000000000004</v>
      </c>
      <c r="N43" s="212">
        <f>'[2]VALOR PREFERENCIAL (2)'!L59*(1-TVN!$J43)</f>
        <v>63399.999999999985</v>
      </c>
      <c r="O43" s="213">
        <f>'[2]VALOR PREFERENCIAL (2)'!M59*(1-TVN!$J43)</f>
        <v>126599.99999999997</v>
      </c>
      <c r="P43" s="213">
        <f>'[2]VALOR PREFERENCIAL (2)'!N59*(1-TVN!$J43)</f>
        <v>144999.99999999997</v>
      </c>
      <c r="Q43" s="213">
        <f>'[2]VALOR PREFERENCIAL (2)'!O59*(1-TVN!$J43)</f>
        <v>173399.99999999997</v>
      </c>
      <c r="R43" s="213">
        <f>'[2]VALOR PREFERENCIAL (2)'!P59*(1-TVN!$J43)</f>
        <v>186599.99999999997</v>
      </c>
      <c r="S43" s="214">
        <f>'[2]VALOR PREFERENCIAL (2)'!Q59*(1-TVN!$J43)</f>
        <v>199999.99999999994</v>
      </c>
      <c r="T43" s="213">
        <f>'[2]VALOR PREFERENCIAL (2)'!R59*(1-TVN!$J43)</f>
        <v>233399.99999999994</v>
      </c>
      <c r="U43" s="213">
        <f>'[2]VALOR PREFERENCIAL (2)'!S59*(1-TVN!$J43)</f>
        <v>266599.99999999994</v>
      </c>
      <c r="V43" s="213">
        <f>'[2]VALOR PREFERENCIAL (2)'!T59*(1-TVN!$J43)</f>
        <v>299999.99999999994</v>
      </c>
      <c r="W43" s="213">
        <f>'[2]VALOR PREFERENCIAL (2)'!U59*(1-TVN!$J43)</f>
        <v>349999.99999999994</v>
      </c>
      <c r="X43" s="213">
        <f>'[2]VALOR PREFERENCIAL (2)'!V59*(1-TVN!$J43)</f>
        <v>403399.99999999988</v>
      </c>
      <c r="Y43" s="213">
        <f>'[2]VALOR PREFERENCIAL (2)'!W59*(1-TVN!$J43)</f>
        <v>459999.99999999988</v>
      </c>
      <c r="Z43" s="215">
        <f>'[2]VALOR PREFERENCIAL (2)'!X59*(1-TVN!$J43)</f>
        <v>498399.99999999988</v>
      </c>
    </row>
    <row r="44" spans="2:26" ht="13.5" thickBot="1" x14ac:dyDescent="0.4">
      <c r="B44" s="197"/>
      <c r="C44" s="198"/>
      <c r="D44" s="198"/>
      <c r="E44" s="199"/>
      <c r="F44" s="199"/>
      <c r="G44" s="198"/>
      <c r="H44" s="200"/>
      <c r="I44" s="200"/>
      <c r="J44" s="200"/>
      <c r="K44" s="200"/>
      <c r="L44" s="200"/>
      <c r="M44" s="201"/>
      <c r="N44" s="202"/>
      <c r="O44" s="203"/>
      <c r="P44" s="203"/>
      <c r="Q44" s="203"/>
      <c r="R44" s="203"/>
      <c r="S44" s="204"/>
      <c r="T44" s="203"/>
      <c r="U44" s="203"/>
      <c r="V44" s="203"/>
      <c r="W44" s="203"/>
      <c r="X44" s="203"/>
      <c r="Y44" s="203"/>
      <c r="Z44" s="205"/>
    </row>
    <row r="45" spans="2:26" ht="13.5" thickTop="1" x14ac:dyDescent="0.35"/>
  </sheetData>
  <printOptions horizontalCentered="1"/>
  <pageMargins left="0.75" right="0.75" top="0.19" bottom="1" header="0" footer="0"/>
  <pageSetup scale="28" orientation="landscape" r:id="rId1"/>
  <headerFooter alignWithMargins="0">
    <oddFooter>&amp;R&amp;"Trebuchet MS,Normal"Estudios Comerciales&amp;D  &amp;T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3C18-14AF-4B07-8B91-86AD8B3046BB}">
  <dimension ref="A1:S41"/>
  <sheetViews>
    <sheetView showGridLines="0" workbookViewId="0">
      <selection activeCell="E42" sqref="E42"/>
    </sheetView>
  </sheetViews>
  <sheetFormatPr baseColWidth="10" defaultRowHeight="14.5" x14ac:dyDescent="0.35"/>
  <cols>
    <col min="1" max="1" width="2.90625" customWidth="1"/>
    <col min="2" max="2" width="34" customWidth="1"/>
  </cols>
  <sheetData>
    <row r="1" spans="1:19" ht="15" thickBot="1" x14ac:dyDescent="0.4"/>
    <row r="2" spans="1:19" ht="15" thickBot="1" x14ac:dyDescent="0.4">
      <c r="B2" s="208" t="s">
        <v>267</v>
      </c>
      <c r="C2" s="209" t="s">
        <v>164</v>
      </c>
      <c r="D2" s="209" t="s">
        <v>0</v>
      </c>
      <c r="E2" s="209" t="s">
        <v>157</v>
      </c>
      <c r="F2" s="210" t="s">
        <v>80</v>
      </c>
      <c r="G2" s="211" t="s">
        <v>81</v>
      </c>
      <c r="H2" s="211" t="s">
        <v>82</v>
      </c>
      <c r="I2" s="211" t="s">
        <v>83</v>
      </c>
      <c r="J2" s="211" t="s">
        <v>84</v>
      </c>
      <c r="K2" s="211" t="s">
        <v>85</v>
      </c>
      <c r="L2" s="211" t="s">
        <v>86</v>
      </c>
      <c r="M2" s="211" t="s">
        <v>87</v>
      </c>
      <c r="N2" s="211" t="s">
        <v>88</v>
      </c>
      <c r="O2" s="211" t="s">
        <v>89</v>
      </c>
      <c r="P2" s="211" t="s">
        <v>90</v>
      </c>
      <c r="Q2" s="211" t="s">
        <v>91</v>
      </c>
      <c r="R2" s="211" t="s">
        <v>172</v>
      </c>
      <c r="S2" s="211" t="s">
        <v>310</v>
      </c>
    </row>
    <row r="3" spans="1:19" s="239" customFormat="1" ht="15" thickBot="1" x14ac:dyDescent="0.4">
      <c r="A3"/>
      <c r="B3" s="236" t="s">
        <v>268</v>
      </c>
      <c r="C3" s="237" t="s">
        <v>93</v>
      </c>
      <c r="D3" s="237" t="s">
        <v>311</v>
      </c>
      <c r="E3" s="237">
        <v>0.33</v>
      </c>
      <c r="F3" s="238">
        <v>22000</v>
      </c>
      <c r="G3" s="238">
        <v>40000</v>
      </c>
      <c r="H3" s="238">
        <v>45750</v>
      </c>
      <c r="I3" s="238">
        <v>54500</v>
      </c>
      <c r="J3" s="238">
        <v>58250</v>
      </c>
      <c r="K3" s="238">
        <v>62500</v>
      </c>
      <c r="L3" s="238">
        <v>73250</v>
      </c>
      <c r="M3" s="238">
        <v>83750</v>
      </c>
      <c r="N3" s="238">
        <v>93750</v>
      </c>
      <c r="O3" s="238">
        <v>120000</v>
      </c>
      <c r="P3" s="238">
        <v>132000</v>
      </c>
      <c r="Q3" s="238">
        <v>143750</v>
      </c>
      <c r="R3" s="238">
        <v>159500</v>
      </c>
      <c r="S3" s="238">
        <v>182500</v>
      </c>
    </row>
    <row r="4" spans="1:19" s="239" customFormat="1" ht="15" thickBot="1" x14ac:dyDescent="0.4">
      <c r="A4"/>
      <c r="B4" s="236" t="s">
        <v>269</v>
      </c>
      <c r="C4" s="237" t="s">
        <v>93</v>
      </c>
      <c r="D4" s="237" t="s">
        <v>311</v>
      </c>
      <c r="E4" s="237">
        <v>0.84</v>
      </c>
      <c r="F4" s="238">
        <v>48250</v>
      </c>
      <c r="G4" s="238">
        <v>88000</v>
      </c>
      <c r="H4" s="238">
        <v>100500</v>
      </c>
      <c r="I4" s="238">
        <v>119750</v>
      </c>
      <c r="J4" s="238">
        <v>128000</v>
      </c>
      <c r="K4" s="238">
        <v>137500</v>
      </c>
      <c r="L4" s="238">
        <v>161000</v>
      </c>
      <c r="M4" s="238">
        <v>184250</v>
      </c>
      <c r="N4" s="238">
        <v>206250</v>
      </c>
      <c r="O4" s="238">
        <v>264000</v>
      </c>
      <c r="P4" s="238">
        <v>290250</v>
      </c>
      <c r="Q4" s="238">
        <v>316250</v>
      </c>
      <c r="R4" s="238">
        <v>350750</v>
      </c>
      <c r="S4" s="238">
        <v>401500</v>
      </c>
    </row>
    <row r="5" spans="1:19" s="239" customFormat="1" ht="15" thickBot="1" x14ac:dyDescent="0.4">
      <c r="A5"/>
      <c r="B5" s="236" t="s">
        <v>270</v>
      </c>
      <c r="C5" s="237" t="s">
        <v>93</v>
      </c>
      <c r="D5" s="237" t="s">
        <v>311</v>
      </c>
      <c r="E5" s="237">
        <v>1.71</v>
      </c>
      <c r="F5" s="238">
        <v>122500</v>
      </c>
      <c r="G5" s="238">
        <v>224000</v>
      </c>
      <c r="H5" s="238">
        <v>255500</v>
      </c>
      <c r="I5" s="238">
        <v>304500</v>
      </c>
      <c r="J5" s="238">
        <v>325500</v>
      </c>
      <c r="K5" s="238">
        <v>350000</v>
      </c>
      <c r="L5" s="238">
        <v>409500</v>
      </c>
      <c r="M5" s="238">
        <v>469000</v>
      </c>
      <c r="N5" s="238">
        <v>525000</v>
      </c>
      <c r="O5" s="238">
        <v>672000</v>
      </c>
      <c r="P5" s="238">
        <v>738500</v>
      </c>
      <c r="Q5" s="238">
        <v>805000</v>
      </c>
      <c r="R5" s="238">
        <v>892500</v>
      </c>
      <c r="S5" s="238">
        <v>1022000</v>
      </c>
    </row>
    <row r="6" spans="1:19" s="239" customFormat="1" ht="15" thickBot="1" x14ac:dyDescent="0.4">
      <c r="A6"/>
      <c r="B6" s="236" t="s">
        <v>271</v>
      </c>
      <c r="C6" s="237" t="s">
        <v>93</v>
      </c>
      <c r="D6" s="237" t="s">
        <v>311</v>
      </c>
      <c r="E6" s="237">
        <v>1.72</v>
      </c>
      <c r="F6" s="238">
        <v>131250</v>
      </c>
      <c r="G6" s="238">
        <v>240000</v>
      </c>
      <c r="H6" s="238">
        <v>273750</v>
      </c>
      <c r="I6" s="238">
        <v>326250</v>
      </c>
      <c r="J6" s="238">
        <v>348750</v>
      </c>
      <c r="K6" s="238">
        <v>375000</v>
      </c>
      <c r="L6" s="238">
        <v>438750</v>
      </c>
      <c r="M6" s="238">
        <v>502500</v>
      </c>
      <c r="N6" s="238">
        <v>562500</v>
      </c>
      <c r="O6" s="238">
        <v>720000</v>
      </c>
      <c r="P6" s="238">
        <v>791250</v>
      </c>
      <c r="Q6" s="238">
        <v>862500</v>
      </c>
      <c r="R6" s="238">
        <v>956250</v>
      </c>
      <c r="S6" s="238">
        <v>1095000</v>
      </c>
    </row>
    <row r="7" spans="1:19" s="239" customFormat="1" ht="15" thickBot="1" x14ac:dyDescent="0.4">
      <c r="A7"/>
      <c r="B7" s="236" t="s">
        <v>103</v>
      </c>
      <c r="C7" s="237" t="s">
        <v>93</v>
      </c>
      <c r="D7" s="237" t="s">
        <v>311</v>
      </c>
      <c r="E7" s="237">
        <v>1.64</v>
      </c>
      <c r="F7" s="238">
        <v>131250</v>
      </c>
      <c r="G7" s="238">
        <v>240000</v>
      </c>
      <c r="H7" s="238">
        <v>273750</v>
      </c>
      <c r="I7" s="238">
        <v>326250</v>
      </c>
      <c r="J7" s="238">
        <v>348750</v>
      </c>
      <c r="K7" s="238">
        <v>375000</v>
      </c>
      <c r="L7" s="238">
        <v>438750</v>
      </c>
      <c r="M7" s="238">
        <v>502500</v>
      </c>
      <c r="N7" s="238">
        <v>562500</v>
      </c>
      <c r="O7" s="238">
        <v>720000</v>
      </c>
      <c r="P7" s="238">
        <v>791250</v>
      </c>
      <c r="Q7" s="238">
        <v>862500</v>
      </c>
      <c r="R7" s="238">
        <v>956250</v>
      </c>
      <c r="S7" s="238">
        <v>1095000</v>
      </c>
    </row>
    <row r="8" spans="1:19" s="239" customFormat="1" ht="15" thickBot="1" x14ac:dyDescent="0.4">
      <c r="A8"/>
      <c r="B8" s="236" t="s">
        <v>272</v>
      </c>
      <c r="C8" s="237" t="s">
        <v>93</v>
      </c>
      <c r="D8" s="237" t="s">
        <v>311</v>
      </c>
      <c r="E8" s="237">
        <v>1.35</v>
      </c>
      <c r="F8" s="238">
        <v>78750</v>
      </c>
      <c r="G8" s="238">
        <v>144000</v>
      </c>
      <c r="H8" s="238">
        <v>164250</v>
      </c>
      <c r="I8" s="238">
        <v>195750</v>
      </c>
      <c r="J8" s="238">
        <v>209250</v>
      </c>
      <c r="K8" s="238">
        <v>225000</v>
      </c>
      <c r="L8" s="238">
        <v>263250</v>
      </c>
      <c r="M8" s="238">
        <v>301500</v>
      </c>
      <c r="N8" s="238">
        <v>337500</v>
      </c>
      <c r="O8" s="238">
        <v>432000</v>
      </c>
      <c r="P8" s="238">
        <v>474750</v>
      </c>
      <c r="Q8" s="238">
        <v>517500</v>
      </c>
      <c r="R8" s="238">
        <v>573750</v>
      </c>
      <c r="S8" s="238">
        <v>657000</v>
      </c>
    </row>
    <row r="9" spans="1:19" s="239" customFormat="1" ht="15" thickBot="1" x14ac:dyDescent="0.4">
      <c r="A9"/>
      <c r="B9" s="236" t="s">
        <v>273</v>
      </c>
      <c r="C9" s="237" t="s">
        <v>93</v>
      </c>
      <c r="D9" s="237" t="s">
        <v>311</v>
      </c>
      <c r="E9" s="237">
        <v>1.39</v>
      </c>
      <c r="F9" s="238">
        <v>140000</v>
      </c>
      <c r="G9" s="238">
        <v>256000</v>
      </c>
      <c r="H9" s="238">
        <v>292000</v>
      </c>
      <c r="I9" s="238">
        <v>348000</v>
      </c>
      <c r="J9" s="238">
        <v>372000</v>
      </c>
      <c r="K9" s="238">
        <v>400000</v>
      </c>
      <c r="L9" s="238">
        <v>468000</v>
      </c>
      <c r="M9" s="238">
        <v>536000</v>
      </c>
      <c r="N9" s="238">
        <v>600000</v>
      </c>
      <c r="O9" s="238">
        <v>768000</v>
      </c>
      <c r="P9" s="238">
        <v>844000</v>
      </c>
      <c r="Q9" s="238">
        <v>920000</v>
      </c>
      <c r="R9" s="238">
        <v>1020000</v>
      </c>
      <c r="S9" s="238">
        <v>1168000</v>
      </c>
    </row>
    <row r="10" spans="1:19" s="239" customFormat="1" ht="15" thickBot="1" x14ac:dyDescent="0.4">
      <c r="A10"/>
      <c r="B10" s="236" t="s">
        <v>274</v>
      </c>
      <c r="C10" s="237" t="s">
        <v>93</v>
      </c>
      <c r="D10" s="237" t="s">
        <v>156</v>
      </c>
      <c r="E10" s="237">
        <v>2.25</v>
      </c>
      <c r="F10" s="238">
        <v>210000</v>
      </c>
      <c r="G10" s="238">
        <v>384000</v>
      </c>
      <c r="H10" s="238">
        <v>438000</v>
      </c>
      <c r="I10" s="238">
        <v>522000</v>
      </c>
      <c r="J10" s="238">
        <v>558000</v>
      </c>
      <c r="K10" s="238">
        <v>600000</v>
      </c>
      <c r="L10" s="238">
        <v>702000</v>
      </c>
      <c r="M10" s="238">
        <v>804000</v>
      </c>
      <c r="N10" s="238">
        <v>900000</v>
      </c>
      <c r="O10" s="238">
        <v>1152000</v>
      </c>
      <c r="P10" s="238">
        <v>1266000</v>
      </c>
      <c r="Q10" s="238">
        <v>1380000</v>
      </c>
      <c r="R10" s="238">
        <v>1530000</v>
      </c>
      <c r="S10" s="238">
        <v>1752000</v>
      </c>
    </row>
    <row r="11" spans="1:19" s="239" customFormat="1" ht="15" thickBot="1" x14ac:dyDescent="0.4">
      <c r="A11"/>
      <c r="B11" s="236" t="s">
        <v>275</v>
      </c>
      <c r="C11" s="237" t="s">
        <v>93</v>
      </c>
      <c r="D11" s="237" t="s">
        <v>156</v>
      </c>
      <c r="E11" s="237">
        <v>2.77</v>
      </c>
      <c r="F11" s="238">
        <v>575750</v>
      </c>
      <c r="G11" s="238">
        <v>1052800</v>
      </c>
      <c r="H11" s="238">
        <v>1200850</v>
      </c>
      <c r="I11" s="238">
        <v>1431150</v>
      </c>
      <c r="J11" s="238">
        <v>1529850</v>
      </c>
      <c r="K11" s="238">
        <v>1645000</v>
      </c>
      <c r="L11" s="238">
        <v>1924650</v>
      </c>
      <c r="M11" s="238">
        <v>2204300</v>
      </c>
      <c r="N11" s="238">
        <v>2467500</v>
      </c>
      <c r="O11" s="238">
        <v>3158400</v>
      </c>
      <c r="P11" s="238">
        <v>3470950</v>
      </c>
      <c r="Q11" s="238">
        <v>3783500</v>
      </c>
      <c r="R11" s="238">
        <v>4194750</v>
      </c>
      <c r="S11" s="238">
        <v>4803400</v>
      </c>
    </row>
    <row r="12" spans="1:19" s="239" customFormat="1" ht="15" thickBot="1" x14ac:dyDescent="0.4">
      <c r="A12"/>
      <c r="B12" s="236" t="s">
        <v>276</v>
      </c>
      <c r="C12" s="237" t="s">
        <v>93</v>
      </c>
      <c r="D12" s="237" t="s">
        <v>156</v>
      </c>
      <c r="E12" s="237">
        <v>1.96</v>
      </c>
      <c r="F12" s="238">
        <v>575750</v>
      </c>
      <c r="G12" s="238">
        <v>1052800</v>
      </c>
      <c r="H12" s="238">
        <v>1200850</v>
      </c>
      <c r="I12" s="238">
        <v>1431150</v>
      </c>
      <c r="J12" s="238">
        <v>1529850</v>
      </c>
      <c r="K12" s="238">
        <v>1645000</v>
      </c>
      <c r="L12" s="238">
        <v>1924650</v>
      </c>
      <c r="M12" s="238">
        <v>2204300</v>
      </c>
      <c r="N12" s="238">
        <v>2467500</v>
      </c>
      <c r="O12" s="238">
        <v>3158400</v>
      </c>
      <c r="P12" s="238">
        <v>3470950</v>
      </c>
      <c r="Q12" s="238">
        <v>3783500</v>
      </c>
      <c r="R12" s="238">
        <v>4194750</v>
      </c>
      <c r="S12" s="238">
        <v>4803400</v>
      </c>
    </row>
    <row r="13" spans="1:19" s="239" customFormat="1" ht="15" thickBot="1" x14ac:dyDescent="0.4">
      <c r="A13"/>
      <c r="B13" s="236" t="s">
        <v>277</v>
      </c>
      <c r="C13" s="237" t="s">
        <v>131</v>
      </c>
      <c r="D13" s="237" t="s">
        <v>156</v>
      </c>
      <c r="E13" s="237">
        <v>1.36</v>
      </c>
      <c r="F13" s="238">
        <v>175000</v>
      </c>
      <c r="G13" s="238">
        <v>320000</v>
      </c>
      <c r="H13" s="238">
        <v>365000</v>
      </c>
      <c r="I13" s="238">
        <v>435000</v>
      </c>
      <c r="J13" s="238">
        <v>465000</v>
      </c>
      <c r="K13" s="238">
        <v>500000</v>
      </c>
      <c r="L13" s="238">
        <v>585000</v>
      </c>
      <c r="M13" s="238">
        <v>670000</v>
      </c>
      <c r="N13" s="238">
        <v>750000</v>
      </c>
      <c r="O13" s="238">
        <v>960000</v>
      </c>
      <c r="P13" s="238">
        <v>1055000</v>
      </c>
      <c r="Q13" s="238">
        <v>1150000</v>
      </c>
      <c r="R13" s="238">
        <v>1275000</v>
      </c>
      <c r="S13" s="238">
        <v>1460000</v>
      </c>
    </row>
    <row r="14" spans="1:19" s="239" customFormat="1" ht="15" thickBot="1" x14ac:dyDescent="0.4">
      <c r="A14"/>
      <c r="B14" s="236" t="s">
        <v>278</v>
      </c>
      <c r="C14" s="237" t="s">
        <v>279</v>
      </c>
      <c r="D14" s="237" t="s">
        <v>156</v>
      </c>
      <c r="E14" s="237">
        <v>3.1</v>
      </c>
      <c r="F14" s="238">
        <v>612500</v>
      </c>
      <c r="G14" s="238">
        <v>1120000</v>
      </c>
      <c r="H14" s="238">
        <v>1277500</v>
      </c>
      <c r="I14" s="238">
        <v>1522500</v>
      </c>
      <c r="J14" s="238">
        <v>1627500</v>
      </c>
      <c r="K14" s="238">
        <v>1750000</v>
      </c>
      <c r="L14" s="238">
        <v>2047500</v>
      </c>
      <c r="M14" s="238">
        <v>2345000</v>
      </c>
      <c r="N14" s="238">
        <v>2625000</v>
      </c>
      <c r="O14" s="238">
        <v>3360000</v>
      </c>
      <c r="P14" s="238">
        <v>3692500</v>
      </c>
      <c r="Q14" s="238">
        <v>4025000</v>
      </c>
      <c r="R14" s="238">
        <v>4462500</v>
      </c>
      <c r="S14" s="238">
        <v>5110000</v>
      </c>
    </row>
    <row r="15" spans="1:19" s="239" customFormat="1" ht="15" thickBot="1" x14ac:dyDescent="0.4">
      <c r="A15"/>
      <c r="B15" s="236" t="s">
        <v>280</v>
      </c>
      <c r="C15" s="237" t="s">
        <v>281</v>
      </c>
      <c r="D15" s="237" t="s">
        <v>156</v>
      </c>
      <c r="E15" s="237">
        <v>1.8</v>
      </c>
      <c r="F15" s="238">
        <v>269500</v>
      </c>
      <c r="G15" s="238">
        <v>492800</v>
      </c>
      <c r="H15" s="238">
        <v>562100</v>
      </c>
      <c r="I15" s="238">
        <v>669900</v>
      </c>
      <c r="J15" s="238">
        <v>716100</v>
      </c>
      <c r="K15" s="238">
        <v>770000</v>
      </c>
      <c r="L15" s="238">
        <v>900900</v>
      </c>
      <c r="M15" s="238">
        <v>1031800</v>
      </c>
      <c r="N15" s="238">
        <v>1155000</v>
      </c>
      <c r="O15" s="238">
        <v>1478400</v>
      </c>
      <c r="P15" s="238">
        <v>1624700</v>
      </c>
      <c r="Q15" s="238">
        <v>1771000</v>
      </c>
      <c r="R15" s="238">
        <v>1963500</v>
      </c>
      <c r="S15" s="238">
        <v>2248400</v>
      </c>
    </row>
    <row r="16" spans="1:19" s="239" customFormat="1" ht="15" thickBot="1" x14ac:dyDescent="0.4">
      <c r="A16" s="235"/>
      <c r="B16" s="236" t="s">
        <v>282</v>
      </c>
      <c r="C16" s="237" t="s">
        <v>283</v>
      </c>
      <c r="D16" s="237" t="s">
        <v>156</v>
      </c>
      <c r="E16" s="237">
        <v>1.7</v>
      </c>
      <c r="F16" s="238">
        <v>367500</v>
      </c>
      <c r="G16" s="238">
        <v>672000</v>
      </c>
      <c r="H16" s="238">
        <v>766500</v>
      </c>
      <c r="I16" s="238">
        <v>913500</v>
      </c>
      <c r="J16" s="238">
        <v>976500</v>
      </c>
      <c r="K16" s="238">
        <v>1050000</v>
      </c>
      <c r="L16" s="238">
        <v>1228500</v>
      </c>
      <c r="M16" s="238">
        <v>1407000</v>
      </c>
      <c r="N16" s="238">
        <v>1575000</v>
      </c>
      <c r="O16" s="238">
        <v>2016000</v>
      </c>
      <c r="P16" s="238">
        <v>2215500</v>
      </c>
      <c r="Q16" s="238">
        <v>2415000</v>
      </c>
      <c r="R16" s="238">
        <v>2677500</v>
      </c>
      <c r="S16" s="238">
        <v>3066000</v>
      </c>
    </row>
    <row r="17" spans="1:19" s="239" customFormat="1" ht="15" thickBot="1" x14ac:dyDescent="0.4">
      <c r="A17"/>
      <c r="B17" s="236" t="s">
        <v>284</v>
      </c>
      <c r="C17" s="237" t="s">
        <v>22</v>
      </c>
      <c r="D17" s="237" t="s">
        <v>156</v>
      </c>
      <c r="E17" s="237">
        <v>3.1</v>
      </c>
      <c r="F17" s="238">
        <v>612500</v>
      </c>
      <c r="G17" s="238">
        <v>1120000</v>
      </c>
      <c r="H17" s="238">
        <v>1277500</v>
      </c>
      <c r="I17" s="238">
        <v>1522500</v>
      </c>
      <c r="J17" s="238">
        <v>1627500</v>
      </c>
      <c r="K17" s="238">
        <v>1750000</v>
      </c>
      <c r="L17" s="238">
        <v>2047500</v>
      </c>
      <c r="M17" s="238">
        <v>2345000</v>
      </c>
      <c r="N17" s="238">
        <v>2625000</v>
      </c>
      <c r="O17" s="238">
        <v>3360000</v>
      </c>
      <c r="P17" s="238">
        <v>3692500</v>
      </c>
      <c r="Q17" s="238">
        <v>4025000</v>
      </c>
      <c r="R17" s="238">
        <v>4462500</v>
      </c>
      <c r="S17" s="238">
        <v>5110000</v>
      </c>
    </row>
    <row r="18" spans="1:19" s="239" customFormat="1" ht="15" thickBot="1" x14ac:dyDescent="0.4">
      <c r="A18" s="235"/>
      <c r="B18" s="236" t="s">
        <v>285</v>
      </c>
      <c r="C18" s="237" t="s">
        <v>23</v>
      </c>
      <c r="D18" s="237" t="s">
        <v>156</v>
      </c>
      <c r="E18" s="237">
        <v>1.37</v>
      </c>
      <c r="F18" s="238">
        <v>192500</v>
      </c>
      <c r="G18" s="238">
        <v>352000</v>
      </c>
      <c r="H18" s="238">
        <v>401500</v>
      </c>
      <c r="I18" s="238">
        <v>478500</v>
      </c>
      <c r="J18" s="238">
        <v>511500</v>
      </c>
      <c r="K18" s="238">
        <v>550000</v>
      </c>
      <c r="L18" s="238">
        <v>643500</v>
      </c>
      <c r="M18" s="238">
        <v>737000</v>
      </c>
      <c r="N18" s="238">
        <v>825000</v>
      </c>
      <c r="O18" s="238">
        <v>1056000</v>
      </c>
      <c r="P18" s="238">
        <v>1160500</v>
      </c>
      <c r="Q18" s="238">
        <v>1265000</v>
      </c>
      <c r="R18" s="238">
        <v>1402500</v>
      </c>
      <c r="S18" s="238">
        <v>1606000</v>
      </c>
    </row>
    <row r="19" spans="1:19" s="239" customFormat="1" ht="15" thickBot="1" x14ac:dyDescent="0.4">
      <c r="A19"/>
      <c r="B19" s="236" t="s">
        <v>286</v>
      </c>
      <c r="C19" s="237" t="s">
        <v>287</v>
      </c>
      <c r="D19" s="237" t="s">
        <v>311</v>
      </c>
      <c r="E19" s="237">
        <v>0.33</v>
      </c>
      <c r="F19" s="238">
        <v>30750</v>
      </c>
      <c r="G19" s="238">
        <v>56000</v>
      </c>
      <c r="H19" s="238">
        <v>64000</v>
      </c>
      <c r="I19" s="238">
        <v>76250</v>
      </c>
      <c r="J19" s="238">
        <v>81500</v>
      </c>
      <c r="K19" s="238">
        <v>87500</v>
      </c>
      <c r="L19" s="238">
        <v>102500</v>
      </c>
      <c r="M19" s="238">
        <v>117250</v>
      </c>
      <c r="N19" s="238">
        <v>131250</v>
      </c>
      <c r="O19" s="238">
        <v>168000</v>
      </c>
      <c r="P19" s="238">
        <v>184750</v>
      </c>
      <c r="Q19" s="238">
        <v>201250</v>
      </c>
      <c r="R19" s="238">
        <v>223250</v>
      </c>
      <c r="S19" s="238">
        <v>255500</v>
      </c>
    </row>
    <row r="20" spans="1:19" s="239" customFormat="1" ht="15" thickBot="1" x14ac:dyDescent="0.4">
      <c r="A20"/>
      <c r="B20" s="236" t="s">
        <v>288</v>
      </c>
      <c r="C20" s="237" t="s">
        <v>19</v>
      </c>
      <c r="D20" s="237" t="s">
        <v>311</v>
      </c>
      <c r="E20" s="237">
        <v>0.34</v>
      </c>
      <c r="F20" s="238">
        <v>22000</v>
      </c>
      <c r="G20" s="238">
        <v>40000</v>
      </c>
      <c r="H20" s="238">
        <v>45750</v>
      </c>
      <c r="I20" s="238">
        <v>54500</v>
      </c>
      <c r="J20" s="238">
        <v>58250</v>
      </c>
      <c r="K20" s="238">
        <v>62500</v>
      </c>
      <c r="L20" s="238">
        <v>73250</v>
      </c>
      <c r="M20" s="238">
        <v>83750</v>
      </c>
      <c r="N20" s="238">
        <v>93750</v>
      </c>
      <c r="O20" s="238">
        <v>120000</v>
      </c>
      <c r="P20" s="238">
        <v>132000</v>
      </c>
      <c r="Q20" s="238">
        <v>143750</v>
      </c>
      <c r="R20" s="238">
        <v>159500</v>
      </c>
      <c r="S20" s="238">
        <v>182500</v>
      </c>
    </row>
    <row r="21" spans="1:19" s="239" customFormat="1" ht="15" thickBot="1" x14ac:dyDescent="0.4">
      <c r="A21"/>
      <c r="B21" s="236" t="s">
        <v>289</v>
      </c>
      <c r="C21" s="237" t="s">
        <v>19</v>
      </c>
      <c r="D21" s="237" t="s">
        <v>311</v>
      </c>
      <c r="E21" s="237">
        <v>1.17</v>
      </c>
      <c r="F21" s="238">
        <v>39500</v>
      </c>
      <c r="G21" s="238">
        <v>72000</v>
      </c>
      <c r="H21" s="238">
        <v>82250</v>
      </c>
      <c r="I21" s="238">
        <v>98000</v>
      </c>
      <c r="J21" s="238">
        <v>104750</v>
      </c>
      <c r="K21" s="238">
        <v>112500</v>
      </c>
      <c r="L21" s="238">
        <v>131750</v>
      </c>
      <c r="M21" s="238">
        <v>150750</v>
      </c>
      <c r="N21" s="238">
        <v>168750</v>
      </c>
      <c r="O21" s="238">
        <v>216000</v>
      </c>
      <c r="P21" s="238">
        <v>237500</v>
      </c>
      <c r="Q21" s="238">
        <v>258750</v>
      </c>
      <c r="R21" s="238">
        <v>287000</v>
      </c>
      <c r="S21" s="238">
        <v>328500</v>
      </c>
    </row>
    <row r="22" spans="1:19" s="239" customFormat="1" ht="15" thickBot="1" x14ac:dyDescent="0.4">
      <c r="A22"/>
      <c r="B22" s="236" t="s">
        <v>290</v>
      </c>
      <c r="C22" s="237" t="s">
        <v>19</v>
      </c>
      <c r="D22" s="237" t="s">
        <v>311</v>
      </c>
      <c r="E22" s="237">
        <v>1.18</v>
      </c>
      <c r="F22" s="238">
        <v>87500</v>
      </c>
      <c r="G22" s="238">
        <v>160000</v>
      </c>
      <c r="H22" s="238">
        <v>182500</v>
      </c>
      <c r="I22" s="238">
        <v>217500</v>
      </c>
      <c r="J22" s="238">
        <v>232500</v>
      </c>
      <c r="K22" s="238">
        <v>250000</v>
      </c>
      <c r="L22" s="238">
        <v>292500</v>
      </c>
      <c r="M22" s="238">
        <v>335000</v>
      </c>
      <c r="N22" s="238">
        <v>375000</v>
      </c>
      <c r="O22" s="238">
        <v>480000</v>
      </c>
      <c r="P22" s="238">
        <v>527500</v>
      </c>
      <c r="Q22" s="238">
        <v>575000</v>
      </c>
      <c r="R22" s="238">
        <v>637500</v>
      </c>
      <c r="S22" s="238">
        <v>730000</v>
      </c>
    </row>
    <row r="23" spans="1:19" s="239" customFormat="1" ht="15" thickBot="1" x14ac:dyDescent="0.4">
      <c r="A23"/>
      <c r="B23" s="236" t="s">
        <v>291</v>
      </c>
      <c r="C23" s="237" t="s">
        <v>19</v>
      </c>
      <c r="D23" s="237" t="s">
        <v>311</v>
      </c>
      <c r="E23" s="237">
        <v>1.38</v>
      </c>
      <c r="F23" s="238">
        <v>87500</v>
      </c>
      <c r="G23" s="238">
        <v>160000</v>
      </c>
      <c r="H23" s="238">
        <v>182500</v>
      </c>
      <c r="I23" s="238">
        <v>217500</v>
      </c>
      <c r="J23" s="238">
        <v>232500</v>
      </c>
      <c r="K23" s="238">
        <v>250000</v>
      </c>
      <c r="L23" s="238">
        <v>292500</v>
      </c>
      <c r="M23" s="238">
        <v>335000</v>
      </c>
      <c r="N23" s="238">
        <v>375000</v>
      </c>
      <c r="O23" s="238">
        <v>480000</v>
      </c>
      <c r="P23" s="238">
        <v>527500</v>
      </c>
      <c r="Q23" s="238">
        <v>575000</v>
      </c>
      <c r="R23" s="238">
        <v>637500</v>
      </c>
      <c r="S23" s="238">
        <v>730000</v>
      </c>
    </row>
    <row r="24" spans="1:19" s="239" customFormat="1" ht="15" thickBot="1" x14ac:dyDescent="0.4">
      <c r="A24"/>
      <c r="B24" s="236" t="s">
        <v>292</v>
      </c>
      <c r="C24" s="237" t="s">
        <v>19</v>
      </c>
      <c r="D24" s="237" t="s">
        <v>311</v>
      </c>
      <c r="E24" s="237">
        <v>1.1499999999999999</v>
      </c>
      <c r="F24" s="238">
        <v>70000</v>
      </c>
      <c r="G24" s="238">
        <v>128000</v>
      </c>
      <c r="H24" s="238">
        <v>146000</v>
      </c>
      <c r="I24" s="238">
        <v>174000</v>
      </c>
      <c r="J24" s="238">
        <v>186000</v>
      </c>
      <c r="K24" s="238">
        <v>200000</v>
      </c>
      <c r="L24" s="238">
        <v>234000</v>
      </c>
      <c r="M24" s="238">
        <v>268000</v>
      </c>
      <c r="N24" s="238">
        <v>300000</v>
      </c>
      <c r="O24" s="238">
        <v>384000</v>
      </c>
      <c r="P24" s="238">
        <v>422000</v>
      </c>
      <c r="Q24" s="238">
        <v>460000</v>
      </c>
      <c r="R24" s="238">
        <v>510000</v>
      </c>
      <c r="S24" s="238">
        <v>584000</v>
      </c>
    </row>
    <row r="25" spans="1:19" s="239" customFormat="1" ht="15" thickBot="1" x14ac:dyDescent="0.4">
      <c r="A25"/>
      <c r="B25" s="236" t="s">
        <v>293</v>
      </c>
      <c r="C25" s="237" t="s">
        <v>19</v>
      </c>
      <c r="D25" s="237" t="s">
        <v>156</v>
      </c>
      <c r="E25" s="237">
        <v>1.95</v>
      </c>
      <c r="F25" s="238">
        <v>113750</v>
      </c>
      <c r="G25" s="238">
        <v>208000</v>
      </c>
      <c r="H25" s="238">
        <v>237250</v>
      </c>
      <c r="I25" s="238">
        <v>282750</v>
      </c>
      <c r="J25" s="238">
        <v>302250</v>
      </c>
      <c r="K25" s="238">
        <v>325000</v>
      </c>
      <c r="L25" s="238">
        <v>380250</v>
      </c>
      <c r="M25" s="238">
        <v>435500</v>
      </c>
      <c r="N25" s="238">
        <v>487500</v>
      </c>
      <c r="O25" s="238">
        <v>624000</v>
      </c>
      <c r="P25" s="238">
        <v>685750</v>
      </c>
      <c r="Q25" s="238">
        <v>747500</v>
      </c>
      <c r="R25" s="238">
        <v>828750</v>
      </c>
      <c r="S25" s="238">
        <v>949000</v>
      </c>
    </row>
    <row r="26" spans="1:19" s="239" customFormat="1" ht="15" thickBot="1" x14ac:dyDescent="0.4">
      <c r="A26"/>
      <c r="B26" s="236" t="s">
        <v>294</v>
      </c>
      <c r="C26" s="237" t="s">
        <v>19</v>
      </c>
      <c r="D26" s="237" t="s">
        <v>156</v>
      </c>
      <c r="E26" s="237">
        <v>2.06</v>
      </c>
      <c r="F26" s="238">
        <v>367500</v>
      </c>
      <c r="G26" s="238">
        <v>672000</v>
      </c>
      <c r="H26" s="238">
        <v>766500</v>
      </c>
      <c r="I26" s="238">
        <v>913500</v>
      </c>
      <c r="J26" s="238">
        <v>976500</v>
      </c>
      <c r="K26" s="238">
        <v>1050000</v>
      </c>
      <c r="L26" s="238">
        <v>1228500</v>
      </c>
      <c r="M26" s="238">
        <v>1407000</v>
      </c>
      <c r="N26" s="238">
        <v>1575000</v>
      </c>
      <c r="O26" s="238">
        <v>2016000</v>
      </c>
      <c r="P26" s="238">
        <v>2215500</v>
      </c>
      <c r="Q26" s="238">
        <v>2415000</v>
      </c>
      <c r="R26" s="238">
        <v>2677500</v>
      </c>
      <c r="S26" s="238">
        <v>3066000</v>
      </c>
    </row>
    <row r="27" spans="1:19" s="239" customFormat="1" ht="15" thickBot="1" x14ac:dyDescent="0.4">
      <c r="A27"/>
      <c r="B27" s="236" t="s">
        <v>295</v>
      </c>
      <c r="C27" s="237" t="s">
        <v>19</v>
      </c>
      <c r="D27" s="237" t="s">
        <v>156</v>
      </c>
      <c r="E27" s="237">
        <v>1.93</v>
      </c>
      <c r="F27" s="238">
        <v>367500</v>
      </c>
      <c r="G27" s="238">
        <v>672000</v>
      </c>
      <c r="H27" s="238">
        <v>766500</v>
      </c>
      <c r="I27" s="238">
        <v>913500</v>
      </c>
      <c r="J27" s="238">
        <v>976500</v>
      </c>
      <c r="K27" s="238">
        <v>1050000</v>
      </c>
      <c r="L27" s="238">
        <v>1228500</v>
      </c>
      <c r="M27" s="238">
        <v>1407000</v>
      </c>
      <c r="N27" s="238">
        <v>1575000</v>
      </c>
      <c r="O27" s="238">
        <v>2016000</v>
      </c>
      <c r="P27" s="238">
        <v>2215500</v>
      </c>
      <c r="Q27" s="238">
        <v>2415000</v>
      </c>
      <c r="R27" s="238">
        <v>2677500</v>
      </c>
      <c r="S27" s="238">
        <v>3066000</v>
      </c>
    </row>
    <row r="28" spans="1:19" s="239" customFormat="1" ht="15" thickBot="1" x14ac:dyDescent="0.4">
      <c r="A28" s="235"/>
      <c r="B28" s="236" t="s">
        <v>296</v>
      </c>
      <c r="C28" s="237" t="s">
        <v>19</v>
      </c>
      <c r="D28" s="237" t="s">
        <v>156</v>
      </c>
      <c r="E28" s="237">
        <v>1.91</v>
      </c>
      <c r="F28" s="238">
        <v>428750</v>
      </c>
      <c r="G28" s="238">
        <v>784000</v>
      </c>
      <c r="H28" s="238">
        <v>894250</v>
      </c>
      <c r="I28" s="238">
        <v>1065750</v>
      </c>
      <c r="J28" s="238">
        <v>1139250</v>
      </c>
      <c r="K28" s="238">
        <v>1225000</v>
      </c>
      <c r="L28" s="238">
        <v>1433250</v>
      </c>
      <c r="M28" s="238">
        <v>1641500</v>
      </c>
      <c r="N28" s="238">
        <v>1837500</v>
      </c>
      <c r="O28" s="238">
        <v>2352000</v>
      </c>
      <c r="P28" s="238">
        <v>2584750</v>
      </c>
      <c r="Q28" s="238">
        <v>2817500</v>
      </c>
      <c r="R28" s="238">
        <v>3123750</v>
      </c>
      <c r="S28" s="238">
        <v>3577000</v>
      </c>
    </row>
    <row r="29" spans="1:19" s="239" customFormat="1" ht="15" thickBot="1" x14ac:dyDescent="0.4">
      <c r="A29"/>
      <c r="B29" s="236" t="s">
        <v>297</v>
      </c>
      <c r="C29" s="237" t="s">
        <v>19</v>
      </c>
      <c r="D29" s="237" t="s">
        <v>311</v>
      </c>
      <c r="E29" s="237">
        <v>0.45</v>
      </c>
      <c r="F29" s="238">
        <v>30750</v>
      </c>
      <c r="G29" s="238">
        <v>56000</v>
      </c>
      <c r="H29" s="238">
        <v>64000</v>
      </c>
      <c r="I29" s="238">
        <v>76250</v>
      </c>
      <c r="J29" s="238">
        <v>81500</v>
      </c>
      <c r="K29" s="238">
        <v>87500</v>
      </c>
      <c r="L29" s="238">
        <v>102500</v>
      </c>
      <c r="M29" s="238">
        <v>117250</v>
      </c>
      <c r="N29" s="238">
        <v>131250</v>
      </c>
      <c r="O29" s="238">
        <v>168000</v>
      </c>
      <c r="P29" s="238">
        <v>184750</v>
      </c>
      <c r="Q29" s="238">
        <v>201250</v>
      </c>
      <c r="R29" s="238">
        <v>223250</v>
      </c>
      <c r="S29" s="238">
        <v>255500</v>
      </c>
    </row>
    <row r="30" spans="1:19" s="239" customFormat="1" ht="15" thickBot="1" x14ac:dyDescent="0.4">
      <c r="A30"/>
      <c r="B30" s="236" t="s">
        <v>298</v>
      </c>
      <c r="C30" s="237" t="s">
        <v>20</v>
      </c>
      <c r="D30" s="237" t="s">
        <v>311</v>
      </c>
      <c r="E30" s="237">
        <v>0.22</v>
      </c>
      <c r="F30" s="238">
        <v>22000</v>
      </c>
      <c r="G30" s="238">
        <v>40000</v>
      </c>
      <c r="H30" s="238">
        <v>45750</v>
      </c>
      <c r="I30" s="238">
        <v>54500</v>
      </c>
      <c r="J30" s="238">
        <v>58250</v>
      </c>
      <c r="K30" s="238">
        <v>62500</v>
      </c>
      <c r="L30" s="238">
        <v>73250</v>
      </c>
      <c r="M30" s="238">
        <v>83750</v>
      </c>
      <c r="N30" s="238">
        <v>93750</v>
      </c>
      <c r="O30" s="238">
        <v>120000</v>
      </c>
      <c r="P30" s="238">
        <v>132000</v>
      </c>
      <c r="Q30" s="238">
        <v>143750</v>
      </c>
      <c r="R30" s="238">
        <v>159500</v>
      </c>
      <c r="S30" s="238">
        <v>182500</v>
      </c>
    </row>
    <row r="31" spans="1:19" s="239" customFormat="1" ht="15" thickBot="1" x14ac:dyDescent="0.4">
      <c r="A31"/>
      <c r="B31" s="236" t="s">
        <v>299</v>
      </c>
      <c r="C31" s="237" t="s">
        <v>20</v>
      </c>
      <c r="D31" s="237" t="s">
        <v>311</v>
      </c>
      <c r="E31" s="237">
        <v>0.72</v>
      </c>
      <c r="F31" s="238">
        <v>48250</v>
      </c>
      <c r="G31" s="238">
        <v>88000</v>
      </c>
      <c r="H31" s="238">
        <v>100500</v>
      </c>
      <c r="I31" s="238">
        <v>119750</v>
      </c>
      <c r="J31" s="238">
        <v>128000</v>
      </c>
      <c r="K31" s="238">
        <v>137500</v>
      </c>
      <c r="L31" s="238">
        <v>161000</v>
      </c>
      <c r="M31" s="238">
        <v>184250</v>
      </c>
      <c r="N31" s="238">
        <v>206250</v>
      </c>
      <c r="O31" s="238">
        <v>264000</v>
      </c>
      <c r="P31" s="238">
        <v>290250</v>
      </c>
      <c r="Q31" s="238">
        <v>316250</v>
      </c>
      <c r="R31" s="238">
        <v>350750</v>
      </c>
      <c r="S31" s="238">
        <v>401500</v>
      </c>
    </row>
    <row r="32" spans="1:19" s="239" customFormat="1" ht="15" thickBot="1" x14ac:dyDescent="0.4">
      <c r="A32"/>
      <c r="B32" s="236" t="s">
        <v>300</v>
      </c>
      <c r="C32" s="237" t="s">
        <v>20</v>
      </c>
      <c r="D32" s="237" t="s">
        <v>311</v>
      </c>
      <c r="E32" s="237">
        <v>0.94</v>
      </c>
      <c r="F32" s="238">
        <v>57000</v>
      </c>
      <c r="G32" s="238">
        <v>104000</v>
      </c>
      <c r="H32" s="238">
        <v>118750</v>
      </c>
      <c r="I32" s="238">
        <v>141500</v>
      </c>
      <c r="J32" s="238">
        <v>151250</v>
      </c>
      <c r="K32" s="238">
        <v>162500</v>
      </c>
      <c r="L32" s="238">
        <v>190250</v>
      </c>
      <c r="M32" s="238">
        <v>217750</v>
      </c>
      <c r="N32" s="238">
        <v>243750</v>
      </c>
      <c r="O32" s="238">
        <v>312000</v>
      </c>
      <c r="P32" s="238">
        <v>343000</v>
      </c>
      <c r="Q32" s="238">
        <v>373750</v>
      </c>
      <c r="R32" s="238">
        <v>414500</v>
      </c>
      <c r="S32" s="238">
        <v>474500</v>
      </c>
    </row>
    <row r="33" spans="1:19" s="239" customFormat="1" ht="15" thickBot="1" x14ac:dyDescent="0.4">
      <c r="A33"/>
      <c r="B33" s="236" t="s">
        <v>301</v>
      </c>
      <c r="C33" s="237" t="s">
        <v>20</v>
      </c>
      <c r="D33" s="237" t="s">
        <v>311</v>
      </c>
      <c r="E33" s="237">
        <v>1.17</v>
      </c>
      <c r="F33" s="238">
        <v>87500</v>
      </c>
      <c r="G33" s="238">
        <v>160000</v>
      </c>
      <c r="H33" s="238">
        <v>182500</v>
      </c>
      <c r="I33" s="238">
        <v>217500</v>
      </c>
      <c r="J33" s="238">
        <v>232500</v>
      </c>
      <c r="K33" s="238">
        <v>250000</v>
      </c>
      <c r="L33" s="238">
        <v>292500</v>
      </c>
      <c r="M33" s="238">
        <v>335000</v>
      </c>
      <c r="N33" s="238">
        <v>375000</v>
      </c>
      <c r="O33" s="238">
        <v>480000</v>
      </c>
      <c r="P33" s="238">
        <v>527500</v>
      </c>
      <c r="Q33" s="238">
        <v>575000</v>
      </c>
      <c r="R33" s="238">
        <v>637500</v>
      </c>
      <c r="S33" s="238">
        <v>730000</v>
      </c>
    </row>
    <row r="34" spans="1:19" s="239" customFormat="1" ht="15" thickBot="1" x14ac:dyDescent="0.4">
      <c r="A34"/>
      <c r="B34" s="236" t="s">
        <v>302</v>
      </c>
      <c r="C34" s="237" t="s">
        <v>20</v>
      </c>
      <c r="D34" s="237" t="s">
        <v>311</v>
      </c>
      <c r="E34" s="237">
        <v>1.37</v>
      </c>
      <c r="F34" s="238">
        <v>87500</v>
      </c>
      <c r="G34" s="238">
        <v>160000</v>
      </c>
      <c r="H34" s="238">
        <v>182500</v>
      </c>
      <c r="I34" s="238">
        <v>217500</v>
      </c>
      <c r="J34" s="238">
        <v>232500</v>
      </c>
      <c r="K34" s="238">
        <v>250000</v>
      </c>
      <c r="L34" s="238">
        <v>292500</v>
      </c>
      <c r="M34" s="238">
        <v>335000</v>
      </c>
      <c r="N34" s="238">
        <v>375000</v>
      </c>
      <c r="O34" s="238">
        <v>480000</v>
      </c>
      <c r="P34" s="238">
        <v>527500</v>
      </c>
      <c r="Q34" s="238">
        <v>575000</v>
      </c>
      <c r="R34" s="238">
        <v>637500</v>
      </c>
      <c r="S34" s="238">
        <v>730000</v>
      </c>
    </row>
    <row r="35" spans="1:19" s="239" customFormat="1" ht="15" thickBot="1" x14ac:dyDescent="0.4">
      <c r="A35"/>
      <c r="B35" s="236" t="s">
        <v>303</v>
      </c>
      <c r="C35" s="237" t="s">
        <v>20</v>
      </c>
      <c r="D35" s="237" t="s">
        <v>311</v>
      </c>
      <c r="E35" s="237">
        <v>1.37</v>
      </c>
      <c r="F35" s="238">
        <v>87500</v>
      </c>
      <c r="G35" s="238">
        <v>160000</v>
      </c>
      <c r="H35" s="238">
        <v>182500</v>
      </c>
      <c r="I35" s="238">
        <v>217500</v>
      </c>
      <c r="J35" s="238">
        <v>232500</v>
      </c>
      <c r="K35" s="238">
        <v>250000</v>
      </c>
      <c r="L35" s="238">
        <v>292500</v>
      </c>
      <c r="M35" s="238">
        <v>335000</v>
      </c>
      <c r="N35" s="238">
        <v>375000</v>
      </c>
      <c r="O35" s="238">
        <v>480000</v>
      </c>
      <c r="P35" s="238">
        <v>527500</v>
      </c>
      <c r="Q35" s="238">
        <v>575000</v>
      </c>
      <c r="R35" s="238">
        <v>637500</v>
      </c>
      <c r="S35" s="238">
        <v>730000</v>
      </c>
    </row>
    <row r="36" spans="1:19" s="239" customFormat="1" ht="15" thickBot="1" x14ac:dyDescent="0.4">
      <c r="A36"/>
      <c r="B36" s="236" t="s">
        <v>304</v>
      </c>
      <c r="C36" s="237" t="s">
        <v>20</v>
      </c>
      <c r="D36" s="237" t="s">
        <v>156</v>
      </c>
      <c r="E36" s="237">
        <v>2.0699999999999998</v>
      </c>
      <c r="F36" s="238">
        <v>149000</v>
      </c>
      <c r="G36" s="238">
        <v>272000</v>
      </c>
      <c r="H36" s="238">
        <v>310250</v>
      </c>
      <c r="I36" s="238">
        <v>369750</v>
      </c>
      <c r="J36" s="238">
        <v>395250</v>
      </c>
      <c r="K36" s="238">
        <v>425000</v>
      </c>
      <c r="L36" s="238">
        <v>497250</v>
      </c>
      <c r="M36" s="238">
        <v>569500</v>
      </c>
      <c r="N36" s="238">
        <v>637500</v>
      </c>
      <c r="O36" s="238">
        <v>816000</v>
      </c>
      <c r="P36" s="238">
        <v>896750</v>
      </c>
      <c r="Q36" s="238">
        <v>977500</v>
      </c>
      <c r="R36" s="238">
        <v>1083750</v>
      </c>
      <c r="S36" s="238">
        <v>1241000</v>
      </c>
    </row>
    <row r="37" spans="1:19" s="239" customFormat="1" ht="15" thickBot="1" x14ac:dyDescent="0.4">
      <c r="A37" s="235"/>
      <c r="B37" s="236" t="s">
        <v>305</v>
      </c>
      <c r="C37" s="237" t="s">
        <v>20</v>
      </c>
      <c r="D37" s="237" t="s">
        <v>156</v>
      </c>
      <c r="E37" s="237">
        <v>2.95</v>
      </c>
      <c r="F37" s="238">
        <v>575750</v>
      </c>
      <c r="G37" s="238">
        <v>1052800</v>
      </c>
      <c r="H37" s="238">
        <v>1200850</v>
      </c>
      <c r="I37" s="238">
        <v>1431150</v>
      </c>
      <c r="J37" s="238">
        <v>1529850</v>
      </c>
      <c r="K37" s="238">
        <v>1645000</v>
      </c>
      <c r="L37" s="238">
        <v>1924650</v>
      </c>
      <c r="M37" s="238">
        <v>2204300</v>
      </c>
      <c r="N37" s="238">
        <v>2467500</v>
      </c>
      <c r="O37" s="238">
        <v>3158400</v>
      </c>
      <c r="P37" s="238">
        <v>3470950</v>
      </c>
      <c r="Q37" s="238">
        <v>3783500</v>
      </c>
      <c r="R37" s="238">
        <v>4194750</v>
      </c>
      <c r="S37" s="238">
        <v>4803400</v>
      </c>
    </row>
    <row r="38" spans="1:19" s="239" customFormat="1" ht="15" thickBot="1" x14ac:dyDescent="0.4">
      <c r="A38"/>
      <c r="B38" s="236" t="s">
        <v>306</v>
      </c>
      <c r="C38" s="237" t="s">
        <v>20</v>
      </c>
      <c r="D38" s="237" t="s">
        <v>156</v>
      </c>
      <c r="E38" s="237">
        <v>2.5099999999999998</v>
      </c>
      <c r="F38" s="238">
        <v>575750</v>
      </c>
      <c r="G38" s="238">
        <v>1052800</v>
      </c>
      <c r="H38" s="238">
        <v>1200850</v>
      </c>
      <c r="I38" s="238">
        <v>1431150</v>
      </c>
      <c r="J38" s="238">
        <v>1529850</v>
      </c>
      <c r="K38" s="238">
        <v>1645000</v>
      </c>
      <c r="L38" s="238">
        <v>1924650</v>
      </c>
      <c r="M38" s="238">
        <v>2204300</v>
      </c>
      <c r="N38" s="238">
        <v>2467500</v>
      </c>
      <c r="O38" s="238">
        <v>3158400</v>
      </c>
      <c r="P38" s="238">
        <v>3470950</v>
      </c>
      <c r="Q38" s="238">
        <v>3783500</v>
      </c>
      <c r="R38" s="238">
        <v>4194750</v>
      </c>
      <c r="S38" s="238">
        <v>4803400</v>
      </c>
    </row>
    <row r="39" spans="1:19" s="239" customFormat="1" ht="15" thickBot="1" x14ac:dyDescent="0.4">
      <c r="A39"/>
      <c r="B39" s="236" t="s">
        <v>307</v>
      </c>
      <c r="C39" s="237" t="s">
        <v>20</v>
      </c>
      <c r="D39" s="237" t="s">
        <v>156</v>
      </c>
      <c r="E39" s="237">
        <v>2.66</v>
      </c>
      <c r="F39" s="238">
        <v>477750</v>
      </c>
      <c r="G39" s="238">
        <v>873600</v>
      </c>
      <c r="H39" s="238">
        <v>996450</v>
      </c>
      <c r="I39" s="238">
        <v>1187550</v>
      </c>
      <c r="J39" s="238">
        <v>1269450</v>
      </c>
      <c r="K39" s="238">
        <v>1365000</v>
      </c>
      <c r="L39" s="238">
        <v>1597050</v>
      </c>
      <c r="M39" s="238">
        <v>1829100</v>
      </c>
      <c r="N39" s="238">
        <v>2047500</v>
      </c>
      <c r="O39" s="238">
        <v>2620800</v>
      </c>
      <c r="P39" s="238">
        <v>2880150</v>
      </c>
      <c r="Q39" s="238">
        <v>3139500</v>
      </c>
      <c r="R39" s="238">
        <v>3480750</v>
      </c>
      <c r="S39" s="238">
        <v>3985800</v>
      </c>
    </row>
    <row r="40" spans="1:19" s="239" customFormat="1" ht="15" thickBot="1" x14ac:dyDescent="0.4">
      <c r="A40"/>
      <c r="B40" s="236" t="s">
        <v>308</v>
      </c>
      <c r="C40" s="237" t="s">
        <v>20</v>
      </c>
      <c r="D40" s="237" t="s">
        <v>311</v>
      </c>
      <c r="E40" s="237">
        <v>1.1100000000000001</v>
      </c>
      <c r="F40" s="238">
        <v>96250</v>
      </c>
      <c r="G40" s="238">
        <v>176000</v>
      </c>
      <c r="H40" s="238">
        <v>200750</v>
      </c>
      <c r="I40" s="238">
        <v>239250</v>
      </c>
      <c r="J40" s="238">
        <v>255750</v>
      </c>
      <c r="K40" s="238">
        <v>275000</v>
      </c>
      <c r="L40" s="238">
        <v>321750</v>
      </c>
      <c r="M40" s="238">
        <v>368500</v>
      </c>
      <c r="N40" s="238">
        <v>412500</v>
      </c>
      <c r="O40" s="238">
        <v>528000</v>
      </c>
      <c r="P40" s="238">
        <v>580250</v>
      </c>
      <c r="Q40" s="238">
        <v>632500</v>
      </c>
      <c r="R40" s="238">
        <v>701250</v>
      </c>
      <c r="S40" s="238">
        <v>803000</v>
      </c>
    </row>
    <row r="41" spans="1:19" s="239" customFormat="1" ht="15" thickBot="1" x14ac:dyDescent="0.4">
      <c r="A41"/>
      <c r="B41" s="236" t="s">
        <v>309</v>
      </c>
      <c r="C41" s="237" t="s">
        <v>20</v>
      </c>
      <c r="D41" s="237" t="s">
        <v>311</v>
      </c>
      <c r="E41" s="237">
        <v>0.45</v>
      </c>
      <c r="F41" s="238">
        <v>30750</v>
      </c>
      <c r="G41" s="238">
        <v>56000</v>
      </c>
      <c r="H41" s="238">
        <v>64000</v>
      </c>
      <c r="I41" s="238">
        <v>76250</v>
      </c>
      <c r="J41" s="238">
        <v>81500</v>
      </c>
      <c r="K41" s="238">
        <v>87500</v>
      </c>
      <c r="L41" s="238">
        <v>102500</v>
      </c>
      <c r="M41" s="238">
        <v>117250</v>
      </c>
      <c r="N41" s="238">
        <v>131250</v>
      </c>
      <c r="O41" s="238">
        <v>168000</v>
      </c>
      <c r="P41" s="238">
        <v>184750</v>
      </c>
      <c r="Q41" s="238">
        <v>201250</v>
      </c>
      <c r="R41" s="238">
        <v>223250</v>
      </c>
      <c r="S41" s="238">
        <v>255500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4AE9BB441A01443BC0E8D9C83980CA9" ma:contentTypeVersion="13" ma:contentTypeDescription="Crear nuevo documento." ma:contentTypeScope="" ma:versionID="42f5787859d195c7c9b2bfbdf896dea2">
  <xsd:schema xmlns:xsd="http://www.w3.org/2001/XMLSchema" xmlns:xs="http://www.w3.org/2001/XMLSchema" xmlns:p="http://schemas.microsoft.com/office/2006/metadata/properties" xmlns:ns2="fea4fd6f-c5e6-4a30-bf1d-bcc9f5795e3d" xmlns:ns3="1d8a6cef-766a-40d4-ac2a-d3a984859800" targetNamespace="http://schemas.microsoft.com/office/2006/metadata/properties" ma:root="true" ma:fieldsID="74f9421d6b1e68057ae052fec11b96c6" ns2:_="" ns3:_="">
    <xsd:import namespace="fea4fd6f-c5e6-4a30-bf1d-bcc9f5795e3d"/>
    <xsd:import namespace="1d8a6cef-766a-40d4-ac2a-d3a9848598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a4fd6f-c5e6-4a30-bf1d-bcc9f5795e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0019450-ca76-4d72-8cbd-0f20025671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a6cef-766a-40d4-ac2a-d3a98485980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3556b2-46c0-414d-8fb2-2a59922ca854}" ma:internalName="TaxCatchAll" ma:showField="CatchAllData" ma:web="1d8a6cef-766a-40d4-ac2a-d3a9848598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a4fd6f-c5e6-4a30-bf1d-bcc9f5795e3d">
      <Terms xmlns="http://schemas.microsoft.com/office/infopath/2007/PartnerControls"/>
    </lcf76f155ced4ddcb4097134ff3c332f>
    <TaxCatchAll xmlns="1d8a6cef-766a-40d4-ac2a-d3a984859800" xsi:nil="true"/>
  </documentManagement>
</p:properties>
</file>

<file path=customXml/itemProps1.xml><?xml version="1.0" encoding="utf-8"?>
<ds:datastoreItem xmlns:ds="http://schemas.openxmlformats.org/officeDocument/2006/customXml" ds:itemID="{09E1190E-FD5F-4EBE-8E58-591064ADDF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FE354A-4C4B-478A-AAEA-16B78C192B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a4fd6f-c5e6-4a30-bf1d-bcc9f5795e3d"/>
    <ds:schemaRef ds:uri="1d8a6cef-766a-40d4-ac2a-d3a984859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8A3F63-0AAF-4574-8A3D-3172F3715CA7}">
  <ds:schemaRefs>
    <ds:schemaRef ds:uri="http://schemas.microsoft.com/office/2006/metadata/properties"/>
    <ds:schemaRef ds:uri="http://schemas.microsoft.com/office/infopath/2007/PartnerControls"/>
    <ds:schemaRef ds:uri="ef552b2b-00cd-46f6-a993-bba9447fc40e"/>
    <ds:schemaRef ds:uri="0cb50660-0e4b-48a2-ba5d-3224e3e76f8e"/>
    <ds:schemaRef ds:uri="fea4fd6f-c5e6-4a30-bf1d-bcc9f5795e3d"/>
    <ds:schemaRef ds:uri="1d8a6cef-766a-40d4-ac2a-d3a98485980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CHV</vt:lpstr>
      <vt:lpstr>Mega</vt:lpstr>
      <vt:lpstr>TVN</vt:lpstr>
      <vt:lpstr>Canal 13</vt:lpstr>
      <vt:lpstr>TVN!Área_de_impresión</vt:lpstr>
    </vt:vector>
  </TitlesOfParts>
  <Company>ViacomCBS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Ortuzar, Jose</dc:creator>
  <cp:lastModifiedBy>Sebastián Padilla - Senior Media Planner</cp:lastModifiedBy>
  <dcterms:created xsi:type="dcterms:W3CDTF">2025-04-15T18:26:55Z</dcterms:created>
  <dcterms:modified xsi:type="dcterms:W3CDTF">2026-09-27T02:43:42Z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0x01010054AE9BB441A01443BC0E8D9C83980CA9</vt:lpwstr>
  </property>
  <property fmtid="{D5CDD505-2E9C-101B-9397-08002B2CF9AE}" pid="3" name="MediaServiceImageTags">
    <vt:lpwstr/>
  </property>
</Properties>
</file>