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ytgroupchile-my.sharepoint.com/personal/spadilla_gytmkt_com/Documents/Escritorio/2026/Planificador TV/"/>
    </mc:Choice>
  </mc:AlternateContent>
  <xr:revisionPtr revIDLastSave="618" documentId="8_{DC685116-B60B-404E-B708-1B36C62E9D95}" xr6:coauthVersionLast="47" xr6:coauthVersionMax="47" xr10:uidLastSave="{C68B6852-2F52-4063-B0C2-8A9EB47EF3DF}"/>
  <bookViews>
    <workbookView xWindow="-110" yWindow="-110" windowWidth="19420" windowHeight="11500" tabRatio="726" xr2:uid="{0AF157CD-8DF8-4120-A44D-908705F24A1F}"/>
  </bookViews>
  <sheets>
    <sheet name="Pauta mes tipo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\a" localSheetId="0">'[1]#G.O.'!#REF!</definedName>
    <definedName name="\a">'[1]#G.O.'!#REF!</definedName>
    <definedName name="\b" localSheetId="0">'[1]#G.O.'!#REF!</definedName>
    <definedName name="\b">'[1]#G.O.'!#REF!</definedName>
    <definedName name="\c" localSheetId="0">'[1]#G.O.'!#REF!</definedName>
    <definedName name="\c">'[1]#G.O.'!#REF!</definedName>
    <definedName name="\d" localSheetId="0">'[1]#G.O.'!#REF!</definedName>
    <definedName name="\d">'[1]#G.O.'!#REF!</definedName>
    <definedName name="\e" localSheetId="0">'[1]#G.O.'!#REF!</definedName>
    <definedName name="\e">'[1]#G.O.'!#REF!</definedName>
    <definedName name="\f" localSheetId="0">'[1]#G.O.'!#REF!</definedName>
    <definedName name="\f">'[1]#G.O.'!#REF!</definedName>
    <definedName name="\g" localSheetId="0">'[1]#G.O.'!#REF!</definedName>
    <definedName name="\g">'[1]#G.O.'!#REF!</definedName>
    <definedName name="\h" localSheetId="0">'[1]#G.O.'!#REF!</definedName>
    <definedName name="\h">'[1]#G.O.'!#REF!</definedName>
    <definedName name="\i" localSheetId="0">'[1]#G.O.'!#REF!</definedName>
    <definedName name="\i">'[1]#G.O.'!#REF!</definedName>
    <definedName name="\j" localSheetId="0">'[1]#G.O.'!#REF!</definedName>
    <definedName name="\j">'[1]#G.O.'!#REF!</definedName>
    <definedName name="\k" localSheetId="0">'[1]#G.O.'!#REF!</definedName>
    <definedName name="\k">'[1]#G.O.'!#REF!</definedName>
    <definedName name="\l" localSheetId="0">'[1]#G.O.'!#REF!</definedName>
    <definedName name="\l">'[1]#G.O.'!#REF!</definedName>
    <definedName name="\m" localSheetId="0">'[1]#G.O.'!#REF!</definedName>
    <definedName name="\m">'[1]#G.O.'!#REF!</definedName>
    <definedName name="\n" localSheetId="0">'[1]#G.O.'!#REF!</definedName>
    <definedName name="\n">'[1]#G.O.'!#REF!</definedName>
    <definedName name="\o" localSheetId="0">'[1]#G.O.'!#REF!</definedName>
    <definedName name="\o">'[1]#G.O.'!#REF!</definedName>
    <definedName name="\p" localSheetId="0">'[1]#G.O.'!#REF!</definedName>
    <definedName name="\p">'[1]#G.O.'!#REF!</definedName>
    <definedName name="\q" localSheetId="0">'[1]#G.O.'!#REF!</definedName>
    <definedName name="\q">'[1]#G.O.'!#REF!</definedName>
    <definedName name="\r" localSheetId="0">'[1]#G.O.'!#REF!</definedName>
    <definedName name="\r">'[1]#G.O.'!#REF!</definedName>
    <definedName name="\s" localSheetId="0">'[1]#G.O.'!#REF!</definedName>
    <definedName name="\s">'[1]#G.O.'!#REF!</definedName>
    <definedName name="\t" localSheetId="0">'[1]#G.O.'!#REF!</definedName>
    <definedName name="\t">'[1]#G.O.'!#REF!</definedName>
    <definedName name="\u" localSheetId="0">'[1]#G.O.'!#REF!</definedName>
    <definedName name="\u">'[1]#G.O.'!#REF!</definedName>
    <definedName name="\v" localSheetId="0">'[1]#G.O.'!#REF!</definedName>
    <definedName name="\v">'[1]#G.O.'!#REF!</definedName>
    <definedName name="\w" localSheetId="0">'[1]#G.O.'!#REF!</definedName>
    <definedName name="\w">'[1]#G.O.'!#REF!</definedName>
    <definedName name="\x" localSheetId="0">'[1]#G.O.'!#REF!</definedName>
    <definedName name="\x">'[1]#G.O.'!#REF!</definedName>
    <definedName name="\z" localSheetId="0">'[1]#G.O.'!#REF!</definedName>
    <definedName name="\z">'[1]#G.O.'!#REF!</definedName>
    <definedName name="_" localSheetId="0">#REF!</definedName>
    <definedName name="_">#REF!</definedName>
    <definedName name="_____________________________________________________r">#N/A</definedName>
    <definedName name="___________________________________________________r">#N/A</definedName>
    <definedName name="_________________________________________________r">#N/A</definedName>
    <definedName name="________________________________________________r">#N/A</definedName>
    <definedName name="_______________________________________________r">#N/A</definedName>
    <definedName name="______________________________________________r">#N/A</definedName>
    <definedName name="_____________________________________________r">#N/A</definedName>
    <definedName name="____________________________________________r">#N/A</definedName>
    <definedName name="___________________________________________r">#N/A</definedName>
    <definedName name="__________________________________________r">#N/A</definedName>
    <definedName name="_________________________________________r">#N/A</definedName>
    <definedName name="________________________________________r">#N/A</definedName>
    <definedName name="_______________________________________r">#N/A</definedName>
    <definedName name="______________________________________r">#N/A</definedName>
    <definedName name="_____________________________________r">#N/A</definedName>
    <definedName name="____________________________________r">#N/A</definedName>
    <definedName name="___________________________________r">#N/A</definedName>
    <definedName name="__________________________________r">#N/A</definedName>
    <definedName name="_________________________________r">#N/A</definedName>
    <definedName name="________________________________r">#N/A</definedName>
    <definedName name="_______________________________r">#N/A</definedName>
    <definedName name="______________________________a1">#REF!</definedName>
    <definedName name="______________________________r">#N/A</definedName>
    <definedName name="_____________________________a1">#REF!</definedName>
    <definedName name="_____________________________ABC1">#REF!</definedName>
    <definedName name="_____________________________r">#N/A</definedName>
    <definedName name="____________________________a1">#REF!</definedName>
    <definedName name="____________________________ABC1">#REF!</definedName>
    <definedName name="____________________________r">#N/A</definedName>
    <definedName name="___________________________a1">#REF!</definedName>
    <definedName name="___________________________ABC1">#REF!</definedName>
    <definedName name="___________________________r">#N/A</definedName>
    <definedName name="__________________________a1">#REF!</definedName>
    <definedName name="__________________________ABC1">#REF!</definedName>
    <definedName name="__________________________Irr1">#REF!</definedName>
    <definedName name="__________________________pe1">#REF!</definedName>
    <definedName name="__________________________r">#N/A</definedName>
    <definedName name="__________________________tv1">#REF!</definedName>
    <definedName name="_________________________a1">#REF!</definedName>
    <definedName name="_________________________ABC1">#REF!</definedName>
    <definedName name="_________________________IV17000">#REF!</definedName>
    <definedName name="_________________________IV20000">#REF!</definedName>
    <definedName name="_________________________r">#N/A</definedName>
    <definedName name="_________________________ZZ5000">#REF!</definedName>
    <definedName name="________________________a1">#REF!</definedName>
    <definedName name="________________________ABC1">#REF!</definedName>
    <definedName name="________________________Irr1">#REF!</definedName>
    <definedName name="________________________IV17000">#REF!</definedName>
    <definedName name="________________________IV170001">#REF!</definedName>
    <definedName name="________________________IV20000">#REF!</definedName>
    <definedName name="________________________IV200001">#REF!</definedName>
    <definedName name="________________________pe1">#REF!</definedName>
    <definedName name="________________________r">#N/A</definedName>
    <definedName name="________________________tv1">#REF!</definedName>
    <definedName name="________________________ZZ5000">#REF!</definedName>
    <definedName name="_______________________ABC1">#REF!</definedName>
    <definedName name="_______________________Irr1">#REF!</definedName>
    <definedName name="_______________________IV17000">#REF!</definedName>
    <definedName name="_______________________IV170001">#REF!</definedName>
    <definedName name="_______________________IV20000">#REF!</definedName>
    <definedName name="_______________________IV200001">#REF!</definedName>
    <definedName name="_______________________pe1">#REF!</definedName>
    <definedName name="_______________________r">#N/A</definedName>
    <definedName name="_______________________tv1">#REF!</definedName>
    <definedName name="_______________________ZZ5000">#REF!</definedName>
    <definedName name="_______________________zz5001">#REF!</definedName>
    <definedName name="______________________a1">#REF!</definedName>
    <definedName name="______________________ABC1">#REF!</definedName>
    <definedName name="______________________F">#REF!</definedName>
    <definedName name="______________________Irr1">#REF!</definedName>
    <definedName name="______________________IV17000">#REF!</definedName>
    <definedName name="______________________IV170001">#REF!</definedName>
    <definedName name="______________________IV20000">#REF!</definedName>
    <definedName name="______________________IV200001">#REF!</definedName>
    <definedName name="______________________pe1">#REF!</definedName>
    <definedName name="______________________r">#N/A</definedName>
    <definedName name="______________________tv1">#REF!</definedName>
    <definedName name="______________________ZZ5000">#REF!</definedName>
    <definedName name="______________________zz5001">#REF!</definedName>
    <definedName name="_____________________a1">#REF!</definedName>
    <definedName name="_____________________ABC1">#REF!</definedName>
    <definedName name="_____________________F">#REF!</definedName>
    <definedName name="_____________________Irr1">#REF!</definedName>
    <definedName name="_____________________IV17000">#REF!</definedName>
    <definedName name="_____________________IV170001">#REF!</definedName>
    <definedName name="_____________________IV20000">#REF!</definedName>
    <definedName name="_____________________IV200001">#REF!</definedName>
    <definedName name="_____________________pe1">#REF!</definedName>
    <definedName name="_____________________r">#N/A</definedName>
    <definedName name="_____________________tv1">#REF!</definedName>
    <definedName name="_____________________ZZ5000">#REF!</definedName>
    <definedName name="_____________________zz5001">#REF!</definedName>
    <definedName name="____________________a1">#REF!</definedName>
    <definedName name="____________________ABC1">#REF!</definedName>
    <definedName name="____________________F">#REF!</definedName>
    <definedName name="____________________Irr1">#REF!</definedName>
    <definedName name="____________________IV17000">#REF!</definedName>
    <definedName name="____________________IV170001">#REF!</definedName>
    <definedName name="____________________IV20000">#REF!</definedName>
    <definedName name="____________________IV200001">#REF!</definedName>
    <definedName name="____________________pe1">#REF!</definedName>
    <definedName name="____________________r">#N/A</definedName>
    <definedName name="____________________tv1">#REF!</definedName>
    <definedName name="____________________ZZ5000">#REF!</definedName>
    <definedName name="____________________zz5001">#REF!</definedName>
    <definedName name="___________________a1">#REF!</definedName>
    <definedName name="___________________ABC1">#REF!</definedName>
    <definedName name="___________________F">#REF!</definedName>
    <definedName name="___________________Irr1">#REF!</definedName>
    <definedName name="___________________IV17000">#REF!</definedName>
    <definedName name="___________________IV170001">#REF!</definedName>
    <definedName name="___________________IV20000">#REF!</definedName>
    <definedName name="___________________IV200001">#REF!</definedName>
    <definedName name="___________________KEY11">#REF!</definedName>
    <definedName name="___________________KEY22">#REF!</definedName>
    <definedName name="___________________pe1">#REF!</definedName>
    <definedName name="___________________r">#N/A</definedName>
    <definedName name="___________________tv1">#REF!</definedName>
    <definedName name="___________________UC13">#REF!</definedName>
    <definedName name="___________________ZZ5000">#REF!</definedName>
    <definedName name="___________________zz5001">#REF!</definedName>
    <definedName name="__________________A1">#REF!</definedName>
    <definedName name="__________________ABC1">#REF!</definedName>
    <definedName name="__________________F">#REF!</definedName>
    <definedName name="__________________Irr1">#REF!</definedName>
    <definedName name="__________________IV17000">#REF!</definedName>
    <definedName name="__________________IV170001">#REF!</definedName>
    <definedName name="__________________IV20000">#REF!</definedName>
    <definedName name="__________________IV200001">#REF!</definedName>
    <definedName name="__________________KEY11">#REF!</definedName>
    <definedName name="__________________KEY22">#REF!</definedName>
    <definedName name="__________________pe1">#REF!</definedName>
    <definedName name="__________________r">#N/A</definedName>
    <definedName name="__________________tv1">#REF!</definedName>
    <definedName name="__________________UC13">#REF!</definedName>
    <definedName name="__________________ZZ5000">#REF!</definedName>
    <definedName name="__________________zz5001">#REF!</definedName>
    <definedName name="_________________A1">#REF!</definedName>
    <definedName name="_________________ABC1">#REF!</definedName>
    <definedName name="_________________dey3">#REF!</definedName>
    <definedName name="_________________dey5">#REF!</definedName>
    <definedName name="_________________F">#REF!</definedName>
    <definedName name="_________________Irr1">#REF!</definedName>
    <definedName name="_________________IV17000">#REF!</definedName>
    <definedName name="_________________IV170001">#REF!</definedName>
    <definedName name="_________________IV20000">#REF!</definedName>
    <definedName name="_________________IV200001">#REF!</definedName>
    <definedName name="_________________KEY11">#REF!</definedName>
    <definedName name="_________________KEY22">#REF!</definedName>
    <definedName name="_________________OP9">#REF!</definedName>
    <definedName name="_________________pe1">#REF!</definedName>
    <definedName name="_________________r">#N/A</definedName>
    <definedName name="_________________Rev2">#REF!</definedName>
    <definedName name="_________________Rev3">#REF!</definedName>
    <definedName name="_________________Rev4">#REF!</definedName>
    <definedName name="_________________Rev5">#REF!</definedName>
    <definedName name="_________________Rv1">#REF!</definedName>
    <definedName name="_________________sem3">#REF!</definedName>
    <definedName name="_________________sem4">#REF!</definedName>
    <definedName name="_________________sem5">#REF!</definedName>
    <definedName name="_________________tv1">#REF!</definedName>
    <definedName name="_________________TV3">#N/A</definedName>
    <definedName name="_________________UC13">#REF!</definedName>
    <definedName name="_________________ZZ1">#REF!</definedName>
    <definedName name="_________________ZZ5000">#REF!</definedName>
    <definedName name="_________________zz5001">#REF!</definedName>
    <definedName name="________________A1">#REF!</definedName>
    <definedName name="________________ABC1">#REF!</definedName>
    <definedName name="________________dey3">#REF!</definedName>
    <definedName name="________________dey5">#REF!</definedName>
    <definedName name="________________F">#REF!</definedName>
    <definedName name="________________Irr1">#REF!</definedName>
    <definedName name="________________IV17000">#REF!</definedName>
    <definedName name="________________IV170001">#REF!</definedName>
    <definedName name="________________IV20000">#REF!</definedName>
    <definedName name="________________IV200001">#REF!</definedName>
    <definedName name="________________KEY11">#REF!</definedName>
    <definedName name="________________KEY22">#REF!</definedName>
    <definedName name="________________OP9">#REF!</definedName>
    <definedName name="________________pe1">#REF!</definedName>
    <definedName name="________________r">#N/A</definedName>
    <definedName name="________________rd1" localSheetId="0" hidden="1">{"Retail Divisional",#N/A,FALSE,"DCIConsol";"Discovery Stores PL",#N/A,FALSE,"DCIConsol";"Flagship PL",#N/A,FALSE,"DCIConsol"}</definedName>
    <definedName name="________________rd1" hidden="1">{"Retail Divisional",#N/A,FALSE,"DCIConsol";"Discovery Stores PL",#N/A,FALSE,"DCIConsol";"Flagship PL",#N/A,FALSE,"DCIConsol"}</definedName>
    <definedName name="________________Rev2">#REF!</definedName>
    <definedName name="________________Rev3">#REF!</definedName>
    <definedName name="________________Rev4">#REF!</definedName>
    <definedName name="________________Rev5">#REF!</definedName>
    <definedName name="________________Rv1">#REF!</definedName>
    <definedName name="________________sem3">#REF!</definedName>
    <definedName name="________________sem4">#REF!</definedName>
    <definedName name="________________sem5">#REF!</definedName>
    <definedName name="________________tv1">#REF!</definedName>
    <definedName name="________________UC13">#REF!</definedName>
    <definedName name="________________ZZ1">#REF!</definedName>
    <definedName name="________________ZZ5000">#REF!</definedName>
    <definedName name="________________zz5001">#REF!</definedName>
    <definedName name="_______________A1">#REF!</definedName>
    <definedName name="_______________ABC1">#REF!</definedName>
    <definedName name="_______________dey3">#REF!</definedName>
    <definedName name="_______________dey5">#REF!</definedName>
    <definedName name="_______________F">#REF!</definedName>
    <definedName name="_______________Irr1">#REF!</definedName>
    <definedName name="_______________IV17000">#REF!</definedName>
    <definedName name="_______________IV170001">#REF!</definedName>
    <definedName name="_______________IV20000">#REF!</definedName>
    <definedName name="_______________IV200001">#REF!</definedName>
    <definedName name="_______________KEY11">#REF!</definedName>
    <definedName name="_______________KEY22">#REF!</definedName>
    <definedName name="_______________OP9">#REF!</definedName>
    <definedName name="_______________pe1">#REF!</definedName>
    <definedName name="_______________r">#N/A</definedName>
    <definedName name="_______________rd1" localSheetId="0" hidden="1">{"Retail Divisional",#N/A,FALSE,"DCIConsol";"Discovery Stores PL",#N/A,FALSE,"DCIConsol";"Flagship PL",#N/A,FALSE,"DCIConsol"}</definedName>
    <definedName name="_______________rd1" hidden="1">{"Retail Divisional",#N/A,FALSE,"DCIConsol";"Discovery Stores PL",#N/A,FALSE,"DCIConsol";"Flagship PL",#N/A,FALSE,"DCIConsol"}</definedName>
    <definedName name="_______________Rev2">#REF!</definedName>
    <definedName name="_______________Rev3">#REF!</definedName>
    <definedName name="_______________Rev4">#REF!</definedName>
    <definedName name="_______________Rev5">#REF!</definedName>
    <definedName name="_______________Rv1">#REF!</definedName>
    <definedName name="_______________sem3">#REF!</definedName>
    <definedName name="_______________sem4">#REF!</definedName>
    <definedName name="_______________sem5">#REF!</definedName>
    <definedName name="_______________tv1">#REF!</definedName>
    <definedName name="_______________TV3">#N/A</definedName>
    <definedName name="_______________UC13">#REF!</definedName>
    <definedName name="_______________ZZ1">#REF!</definedName>
    <definedName name="_______________ZZ5000">#REF!</definedName>
    <definedName name="_______________zz5001">#REF!</definedName>
    <definedName name="______________A1">#REF!</definedName>
    <definedName name="______________ABC1">#REF!</definedName>
    <definedName name="______________DDD2">#REF!</definedName>
    <definedName name="______________dey3">#REF!</definedName>
    <definedName name="______________dey5">#REF!</definedName>
    <definedName name="______________F">#REF!</definedName>
    <definedName name="______________Irr1">#REF!</definedName>
    <definedName name="______________IV17000">#REF!</definedName>
    <definedName name="______________IV170001">#REF!</definedName>
    <definedName name="______________IV20000">#REF!</definedName>
    <definedName name="______________IV200001">#REF!</definedName>
    <definedName name="______________KEY11">#REF!</definedName>
    <definedName name="______________KEY22">#REF!</definedName>
    <definedName name="______________OP9">#REF!</definedName>
    <definedName name="______________pe1">#REF!</definedName>
    <definedName name="______________r">#N/A</definedName>
    <definedName name="______________Rad20">#REF!</definedName>
    <definedName name="______________rd1" localSheetId="0" hidden="1">{"Retail Divisional",#N/A,FALSE,"DCIConsol";"Discovery Stores PL",#N/A,FALSE,"DCIConsol";"Flagship PL",#N/A,FALSE,"DCIConsol"}</definedName>
    <definedName name="______________rd1" hidden="1">{"Retail Divisional",#N/A,FALSE,"DCIConsol";"Discovery Stores PL",#N/A,FALSE,"DCIConsol";"Flagship PL",#N/A,FALSE,"DCIConsol"}</definedName>
    <definedName name="______________Rev2">#REF!</definedName>
    <definedName name="______________Rev3">#REF!</definedName>
    <definedName name="______________Rev4">#REF!</definedName>
    <definedName name="______________Rev5">#REF!</definedName>
    <definedName name="______________Rv1">#REF!</definedName>
    <definedName name="______________sem3">#REF!</definedName>
    <definedName name="______________sem4">#REF!</definedName>
    <definedName name="______________sem5">#REF!</definedName>
    <definedName name="______________tv1">#REF!</definedName>
    <definedName name="______________UC13">#REF!</definedName>
    <definedName name="______________ZZ1">#REF!</definedName>
    <definedName name="______________ZZ5000">#REF!</definedName>
    <definedName name="______________zz5001">#REF!</definedName>
    <definedName name="_____________A1">#REF!</definedName>
    <definedName name="_____________ABC1">#REF!</definedName>
    <definedName name="_____________DDD2">#REF!</definedName>
    <definedName name="_____________dey3">#REF!</definedName>
    <definedName name="_____________dey5">#REF!</definedName>
    <definedName name="_____________F">#REF!</definedName>
    <definedName name="_____________Irr1">#REF!</definedName>
    <definedName name="_____________IV17000">#REF!</definedName>
    <definedName name="_____________IV170001">#REF!</definedName>
    <definedName name="_____________IV20000">#REF!</definedName>
    <definedName name="_____________IV200001">#REF!</definedName>
    <definedName name="_____________KEY11">#REF!</definedName>
    <definedName name="_____________KEY22">#REF!</definedName>
    <definedName name="_____________OP9">#REF!</definedName>
    <definedName name="_____________pe1">#REF!</definedName>
    <definedName name="_____________r">#N/A</definedName>
    <definedName name="_____________rd1" localSheetId="0" hidden="1">{"Retail Divisional",#N/A,FALSE,"DCIConsol";"Discovery Stores PL",#N/A,FALSE,"DCIConsol";"Flagship PL",#N/A,FALSE,"DCIConsol"}</definedName>
    <definedName name="_____________rd1" hidden="1">{"Retail Divisional",#N/A,FALSE,"DCIConsol";"Discovery Stores PL",#N/A,FALSE,"DCIConsol";"Flagship PL",#N/A,FALSE,"DCIConsol"}</definedName>
    <definedName name="_____________REC2">#REF!</definedName>
    <definedName name="_____________Rev2">#REF!</definedName>
    <definedName name="_____________Rev3">#REF!</definedName>
    <definedName name="_____________Rev4">#REF!</definedName>
    <definedName name="_____________Rev5">#REF!</definedName>
    <definedName name="_____________Rv1">#REF!</definedName>
    <definedName name="_____________sem3">#REF!</definedName>
    <definedName name="_____________sem4">#REF!</definedName>
    <definedName name="_____________sem5">#REF!</definedName>
    <definedName name="_____________tv1">#REF!</definedName>
    <definedName name="_____________TV3">#N/A</definedName>
    <definedName name="_____________UC13">#REF!</definedName>
    <definedName name="_____________ZZ1">#REF!</definedName>
    <definedName name="_____________ZZ5000">#REF!</definedName>
    <definedName name="_____________zz5001">#REF!</definedName>
    <definedName name="____________A1">#REF!</definedName>
    <definedName name="____________ABC1">#REF!</definedName>
    <definedName name="____________DDD2">#REF!</definedName>
    <definedName name="____________dey3">#REF!</definedName>
    <definedName name="____________dey5">#REF!</definedName>
    <definedName name="____________F">#REF!</definedName>
    <definedName name="____________Irr1">#REF!</definedName>
    <definedName name="____________IV17000">#REF!</definedName>
    <definedName name="____________IV170001">#REF!</definedName>
    <definedName name="____________IV20000">#REF!</definedName>
    <definedName name="____________IV200001">#REF!</definedName>
    <definedName name="____________KEY11">#REF!</definedName>
    <definedName name="____________KEY22">#REF!</definedName>
    <definedName name="____________OP9">#REF!</definedName>
    <definedName name="____________pe1">#REF!</definedName>
    <definedName name="____________r">#N/A</definedName>
    <definedName name="____________rd1" localSheetId="0" hidden="1">{"Retail Divisional",#N/A,FALSE,"DCIConsol";"Discovery Stores PL",#N/A,FALSE,"DCIConsol";"Flagship PL",#N/A,FALSE,"DCIConsol"}</definedName>
    <definedName name="____________rd1" hidden="1">{"Retail Divisional",#N/A,FALSE,"DCIConsol";"Discovery Stores PL",#N/A,FALSE,"DCIConsol";"Flagship PL",#N/A,FALSE,"DCIConsol"}</definedName>
    <definedName name="____________REC2">#REF!</definedName>
    <definedName name="____________Rev2">#REF!</definedName>
    <definedName name="____________Rev3">#REF!</definedName>
    <definedName name="____________Rev4">#REF!</definedName>
    <definedName name="____________Rev5">#REF!</definedName>
    <definedName name="____________Rv1">#REF!</definedName>
    <definedName name="____________sem3">#REF!</definedName>
    <definedName name="____________sem4">#REF!</definedName>
    <definedName name="____________sem5">#REF!</definedName>
    <definedName name="____________tv1">#REF!</definedName>
    <definedName name="____________UC13">#REF!</definedName>
    <definedName name="____________ZZ1">#REF!</definedName>
    <definedName name="____________ZZ5000">#REF!</definedName>
    <definedName name="____________zz5001">#REF!</definedName>
    <definedName name="___________A1">#REF!</definedName>
    <definedName name="___________ABC1">#REF!</definedName>
    <definedName name="___________DDD2">#REF!</definedName>
    <definedName name="___________dey3">#REF!</definedName>
    <definedName name="___________dey5">#REF!</definedName>
    <definedName name="___________F">#REF!</definedName>
    <definedName name="___________Irr1">#REF!</definedName>
    <definedName name="___________IV17000">#REF!</definedName>
    <definedName name="___________IV170001">#REF!</definedName>
    <definedName name="___________IV20000">#REF!</definedName>
    <definedName name="___________IV200001">#REF!</definedName>
    <definedName name="___________KEY11">#REF!</definedName>
    <definedName name="___________KEY22">#REF!</definedName>
    <definedName name="___________OP9">#REF!</definedName>
    <definedName name="___________pe1">#REF!</definedName>
    <definedName name="___________r">#N/A</definedName>
    <definedName name="___________rd1" localSheetId="0" hidden="1">{"Retail Divisional",#N/A,FALSE,"DCIConsol";"Discovery Stores PL",#N/A,FALSE,"DCIConsol";"Flagship PL",#N/A,FALSE,"DCIConsol"}</definedName>
    <definedName name="___________rd1" hidden="1">{"Retail Divisional",#N/A,FALSE,"DCIConsol";"Discovery Stores PL",#N/A,FALSE,"DCIConsol";"Flagship PL",#N/A,FALSE,"DCIConsol"}</definedName>
    <definedName name="___________REC2">#REF!</definedName>
    <definedName name="___________Rev2">#REF!</definedName>
    <definedName name="___________Rev3">#REF!</definedName>
    <definedName name="___________Rev4">#REF!</definedName>
    <definedName name="___________Rev5">#REF!</definedName>
    <definedName name="___________Rv1">#REF!</definedName>
    <definedName name="___________sem3">#REF!</definedName>
    <definedName name="___________sem4">#REF!</definedName>
    <definedName name="___________sem5">#REF!</definedName>
    <definedName name="___________tv1">#REF!</definedName>
    <definedName name="___________TV3">#N/A</definedName>
    <definedName name="___________UC13">#REF!</definedName>
    <definedName name="___________ZZ1">#REF!</definedName>
    <definedName name="___________ZZ5000">#REF!</definedName>
    <definedName name="___________zz5001">#REF!</definedName>
    <definedName name="__________A1">#REF!</definedName>
    <definedName name="__________a2">#REF!</definedName>
    <definedName name="__________ABC1">#REF!</definedName>
    <definedName name="__________dey3">#REF!</definedName>
    <definedName name="__________dey5">#REF!</definedName>
    <definedName name="__________F">#REF!</definedName>
    <definedName name="__________Irr1">#REF!</definedName>
    <definedName name="__________IV17000">#REF!</definedName>
    <definedName name="__________IV170001">#REF!</definedName>
    <definedName name="__________IV20000">#REF!</definedName>
    <definedName name="__________IV200001">#REF!</definedName>
    <definedName name="__________KEY11">#REF!</definedName>
    <definedName name="__________KEY22">#REF!</definedName>
    <definedName name="__________OP9">#REF!</definedName>
    <definedName name="__________pe1">#REF!</definedName>
    <definedName name="__________r">#N/A</definedName>
    <definedName name="__________rd1" localSheetId="0" hidden="1">{"Retail Divisional",#N/A,FALSE,"DCIConsol";"Discovery Stores PL",#N/A,FALSE,"DCIConsol";"Flagship PL",#N/A,FALSE,"DCIConsol"}</definedName>
    <definedName name="__________rd1" hidden="1">{"Retail Divisional",#N/A,FALSE,"DCIConsol";"Discovery Stores PL",#N/A,FALSE,"DCIConsol";"Flagship PL",#N/A,FALSE,"DCIConsol"}</definedName>
    <definedName name="__________REC2">#REF!</definedName>
    <definedName name="__________Rev2">#REF!</definedName>
    <definedName name="__________Rev3">#REF!</definedName>
    <definedName name="__________Rev4">#REF!</definedName>
    <definedName name="__________Rev5">#REF!</definedName>
    <definedName name="__________Rv1">#REF!</definedName>
    <definedName name="__________sem3">#REF!</definedName>
    <definedName name="__________sem4">#REF!</definedName>
    <definedName name="__________sem5">#REF!</definedName>
    <definedName name="__________tv1">#REF!</definedName>
    <definedName name="__________UC13">#REF!</definedName>
    <definedName name="__________ZZ1">#REF!</definedName>
    <definedName name="__________ZZ5000">#REF!</definedName>
    <definedName name="__________zz5001">#REF!</definedName>
    <definedName name="_________A1">#REF!</definedName>
    <definedName name="_________A2">#REF!</definedName>
    <definedName name="_________ABC1">#REF!</definedName>
    <definedName name="_________b1">#REF!</definedName>
    <definedName name="_________DDD2">#REF!</definedName>
    <definedName name="_________dey3">#REF!</definedName>
    <definedName name="_________dey5">#REF!</definedName>
    <definedName name="_________F">#REF!</definedName>
    <definedName name="_________Irr1">#REF!</definedName>
    <definedName name="_________IV17000">#REF!</definedName>
    <definedName name="_________IV170001">#REF!</definedName>
    <definedName name="_________IV20000">#REF!</definedName>
    <definedName name="_________IV200001">#REF!</definedName>
    <definedName name="_________KEY11">#REF!</definedName>
    <definedName name="_________KEY22">#REF!</definedName>
    <definedName name="_________OP9">#REF!</definedName>
    <definedName name="_________pe1">#REF!</definedName>
    <definedName name="_________r">#N/A</definedName>
    <definedName name="_________rd1" localSheetId="0" hidden="1">{"Retail Divisional",#N/A,FALSE,"DCIConsol";"Discovery Stores PL",#N/A,FALSE,"DCIConsol";"Flagship PL",#N/A,FALSE,"DCIConsol"}</definedName>
    <definedName name="_________rd1" hidden="1">{"Retail Divisional",#N/A,FALSE,"DCIConsol";"Discovery Stores PL",#N/A,FALSE,"DCIConsol";"Flagship PL",#N/A,FALSE,"DCIConsol"}</definedName>
    <definedName name="_________REC2">#REF!</definedName>
    <definedName name="_________Rev2">#REF!</definedName>
    <definedName name="_________Rev3">#REF!</definedName>
    <definedName name="_________Rev4">#REF!</definedName>
    <definedName name="_________Rev5">#REF!</definedName>
    <definedName name="_________Rv1">#REF!</definedName>
    <definedName name="_________sem3">#REF!</definedName>
    <definedName name="_________sem4">#REF!</definedName>
    <definedName name="_________sem5">#REF!</definedName>
    <definedName name="_________tv1">#REF!</definedName>
    <definedName name="_________TV3">#N/A</definedName>
    <definedName name="_________UC13">#REF!</definedName>
    <definedName name="_________ZZ1">#REF!</definedName>
    <definedName name="_________ZZ5000">#REF!</definedName>
    <definedName name="_________zz5001">#REF!</definedName>
    <definedName name="________A1">#REF!</definedName>
    <definedName name="________A2">#REF!</definedName>
    <definedName name="________ABC1">#REF!</definedName>
    <definedName name="________b1">#REF!</definedName>
    <definedName name="________DDD2">#REF!</definedName>
    <definedName name="________dey3">#REF!</definedName>
    <definedName name="________dey5">#REF!</definedName>
    <definedName name="________F">#REF!</definedName>
    <definedName name="________Irr1">#REF!</definedName>
    <definedName name="________IV17000">#REF!</definedName>
    <definedName name="________IV170001">#REF!</definedName>
    <definedName name="________IV20000">#REF!</definedName>
    <definedName name="________IV200001">#REF!</definedName>
    <definedName name="________KEY11">#REF!</definedName>
    <definedName name="________KEY22">#REF!</definedName>
    <definedName name="________OP9">#REF!</definedName>
    <definedName name="________pe1">#REF!</definedName>
    <definedName name="________r">#N/A</definedName>
    <definedName name="________Rad20">#REF!</definedName>
    <definedName name="________rd1" localSheetId="0" hidden="1">{"Retail Divisional",#N/A,FALSE,"DCIConsol";"Discovery Stores PL",#N/A,FALSE,"DCIConsol";"Flagship PL",#N/A,FALSE,"DCIConsol"}</definedName>
    <definedName name="________rd1" hidden="1">{"Retail Divisional",#N/A,FALSE,"DCIConsol";"Discovery Stores PL",#N/A,FALSE,"DCIConsol";"Flagship PL",#N/A,FALSE,"DCIConsol"}</definedName>
    <definedName name="________REC2">#REF!</definedName>
    <definedName name="________Rev2">#REF!</definedName>
    <definedName name="________Rev3">#REF!</definedName>
    <definedName name="________Rev4">#REF!</definedName>
    <definedName name="________Rev5">#REF!</definedName>
    <definedName name="________Rv1">#REF!</definedName>
    <definedName name="________sem3">#REF!</definedName>
    <definedName name="________sem4">#REF!</definedName>
    <definedName name="________sem5">#REF!</definedName>
    <definedName name="________SF3">#REF!</definedName>
    <definedName name="________tv1">#REF!</definedName>
    <definedName name="________TV3">#N/A</definedName>
    <definedName name="________UC13">#REF!</definedName>
    <definedName name="________ZZ1">#REF!</definedName>
    <definedName name="________ZZ5000">#REF!</definedName>
    <definedName name="________zz5001">#REF!</definedName>
    <definedName name="_______A1">#REF!</definedName>
    <definedName name="_______ABC1">#REF!</definedName>
    <definedName name="_______b1">#REF!</definedName>
    <definedName name="_______DDD2">#REF!</definedName>
    <definedName name="_______dey3">#REF!</definedName>
    <definedName name="_______dey5">#REF!</definedName>
    <definedName name="_______F">#REF!</definedName>
    <definedName name="_______Irr1">#REF!</definedName>
    <definedName name="_______IV17000">#REF!</definedName>
    <definedName name="_______IV170001">#REF!</definedName>
    <definedName name="_______IV20000">#REF!</definedName>
    <definedName name="_______IV200001">#REF!</definedName>
    <definedName name="_______KEY11">#REF!</definedName>
    <definedName name="_______KEY22">#REF!</definedName>
    <definedName name="_______OP9">#REF!</definedName>
    <definedName name="_______pe1">#REF!</definedName>
    <definedName name="_______r">#N/A</definedName>
    <definedName name="_______Rad20">#REF!</definedName>
    <definedName name="_______rd1" localSheetId="0" hidden="1">{"Retail Divisional",#N/A,FALSE,"DCIConsol";"Discovery Stores PL",#N/A,FALSE,"DCIConsol";"Flagship PL",#N/A,FALSE,"DCIConsol"}</definedName>
    <definedName name="_______rd1" hidden="1">{"Retail Divisional",#N/A,FALSE,"DCIConsol";"Discovery Stores PL",#N/A,FALSE,"DCIConsol";"Flagship PL",#N/A,FALSE,"DCIConsol"}</definedName>
    <definedName name="_______REC2">#REF!</definedName>
    <definedName name="_______Rev2">#REF!</definedName>
    <definedName name="_______Rev3">#REF!</definedName>
    <definedName name="_______Rev4">#REF!</definedName>
    <definedName name="_______Rev5">#REF!</definedName>
    <definedName name="_______Rv1">#REF!</definedName>
    <definedName name="_______sem3">#REF!</definedName>
    <definedName name="_______sem4">#REF!</definedName>
    <definedName name="_______sem5">#REF!</definedName>
    <definedName name="_______SF3">#REF!</definedName>
    <definedName name="_______tv1">#REF!</definedName>
    <definedName name="_______TV3">#N/A</definedName>
    <definedName name="_______UC13">#REF!</definedName>
    <definedName name="_______ZZ1">#REF!</definedName>
    <definedName name="_______ZZ5000">#REF!</definedName>
    <definedName name="_______zz5001">#REF!</definedName>
    <definedName name="______A1">#REF!</definedName>
    <definedName name="______a2">#REF!</definedName>
    <definedName name="______ABC1">#REF!</definedName>
    <definedName name="______AJA2">#REF!</definedName>
    <definedName name="______DDD2">#REF!</definedName>
    <definedName name="______dey3">#REF!</definedName>
    <definedName name="______dey5">#REF!</definedName>
    <definedName name="______F">#REF!</definedName>
    <definedName name="______Irr1">#REF!</definedName>
    <definedName name="______IV17000">#REF!</definedName>
    <definedName name="______IV170001">#REF!</definedName>
    <definedName name="______IV20000">#REF!</definedName>
    <definedName name="______IV200001">#REF!</definedName>
    <definedName name="______j1">#REF!</definedName>
    <definedName name="______KEY11">#REF!</definedName>
    <definedName name="______KEY22">#REF!</definedName>
    <definedName name="______OP9">#REF!</definedName>
    <definedName name="______pe1">#REF!</definedName>
    <definedName name="______R">#REF!</definedName>
    <definedName name="______Rad20">#REF!</definedName>
    <definedName name="______rd1" localSheetId="0" hidden="1">{"Retail Divisional",#N/A,FALSE,"DCIConsol";"Discovery Stores PL",#N/A,FALSE,"DCIConsol";"Flagship PL",#N/A,FALSE,"DCIConsol"}</definedName>
    <definedName name="______rd1" hidden="1">{"Retail Divisional",#N/A,FALSE,"DCIConsol";"Discovery Stores PL",#N/A,FALSE,"DCIConsol";"Flagship PL",#N/A,FALSE,"DCIConsol"}</definedName>
    <definedName name="______REC2">#REF!</definedName>
    <definedName name="______Rev2">#REF!</definedName>
    <definedName name="______Rev3">#REF!</definedName>
    <definedName name="______Rev4">#REF!</definedName>
    <definedName name="______Rev5">#REF!</definedName>
    <definedName name="______Rv1">#REF!</definedName>
    <definedName name="______sem3">#REF!</definedName>
    <definedName name="______sem4">#REF!</definedName>
    <definedName name="______sem5">#REF!</definedName>
    <definedName name="______tv1">#REF!</definedName>
    <definedName name="______TV3">#N/A</definedName>
    <definedName name="______UC13">#REF!</definedName>
    <definedName name="______ZZ1">#REF!</definedName>
    <definedName name="______ZZ5000">#REF!</definedName>
    <definedName name="______zz5001">#REF!</definedName>
    <definedName name="_____A1">#REF!</definedName>
    <definedName name="_____A2">#REF!</definedName>
    <definedName name="_____ABC1">#REF!</definedName>
    <definedName name="_____AJA2">#REF!</definedName>
    <definedName name="_____B1">#REF!</definedName>
    <definedName name="_____DAT9">#REF!</definedName>
    <definedName name="_____DDD2">#REF!</definedName>
    <definedName name="_____dey3">#REF!</definedName>
    <definedName name="_____dey5">#REF!</definedName>
    <definedName name="_____F">#REF!</definedName>
    <definedName name="_____Irr1">#REF!</definedName>
    <definedName name="_____IV17000">#REF!</definedName>
    <definedName name="_____IV170001">#REF!</definedName>
    <definedName name="_____IV20000">#REF!</definedName>
    <definedName name="_____IV200001">#REF!</definedName>
    <definedName name="_____j1">#REF!</definedName>
    <definedName name="_____KEY11">#REF!</definedName>
    <definedName name="_____KEY22">#REF!</definedName>
    <definedName name="_____LAB1">#REF!</definedName>
    <definedName name="_____LAB2">#REF!</definedName>
    <definedName name="_____OP9">#REF!</definedName>
    <definedName name="_____pe1">#REF!</definedName>
    <definedName name="_____QQ2">#REF!</definedName>
    <definedName name="_____R">#REF!</definedName>
    <definedName name="_____Rad20">#REF!</definedName>
    <definedName name="_____rat2">[2]rat2!$A:$IV</definedName>
    <definedName name="_____rd1" localSheetId="0" hidden="1">{"Retail Divisional",#N/A,FALSE,"DCIConsol";"Discovery Stores PL",#N/A,FALSE,"DCIConsol";"Flagship PL",#N/A,FALSE,"DCIConsol"}</definedName>
    <definedName name="_____rd1" hidden="1">{"Retail Divisional",#N/A,FALSE,"DCIConsol";"Discovery Stores PL",#N/A,FALSE,"DCIConsol";"Flagship PL",#N/A,FALSE,"DCIConsol"}</definedName>
    <definedName name="_____REC2">#REF!</definedName>
    <definedName name="_____Rev2">#REF!</definedName>
    <definedName name="_____Rev3">#REF!</definedName>
    <definedName name="_____Rev4">#REF!</definedName>
    <definedName name="_____Rev5">#REF!</definedName>
    <definedName name="_____Rv1">#REF!</definedName>
    <definedName name="_____sem3">#REF!</definedName>
    <definedName name="_____sem4">#REF!</definedName>
    <definedName name="_____sem5">#REF!</definedName>
    <definedName name="_____SF3">#REF!</definedName>
    <definedName name="_____tv1">#REF!</definedName>
    <definedName name="_____TV3">#N/A</definedName>
    <definedName name="_____UC13">#REF!</definedName>
    <definedName name="_____ZZ1">#REF!</definedName>
    <definedName name="_____ZZ5000">#REF!</definedName>
    <definedName name="_____zz5001">#REF!</definedName>
    <definedName name="____1_">#REF!</definedName>
    <definedName name="____2_0">#REF!</definedName>
    <definedName name="____4_0">#REF!</definedName>
    <definedName name="____5_">#REF!</definedName>
    <definedName name="____A1">#REF!</definedName>
    <definedName name="____A2">#REF!</definedName>
    <definedName name="____ABC1">#REF!</definedName>
    <definedName name="____AJA2">#REF!</definedName>
    <definedName name="____ANG1">#REF!</definedName>
    <definedName name="____B1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DD2">#REF!</definedName>
    <definedName name="____dey3">#REF!</definedName>
    <definedName name="____dey5">#REF!</definedName>
    <definedName name="____F">#REF!</definedName>
    <definedName name="____Irr1">#REF!</definedName>
    <definedName name="____IV17000">#REF!</definedName>
    <definedName name="____IV170001">#REF!</definedName>
    <definedName name="____IV20000">#REF!</definedName>
    <definedName name="____IV200001">#REF!</definedName>
    <definedName name="____j1">#REF!</definedName>
    <definedName name="____KEY11">#REF!</definedName>
    <definedName name="____KEY22">#REF!</definedName>
    <definedName name="____LAB1">#REF!</definedName>
    <definedName name="____LAB2">#REF!</definedName>
    <definedName name="____OP9">#REF!</definedName>
    <definedName name="____OPE2">#REF!</definedName>
    <definedName name="____pe1">#REF!</definedName>
    <definedName name="____QQ2">#REF!</definedName>
    <definedName name="____R">#REF!</definedName>
    <definedName name="____Rad20">#REF!</definedName>
    <definedName name="____rat2">[2]rat2!$A:$IV</definedName>
    <definedName name="____rd1">#REF!</definedName>
    <definedName name="____REC2">#REF!</definedName>
    <definedName name="____Rev2">#REF!</definedName>
    <definedName name="____Rev3">#REF!</definedName>
    <definedName name="____Rev4">#REF!</definedName>
    <definedName name="____Rev5">#REF!</definedName>
    <definedName name="____Rv1">#REF!</definedName>
    <definedName name="____sem3">#REF!</definedName>
    <definedName name="____sem4">#REF!</definedName>
    <definedName name="____sem5">#REF!</definedName>
    <definedName name="____SF3">#REF!</definedName>
    <definedName name="____tv1">#REF!</definedName>
    <definedName name="____TV3">#N/A</definedName>
    <definedName name="____UC13">#REF!</definedName>
    <definedName name="____ZZ1">#REF!</definedName>
    <definedName name="____ZZ5000">#REF!</definedName>
    <definedName name="____zz5001">#REF!</definedName>
    <definedName name="___1_">#REF!</definedName>
    <definedName name="___10_____Total_">#REF!</definedName>
    <definedName name="___10_8_0">#REF!</definedName>
    <definedName name="___11__8">#REF!</definedName>
    <definedName name="___12__9__s">#REF!</definedName>
    <definedName name="___12_9__s">#REF!</definedName>
    <definedName name="___13____total_s">#REF!</definedName>
    <definedName name="___14____Total_">#REF!</definedName>
    <definedName name="___15_8">#REF!</definedName>
    <definedName name="___16_9__s">#REF!</definedName>
    <definedName name="___17_0total_s">#REF!</definedName>
    <definedName name="___18total_s">#REF!</definedName>
    <definedName name="___19_0Total_">#REF!</definedName>
    <definedName name="___2_0">#REF!</definedName>
    <definedName name="___20Total_">#REF!</definedName>
    <definedName name="___21_8">#REF!</definedName>
    <definedName name="___22_8_0">#REF!</definedName>
    <definedName name="___23_9_0s">#REF!</definedName>
    <definedName name="___24_9__s">#REF!</definedName>
    <definedName name="___3_">#REF!</definedName>
    <definedName name="___4_0">#REF!</definedName>
    <definedName name="___5_">#REF!</definedName>
    <definedName name="___6_">#REF!</definedName>
    <definedName name="___6total_s">#REF!</definedName>
    <definedName name="___7_">#REF!</definedName>
    <definedName name="___8_">#REF!</definedName>
    <definedName name="___8Total_">#REF!</definedName>
    <definedName name="___9_____total_s">#REF!</definedName>
    <definedName name="___A1">#REF!</definedName>
    <definedName name="___A12">#REF!</definedName>
    <definedName name="___a2">#REF!</definedName>
    <definedName name="___a3">#REF!</definedName>
    <definedName name="___ABC1">#REF!</definedName>
    <definedName name="___alf2">#REF!</definedName>
    <definedName name="___ANG1">#REF!</definedName>
    <definedName name="___aw3">#REF!</definedName>
    <definedName name="___B1">#REF!</definedName>
    <definedName name="___can04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DD2">#REF!</definedName>
    <definedName name="___dey3">#REF!</definedName>
    <definedName name="___dey5">#REF!</definedName>
    <definedName name="___F">#REF!</definedName>
    <definedName name="___Irr1">#REF!</definedName>
    <definedName name="___IV17000">#REF!</definedName>
    <definedName name="___IV170001">#REF!</definedName>
    <definedName name="___IV20000">#REF!</definedName>
    <definedName name="___IV200001">#REF!</definedName>
    <definedName name="___JA1">#REF!</definedName>
    <definedName name="___ke7">#REF!</definedName>
    <definedName name="___KEY11">#REF!</definedName>
    <definedName name="___KEY22">#REF!</definedName>
    <definedName name="___LAB1">#REF!</definedName>
    <definedName name="___LAB2">#REF!</definedName>
    <definedName name="___LO2">#REF!</definedName>
    <definedName name="___nov01">'[3]Nov 01'!$A$4:$N$61</definedName>
    <definedName name="___OP9">#REF!</definedName>
    <definedName name="___OPE2">#REF!</definedName>
    <definedName name="___p1">#REF!</definedName>
    <definedName name="___pe1">#REF!</definedName>
    <definedName name="___QQ2">#REF!</definedName>
    <definedName name="___r">#N/A</definedName>
    <definedName name="___ra2">#REF!</definedName>
    <definedName name="___Rad20">#REF!</definedName>
    <definedName name="___rat02">#REF!</definedName>
    <definedName name="___rat04">#REF!</definedName>
    <definedName name="___rat05">#REF!</definedName>
    <definedName name="___rat09">#REF!</definedName>
    <definedName name="___RAT2">#REF!</definedName>
    <definedName name="___rd1">#REF!</definedName>
    <definedName name="___REC2">#REF!</definedName>
    <definedName name="___Rev2">#REF!</definedName>
    <definedName name="___Rev3">#REF!</definedName>
    <definedName name="___Rev4">#REF!</definedName>
    <definedName name="___Rev5">#REF!</definedName>
    <definedName name="___RT1">#REF!</definedName>
    <definedName name="___Rv1">#REF!</definedName>
    <definedName name="___sem3">#REF!</definedName>
    <definedName name="___sem4">#REF!</definedName>
    <definedName name="___sem5">#REF!</definedName>
    <definedName name="___SF3">#REF!</definedName>
    <definedName name="___tar04">#REF!</definedName>
    <definedName name="___tv1">#REF!</definedName>
    <definedName name="___TV3">#N/A</definedName>
    <definedName name="___UC13">#REF!</definedName>
    <definedName name="___VAR90">#REF!</definedName>
    <definedName name="___ZZ1">#REF!</definedName>
    <definedName name="___ZZ5000">#REF!</definedName>
    <definedName name="___zz5001">#REF!</definedName>
    <definedName name="__1_">#REF!</definedName>
    <definedName name="__10_____Total_">#REF!</definedName>
    <definedName name="__10_8_0">#REF!</definedName>
    <definedName name="__11__8">#REF!</definedName>
    <definedName name="__11_9_0s">#REF!</definedName>
    <definedName name="__12__9__s">#REF!</definedName>
    <definedName name="__12_9__s">#REF!</definedName>
    <definedName name="__12_9_0s">#REF!</definedName>
    <definedName name="__123Graph_A">#REF!</definedName>
    <definedName name="__123Graph_B">#REF!</definedName>
    <definedName name="__123Graph_C">#REF!</definedName>
    <definedName name="__123Graph_D">#REF!</definedName>
    <definedName name="__123Graph_E">#REF!</definedName>
    <definedName name="__123Graph_F">#REF!</definedName>
    <definedName name="__13____total_s">#REF!</definedName>
    <definedName name="__13_8">#REF!</definedName>
    <definedName name="__14_">#REF!</definedName>
    <definedName name="__14____Total_">#REF!</definedName>
    <definedName name="__14_8_0">#REF!</definedName>
    <definedName name="__15_8">#REF!</definedName>
    <definedName name="__16_9__s">#REF!</definedName>
    <definedName name="__17_0total_s">#REF!</definedName>
    <definedName name="__18total_s">#REF!</definedName>
    <definedName name="__19_0Total_">#REF!</definedName>
    <definedName name="__1Sin_nombre">#REF!</definedName>
    <definedName name="__2_">#REF!</definedName>
    <definedName name="__2_0">#REF!</definedName>
    <definedName name="__20Total_">#REF!</definedName>
    <definedName name="__21_8">#REF!</definedName>
    <definedName name="__22_8_0">#REF!</definedName>
    <definedName name="__23_9_0s">#REF!</definedName>
    <definedName name="__24_9__s">#REF!</definedName>
    <definedName name="__3_">#REF!</definedName>
    <definedName name="__4_">#REF!</definedName>
    <definedName name="__4_0">#REF!</definedName>
    <definedName name="__5_">#REF!</definedName>
    <definedName name="__5_0total_s">#REF!</definedName>
    <definedName name="__6_">#REF!</definedName>
    <definedName name="__6_0total_s">#REF!</definedName>
    <definedName name="__6total_s">#REF!</definedName>
    <definedName name="__7_">#REF!</definedName>
    <definedName name="__7_0Total_">#REF!</definedName>
    <definedName name="__8_">#REF!</definedName>
    <definedName name="__8_0Total_">#REF!</definedName>
    <definedName name="__8Total_">#REF!</definedName>
    <definedName name="__9_____total_s">#REF!</definedName>
    <definedName name="__9_8">#REF!</definedName>
    <definedName name="__A1">#REF!</definedName>
    <definedName name="__A12">#REF!</definedName>
    <definedName name="__a2">#REF!</definedName>
    <definedName name="__a3">#REF!</definedName>
    <definedName name="__a5">#REF!</definedName>
    <definedName name="__ABC1">#REF!</definedName>
    <definedName name="__AJA2">#REF!</definedName>
    <definedName name="__alf2">#REF!</definedName>
    <definedName name="__all1">#REF!</definedName>
    <definedName name="__ANG1">#REF!</definedName>
    <definedName name="__aw3">#REF!</definedName>
    <definedName name="__b1">#REF!</definedName>
    <definedName name="__C">#REF!</definedName>
    <definedName name="__can04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>#REF!</definedName>
    <definedName name="__DDD2">#REF!</definedName>
    <definedName name="__der1">#REF!</definedName>
    <definedName name="__der2">#REF!</definedName>
    <definedName name="__dey3">#REF!</definedName>
    <definedName name="__dey5">#REF!</definedName>
    <definedName name="__F">#REF!</definedName>
    <definedName name="__f3">#REF!</definedName>
    <definedName name="__fer1">#REF!</definedName>
    <definedName name="__fgh1">#REF!</definedName>
    <definedName name="__Irr1">#REF!</definedName>
    <definedName name="__IV17000">#REF!</definedName>
    <definedName name="__IV170001">#REF!</definedName>
    <definedName name="__IV20000">#REF!</definedName>
    <definedName name="__IV200001">#REF!</definedName>
    <definedName name="__j1">#REF!</definedName>
    <definedName name="__JA1">#REF!</definedName>
    <definedName name="__ke7">#REF!</definedName>
    <definedName name="__KEY11">#REF!</definedName>
    <definedName name="__KEY22">#REF!</definedName>
    <definedName name="__LAB1">#REF!</definedName>
    <definedName name="__LAB2">#REF!</definedName>
    <definedName name="__LO2">#REF!</definedName>
    <definedName name="__LP97">#REF!</definedName>
    <definedName name="__nov01">'[3]Nov 01'!$A$4:$N$61</definedName>
    <definedName name="__OP9">#REF!</definedName>
    <definedName name="__OPE2">#REF!</definedName>
    <definedName name="__p1">#REF!</definedName>
    <definedName name="__PAG1">#REF!</definedName>
    <definedName name="__PAG2">#REF!</definedName>
    <definedName name="__pe1">#REF!</definedName>
    <definedName name="__per2">#REF!</definedName>
    <definedName name="__pr4">#REF!</definedName>
    <definedName name="__QQ2">#REF!</definedName>
    <definedName name="__r">#N/A</definedName>
    <definedName name="__ra2">#REF!</definedName>
    <definedName name="__Rad20">#REF!</definedName>
    <definedName name="__rat02">#REF!</definedName>
    <definedName name="__rat04">#REF!</definedName>
    <definedName name="__rat05">#REF!</definedName>
    <definedName name="__rat09">#REF!</definedName>
    <definedName name="__RAT2">#REF!</definedName>
    <definedName name="__rd1">#REF!</definedName>
    <definedName name="__rd2">#REF!</definedName>
    <definedName name="__REC2">#REF!</definedName>
    <definedName name="__Rev2">#REF!</definedName>
    <definedName name="__Rev3">#REF!</definedName>
    <definedName name="__Rev4">#REF!</definedName>
    <definedName name="__Rev5">#REF!</definedName>
    <definedName name="__RK982554">#REF!</definedName>
    <definedName name="__RK982559">#REF!</definedName>
    <definedName name="__RT1">#REF!</definedName>
    <definedName name="__RT6">#REF!</definedName>
    <definedName name="__Rv1">#REF!</definedName>
    <definedName name="__sem3">#REF!</definedName>
    <definedName name="__sem4">#REF!</definedName>
    <definedName name="__sem5">#REF!</definedName>
    <definedName name="__SF3">#REF!</definedName>
    <definedName name="__SUM2">#REF!</definedName>
    <definedName name="__tar04">#REF!</definedName>
    <definedName name="__tv1">#REF!</definedName>
    <definedName name="__TV3">#N/A</definedName>
    <definedName name="__TV3_1">#N/A</definedName>
    <definedName name="__UC13">#REF!</definedName>
    <definedName name="__VAR90">#REF!</definedName>
    <definedName name="__xlfn.IFERROR" hidden="1">#NAME?</definedName>
    <definedName name="__ZZ1">#REF!</definedName>
    <definedName name="__ZZ5000">#REF!</definedName>
    <definedName name="__zz5001">#REF!</definedName>
    <definedName name="_044">#REF!</definedName>
    <definedName name="_045">#REF!</definedName>
    <definedName name="_1">#REF!</definedName>
    <definedName name="_1_">#REF!</definedName>
    <definedName name="_1__Sin_nombre">#REF!</definedName>
    <definedName name="_1_0">#REF!</definedName>
    <definedName name="_1_0dom_">#REF!</definedName>
    <definedName name="_1_1999">'[4]01_1999'!$B$1:$S$81</definedName>
    <definedName name="_1_2000">'[5]01_2000'!$B$1:$S$81</definedName>
    <definedName name="_10">#REF!</definedName>
    <definedName name="_10_">#REF!</definedName>
    <definedName name="_10_____Total_">#REF!</definedName>
    <definedName name="_10____total_s">#REF!</definedName>
    <definedName name="_10_0">#REF!</definedName>
    <definedName name="_10_0Total_">#REF!</definedName>
    <definedName name="_10_0total_s">#REF!</definedName>
    <definedName name="_10_8">#REF!</definedName>
    <definedName name="_10_8_0">#REF!</definedName>
    <definedName name="_100">#REF!</definedName>
    <definedName name="_1000">#REF!</definedName>
    <definedName name="_1001">#REF!</definedName>
    <definedName name="_1002">#REF!</definedName>
    <definedName name="_1003">#REF!</definedName>
    <definedName name="_1004">#REF!</definedName>
    <definedName name="_1005">#REF!</definedName>
    <definedName name="_1006">#REF!</definedName>
    <definedName name="_1007">#REF!</definedName>
    <definedName name="_1008">#REF!</definedName>
    <definedName name="_1009">#REF!</definedName>
    <definedName name="_101">#REF!</definedName>
    <definedName name="_101_8">#REF!</definedName>
    <definedName name="_1010">#REF!</definedName>
    <definedName name="_1011">#REF!</definedName>
    <definedName name="_1012">#REF!</definedName>
    <definedName name="_1013">#REF!</definedName>
    <definedName name="_1014">#REF!</definedName>
    <definedName name="_1015">#REF!</definedName>
    <definedName name="_1016">#REF!</definedName>
    <definedName name="_1017">#REF!</definedName>
    <definedName name="_1018">#REF!</definedName>
    <definedName name="_1019">#REF!</definedName>
    <definedName name="_102">#REF!</definedName>
    <definedName name="_102_9__s">#REF!</definedName>
    <definedName name="_1020">#REF!</definedName>
    <definedName name="_1021">#REF!</definedName>
    <definedName name="_1022">#REF!</definedName>
    <definedName name="_1023">#REF!</definedName>
    <definedName name="_1024">#REF!</definedName>
    <definedName name="_1025">#REF!</definedName>
    <definedName name="_1026">#REF!</definedName>
    <definedName name="_103">#REF!</definedName>
    <definedName name="_103_8">#REF!</definedName>
    <definedName name="_1034">#REF!</definedName>
    <definedName name="_1035">#REF!</definedName>
    <definedName name="_1036">#REF!</definedName>
    <definedName name="_1037">#REF!</definedName>
    <definedName name="_1038">#REF!</definedName>
    <definedName name="_1039">#REF!</definedName>
    <definedName name="_104">#REF!</definedName>
    <definedName name="_1040">#REF!</definedName>
    <definedName name="_1041">#REF!</definedName>
    <definedName name="_1042">#REF!</definedName>
    <definedName name="_1043">#REF!</definedName>
    <definedName name="_1044">#REF!</definedName>
    <definedName name="_1045">#REF!</definedName>
    <definedName name="_1046">#REF!</definedName>
    <definedName name="_1047">#REF!</definedName>
    <definedName name="_1048">#REF!</definedName>
    <definedName name="_1049">#REF!</definedName>
    <definedName name="_105">#REF!</definedName>
    <definedName name="_105_8_0">#REF!</definedName>
    <definedName name="_1050">#REF!</definedName>
    <definedName name="_1051">#REF!</definedName>
    <definedName name="_1052">#REF!</definedName>
    <definedName name="_1053">#REF!</definedName>
    <definedName name="_1054">#REF!</definedName>
    <definedName name="_1055">#REF!</definedName>
    <definedName name="_1056">#REF!</definedName>
    <definedName name="_1057">#REF!</definedName>
    <definedName name="_1058">#REF!</definedName>
    <definedName name="_1059">#REF!</definedName>
    <definedName name="_106">#REF!</definedName>
    <definedName name="_106_8_0">#REF!</definedName>
    <definedName name="_1060">#REF!</definedName>
    <definedName name="_1061">#REF!</definedName>
    <definedName name="_1062">#REF!</definedName>
    <definedName name="_1063">#REF!</definedName>
    <definedName name="_1064">#REF!</definedName>
    <definedName name="_1065">#REF!</definedName>
    <definedName name="_1066">#REF!</definedName>
    <definedName name="_1067">#REF!</definedName>
    <definedName name="_1068">#REF!</definedName>
    <definedName name="_1069">#REF!</definedName>
    <definedName name="_107">#REF!</definedName>
    <definedName name="_1070">#REF!</definedName>
    <definedName name="_1071">#REF!</definedName>
    <definedName name="_1079">#REF!</definedName>
    <definedName name="_108">#REF!</definedName>
    <definedName name="_108_9__s">#REF!</definedName>
    <definedName name="_1080">#REF!</definedName>
    <definedName name="_1081">#REF!</definedName>
    <definedName name="_1082">#REF!</definedName>
    <definedName name="_1083">#REF!</definedName>
    <definedName name="_1084">#REF!</definedName>
    <definedName name="_1085">#REF!</definedName>
    <definedName name="_1086">#REF!</definedName>
    <definedName name="_1087">#REF!</definedName>
    <definedName name="_1088">#REF!</definedName>
    <definedName name="_1089">#REF!</definedName>
    <definedName name="_109">#REF!</definedName>
    <definedName name="_109_9_0s">#REF!</definedName>
    <definedName name="_1090">#REF!</definedName>
    <definedName name="_1091">#REF!</definedName>
    <definedName name="_1092">#REF!</definedName>
    <definedName name="_1093">#REF!</definedName>
    <definedName name="_1094">#REF!</definedName>
    <definedName name="_1095">#REF!</definedName>
    <definedName name="_1096">#REF!</definedName>
    <definedName name="_1097">#REF!</definedName>
    <definedName name="_1098">#REF!</definedName>
    <definedName name="_1099">#REF!</definedName>
    <definedName name="_11">#REF!</definedName>
    <definedName name="_11___0Total_">#REF!</definedName>
    <definedName name="_11__8">#REF!</definedName>
    <definedName name="_11_0Total_">#REF!</definedName>
    <definedName name="_11_9_0s">#REF!</definedName>
    <definedName name="_110">#REF!</definedName>
    <definedName name="_1100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06">#REF!</definedName>
    <definedName name="_1107">#REF!</definedName>
    <definedName name="_1108">#REF!</definedName>
    <definedName name="_1109">#REF!</definedName>
    <definedName name="_111">#REF!</definedName>
    <definedName name="_1110">#REF!</definedName>
    <definedName name="_1111">#REF!</definedName>
    <definedName name="_1112">#REF!</definedName>
    <definedName name="_1113">#REF!</definedName>
    <definedName name="_1114">#REF!</definedName>
    <definedName name="_1115">#REF!</definedName>
    <definedName name="_1116">#REF!</definedName>
    <definedName name="_112">#REF!</definedName>
    <definedName name="_1124">#REF!</definedName>
    <definedName name="_1125">#REF!</definedName>
    <definedName name="_1126">#REF!</definedName>
    <definedName name="_1127">#REF!</definedName>
    <definedName name="_1128">#REF!</definedName>
    <definedName name="_1129">#REF!</definedName>
    <definedName name="_113">#REF!</definedName>
    <definedName name="_113_0total_s">#REF!</definedName>
    <definedName name="_1130">#REF!</definedName>
    <definedName name="_1131">#REF!</definedName>
    <definedName name="_1132">#REF!</definedName>
    <definedName name="_1133">#REF!</definedName>
    <definedName name="_1134">#REF!</definedName>
    <definedName name="_1135">#REF!</definedName>
    <definedName name="_1136">#REF!</definedName>
    <definedName name="_1137">#REF!</definedName>
    <definedName name="_1138">#REF!</definedName>
    <definedName name="_1139">#REF!</definedName>
    <definedName name="_114">#REF!</definedName>
    <definedName name="_114_9__s">#REF!</definedName>
    <definedName name="_1140">#REF!</definedName>
    <definedName name="_1141">#REF!</definedName>
    <definedName name="_1142">#REF!</definedName>
    <definedName name="_1143">#REF!</definedName>
    <definedName name="_1144">#REF!</definedName>
    <definedName name="_1145">#REF!</definedName>
    <definedName name="_1146">#REF!</definedName>
    <definedName name="_1147">#REF!</definedName>
    <definedName name="_1148">#REF!</definedName>
    <definedName name="_1149">#REF!</definedName>
    <definedName name="_115">#REF!</definedName>
    <definedName name="_1150">#REF!</definedName>
    <definedName name="_1151">#REF!</definedName>
    <definedName name="_1152">#REF!</definedName>
    <definedName name="_1153">#REF!</definedName>
    <definedName name="_1154">#REF!</definedName>
    <definedName name="_1155">#REF!</definedName>
    <definedName name="_1156">#REF!</definedName>
    <definedName name="_1157">#REF!</definedName>
    <definedName name="_1158">#REF!</definedName>
    <definedName name="_1159">#REF!</definedName>
    <definedName name="_116">#REF!</definedName>
    <definedName name="_1169">#REF!</definedName>
    <definedName name="_117">#REF!</definedName>
    <definedName name="_1170">#REF!</definedName>
    <definedName name="_1171">#REF!</definedName>
    <definedName name="_1172">#REF!</definedName>
    <definedName name="_1173">#REF!</definedName>
    <definedName name="_1174">#REF!</definedName>
    <definedName name="_1175">#REF!</definedName>
    <definedName name="_1176">#REF!</definedName>
    <definedName name="_1177">#REF!</definedName>
    <definedName name="_1178">#REF!</definedName>
    <definedName name="_1179">#REF!</definedName>
    <definedName name="_118">#REF!</definedName>
    <definedName name="_1180">#REF!</definedName>
    <definedName name="_1181">#REF!</definedName>
    <definedName name="_1182">#REF!</definedName>
    <definedName name="_1183">#REF!</definedName>
    <definedName name="_1184">#REF!</definedName>
    <definedName name="_1185">#REF!</definedName>
    <definedName name="_1186">#REF!</definedName>
    <definedName name="_1187">#REF!</definedName>
    <definedName name="_1188">#REF!</definedName>
    <definedName name="_1189">#REF!</definedName>
    <definedName name="_119">#REF!</definedName>
    <definedName name="_1190">#REF!</definedName>
    <definedName name="_1191">#REF!</definedName>
    <definedName name="_1192">#REF!</definedName>
    <definedName name="_1193">#REF!</definedName>
    <definedName name="_1194">#REF!</definedName>
    <definedName name="_1195">#REF!</definedName>
    <definedName name="_1196">#REF!</definedName>
    <definedName name="_1197">#REF!</definedName>
    <definedName name="_1198">#REF!</definedName>
    <definedName name="_1199">#REF!</definedName>
    <definedName name="_12">#REF!</definedName>
    <definedName name="_12_">#REF!</definedName>
    <definedName name="_12____Total_">#REF!</definedName>
    <definedName name="_12__9__s">#REF!</definedName>
    <definedName name="_12_0">#REF!</definedName>
    <definedName name="_12_9__s">#REF!</definedName>
    <definedName name="_12_9_0s">#REF!</definedName>
    <definedName name="_120">#REF!</definedName>
    <definedName name="_1200">#REF!</definedName>
    <definedName name="_1201">#REF!</definedName>
    <definedName name="_1202">#REF!</definedName>
    <definedName name="_120total_s">#REF!</definedName>
    <definedName name="_121">#REF!</definedName>
    <definedName name="_1212">#REF!</definedName>
    <definedName name="_1213">#REF!</definedName>
    <definedName name="_1214">#REF!</definedName>
    <definedName name="_1215">#REF!</definedName>
    <definedName name="_1216">#REF!</definedName>
    <definedName name="_1217">#REF!</definedName>
    <definedName name="_1218">#REF!</definedName>
    <definedName name="_1219">#REF!</definedName>
    <definedName name="_122">#REF!</definedName>
    <definedName name="_1220">#REF!</definedName>
    <definedName name="_1221">#REF!</definedName>
    <definedName name="_1222">#REF!</definedName>
    <definedName name="_1223">#REF!</definedName>
    <definedName name="_1224">#REF!</definedName>
    <definedName name="_1225">#REF!</definedName>
    <definedName name="_1226">#REF!</definedName>
    <definedName name="_1227">#REF!</definedName>
    <definedName name="_1228">#REF!</definedName>
    <definedName name="_1229">#REF!</definedName>
    <definedName name="_123">#REF!</definedName>
    <definedName name="_1230">#REF!</definedName>
    <definedName name="_1231">#REF!</definedName>
    <definedName name="_1232">#REF!</definedName>
    <definedName name="_1233">#REF!</definedName>
    <definedName name="_1234">#REF!</definedName>
    <definedName name="_1235">#REF!</definedName>
    <definedName name="_1236">#REF!</definedName>
    <definedName name="_1237">#REF!</definedName>
    <definedName name="_1238">#REF!</definedName>
    <definedName name="_1239">#REF!</definedName>
    <definedName name="_124">#REF!</definedName>
    <definedName name="_1240">#REF!</definedName>
    <definedName name="_1241">#REF!</definedName>
    <definedName name="_1242">#REF!</definedName>
    <definedName name="_1243">#REF!</definedName>
    <definedName name="_1244">#REF!</definedName>
    <definedName name="_1245">#REF!</definedName>
    <definedName name="_1246">#REF!</definedName>
    <definedName name="_1247">#REF!</definedName>
    <definedName name="_1248">#REF!</definedName>
    <definedName name="_1249">#REF!</definedName>
    <definedName name="_125">#REF!</definedName>
    <definedName name="_125_0Total_">#REF!</definedName>
    <definedName name="_1259">#REF!</definedName>
    <definedName name="_126">#REF!</definedName>
    <definedName name="_1260">#REF!</definedName>
    <definedName name="_1261">#REF!</definedName>
    <definedName name="_1262">#REF!</definedName>
    <definedName name="_1263">#REF!</definedName>
    <definedName name="_1264">#REF!</definedName>
    <definedName name="_1265">#REF!</definedName>
    <definedName name="_1266">#REF!</definedName>
    <definedName name="_1267">#REF!</definedName>
    <definedName name="_1268">#REF!</definedName>
    <definedName name="_1269">#REF!</definedName>
    <definedName name="_127">#REF!</definedName>
    <definedName name="_1270">#REF!</definedName>
    <definedName name="_1271">#REF!</definedName>
    <definedName name="_1272">#REF!</definedName>
    <definedName name="_1273">#REF!</definedName>
    <definedName name="_1274">#REF!</definedName>
    <definedName name="_1275">#REF!</definedName>
    <definedName name="_1276">#REF!</definedName>
    <definedName name="_1277">#REF!</definedName>
    <definedName name="_1278">#REF!</definedName>
    <definedName name="_1279">#REF!</definedName>
    <definedName name="_128">#REF!</definedName>
    <definedName name="_1280">#REF!</definedName>
    <definedName name="_1281">#REF!</definedName>
    <definedName name="_1282">#REF!</definedName>
    <definedName name="_1283">#REF!</definedName>
    <definedName name="_1284">#REF!</definedName>
    <definedName name="_1285">#REF!</definedName>
    <definedName name="_1286">#REF!</definedName>
    <definedName name="_1287">#REF!</definedName>
    <definedName name="_1288">#REF!</definedName>
    <definedName name="_1289">#REF!</definedName>
    <definedName name="_1290">#REF!</definedName>
    <definedName name="_1291">#REF!</definedName>
    <definedName name="_1292">#REF!</definedName>
    <definedName name="_12Total_">#REF!</definedName>
    <definedName name="_12total_s">#REF!</definedName>
    <definedName name="_13">#REF!</definedName>
    <definedName name="_13_">#REF!</definedName>
    <definedName name="_13____total_s">#REF!</definedName>
    <definedName name="_13_8">#REF!</definedName>
    <definedName name="_1304">#REF!</definedName>
    <definedName name="_1305">#REF!</definedName>
    <definedName name="_1306">#REF!</definedName>
    <definedName name="_1307">#REF!</definedName>
    <definedName name="_1308">#REF!</definedName>
    <definedName name="_1309">#REF!</definedName>
    <definedName name="_1310">#REF!</definedName>
    <definedName name="_1311">#REF!</definedName>
    <definedName name="_1312">#REF!</definedName>
    <definedName name="_1313">#REF!</definedName>
    <definedName name="_1314">#REF!</definedName>
    <definedName name="_1315">#REF!</definedName>
    <definedName name="_1316">#REF!</definedName>
    <definedName name="_1317">#REF!</definedName>
    <definedName name="_1318">#REF!</definedName>
    <definedName name="_1319">#REF!</definedName>
    <definedName name="_1320">#REF!</definedName>
    <definedName name="_1321">#REF!</definedName>
    <definedName name="_1322">#REF!</definedName>
    <definedName name="_1323">#REF!</definedName>
    <definedName name="_1324">#REF!</definedName>
    <definedName name="_1325">#REF!</definedName>
    <definedName name="_1326">#REF!</definedName>
    <definedName name="_1327">#REF!</definedName>
    <definedName name="_1328">#REF!</definedName>
    <definedName name="_1329">#REF!</definedName>
    <definedName name="_132Total_">#REF!</definedName>
    <definedName name="_1330">#REF!</definedName>
    <definedName name="_1331">#REF!</definedName>
    <definedName name="_1332">#REF!</definedName>
    <definedName name="_1333">#REF!</definedName>
    <definedName name="_1334">#REF!</definedName>
    <definedName name="_1335">#REF!</definedName>
    <definedName name="_1336">#REF!</definedName>
    <definedName name="_1337">#REF!</definedName>
    <definedName name="_1338">#REF!</definedName>
    <definedName name="_1339">#REF!</definedName>
    <definedName name="_1347">#REF!</definedName>
    <definedName name="_1348">#REF!</definedName>
    <definedName name="_1349">#REF!</definedName>
    <definedName name="_1350">#REF!</definedName>
    <definedName name="_1351">#REF!</definedName>
    <definedName name="_1352">#REF!</definedName>
    <definedName name="_1353">#REF!</definedName>
    <definedName name="_1354">#REF!</definedName>
    <definedName name="_1355">#REF!</definedName>
    <definedName name="_1356">#REF!</definedName>
    <definedName name="_1357">#REF!</definedName>
    <definedName name="_1358">#REF!</definedName>
    <definedName name="_1359">#REF!</definedName>
    <definedName name="_1360">#REF!</definedName>
    <definedName name="_1361">#REF!</definedName>
    <definedName name="_1362">#REF!</definedName>
    <definedName name="_1363">#REF!</definedName>
    <definedName name="_1364">#REF!</definedName>
    <definedName name="_1365">#REF!</definedName>
    <definedName name="_1366">#REF!</definedName>
    <definedName name="_1367">#REF!</definedName>
    <definedName name="_1368">#REF!</definedName>
    <definedName name="_1369">#REF!</definedName>
    <definedName name="_1370">#REF!</definedName>
    <definedName name="_1371">#REF!</definedName>
    <definedName name="_1372">#REF!</definedName>
    <definedName name="_1373">#REF!</definedName>
    <definedName name="_1374">#REF!</definedName>
    <definedName name="_1375">#REF!</definedName>
    <definedName name="_1376">#REF!</definedName>
    <definedName name="_1377">#REF!</definedName>
    <definedName name="_1378">#REF!</definedName>
    <definedName name="_1379">#REF!</definedName>
    <definedName name="_1380">#REF!</definedName>
    <definedName name="_1381">#REF!</definedName>
    <definedName name="_1382">#REF!</definedName>
    <definedName name="_1383">#REF!</definedName>
    <definedName name="_1384">#REF!</definedName>
    <definedName name="_139_8">#REF!</definedName>
    <definedName name="_1392">#REF!</definedName>
    <definedName name="_1393">#REF!</definedName>
    <definedName name="_1394">#REF!</definedName>
    <definedName name="_1395">#REF!</definedName>
    <definedName name="_1396">#REF!</definedName>
    <definedName name="_1397">#REF!</definedName>
    <definedName name="_1398">#REF!</definedName>
    <definedName name="_1399">#REF!</definedName>
    <definedName name="_14">#REF!</definedName>
    <definedName name="_14_">#REF!</definedName>
    <definedName name="_14____Total_">#REF!</definedName>
    <definedName name="_14_0Total_">#REF!</definedName>
    <definedName name="_14_8">#REF!</definedName>
    <definedName name="_14_8_0">#REF!</definedName>
    <definedName name="_1400">#REF!</definedName>
    <definedName name="_1401">#REF!</definedName>
    <definedName name="_1402">#REF!</definedName>
    <definedName name="_1403">#REF!</definedName>
    <definedName name="_1404">#REF!</definedName>
    <definedName name="_1405">#REF!</definedName>
    <definedName name="_1406">#REF!</definedName>
    <definedName name="_1407">#REF!</definedName>
    <definedName name="_1408">#REF!</definedName>
    <definedName name="_1409">#REF!</definedName>
    <definedName name="_1410">#REF!</definedName>
    <definedName name="_1411">#REF!</definedName>
    <definedName name="_1412">#REF!</definedName>
    <definedName name="_1413">#REF!</definedName>
    <definedName name="_1414">#REF!</definedName>
    <definedName name="_1415">#REF!</definedName>
    <definedName name="_1416">#REF!</definedName>
    <definedName name="_1417">#REF!</definedName>
    <definedName name="_1418">#REF!</definedName>
    <definedName name="_1419">#REF!</definedName>
    <definedName name="_1420">#REF!</definedName>
    <definedName name="_1421">#REF!</definedName>
    <definedName name="_1422">#REF!</definedName>
    <definedName name="_1423">#REF!</definedName>
    <definedName name="_1424">#REF!</definedName>
    <definedName name="_1425">#REF!</definedName>
    <definedName name="_1426">#REF!</definedName>
    <definedName name="_1427">#REF!</definedName>
    <definedName name="_1437">#REF!</definedName>
    <definedName name="_1438">#REF!</definedName>
    <definedName name="_1439">#REF!</definedName>
    <definedName name="_144_8_0">#REF!</definedName>
    <definedName name="_1440">#REF!</definedName>
    <definedName name="_1441">#REF!</definedName>
    <definedName name="_1442">#REF!</definedName>
    <definedName name="_1443">#REF!</definedName>
    <definedName name="_1444">#REF!</definedName>
    <definedName name="_1445">#REF!</definedName>
    <definedName name="_1446">#REF!</definedName>
    <definedName name="_1447">#REF!</definedName>
    <definedName name="_1448">#REF!</definedName>
    <definedName name="_1449">#REF!</definedName>
    <definedName name="_1450">#REF!</definedName>
    <definedName name="_1451">#REF!</definedName>
    <definedName name="_1452">#REF!</definedName>
    <definedName name="_1453">#REF!</definedName>
    <definedName name="_1454">#REF!</definedName>
    <definedName name="_1455">#REF!</definedName>
    <definedName name="_1456">#REF!</definedName>
    <definedName name="_1457">#REF!</definedName>
    <definedName name="_1458">#REF!</definedName>
    <definedName name="_1459">#REF!</definedName>
    <definedName name="_1460">#REF!</definedName>
    <definedName name="_1461">#REF!</definedName>
    <definedName name="_1462">#REF!</definedName>
    <definedName name="_1463">#REF!</definedName>
    <definedName name="_1464">#REF!</definedName>
    <definedName name="_1465">#REF!</definedName>
    <definedName name="_1466">#REF!</definedName>
    <definedName name="_1467">#REF!</definedName>
    <definedName name="_1468">#REF!</definedName>
    <definedName name="_1469">#REF!</definedName>
    <definedName name="_1470">#REF!</definedName>
    <definedName name="_1471">#REF!</definedName>
    <definedName name="_1472">#REF!</definedName>
    <definedName name="_1473">#REF!</definedName>
    <definedName name="_1474">#REF!</definedName>
    <definedName name="_1482">#REF!</definedName>
    <definedName name="_1483">#REF!</definedName>
    <definedName name="_1484">#REF!</definedName>
    <definedName name="_1485">#REF!</definedName>
    <definedName name="_1486">#REF!</definedName>
    <definedName name="_1487">#REF!</definedName>
    <definedName name="_1488">#REF!</definedName>
    <definedName name="_1489">#REF!</definedName>
    <definedName name="_149_9_0s">#REF!</definedName>
    <definedName name="_1490">#REF!</definedName>
    <definedName name="_1491">#REF!</definedName>
    <definedName name="_1492">#REF!</definedName>
    <definedName name="_1493">#REF!</definedName>
    <definedName name="_1494">#REF!</definedName>
    <definedName name="_1495">#REF!</definedName>
    <definedName name="_1496">#REF!</definedName>
    <definedName name="_1497">#REF!</definedName>
    <definedName name="_1498">#REF!</definedName>
    <definedName name="_1499">#REF!</definedName>
    <definedName name="_15">#REF!</definedName>
    <definedName name="_15_0">#REF!</definedName>
    <definedName name="_15_0total_s">#REF!</definedName>
    <definedName name="_15_8">#REF!</definedName>
    <definedName name="_15_8_0">#REF!</definedName>
    <definedName name="_15_9_0s">#REF!</definedName>
    <definedName name="_1500">#REF!</definedName>
    <definedName name="_1501">#REF!</definedName>
    <definedName name="_1502">#REF!</definedName>
    <definedName name="_1503">#REF!</definedName>
    <definedName name="_1504">#REF!</definedName>
    <definedName name="_1505">#REF!</definedName>
    <definedName name="_1506">#REF!</definedName>
    <definedName name="_1507">#REF!</definedName>
    <definedName name="_1508">#REF!</definedName>
    <definedName name="_1509">#REF!</definedName>
    <definedName name="_1510">#REF!</definedName>
    <definedName name="_1511">#REF!</definedName>
    <definedName name="_1512">#REF!</definedName>
    <definedName name="_1513">#REF!</definedName>
    <definedName name="_1514">#REF!</definedName>
    <definedName name="_1515">#REF!</definedName>
    <definedName name="_1516">#REF!</definedName>
    <definedName name="_1517">#REF!</definedName>
    <definedName name="_1518">#REF!</definedName>
    <definedName name="_1519">#REF!</definedName>
    <definedName name="_1527">#REF!</definedName>
    <definedName name="_1528">#REF!</definedName>
    <definedName name="_1529">#REF!</definedName>
    <definedName name="_1530">#REF!</definedName>
    <definedName name="_1531">#REF!</definedName>
    <definedName name="_1532">#REF!</definedName>
    <definedName name="_1533">#REF!</definedName>
    <definedName name="_1534">#REF!</definedName>
    <definedName name="_1535">#REF!</definedName>
    <definedName name="_1536">#REF!</definedName>
    <definedName name="_1537">#REF!</definedName>
    <definedName name="_1538">#REF!</definedName>
    <definedName name="_1539">#REF!</definedName>
    <definedName name="_1540">#REF!</definedName>
    <definedName name="_1541">#REF!</definedName>
    <definedName name="_1542">#REF!</definedName>
    <definedName name="_1543">#REF!</definedName>
    <definedName name="_1544">#REF!</definedName>
    <definedName name="_1545">#REF!</definedName>
    <definedName name="_1546">#REF!</definedName>
    <definedName name="_1547">#REF!</definedName>
    <definedName name="_1548">#REF!</definedName>
    <definedName name="_1549">#REF!</definedName>
    <definedName name="_1550">#REF!</definedName>
    <definedName name="_1551">#REF!</definedName>
    <definedName name="_1552">#REF!</definedName>
    <definedName name="_1553">#REF!</definedName>
    <definedName name="_1554">#REF!</definedName>
    <definedName name="_1555">#REF!</definedName>
    <definedName name="_1556">#REF!</definedName>
    <definedName name="_1557">#REF!</definedName>
    <definedName name="_1558">#REF!</definedName>
    <definedName name="_1559">#REF!</definedName>
    <definedName name="_156_9__s">#REF!</definedName>
    <definedName name="_1560">#REF!</definedName>
    <definedName name="_1561">#REF!</definedName>
    <definedName name="_1562">#REF!</definedName>
    <definedName name="_1563">#REF!</definedName>
    <definedName name="_1564">#REF!</definedName>
    <definedName name="_1574">#REF!</definedName>
    <definedName name="_1575">#REF!</definedName>
    <definedName name="_1576">#REF!</definedName>
    <definedName name="_1577">#REF!</definedName>
    <definedName name="_1578">#REF!</definedName>
    <definedName name="_1579">#REF!</definedName>
    <definedName name="_1580">#REF!</definedName>
    <definedName name="_1581">#REF!</definedName>
    <definedName name="_1582">#REF!</definedName>
    <definedName name="_1583">#REF!</definedName>
    <definedName name="_1584">#REF!</definedName>
    <definedName name="_1585">#REF!</definedName>
    <definedName name="_1586">#REF!</definedName>
    <definedName name="_1587">#REF!</definedName>
    <definedName name="_1588">#REF!</definedName>
    <definedName name="_1589">#REF!</definedName>
    <definedName name="_1590">#REF!</definedName>
    <definedName name="_1591">#REF!</definedName>
    <definedName name="_1592">#REF!</definedName>
    <definedName name="_1593">#REF!</definedName>
    <definedName name="_1594">#REF!</definedName>
    <definedName name="_1595">#REF!</definedName>
    <definedName name="_1596">#REF!</definedName>
    <definedName name="_1597">#REF!</definedName>
    <definedName name="_1598">#REF!</definedName>
    <definedName name="_1599">#REF!</definedName>
    <definedName name="_16">#REF!</definedName>
    <definedName name="_16_">#REF!</definedName>
    <definedName name="_16_0">#REF!</definedName>
    <definedName name="_16_9__s">#REF!</definedName>
    <definedName name="_16_9_0s">#REF!</definedName>
    <definedName name="_1600">#REF!</definedName>
    <definedName name="_1601">#REF!</definedName>
    <definedName name="_1602">#REF!</definedName>
    <definedName name="_1604">#REF!</definedName>
    <definedName name="_1606">#REF!</definedName>
    <definedName name="_1607">#REF!</definedName>
    <definedName name="_1617">#REF!</definedName>
    <definedName name="_1618">#REF!</definedName>
    <definedName name="_1619">#REF!</definedName>
    <definedName name="_1620">#REF!</definedName>
    <definedName name="_1621">#REF!</definedName>
    <definedName name="_1622">#REF!</definedName>
    <definedName name="_1623">#REF!</definedName>
    <definedName name="_1624">#REF!</definedName>
    <definedName name="_1625">#REF!</definedName>
    <definedName name="_1626">#REF!</definedName>
    <definedName name="_1627">#REF!</definedName>
    <definedName name="_1628">#REF!</definedName>
    <definedName name="_1629">#REF!</definedName>
    <definedName name="_1630">#REF!</definedName>
    <definedName name="_1631">#REF!</definedName>
    <definedName name="_1632">#REF!</definedName>
    <definedName name="_1633">#REF!</definedName>
    <definedName name="_1634">#REF!</definedName>
    <definedName name="_1635">#REF!</definedName>
    <definedName name="_1636">#REF!</definedName>
    <definedName name="_1637">#REF!</definedName>
    <definedName name="_1638">#REF!</definedName>
    <definedName name="_1639">#REF!</definedName>
    <definedName name="_1640">#REF!</definedName>
    <definedName name="_1641">#REF!</definedName>
    <definedName name="_1642">#REF!</definedName>
    <definedName name="_1643">#REF!</definedName>
    <definedName name="_1644">#REF!</definedName>
    <definedName name="_1645">#REF!</definedName>
    <definedName name="_1646">#REF!</definedName>
    <definedName name="_1647">#REF!</definedName>
    <definedName name="_1648">#REF!</definedName>
    <definedName name="_1649">#REF!</definedName>
    <definedName name="_1650">#REF!</definedName>
    <definedName name="_1664">#REF!</definedName>
    <definedName name="_1665">#REF!</definedName>
    <definedName name="_1666">#REF!</definedName>
    <definedName name="_1667">#REF!</definedName>
    <definedName name="_1668">#REF!</definedName>
    <definedName name="_1669">#REF!</definedName>
    <definedName name="_1670">#REF!</definedName>
    <definedName name="_1671">#REF!</definedName>
    <definedName name="_1672">#REF!</definedName>
    <definedName name="_1673">#REF!</definedName>
    <definedName name="_1674">#REF!</definedName>
    <definedName name="_1675">#REF!</definedName>
    <definedName name="_1676">#REF!</definedName>
    <definedName name="_1677">#REF!</definedName>
    <definedName name="_1678">#REF!</definedName>
    <definedName name="_1679">#REF!</definedName>
    <definedName name="_1680">#REF!</definedName>
    <definedName name="_1681">#REF!</definedName>
    <definedName name="_1682">#REF!</definedName>
    <definedName name="_1683">#REF!</definedName>
    <definedName name="_1684">#REF!</definedName>
    <definedName name="_1685">#REF!</definedName>
    <definedName name="_1686">#REF!</definedName>
    <definedName name="_1687">#REF!</definedName>
    <definedName name="_1688">#REF!</definedName>
    <definedName name="_1689">#REF!</definedName>
    <definedName name="_1690">#REF!</definedName>
    <definedName name="_1691">#REF!</definedName>
    <definedName name="_1692">#REF!</definedName>
    <definedName name="_1693">#REF!</definedName>
    <definedName name="_1694">#REF!</definedName>
    <definedName name="_1695">#REF!</definedName>
    <definedName name="_1696">#REF!</definedName>
    <definedName name="_1697">#REF!</definedName>
    <definedName name="_16JUL">#REF!</definedName>
    <definedName name="_16Total_">#REF!</definedName>
    <definedName name="_17">#REF!</definedName>
    <definedName name="_17_0total_s">#REF!</definedName>
    <definedName name="_17_9_0s">#REF!</definedName>
    <definedName name="_1707">#REF!</definedName>
    <definedName name="_1708">#REF!</definedName>
    <definedName name="_1709">#REF!</definedName>
    <definedName name="_1710">#REF!</definedName>
    <definedName name="_1711">#REF!</definedName>
    <definedName name="_1712">#REF!</definedName>
    <definedName name="_1713">#REF!</definedName>
    <definedName name="_1714">#REF!</definedName>
    <definedName name="_1715">#REF!</definedName>
    <definedName name="_1716">#REF!</definedName>
    <definedName name="_1717">#REF!</definedName>
    <definedName name="_1718">#REF!</definedName>
    <definedName name="_1719">#REF!</definedName>
    <definedName name="_1720">#REF!</definedName>
    <definedName name="_1721">#REF!</definedName>
    <definedName name="_1722">#REF!</definedName>
    <definedName name="_1723">#REF!</definedName>
    <definedName name="_1724">#REF!</definedName>
    <definedName name="_1725">#REF!</definedName>
    <definedName name="_1726">#REF!</definedName>
    <definedName name="_1727">#REF!</definedName>
    <definedName name="_1728">#REF!</definedName>
    <definedName name="_1729">#REF!</definedName>
    <definedName name="_1730">#REF!</definedName>
    <definedName name="_1731">#REF!</definedName>
    <definedName name="_1732">#REF!</definedName>
    <definedName name="_1733">#REF!</definedName>
    <definedName name="_1734">#REF!</definedName>
    <definedName name="_1735">#REF!</definedName>
    <definedName name="_1736">#REF!</definedName>
    <definedName name="_1737">#REF!</definedName>
    <definedName name="_1738">#REF!</definedName>
    <definedName name="_1739">#REF!</definedName>
    <definedName name="_1740">#REF!</definedName>
    <definedName name="_1741">#REF!</definedName>
    <definedName name="_1742">#REF!</definedName>
    <definedName name="_1752">#REF!</definedName>
    <definedName name="_1753">#REF!</definedName>
    <definedName name="_1754">#REF!</definedName>
    <definedName name="_1755">#REF!</definedName>
    <definedName name="_1756">#REF!</definedName>
    <definedName name="_1757">#REF!</definedName>
    <definedName name="_1758">#REF!</definedName>
    <definedName name="_1759">#REF!</definedName>
    <definedName name="_1760">#REF!</definedName>
    <definedName name="_1761">#REF!</definedName>
    <definedName name="_1762">#REF!</definedName>
    <definedName name="_1763">#REF!</definedName>
    <definedName name="_1764">#REF!</definedName>
    <definedName name="_1765">#REF!</definedName>
    <definedName name="_1766">#REF!</definedName>
    <definedName name="_1767">#REF!</definedName>
    <definedName name="_1768">#REF!</definedName>
    <definedName name="_1769">#REF!</definedName>
    <definedName name="_1770">#REF!</definedName>
    <definedName name="_1771">#REF!</definedName>
    <definedName name="_1772">#REF!</definedName>
    <definedName name="_1773">#REF!</definedName>
    <definedName name="_1774">#REF!</definedName>
    <definedName name="_1775">#REF!</definedName>
    <definedName name="_1776">#REF!</definedName>
    <definedName name="_1777">#REF!</definedName>
    <definedName name="_1778">#REF!</definedName>
    <definedName name="_1779">#REF!</definedName>
    <definedName name="_1780">#REF!</definedName>
    <definedName name="_1781">#REF!</definedName>
    <definedName name="_1782">#REF!</definedName>
    <definedName name="_1783">#REF!</definedName>
    <definedName name="_1784">#REF!</definedName>
    <definedName name="_1785">#REF!</definedName>
    <definedName name="_1786">#REF!</definedName>
    <definedName name="_1787">#REF!</definedName>
    <definedName name="_1797">#REF!</definedName>
    <definedName name="_1799">#REF!</definedName>
    <definedName name="_18">#REF!</definedName>
    <definedName name="_18_">#REF!</definedName>
    <definedName name="_18_____total_s">#REF!</definedName>
    <definedName name="_18_0">#REF!</definedName>
    <definedName name="_18_8">#REF!</definedName>
    <definedName name="_18_9__s">#REF!</definedName>
    <definedName name="_1800">#REF!</definedName>
    <definedName name="_1801">#REF!</definedName>
    <definedName name="_1802">#REF!</definedName>
    <definedName name="_1803">#REF!</definedName>
    <definedName name="_1804">#REF!</definedName>
    <definedName name="_1805">#REF!</definedName>
    <definedName name="_1806">#REF!</definedName>
    <definedName name="_1807">#REF!</definedName>
    <definedName name="_1808">#REF!</definedName>
    <definedName name="_1809">#REF!</definedName>
    <definedName name="_1810">#REF!</definedName>
    <definedName name="_1811">#REF!</definedName>
    <definedName name="_1812">#REF!</definedName>
    <definedName name="_1813">#REF!</definedName>
    <definedName name="_1814">#REF!</definedName>
    <definedName name="_1815">#REF!</definedName>
    <definedName name="_1816">#REF!</definedName>
    <definedName name="_1817">#REF!</definedName>
    <definedName name="_1818">#REF!</definedName>
    <definedName name="_1819">#REF!</definedName>
    <definedName name="_1820">#REF!</definedName>
    <definedName name="_1821">#REF!</definedName>
    <definedName name="_1822">#REF!</definedName>
    <definedName name="_1823">#REF!</definedName>
    <definedName name="_1824">#REF!</definedName>
    <definedName name="_1825">#REF!</definedName>
    <definedName name="_1826">#REF!</definedName>
    <definedName name="_1827">#REF!</definedName>
    <definedName name="_1828">#REF!</definedName>
    <definedName name="_1829">#REF!</definedName>
    <definedName name="_1830">#REF!</definedName>
    <definedName name="_1831">#REF!</definedName>
    <definedName name="_1832">#REF!</definedName>
    <definedName name="_1842">#REF!</definedName>
    <definedName name="_1843">#REF!</definedName>
    <definedName name="_1844">#REF!</definedName>
    <definedName name="_1845">#REF!</definedName>
    <definedName name="_1846">#REF!</definedName>
    <definedName name="_1847">#REF!</definedName>
    <definedName name="_1848">#REF!</definedName>
    <definedName name="_1849">#REF!</definedName>
    <definedName name="_1850">#REF!</definedName>
    <definedName name="_1851">#REF!</definedName>
    <definedName name="_1852">#REF!</definedName>
    <definedName name="_1853">#REF!</definedName>
    <definedName name="_1854">#REF!</definedName>
    <definedName name="_1855">#REF!</definedName>
    <definedName name="_1856">#REF!</definedName>
    <definedName name="_1857">#REF!</definedName>
    <definedName name="_1858">#REF!</definedName>
    <definedName name="_1859">#REF!</definedName>
    <definedName name="_1860">#REF!</definedName>
    <definedName name="_1861">#REF!</definedName>
    <definedName name="_1862">#REF!</definedName>
    <definedName name="_1863">#REF!</definedName>
    <definedName name="_1864">#REF!</definedName>
    <definedName name="_1865">#REF!</definedName>
    <definedName name="_1866">#REF!</definedName>
    <definedName name="_1867">#REF!</definedName>
    <definedName name="_1868">#REF!</definedName>
    <definedName name="_1869">#REF!</definedName>
    <definedName name="_1870">#REF!</definedName>
    <definedName name="_1871">#REF!</definedName>
    <definedName name="_1872">#REF!</definedName>
    <definedName name="_1873">#REF!</definedName>
    <definedName name="_1874">#REF!</definedName>
    <definedName name="_1875">#REF!</definedName>
    <definedName name="_1876">#REF!</definedName>
    <definedName name="_1877">#REF!</definedName>
    <definedName name="_1887">#REF!</definedName>
    <definedName name="_1888">#REF!</definedName>
    <definedName name="_1889">#REF!</definedName>
    <definedName name="_1890">#REF!</definedName>
    <definedName name="_1891">#REF!</definedName>
    <definedName name="_1892">#REF!</definedName>
    <definedName name="_1893">#REF!</definedName>
    <definedName name="_1894">#REF!</definedName>
    <definedName name="_1895">#REF!</definedName>
    <definedName name="_1896">#REF!</definedName>
    <definedName name="_1897">#REF!</definedName>
    <definedName name="_1898">#REF!</definedName>
    <definedName name="_1899">#REF!</definedName>
    <definedName name="_18MARZO">#REF!</definedName>
    <definedName name="_18total_s">#REF!</definedName>
    <definedName name="_19">#REF!</definedName>
    <definedName name="_19_">#REF!</definedName>
    <definedName name="_19_0Total_">#REF!</definedName>
    <definedName name="_1900">#REF!</definedName>
    <definedName name="_1901">#REF!</definedName>
    <definedName name="_1902">#REF!</definedName>
    <definedName name="_1903">#REF!</definedName>
    <definedName name="_1904">#REF!</definedName>
    <definedName name="_1905">#REF!</definedName>
    <definedName name="_1906">#REF!</definedName>
    <definedName name="_1907">#REF!</definedName>
    <definedName name="_1908">#REF!</definedName>
    <definedName name="_1909">#REF!</definedName>
    <definedName name="_1910">#REF!</definedName>
    <definedName name="_1911">#REF!</definedName>
    <definedName name="_1912">#REF!</definedName>
    <definedName name="_1913">#REF!</definedName>
    <definedName name="_1914">#REF!</definedName>
    <definedName name="_1915">#REF!</definedName>
    <definedName name="_1916">#REF!</definedName>
    <definedName name="_1917">#REF!</definedName>
    <definedName name="_1918">#REF!</definedName>
    <definedName name="_1919">#REF!</definedName>
    <definedName name="_1920">#REF!</definedName>
    <definedName name="_1932">#REF!</definedName>
    <definedName name="_1933">#REF!</definedName>
    <definedName name="_1934">#REF!</definedName>
    <definedName name="_1935">#REF!</definedName>
    <definedName name="_1936">#REF!</definedName>
    <definedName name="_1937">#REF!</definedName>
    <definedName name="_1938">#REF!</definedName>
    <definedName name="_1939">#REF!</definedName>
    <definedName name="_1940">#REF!</definedName>
    <definedName name="_1941">#REF!</definedName>
    <definedName name="_1942">#REF!</definedName>
    <definedName name="_1943">#REF!</definedName>
    <definedName name="_1944">#REF!</definedName>
    <definedName name="_1945">#REF!</definedName>
    <definedName name="_1946">#REF!</definedName>
    <definedName name="_1947">#REF!</definedName>
    <definedName name="_1948">#REF!</definedName>
    <definedName name="_1949">#REF!</definedName>
    <definedName name="_1950">#REF!</definedName>
    <definedName name="_1951">#REF!</definedName>
    <definedName name="_1952">#REF!</definedName>
    <definedName name="_1953">#REF!</definedName>
    <definedName name="_1954">#REF!</definedName>
    <definedName name="_1955">#REF!</definedName>
    <definedName name="_1956">#REF!</definedName>
    <definedName name="_1957">#REF!</definedName>
    <definedName name="_1958">#REF!</definedName>
    <definedName name="_1959">#REF!</definedName>
    <definedName name="_1960">#REF!</definedName>
    <definedName name="_1961">#REF!</definedName>
    <definedName name="_1962">#REF!</definedName>
    <definedName name="_1963">#REF!</definedName>
    <definedName name="_1964">#REF!</definedName>
    <definedName name="_1965">#REF!</definedName>
    <definedName name="_1977">#REF!</definedName>
    <definedName name="_1978">#REF!</definedName>
    <definedName name="_1979">#REF!</definedName>
    <definedName name="_1980">#REF!</definedName>
    <definedName name="_1981">#REF!</definedName>
    <definedName name="_1982">#REF!</definedName>
    <definedName name="_1983">#REF!</definedName>
    <definedName name="_1984">#REF!</definedName>
    <definedName name="_1985">#REF!</definedName>
    <definedName name="_1986">#REF!</definedName>
    <definedName name="_1987">#REF!</definedName>
    <definedName name="_1988">#REF!</definedName>
    <definedName name="_1989">#REF!</definedName>
    <definedName name="_1990">#REF!</definedName>
    <definedName name="_1991">#REF!</definedName>
    <definedName name="_1992">#REF!</definedName>
    <definedName name="_1993">#REF!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1Sin_nombre">#REF!</definedName>
    <definedName name="_2">#REF!</definedName>
    <definedName name="_2_">#REF!</definedName>
    <definedName name="_2_0">#REF!</definedName>
    <definedName name="_2_0a">#REF!</definedName>
    <definedName name="_20">#REF!</definedName>
    <definedName name="_20_">#REF!</definedName>
    <definedName name="_20_____Total_">#REF!</definedName>
    <definedName name="_20_____total_s">#REF!</definedName>
    <definedName name="_20_8_0">#REF!</definedName>
    <definedName name="_2000">#REF!</definedName>
    <definedName name="_2001">#REF!</definedName>
    <definedName name="_2002">#REF!</definedName>
    <definedName name="_2003">#REF!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0">#REF!</definedName>
    <definedName name="_20Total_">#REF!</definedName>
    <definedName name="_21">#REF!</definedName>
    <definedName name="_21_">#REF!</definedName>
    <definedName name="_21_0Total_">#REF!</definedName>
    <definedName name="_21_8">#REF!</definedName>
    <definedName name="_214NOV">#REF!</definedName>
    <definedName name="_21OCT">#REF!</definedName>
    <definedName name="_21OCT1">#REF!</definedName>
    <definedName name="_22">#REF!</definedName>
    <definedName name="_22_">#REF!</definedName>
    <definedName name="_22_____Total_">#REF!</definedName>
    <definedName name="_22__8">#REF!</definedName>
    <definedName name="_22_8_0">#REF!</definedName>
    <definedName name="_22_9_0s">#REF!</definedName>
    <definedName name="_2202">#REF!</definedName>
    <definedName name="_2203">#REF!</definedName>
    <definedName name="_2204">#REF!</definedName>
    <definedName name="_2205">#REF!</definedName>
    <definedName name="_2206">#REF!</definedName>
    <definedName name="_2207">#REF!</definedName>
    <definedName name="_2208">#REF!</definedName>
    <definedName name="_2209">#REF!</definedName>
    <definedName name="_2210">#REF!</definedName>
    <definedName name="_2211">#REF!</definedName>
    <definedName name="_2212">#REF!</definedName>
    <definedName name="_2213">#REF!</definedName>
    <definedName name="_2214">#REF!</definedName>
    <definedName name="_2215">#REF!</definedName>
    <definedName name="_2216">#REF!</definedName>
    <definedName name="_2217">#REF!</definedName>
    <definedName name="_2218">#REF!</definedName>
    <definedName name="_2219">#REF!</definedName>
    <definedName name="_2220">#REF!</definedName>
    <definedName name="_2221">#REF!</definedName>
    <definedName name="_2222">#REF!</definedName>
    <definedName name="_2223">#REF!</definedName>
    <definedName name="_2224">#REF!</definedName>
    <definedName name="_2225">#REF!</definedName>
    <definedName name="_2226">#REF!</definedName>
    <definedName name="_2227">#REF!</definedName>
    <definedName name="_2228">#REF!</definedName>
    <definedName name="_2229">#REF!</definedName>
    <definedName name="_2230">#REF!</definedName>
    <definedName name="_2231">#REF!</definedName>
    <definedName name="_2232">#REF!</definedName>
    <definedName name="_2233">#REF!</definedName>
    <definedName name="_2234">#REF!</definedName>
    <definedName name="_2235">#REF!</definedName>
    <definedName name="_2247">#REF!</definedName>
    <definedName name="_2248">#REF!</definedName>
    <definedName name="_2249">#REF!</definedName>
    <definedName name="_2250">#REF!</definedName>
    <definedName name="_2251">#REF!</definedName>
    <definedName name="_2252">#REF!</definedName>
    <definedName name="_2253">#REF!</definedName>
    <definedName name="_2254">#REF!</definedName>
    <definedName name="_2255">#REF!</definedName>
    <definedName name="_2256">#REF!</definedName>
    <definedName name="_2257">#REF!</definedName>
    <definedName name="_2258">#REF!</definedName>
    <definedName name="_2259">#REF!</definedName>
    <definedName name="_2260">#REF!</definedName>
    <definedName name="_2261">#REF!</definedName>
    <definedName name="_2262">#REF!</definedName>
    <definedName name="_2263">#REF!</definedName>
    <definedName name="_2264">#REF!</definedName>
    <definedName name="_2265">#REF!</definedName>
    <definedName name="_2266">#REF!</definedName>
    <definedName name="_2267">#REF!</definedName>
    <definedName name="_2268">#REF!</definedName>
    <definedName name="_2269">#REF!</definedName>
    <definedName name="_2270">#REF!</definedName>
    <definedName name="_2271">#REF!</definedName>
    <definedName name="_2272">#REF!</definedName>
    <definedName name="_2273">#REF!</definedName>
    <definedName name="_2274">#REF!</definedName>
    <definedName name="_2275">#REF!</definedName>
    <definedName name="_2276">#REF!</definedName>
    <definedName name="_2277">#REF!</definedName>
    <definedName name="_2278">#REF!</definedName>
    <definedName name="_2279">#REF!</definedName>
    <definedName name="_228">#REF!</definedName>
    <definedName name="_2280">#REF!</definedName>
    <definedName name="_229">#REF!</definedName>
    <definedName name="_2292">#REF!</definedName>
    <definedName name="_2293">#REF!</definedName>
    <definedName name="_2294">#REF!</definedName>
    <definedName name="_2295">#REF!</definedName>
    <definedName name="_2296">#REF!</definedName>
    <definedName name="_2297">#REF!</definedName>
    <definedName name="_2298">#REF!</definedName>
    <definedName name="_2299">#REF!</definedName>
    <definedName name="_23">#REF!</definedName>
    <definedName name="_23_">#REF!</definedName>
    <definedName name="_23_9_0s">#REF!</definedName>
    <definedName name="_230">#REF!</definedName>
    <definedName name="_2300">#REF!</definedName>
    <definedName name="_2301">#REF!</definedName>
    <definedName name="_2302">#REF!</definedName>
    <definedName name="_2303">#REF!</definedName>
    <definedName name="_2304">#REF!</definedName>
    <definedName name="_2305">#REF!</definedName>
    <definedName name="_2306">#REF!</definedName>
    <definedName name="_2307">#REF!</definedName>
    <definedName name="_2308">#REF!</definedName>
    <definedName name="_2309">#REF!</definedName>
    <definedName name="_231">#REF!</definedName>
    <definedName name="_2310">#REF!</definedName>
    <definedName name="_2311">#REF!</definedName>
    <definedName name="_2312">#REF!</definedName>
    <definedName name="_2313">#REF!</definedName>
    <definedName name="_2314">#REF!</definedName>
    <definedName name="_2315">#REF!</definedName>
    <definedName name="_2316">#REF!</definedName>
    <definedName name="_2317">#REF!</definedName>
    <definedName name="_2318">#REF!</definedName>
    <definedName name="_2319">#REF!</definedName>
    <definedName name="_232">#REF!</definedName>
    <definedName name="_2320">#REF!</definedName>
    <definedName name="_2321">#REF!</definedName>
    <definedName name="_2322">#REF!</definedName>
    <definedName name="_2323">#REF!</definedName>
    <definedName name="_2324">#REF!</definedName>
    <definedName name="_2325">#REF!</definedName>
    <definedName name="_233">#REF!</definedName>
    <definedName name="_234">#REF!</definedName>
    <definedName name="_235">#REF!</definedName>
    <definedName name="_236">#REF!</definedName>
    <definedName name="_237">#REF!</definedName>
    <definedName name="_238">#REF!</definedName>
    <definedName name="_2382">#REF!</definedName>
    <definedName name="_2383">#REF!</definedName>
    <definedName name="_2384">#REF!</definedName>
    <definedName name="_2385">#REF!</definedName>
    <definedName name="_2386">#REF!</definedName>
    <definedName name="_2387">#REF!</definedName>
    <definedName name="_2388">#REF!</definedName>
    <definedName name="_2389">#REF!</definedName>
    <definedName name="_239">#REF!</definedName>
    <definedName name="_2390">#REF!</definedName>
    <definedName name="_2391">#REF!</definedName>
    <definedName name="_2392">#REF!</definedName>
    <definedName name="_2393">#REF!</definedName>
    <definedName name="_2394">#REF!</definedName>
    <definedName name="_2395">#REF!</definedName>
    <definedName name="_2396">#REF!</definedName>
    <definedName name="_2397">#REF!</definedName>
    <definedName name="_2398">#REF!</definedName>
    <definedName name="_2399">#REF!</definedName>
    <definedName name="_24">#REF!</definedName>
    <definedName name="_24__8">#REF!</definedName>
    <definedName name="_24__9__s">#REF!</definedName>
    <definedName name="_24_0">#REF!</definedName>
    <definedName name="_24_9__s">#REF!</definedName>
    <definedName name="_240">#REF!</definedName>
    <definedName name="_2400">#REF!</definedName>
    <definedName name="_2401">#REF!</definedName>
    <definedName name="_2402">#REF!</definedName>
    <definedName name="_2403">#REF!</definedName>
    <definedName name="_2404">#REF!</definedName>
    <definedName name="_2405">#REF!</definedName>
    <definedName name="_2406">#REF!</definedName>
    <definedName name="_2407">#REF!</definedName>
    <definedName name="_2408">#REF!</definedName>
    <definedName name="_2409">#REF!</definedName>
    <definedName name="_241">#REF!</definedName>
    <definedName name="_2410">#REF!</definedName>
    <definedName name="_2411">#REF!</definedName>
    <definedName name="_2412">#REF!</definedName>
    <definedName name="_2413">#REF!</definedName>
    <definedName name="_2414">#REF!</definedName>
    <definedName name="_2415">#REF!</definedName>
    <definedName name="_242">#REF!</definedName>
    <definedName name="_243">#REF!</definedName>
    <definedName name="_244">#REF!</definedName>
    <definedName name="_245">#REF!</definedName>
    <definedName name="_246">#REF!</definedName>
    <definedName name="_247">#REF!</definedName>
    <definedName name="_2472">#REF!</definedName>
    <definedName name="_2473">#REF!</definedName>
    <definedName name="_2474">#REF!</definedName>
    <definedName name="_2475">#REF!</definedName>
    <definedName name="_2476">#REF!</definedName>
    <definedName name="_2477">#REF!</definedName>
    <definedName name="_2478">#REF!</definedName>
    <definedName name="_2479">#REF!</definedName>
    <definedName name="_248">#REF!</definedName>
    <definedName name="_2480">#REF!</definedName>
    <definedName name="_2481">#REF!</definedName>
    <definedName name="_2482">#REF!</definedName>
    <definedName name="_2483">#REF!</definedName>
    <definedName name="_2484">#REF!</definedName>
    <definedName name="_2485">#REF!</definedName>
    <definedName name="_2486">#REF!</definedName>
    <definedName name="_2487">#REF!</definedName>
    <definedName name="_2488">#REF!</definedName>
    <definedName name="_2489">#REF!</definedName>
    <definedName name="_249">#REF!</definedName>
    <definedName name="_2490">#REF!</definedName>
    <definedName name="_2491">#REF!</definedName>
    <definedName name="_2492">#REF!</definedName>
    <definedName name="_2493">#REF!</definedName>
    <definedName name="_2494">#REF!</definedName>
    <definedName name="_2495">#REF!</definedName>
    <definedName name="_2496">#REF!</definedName>
    <definedName name="_2497">#REF!</definedName>
    <definedName name="_2498">#REF!</definedName>
    <definedName name="_2499">#REF!</definedName>
    <definedName name="_24Total_">#REF!</definedName>
    <definedName name="_25">#REF!</definedName>
    <definedName name="_250">#REF!</definedName>
    <definedName name="_2500">#REF!</definedName>
    <definedName name="_2501">#REF!</definedName>
    <definedName name="_2502">#REF!</definedName>
    <definedName name="_2503">#REF!</definedName>
    <definedName name="_2504">#REF!</definedName>
    <definedName name="_2505">#REF!</definedName>
    <definedName name="_251">#REF!</definedName>
    <definedName name="_252">#REF!</definedName>
    <definedName name="_253">#REF!</definedName>
    <definedName name="_254">#REF!</definedName>
    <definedName name="_255">#REF!</definedName>
    <definedName name="_256">#REF!</definedName>
    <definedName name="_257">#REF!</definedName>
    <definedName name="_258">#REF!</definedName>
    <definedName name="_259">#REF!</definedName>
    <definedName name="_26">#REF!</definedName>
    <definedName name="_26_">#REF!</definedName>
    <definedName name="_26____total_s">#REF!</definedName>
    <definedName name="_26__9__s">#REF!</definedName>
    <definedName name="_260">#REF!</definedName>
    <definedName name="_261">#REF!</definedName>
    <definedName name="_262">#REF!</definedName>
    <definedName name="_263">#REF!</definedName>
    <definedName name="_27">#REF!</definedName>
    <definedName name="_27_8">#REF!</definedName>
    <definedName name="_28">#REF!</definedName>
    <definedName name="_28_">#REF!</definedName>
    <definedName name="_28____Total_">#REF!</definedName>
    <definedName name="_28____total_s">#REF!</definedName>
    <definedName name="_29">#REF!</definedName>
    <definedName name="_29_____total_s">#REF!</definedName>
    <definedName name="_2967">#REF!</definedName>
    <definedName name="_2968">#REF!</definedName>
    <definedName name="_2969">#REF!</definedName>
    <definedName name="_2970">#REF!</definedName>
    <definedName name="_2971">#REF!</definedName>
    <definedName name="_2972">#REF!</definedName>
    <definedName name="_2973">#REF!</definedName>
    <definedName name="_2974">#REF!</definedName>
    <definedName name="_2975">#REF!</definedName>
    <definedName name="_2976">#REF!</definedName>
    <definedName name="_2977">#REF!</definedName>
    <definedName name="_2978">#REF!</definedName>
    <definedName name="_2979">#REF!</definedName>
    <definedName name="_2980">#REF!</definedName>
    <definedName name="_2981">#REF!</definedName>
    <definedName name="_2982">#REF!</definedName>
    <definedName name="_2983">#REF!</definedName>
    <definedName name="_2984">#REF!</definedName>
    <definedName name="_2985">#REF!</definedName>
    <definedName name="_2986">#REF!</definedName>
    <definedName name="_2987">#REF!</definedName>
    <definedName name="_2988">#REF!</definedName>
    <definedName name="_2989">#REF!</definedName>
    <definedName name="_2990">#REF!</definedName>
    <definedName name="_2991">#REF!</definedName>
    <definedName name="_2992">#REF!</definedName>
    <definedName name="_2993">#REF!</definedName>
    <definedName name="_2994">#REF!</definedName>
    <definedName name="_2995">#REF!</definedName>
    <definedName name="_2996">#REF!</definedName>
    <definedName name="_2997">#REF!</definedName>
    <definedName name="_2998">#REF!</definedName>
    <definedName name="_2999">#REF!</definedName>
    <definedName name="_2F_">#REF!</definedName>
    <definedName name="_3">#REF!</definedName>
    <definedName name="_3_">#REF!</definedName>
    <definedName name="_3_0">#REF!</definedName>
    <definedName name="_3_1">#REF!</definedName>
    <definedName name="_30">#REF!</definedName>
    <definedName name="_30_">#REF!</definedName>
    <definedName name="_30____Total_">#REF!</definedName>
    <definedName name="_30_0total_s">#REF!</definedName>
    <definedName name="_30_8">#REF!</definedName>
    <definedName name="_30_8_0">#REF!</definedName>
    <definedName name="_3000">#REF!</definedName>
    <definedName name="_30DIC">#REF!</definedName>
    <definedName name="_31">#REF!</definedName>
    <definedName name="_31_">#REF!</definedName>
    <definedName name="_31_0">#REF!</definedName>
    <definedName name="_32_____Total_">#REF!</definedName>
    <definedName name="_32_0">#REF!</definedName>
    <definedName name="_32_8">#REF!</definedName>
    <definedName name="_32_9__s">#REF!</definedName>
    <definedName name="_33_">#REF!</definedName>
    <definedName name="_33_9_0s">#REF!</definedName>
    <definedName name="_34_">#REF!</definedName>
    <definedName name="_34_0total_s">#REF!</definedName>
    <definedName name="_34_9__s">#REF!</definedName>
    <definedName name="_35__8">#REF!</definedName>
    <definedName name="_36_0total_s">#REF!</definedName>
    <definedName name="_36_9__s">#REF!</definedName>
    <definedName name="_36total_s">#REF!</definedName>
    <definedName name="_38_">#REF!</definedName>
    <definedName name="_38_____total_s">#REF!</definedName>
    <definedName name="_38__9__s">#REF!</definedName>
    <definedName name="_38_0Total_">#REF!</definedName>
    <definedName name="_39total_s">#REF!</definedName>
    <definedName name="_3total_s">#REF!</definedName>
    <definedName name="_4">#REF!</definedName>
    <definedName name="_4_">#REF!</definedName>
    <definedName name="_4_0">#REF!</definedName>
    <definedName name="_406">#REF!</definedName>
    <definedName name="_407">#REF!</definedName>
    <definedName name="_408">#REF!</definedName>
    <definedName name="_409">#REF!</definedName>
    <definedName name="_40Total_">#REF!</definedName>
    <definedName name="_41_0Total_">#REF!</definedName>
    <definedName name="_410">#REF!</definedName>
    <definedName name="_4103__MOR.GCIA_INGENIERIA">#REF!</definedName>
    <definedName name="_4108__MOR.SERV.ADM._RR.HH.">#REF!</definedName>
    <definedName name="_411">#REF!</definedName>
    <definedName name="_412">#REF!</definedName>
    <definedName name="_413">#REF!</definedName>
    <definedName name="_414">#REF!</definedName>
    <definedName name="_415">#REF!</definedName>
    <definedName name="_416">#REF!</definedName>
    <definedName name="_417">#REF!</definedName>
    <definedName name="_418">#REF!</definedName>
    <definedName name="_419">#REF!</definedName>
    <definedName name="_42_____Total_">#REF!</definedName>
    <definedName name="_42____total_s">#REF!</definedName>
    <definedName name="_42_0Total_">#REF!</definedName>
    <definedName name="_42_8">#REF!</definedName>
    <definedName name="_420">#REF!</definedName>
    <definedName name="_421">#REF!</definedName>
    <definedName name="_422">#REF!</definedName>
    <definedName name="_423">#REF!</definedName>
    <definedName name="_424">#REF!</definedName>
    <definedName name="_425">#REF!</definedName>
    <definedName name="_426">#REF!</definedName>
    <definedName name="_427">#REF!</definedName>
    <definedName name="_428">#REF!</definedName>
    <definedName name="_429">#REF!</definedName>
    <definedName name="_43_____total_s">#REF!</definedName>
    <definedName name="_430">#REF!</definedName>
    <definedName name="_431">#REF!</definedName>
    <definedName name="_432">#REF!</definedName>
    <definedName name="_433">#REF!</definedName>
    <definedName name="_434">#REF!</definedName>
    <definedName name="_435">#REF!</definedName>
    <definedName name="_436">#REF!</definedName>
    <definedName name="_437">#REF!</definedName>
    <definedName name="_438">#REF!</definedName>
    <definedName name="_439">#REF!</definedName>
    <definedName name="_44_8_0">#REF!</definedName>
    <definedName name="_440">#REF!</definedName>
    <definedName name="_441">#REF!</definedName>
    <definedName name="_44Total_">#REF!</definedName>
    <definedName name="_45_">#REF!</definedName>
    <definedName name="_46____Total_">#REF!</definedName>
    <definedName name="_46__8">#REF!</definedName>
    <definedName name="_46_9_0s">#REF!</definedName>
    <definedName name="_47_0total_s">#REF!</definedName>
    <definedName name="_47_8">#REF!</definedName>
    <definedName name="_48_____Total_">#REF!</definedName>
    <definedName name="_48_0total_s">#REF!</definedName>
    <definedName name="_48_9__s">#REF!</definedName>
    <definedName name="_48Total_">#REF!</definedName>
    <definedName name="_49_8_0">#REF!</definedName>
    <definedName name="_496">#REF!</definedName>
    <definedName name="_497">#REF!</definedName>
    <definedName name="_498">#REF!</definedName>
    <definedName name="_499">#REF!</definedName>
    <definedName name="_4Sin_nombre">#REF!</definedName>
    <definedName name="_4Total_">#REF!</definedName>
    <definedName name="_5">#REF!</definedName>
    <definedName name="_5_">#REF!</definedName>
    <definedName name="_5_0">#REF!</definedName>
    <definedName name="_5_0total_s">#REF!</definedName>
    <definedName name="_5_8">#REF!</definedName>
    <definedName name="_50__9__s">#REF!</definedName>
    <definedName name="_50_8">#REF!</definedName>
    <definedName name="_500">#REF!</definedName>
    <definedName name="_501">#REF!</definedName>
    <definedName name="_502">#REF!</definedName>
    <definedName name="_503">#REF!</definedName>
    <definedName name="_504">#REF!</definedName>
    <definedName name="_505">#REF!</definedName>
    <definedName name="_506">#REF!</definedName>
    <definedName name="_507">#REF!</definedName>
    <definedName name="_508">#REF!</definedName>
    <definedName name="_509">#REF!</definedName>
    <definedName name="_51_9_0s">#REF!</definedName>
    <definedName name="_510">#REF!</definedName>
    <definedName name="_511">#REF!</definedName>
    <definedName name="_512">#REF!</definedName>
    <definedName name="_513">#REF!</definedName>
    <definedName name="_514">#REF!</definedName>
    <definedName name="_515">#REF!</definedName>
    <definedName name="_516">#REF!</definedName>
    <definedName name="_517">#REF!</definedName>
    <definedName name="_518">#REF!</definedName>
    <definedName name="_519">#REF!</definedName>
    <definedName name="_52_">#REF!</definedName>
    <definedName name="_520">#REF!</definedName>
    <definedName name="_521">#REF!</definedName>
    <definedName name="_522">#REF!</definedName>
    <definedName name="_523">#REF!</definedName>
    <definedName name="_524">#REF!</definedName>
    <definedName name="_525">#REF!</definedName>
    <definedName name="_526">#REF!</definedName>
    <definedName name="_527">#REF!</definedName>
    <definedName name="_528">#REF!</definedName>
    <definedName name="_529">#REF!</definedName>
    <definedName name="_53__8">#REF!</definedName>
    <definedName name="_530">#REF!</definedName>
    <definedName name="_531">#REF!</definedName>
    <definedName name="_54_8">#REF!</definedName>
    <definedName name="_54_9__s">#REF!</definedName>
    <definedName name="_541">#REF!</definedName>
    <definedName name="_542">#REF!</definedName>
    <definedName name="_543">#REF!</definedName>
    <definedName name="_544">#REF!</definedName>
    <definedName name="_545">#REF!</definedName>
    <definedName name="_546">#REF!</definedName>
    <definedName name="_547">#REF!</definedName>
    <definedName name="_548">#REF!</definedName>
    <definedName name="_549">#REF!</definedName>
    <definedName name="_55____total_s">#REF!</definedName>
    <definedName name="_550">#REF!</definedName>
    <definedName name="_551">#REF!</definedName>
    <definedName name="_552">#REF!</definedName>
    <definedName name="_553">#REF!</definedName>
    <definedName name="_554">#REF!</definedName>
    <definedName name="_555">#REF!</definedName>
    <definedName name="_556">#REF!</definedName>
    <definedName name="_557">#REF!</definedName>
    <definedName name="_558">#REF!</definedName>
    <definedName name="_559">#REF!</definedName>
    <definedName name="_56_0total_s">#REF!</definedName>
    <definedName name="_560">#REF!</definedName>
    <definedName name="_561">#REF!</definedName>
    <definedName name="_562">#REF!</definedName>
    <definedName name="_563">#REF!</definedName>
    <definedName name="_564">#REF!</definedName>
    <definedName name="_565">#REF!</definedName>
    <definedName name="_566">#REF!</definedName>
    <definedName name="_567">#REF!</definedName>
    <definedName name="_568">#REF!</definedName>
    <definedName name="_569">#REF!</definedName>
    <definedName name="_570">#REF!</definedName>
    <definedName name="_571">#REF!</definedName>
    <definedName name="_572">#REF!</definedName>
    <definedName name="_573">#REF!</definedName>
    <definedName name="_574">#REF!</definedName>
    <definedName name="_575">#REF!</definedName>
    <definedName name="_57ENER">#REF!</definedName>
    <definedName name="_58__9__s">#REF!</definedName>
    <definedName name="_59_____total_s">#REF!</definedName>
    <definedName name="_6">#REF!</definedName>
    <definedName name="_6_">#REF!</definedName>
    <definedName name="_6___0">#REF!</definedName>
    <definedName name="_6_0">#REF!</definedName>
    <definedName name="_6_0total_s">#REF!</definedName>
    <definedName name="_6_9__s">#REF!</definedName>
    <definedName name="_60____Total_">#REF!</definedName>
    <definedName name="_60_8_0">#REF!</definedName>
    <definedName name="_607150__SUELDOS">#REF!</definedName>
    <definedName name="_607151__JORNALES">#REF!</definedName>
    <definedName name="_607155__CARGAS_SOC._DIRECTAS">#REF!</definedName>
    <definedName name="_607156__VACACIONES">#REF!</definedName>
    <definedName name="_607157__SAC">#REF!</definedName>
    <definedName name="_607159__OTRAS_CARGAS_SOC.">#REF!</definedName>
    <definedName name="_607163__CAPACITACION">#REF!</definedName>
    <definedName name="_607165__CONC._SCIOS._COMIDAS">#REF!</definedName>
    <definedName name="_607168__APORTE_PATRONAL_X_RT">#REF!</definedName>
    <definedName name="_607170__TICKETS">#REF!</definedName>
    <definedName name="_607171__AP.PATRON.T.CANASTA">#REF!</definedName>
    <definedName name="_607180__OT._BEN.AL_PERSONAL">#REF!</definedName>
    <definedName name="_607181__ROPA_DE_TRABAJO">#REF!</definedName>
    <definedName name="_607182__CAPACITACION_TECNICA">#REF!</definedName>
    <definedName name="_60total_s">#REF!</definedName>
    <definedName name="_62_0Total_">#REF!</definedName>
    <definedName name="_63____total_s">#REF!</definedName>
    <definedName name="_63_0Total_">#REF!</definedName>
    <definedName name="_631">#REF!</definedName>
    <definedName name="_632">#REF!</definedName>
    <definedName name="_633">#REF!</definedName>
    <definedName name="_634">#REF!</definedName>
    <definedName name="_635">#REF!</definedName>
    <definedName name="_636">#REF!</definedName>
    <definedName name="_637">#REF!</definedName>
    <definedName name="_638">#REF!</definedName>
    <definedName name="_639">#REF!</definedName>
    <definedName name="_64____total_s">#REF!</definedName>
    <definedName name="_64_0Total_">#REF!</definedName>
    <definedName name="_640">#REF!</definedName>
    <definedName name="_641">#REF!</definedName>
    <definedName name="_642">#REF!</definedName>
    <definedName name="_643">#REF!</definedName>
    <definedName name="_644">#REF!</definedName>
    <definedName name="_645">#REF!</definedName>
    <definedName name="_646">#REF!</definedName>
    <definedName name="_647">#REF!</definedName>
    <definedName name="_648">#REF!</definedName>
    <definedName name="_649">#REF!</definedName>
    <definedName name="_65_8">#REF!</definedName>
    <definedName name="_650">#REF!</definedName>
    <definedName name="_651">#REF!</definedName>
    <definedName name="_652">#REF!</definedName>
    <definedName name="_653">#REF!</definedName>
    <definedName name="_654">#REF!</definedName>
    <definedName name="_655">#REF!</definedName>
    <definedName name="_656">#REF!</definedName>
    <definedName name="_657">#REF!</definedName>
    <definedName name="_658">#REF!</definedName>
    <definedName name="_659">#REF!</definedName>
    <definedName name="_66_____Total_">#REF!</definedName>
    <definedName name="_66_9_0s">#REF!</definedName>
    <definedName name="_660">#REF!</definedName>
    <definedName name="_661">#REF!</definedName>
    <definedName name="_662">#REF!</definedName>
    <definedName name="_663">#REF!</definedName>
    <definedName name="_664">#REF!</definedName>
    <definedName name="_66Total_">#REF!</definedName>
    <definedName name="_674">#REF!</definedName>
    <definedName name="_675">#REF!</definedName>
    <definedName name="_676">#REF!</definedName>
    <definedName name="_677">#REF!</definedName>
    <definedName name="_678">#REF!</definedName>
    <definedName name="_679">#REF!</definedName>
    <definedName name="_68____Total_">#REF!</definedName>
    <definedName name="_680">#REF!</definedName>
    <definedName name="_681">#REF!</definedName>
    <definedName name="_682">#REF!</definedName>
    <definedName name="_683">#REF!</definedName>
    <definedName name="_684">#REF!</definedName>
    <definedName name="_685">#REF!</definedName>
    <definedName name="_686">#REF!</definedName>
    <definedName name="_687">#REF!</definedName>
    <definedName name="_688">#REF!</definedName>
    <definedName name="_689">#REF!</definedName>
    <definedName name="_690">#REF!</definedName>
    <definedName name="_691">#REF!</definedName>
    <definedName name="_692">#REF!</definedName>
    <definedName name="_693">#REF!</definedName>
    <definedName name="_694">#REF!</definedName>
    <definedName name="_695">#REF!</definedName>
    <definedName name="_696">#REF!</definedName>
    <definedName name="_697">#REF!</definedName>
    <definedName name="_698">#REF!</definedName>
    <definedName name="_699">#REF!</definedName>
    <definedName name="_6total_s">#REF!</definedName>
    <definedName name="_7">#REF!</definedName>
    <definedName name="_7_">#REF!</definedName>
    <definedName name="_7_0Total_">#REF!</definedName>
    <definedName name="_7_0total_s">#REF!</definedName>
    <definedName name="_70____Total_">#REF!</definedName>
    <definedName name="_70_8">#REF!</definedName>
    <definedName name="_70_9__s">#REF!</definedName>
    <definedName name="_700">#REF!</definedName>
    <definedName name="_701">#REF!</definedName>
    <definedName name="_702">#REF!</definedName>
    <definedName name="_703">#REF!</definedName>
    <definedName name="_704">#REF!</definedName>
    <definedName name="_705">#REF!</definedName>
    <definedName name="_706">#REF!</definedName>
    <definedName name="_707">#REF!</definedName>
    <definedName name="_708">#REF!</definedName>
    <definedName name="_709">#REF!</definedName>
    <definedName name="_715">#REF!</definedName>
    <definedName name="_72_8_0">#REF!</definedName>
    <definedName name="_72_9__s">#REF!</definedName>
    <definedName name="_721">#REF!</definedName>
    <definedName name="_722">#REF!</definedName>
    <definedName name="_723">#REF!</definedName>
    <definedName name="_724">#REF!</definedName>
    <definedName name="_725">#REF!</definedName>
    <definedName name="_726">#REF!</definedName>
    <definedName name="_727">#REF!</definedName>
    <definedName name="_728">#REF!</definedName>
    <definedName name="_729">#REF!</definedName>
    <definedName name="_73__8">#REF!</definedName>
    <definedName name="_73_0total_s">#REF!</definedName>
    <definedName name="_73_8">#REF!</definedName>
    <definedName name="_730">#REF!</definedName>
    <definedName name="_731">#REF!</definedName>
    <definedName name="_732">#REF!</definedName>
    <definedName name="_733">#REF!</definedName>
    <definedName name="_734">#REF!</definedName>
    <definedName name="_735">#REF!</definedName>
    <definedName name="_736">#REF!</definedName>
    <definedName name="_737">#REF!</definedName>
    <definedName name="_738">#REF!</definedName>
    <definedName name="_739">#REF!</definedName>
    <definedName name="_74_9_0s">#REF!</definedName>
    <definedName name="_740">#REF!</definedName>
    <definedName name="_741">#REF!</definedName>
    <definedName name="_742">#REF!</definedName>
    <definedName name="_743">#REF!</definedName>
    <definedName name="_744">#REF!</definedName>
    <definedName name="_745">#REF!</definedName>
    <definedName name="_746">#REF!</definedName>
    <definedName name="_747">#REF!</definedName>
    <definedName name="_748">#REF!</definedName>
    <definedName name="_749">#REF!</definedName>
    <definedName name="_750">#REF!</definedName>
    <definedName name="_751">#REF!</definedName>
    <definedName name="_752">#REF!</definedName>
    <definedName name="_753">#REF!</definedName>
    <definedName name="_76_8">#REF!</definedName>
    <definedName name="_764">#REF!</definedName>
    <definedName name="_765">#REF!</definedName>
    <definedName name="_766">#REF!</definedName>
    <definedName name="_767">#REF!</definedName>
    <definedName name="_768">#REF!</definedName>
    <definedName name="_769">#REF!</definedName>
    <definedName name="_770">#REF!</definedName>
    <definedName name="_771">#REF!</definedName>
    <definedName name="_772">#REF!</definedName>
    <definedName name="_773">#REF!</definedName>
    <definedName name="_774">#REF!</definedName>
    <definedName name="_775">#REF!</definedName>
    <definedName name="_776">#REF!</definedName>
    <definedName name="_777">#REF!</definedName>
    <definedName name="_778">#REF!</definedName>
    <definedName name="_779">#REF!</definedName>
    <definedName name="_78_9__s">#REF!</definedName>
    <definedName name="_780">#REF!</definedName>
    <definedName name="_781">#REF!</definedName>
    <definedName name="_782">#REF!</definedName>
    <definedName name="_783">#REF!</definedName>
    <definedName name="_784">#REF!</definedName>
    <definedName name="_785">#REF!</definedName>
    <definedName name="_786">#REF!</definedName>
    <definedName name="_787">#REF!</definedName>
    <definedName name="_788">#REF!</definedName>
    <definedName name="_789">#REF!</definedName>
    <definedName name="_78total_s">#REF!</definedName>
    <definedName name="_79_8_0">#REF!</definedName>
    <definedName name="_790">#REF!</definedName>
    <definedName name="_791">#REF!</definedName>
    <definedName name="_792">#REF!</definedName>
    <definedName name="_793">#REF!</definedName>
    <definedName name="_794">#REF!</definedName>
    <definedName name="_795">#REF!</definedName>
    <definedName name="_796">#REF!</definedName>
    <definedName name="_797">#REF!</definedName>
    <definedName name="_798">#REF!</definedName>
    <definedName name="_799">#REF!</definedName>
    <definedName name="_8">#REF!</definedName>
    <definedName name="_8_">#REF!</definedName>
    <definedName name="_8___0">#REF!</definedName>
    <definedName name="_8_0">#REF!</definedName>
    <definedName name="_8_0Total_">#REF!</definedName>
    <definedName name="_8_0total_s">#REF!</definedName>
    <definedName name="_80__9__s">#REF!</definedName>
    <definedName name="_80_8_0">#REF!</definedName>
    <definedName name="_800">#REF!</definedName>
    <definedName name="_801">#REF!</definedName>
    <definedName name="_809">#REF!</definedName>
    <definedName name="_81_0Total_">#REF!</definedName>
    <definedName name="_810">#REF!</definedName>
    <definedName name="_811">#REF!</definedName>
    <definedName name="_812">#REF!</definedName>
    <definedName name="_813">#REF!</definedName>
    <definedName name="_814">#REF!</definedName>
    <definedName name="_815">#REF!</definedName>
    <definedName name="_816">#REF!</definedName>
    <definedName name="_817">#REF!</definedName>
    <definedName name="_818">#REF!</definedName>
    <definedName name="_819">#REF!</definedName>
    <definedName name="_82_0total_s">#REF!</definedName>
    <definedName name="_82_9__s">#REF!</definedName>
    <definedName name="_820">#REF!</definedName>
    <definedName name="_821">#REF!</definedName>
    <definedName name="_822">#REF!</definedName>
    <definedName name="_823">#REF!</definedName>
    <definedName name="_824">#REF!</definedName>
    <definedName name="_825">#REF!</definedName>
    <definedName name="_826">#REF!</definedName>
    <definedName name="_827">#REF!</definedName>
    <definedName name="_828">#REF!</definedName>
    <definedName name="_829">#REF!</definedName>
    <definedName name="_830">#REF!</definedName>
    <definedName name="_831">#REF!</definedName>
    <definedName name="_832">#REF!</definedName>
    <definedName name="_833">#REF!</definedName>
    <definedName name="_834">#REF!</definedName>
    <definedName name="_835">#REF!</definedName>
    <definedName name="_836">#REF!</definedName>
    <definedName name="_837">#REF!</definedName>
    <definedName name="_838">#REF!</definedName>
    <definedName name="_839">#REF!</definedName>
    <definedName name="_840">#REF!</definedName>
    <definedName name="_841">#REF!</definedName>
    <definedName name="_842">#REF!</definedName>
    <definedName name="_843">#REF!</definedName>
    <definedName name="_844">#REF!</definedName>
    <definedName name="_845">#REF!</definedName>
    <definedName name="_85_0total_s">#REF!</definedName>
    <definedName name="_852">#REF!</definedName>
    <definedName name="_853">#REF!</definedName>
    <definedName name="_854">#REF!</definedName>
    <definedName name="_855">#REF!</definedName>
    <definedName name="_856">#REF!</definedName>
    <definedName name="_857">#REF!</definedName>
    <definedName name="_858">#REF!</definedName>
    <definedName name="_859">#REF!</definedName>
    <definedName name="_860">#REF!</definedName>
    <definedName name="_861">#REF!</definedName>
    <definedName name="_862">#REF!</definedName>
    <definedName name="_863">#REF!</definedName>
    <definedName name="_864">#REF!</definedName>
    <definedName name="_865">#REF!</definedName>
    <definedName name="_866">#REF!</definedName>
    <definedName name="_867">#REF!</definedName>
    <definedName name="_868">#REF!</definedName>
    <definedName name="_869">#REF!</definedName>
    <definedName name="_86Total_">#REF!</definedName>
    <definedName name="_87____total_s">#REF!</definedName>
    <definedName name="_870">#REF!</definedName>
    <definedName name="_871">#REF!</definedName>
    <definedName name="_872">#REF!</definedName>
    <definedName name="_873">#REF!</definedName>
    <definedName name="_874">#REF!</definedName>
    <definedName name="_875">#REF!</definedName>
    <definedName name="_876">#REF!</definedName>
    <definedName name="_877">#REF!</definedName>
    <definedName name="_878">#REF!</definedName>
    <definedName name="_879">#REF!</definedName>
    <definedName name="_87total_s">#REF!</definedName>
    <definedName name="_880">#REF!</definedName>
    <definedName name="_881">#REF!</definedName>
    <definedName name="_882">#REF!</definedName>
    <definedName name="_883">#REF!</definedName>
    <definedName name="_884">#REF!</definedName>
    <definedName name="_885">#REF!</definedName>
    <definedName name="_886">#REF!</definedName>
    <definedName name="_887">#REF!</definedName>
    <definedName name="_888">#REF!</definedName>
    <definedName name="_889">#REF!</definedName>
    <definedName name="_8Total_">#REF!</definedName>
    <definedName name="_9">#REF!</definedName>
    <definedName name="_9_">#REF!</definedName>
    <definedName name="_9_____total_s">#REF!</definedName>
    <definedName name="_9___0total_s">#REF!</definedName>
    <definedName name="_9_0">#REF!</definedName>
    <definedName name="_9_8">#REF!</definedName>
    <definedName name="_9_8_0">#REF!</definedName>
    <definedName name="_901">#REF!</definedName>
    <definedName name="_903">#REF!</definedName>
    <definedName name="_904">#REF!</definedName>
    <definedName name="_905">#REF!</definedName>
    <definedName name="_906">#REF!</definedName>
    <definedName name="_907">#REF!</definedName>
    <definedName name="_908">#REF!</definedName>
    <definedName name="_909">#REF!</definedName>
    <definedName name="_90total_s">#REF!</definedName>
    <definedName name="_91_0Total_">#REF!</definedName>
    <definedName name="_91_8">#REF!</definedName>
    <definedName name="_910">#REF!</definedName>
    <definedName name="_911">#REF!</definedName>
    <definedName name="_912">#REF!</definedName>
    <definedName name="_913">#REF!</definedName>
    <definedName name="_914">#REF!</definedName>
    <definedName name="_915">#REF!</definedName>
    <definedName name="_916">#REF!</definedName>
    <definedName name="_917">#REF!</definedName>
    <definedName name="_918">#REF!</definedName>
    <definedName name="_919">#REF!</definedName>
    <definedName name="_920">#REF!</definedName>
    <definedName name="_921">#REF!</definedName>
    <definedName name="_922">#REF!</definedName>
    <definedName name="_923">#REF!</definedName>
    <definedName name="_924">#REF!</definedName>
    <definedName name="_925">#REF!</definedName>
    <definedName name="_926">#REF!</definedName>
    <definedName name="_927">#REF!</definedName>
    <definedName name="_928">#REF!</definedName>
    <definedName name="_929">#REF!</definedName>
    <definedName name="_93_0Total_">#REF!</definedName>
    <definedName name="_930">#REF!</definedName>
    <definedName name="_931">#REF!</definedName>
    <definedName name="_932">#REF!</definedName>
    <definedName name="_933">#REF!</definedName>
    <definedName name="_934">#REF!</definedName>
    <definedName name="_935">#REF!</definedName>
    <definedName name="_936">#REF!</definedName>
    <definedName name="_94____Total_">#REF!</definedName>
    <definedName name="_94_8_0">#REF!</definedName>
    <definedName name="_942">#REF!</definedName>
    <definedName name="_943">#REF!</definedName>
    <definedName name="_944">#REF!</definedName>
    <definedName name="_945">#REF!</definedName>
    <definedName name="_946">#REF!</definedName>
    <definedName name="_947">#REF!</definedName>
    <definedName name="_948">#REF!</definedName>
    <definedName name="_949">#REF!</definedName>
    <definedName name="_94MARZ">#REF!</definedName>
    <definedName name="_95_9_0s">#REF!</definedName>
    <definedName name="_950">#REF!</definedName>
    <definedName name="_951">#REF!</definedName>
    <definedName name="_952">#REF!</definedName>
    <definedName name="_953">#REF!</definedName>
    <definedName name="_954">#REF!</definedName>
    <definedName name="_955">#REF!</definedName>
    <definedName name="_956">#REF!</definedName>
    <definedName name="_957">#REF!</definedName>
    <definedName name="_958">#REF!</definedName>
    <definedName name="_959">#REF!</definedName>
    <definedName name="_96_9_0s">#REF!</definedName>
    <definedName name="_960">#REF!</definedName>
    <definedName name="_961">#REF!</definedName>
    <definedName name="_962">#REF!</definedName>
    <definedName name="_963">#REF!</definedName>
    <definedName name="_964">#REF!</definedName>
    <definedName name="_965">#REF!</definedName>
    <definedName name="_966">#REF!</definedName>
    <definedName name="_967">#REF!</definedName>
    <definedName name="_968">#REF!</definedName>
    <definedName name="_969">#REF!</definedName>
    <definedName name="_96Total_">#REF!</definedName>
    <definedName name="_97_9_0s">#REF!</definedName>
    <definedName name="_970">#REF!</definedName>
    <definedName name="_971">#REF!</definedName>
    <definedName name="_972">#REF!</definedName>
    <definedName name="_973">#REF!</definedName>
    <definedName name="_974">#REF!</definedName>
    <definedName name="_975">#REF!</definedName>
    <definedName name="_976">#REF!</definedName>
    <definedName name="_977">#REF!</definedName>
    <definedName name="_978">#REF!</definedName>
    <definedName name="_979">#REF!</definedName>
    <definedName name="_989">#REF!</definedName>
    <definedName name="_98Total_">#REF!</definedName>
    <definedName name="_990">#REF!</definedName>
    <definedName name="_991">#REF!</definedName>
    <definedName name="_992">#REF!</definedName>
    <definedName name="_993">#REF!</definedName>
    <definedName name="_994">#REF!</definedName>
    <definedName name="_995">#REF!</definedName>
    <definedName name="_996">#REF!</definedName>
    <definedName name="_997">#REF!</definedName>
    <definedName name="_998">#REF!</definedName>
    <definedName name="_999">#REF!</definedName>
    <definedName name="_9ESTADI">#REF!</definedName>
    <definedName name="_9total_s">#REF!</definedName>
    <definedName name="_A1">#REF!</definedName>
    <definedName name="_a2">#REF!</definedName>
    <definedName name="_a3">#REF!</definedName>
    <definedName name="_a5">#REF!</definedName>
    <definedName name="_ABC1">#REF!</definedName>
    <definedName name="_AJA2">#REF!</definedName>
    <definedName name="_alf2">#REF!</definedName>
    <definedName name="_all1">#REF!</definedName>
    <definedName name="_ANG1">#REF!</definedName>
    <definedName name="_AZ2">#REF!</definedName>
    <definedName name="_b1">#REF!</definedName>
    <definedName name="_C">#REF!</definedName>
    <definedName name="_can04">#REF!</definedName>
    <definedName name="_cin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1">#REF!</definedName>
    <definedName name="_DDD2">#REF!</definedName>
    <definedName name="_der1">#REF!</definedName>
    <definedName name="_der2">#REF!</definedName>
    <definedName name="_desc">#REF!</definedName>
    <definedName name="_dey3">#REF!</definedName>
    <definedName name="_dey5">#REF!</definedName>
    <definedName name="_dsc2">#REF!</definedName>
    <definedName name="_e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1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2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3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3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4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4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4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4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5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5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5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2_5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_ENE08">#REF!</definedName>
    <definedName name="_ene09">#REF!</definedName>
    <definedName name="_entelcnnpay">#REF!</definedName>
    <definedName name="_F">#REF!</definedName>
    <definedName name="_f3">#REF!</definedName>
    <definedName name="_Fill">#REF!</definedName>
    <definedName name="_xlnm._FilterDatabase" localSheetId="0" hidden="1">'Pauta mes tipo'!#REF!</definedName>
    <definedName name="_g" localSheetId="0">#REF!</definedName>
    <definedName name="_g">#REF!</definedName>
    <definedName name="_Irr1">#REF!</definedName>
    <definedName name="_IV17000">#REF!</definedName>
    <definedName name="_IV170001">#REF!</definedName>
    <definedName name="_IV20000">#REF!</definedName>
    <definedName name="_IV200001">#REF!</definedName>
    <definedName name="_j1">#REF!</definedName>
    <definedName name="_jul3">#REF!</definedName>
    <definedName name="_ke7">#REF!</definedName>
    <definedName name="_Key1">#REF!</definedName>
    <definedName name="_KEY11">#REF!</definedName>
    <definedName name="_Key2">#REF!</definedName>
    <definedName name="_KEY22">#REF!</definedName>
    <definedName name="_KEY3">#REF!</definedName>
    <definedName name="_LAB1">#REF!</definedName>
    <definedName name="_LAB2">#REF!</definedName>
    <definedName name="_LP97">#REF!</definedName>
    <definedName name="_M">#REF!</definedName>
    <definedName name="_MANGYE">#REF!</definedName>
    <definedName name="_MANUIO">#REF!</definedName>
    <definedName name="_MAY03">#REF!</definedName>
    <definedName name="_nov01">'[3]Nov 01'!$A$4:$N$61</definedName>
    <definedName name="_O">#REF!</definedName>
    <definedName name="_oct6">#REF!</definedName>
    <definedName name="_op9">#REF!</definedName>
    <definedName name="_OPE2">#REF!</definedName>
    <definedName name="_Order1" hidden="1">255</definedName>
    <definedName name="_Order1_1" hidden="1">255</definedName>
    <definedName name="_Order2" hidden="1">0</definedName>
    <definedName name="_p1">#REF!</definedName>
    <definedName name="_PAG1">#REF!</definedName>
    <definedName name="_PAG2">#REF!</definedName>
    <definedName name="_Parse_In">#REF!</definedName>
    <definedName name="_pe1">#REF!</definedName>
    <definedName name="_per2">#REF!</definedName>
    <definedName name="_pr4">#REF!</definedName>
    <definedName name="_QQ2">#REF!</definedName>
    <definedName name="_r">#N/A</definedName>
    <definedName name="_R3">#REF!</definedName>
    <definedName name="_Rad20">#REF!</definedName>
    <definedName name="_rat02">#REF!</definedName>
    <definedName name="_rat04">#REF!</definedName>
    <definedName name="_rat05">#REF!</definedName>
    <definedName name="_rat09">#REF!</definedName>
    <definedName name="_RAT2">#REF!</definedName>
    <definedName name="_rd09072">#REF!</definedName>
    <definedName name="_rd1">#REF!</definedName>
    <definedName name="_rd2">#REF!</definedName>
    <definedName name="_REC2">#REF!</definedName>
    <definedName name="_Rev2">#REF!</definedName>
    <definedName name="_Rev3">#REF!</definedName>
    <definedName name="_Rev4">#REF!</definedName>
    <definedName name="_Rev5">#REF!</definedName>
    <definedName name="_RK982554">#REF!</definedName>
    <definedName name="_RK982559">#REF!</definedName>
    <definedName name="_RT1">#REF!</definedName>
    <definedName name="_RT6">#REF!</definedName>
    <definedName name="_Rv1">#REF!</definedName>
    <definedName name="_sem3">#REF!</definedName>
    <definedName name="_sem4">#REF!</definedName>
    <definedName name="_sem5">#REF!</definedName>
    <definedName name="_SEP4">#REF!</definedName>
    <definedName name="_SF3">#REF!</definedName>
    <definedName name="_Sort">#REF!</definedName>
    <definedName name="_SORTEO">#REF!</definedName>
    <definedName name="_SSR2">#REF!</definedName>
    <definedName name="_SUM2">#REF!</definedName>
    <definedName name="_Table1_In1">#REF!</definedName>
    <definedName name="_tar04">#REF!</definedName>
    <definedName name="_tv1">#REF!</definedName>
    <definedName name="_TV3">#N/A</definedName>
    <definedName name="_UC13">#REF!</definedName>
    <definedName name="_Yo2">#REF!</definedName>
    <definedName name="_za1">#REF!</definedName>
    <definedName name="_ZZ1">#REF!</definedName>
    <definedName name="_ZZ5000">#REF!</definedName>
    <definedName name="_zz5001">#REF!</definedName>
    <definedName name="A">#REF!</definedName>
    <definedName name="A.E.">#REF!</definedName>
    <definedName name="A_">#REF!</definedName>
    <definedName name="A_impresión_IM">#REF!</definedName>
    <definedName name="A_impresión_IM_1">#REF!</definedName>
    <definedName name="a1a">#REF!</definedName>
    <definedName name="a6767ç" hidden="1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">#N/A</definedName>
    <definedName name="aaaaaaaaaa">#REF!</definedName>
    <definedName name="AAAAAAAAAAA">#REF!</definedName>
    <definedName name="AAAAAAAAAAAA">#REF!</definedName>
    <definedName name="aaaaaaaaaaaaaaa">#REF!</definedName>
    <definedName name="aaaaaaaaaaaaaaaaaaaaaaa" localSheetId="0" hidden="1">{"Retail Divisional",#N/A,FALSE,"DCIConsol";"Discovery Stores PL",#N/A,FALSE,"DCIConsol";"Flagship PL",#N/A,FALSE,"DCIConsol"}</definedName>
    <definedName name="aaaaaaaaaaaaaaaaaaaaaaa" hidden="1">{"Retail Divisional",#N/A,FALSE,"DCIConsol";"Discovery Stores PL",#N/A,FALSE,"DCIConsol";"Flagship PL",#N/A,FALSE,"DCIConsol"}</definedName>
    <definedName name="aaaf">#REF!</definedName>
    <definedName name="ab">#REF!</definedName>
    <definedName name="ababa" hidden="1">{#N/A,#N/A,FALSE,"Pauta Prensa"}</definedName>
    <definedName name="ababa_1" hidden="1">{#N/A,#N/A,FALSE,"Pauta Prensa"}</definedName>
    <definedName name="ababa_1_1" hidden="1">{#N/A,#N/A,FALSE,"Pauta Prensa"}</definedName>
    <definedName name="ababa_1_1_1" hidden="1">{#N/A,#N/A,FALSE,"Pauta Prensa"}</definedName>
    <definedName name="ababa_1_1_1_1" hidden="1">{#N/A,#N/A,FALSE,"Pauta Prensa"}</definedName>
    <definedName name="ababa_1_1_1_1_1" hidden="1">{#N/A,#N/A,FALSE,"Pauta Prensa"}</definedName>
    <definedName name="ababa_1_1_1_1_1_1" hidden="1">{#N/A,#N/A,FALSE,"Pauta Prensa"}</definedName>
    <definedName name="ababa_1_1_2" hidden="1">{#N/A,#N/A,FALSE,"Pauta Prensa"}</definedName>
    <definedName name="ababa_1_2" hidden="1">{#N/A,#N/A,FALSE,"Pauta Prensa"}</definedName>
    <definedName name="ababa_1_2_1" hidden="1">{#N/A,#N/A,FALSE,"Pauta Prensa"}</definedName>
    <definedName name="ababa_1_3" hidden="1">{#N/A,#N/A,FALSE,"Pauta Prensa"}</definedName>
    <definedName name="ababa_1_3_1" hidden="1">{#N/A,#N/A,FALSE,"Pauta Prensa"}</definedName>
    <definedName name="ababa_2" hidden="1">{#N/A,#N/A,FALSE,"Pauta Prensa"}</definedName>
    <definedName name="ababa_2_1" hidden="1">{#N/A,#N/A,FALSE,"Pauta Prensa"}</definedName>
    <definedName name="ababa_2_1_1" hidden="1">{#N/A,#N/A,FALSE,"Pauta Prensa"}</definedName>
    <definedName name="ababa_2_1_1_1" hidden="1">{#N/A,#N/A,FALSE,"Pauta Prensa"}</definedName>
    <definedName name="ababa_2_1_2" hidden="1">{#N/A,#N/A,FALSE,"Pauta Prensa"}</definedName>
    <definedName name="ababa_2_2" hidden="1">{#N/A,#N/A,FALSE,"Pauta Prensa"}</definedName>
    <definedName name="ababa_2_2_1" hidden="1">{#N/A,#N/A,FALSE,"Pauta Prensa"}</definedName>
    <definedName name="ababa_3" hidden="1">{#N/A,#N/A,FALSE,"Pauta Prensa"}</definedName>
    <definedName name="ababa_3_1" hidden="1">{#N/A,#N/A,FALSE,"Pauta Prensa"}</definedName>
    <definedName name="ababa_3_1_1" hidden="1">{#N/A,#N/A,FALSE,"Pauta Prensa"}</definedName>
    <definedName name="ababa_3_1_1_1" hidden="1">{#N/A,#N/A,FALSE,"Pauta Prensa"}</definedName>
    <definedName name="ababa_3_1_2" hidden="1">{#N/A,#N/A,FALSE,"Pauta Prensa"}</definedName>
    <definedName name="ababa_3_2" hidden="1">{#N/A,#N/A,FALSE,"Pauta Prensa"}</definedName>
    <definedName name="ababa_3_2_1" hidden="1">{#N/A,#N/A,FALSE,"Pauta Prensa"}</definedName>
    <definedName name="ababa_4" hidden="1">{#N/A,#N/A,FALSE,"Pauta Prensa"}</definedName>
    <definedName name="ababa_4_1" hidden="1">{#N/A,#N/A,FALSE,"Pauta Prensa"}</definedName>
    <definedName name="ababa_4_1_1" hidden="1">{#N/A,#N/A,FALSE,"Pauta Prensa"}</definedName>
    <definedName name="ababa_4_1_1_1" hidden="1">{#N/A,#N/A,FALSE,"Pauta Prensa"}</definedName>
    <definedName name="ababa_4_2" hidden="1">{#N/A,#N/A,FALSE,"Pauta Prensa"}</definedName>
    <definedName name="ababa_4_2_1" hidden="1">{#N/A,#N/A,FALSE,"Pauta Prensa"}</definedName>
    <definedName name="ababa_5" hidden="1">{#N/A,#N/A,FALSE,"Pauta Prensa"}</definedName>
    <definedName name="ababa_5_1" hidden="1">{#N/A,#N/A,FALSE,"Pauta Prensa"}</definedName>
    <definedName name="ababa_5_1_1" hidden="1">{#N/A,#N/A,FALSE,"Pauta Prensa"}</definedName>
    <definedName name="ababa_5_1_1_1" hidden="1">{#N/A,#N/A,FALSE,"Pauta Prensa"}</definedName>
    <definedName name="ababa_5_2" hidden="1">{#N/A,#N/A,FALSE,"Pauta Prensa"}</definedName>
    <definedName name="ababa_5_2_1" hidden="1">{#N/A,#N/A,FALSE,"Pauta Prensa"}</definedName>
    <definedName name="ababab">#REF!</definedName>
    <definedName name="abc">#REF!</definedName>
    <definedName name="abdghf">#REF!</definedName>
    <definedName name="abdnfje">#REF!</definedName>
    <definedName name="abgwtr">#REF!</definedName>
    <definedName name="abr">#REF!</definedName>
    <definedName name="ABRILPLUS">'[6]TP ABRIL'!$A$8:$O$78</definedName>
    <definedName name="ACA">#REF!</definedName>
    <definedName name="acacac">#REF!</definedName>
    <definedName name="Access_Button" hidden="1">"SINGER97_Hoja1_List"</definedName>
    <definedName name="Access_Button1" hidden="1">"SINGER97_Hoja1_List"</definedName>
    <definedName name="AccessDatabase" hidden="1">"F:\RESPALDO\VENTAS\CARSORP\SINGER97.mdb"</definedName>
    <definedName name="Acciones_Especiales">#REF!</definedName>
    <definedName name="aceites">#REF!</definedName>
    <definedName name="acidave">#REF!</definedName>
    <definedName name="acidros">#REF!</definedName>
    <definedName name="acikhava_06">#REF!</definedName>
    <definedName name="acikhava_07">#REF!</definedName>
    <definedName name="acikhava_08">#REF!</definedName>
    <definedName name="act">#REF!</definedName>
    <definedName name="Active_Argentina">#REF!</definedName>
    <definedName name="Active_Brazil">#REF!</definedName>
    <definedName name="Active_Chile">#REF!</definedName>
    <definedName name="Active_Paraguay">#REF!</definedName>
    <definedName name="Active_Status_Argentina">#REF!</definedName>
    <definedName name="Active_Status_Brazil">#REF!</definedName>
    <definedName name="Active_Status_Chile">#REF!</definedName>
    <definedName name="Active_Status_Paraguay">#REF!</definedName>
    <definedName name="Active_Status_Uruguay">#REF!</definedName>
    <definedName name="Active_Uruguay">#REF!</definedName>
    <definedName name="ACTIVIDADES">#REF!</definedName>
    <definedName name="ad">#REF!</definedName>
    <definedName name="adadad">#REF!</definedName>
    <definedName name="adas">#N/A</definedName>
    <definedName name="ADD">#REF!</definedName>
    <definedName name="ADET">#REF!</definedName>
    <definedName name="ADF">#REF!</definedName>
    <definedName name="adfasdfasdfa">#REF!</definedName>
    <definedName name="ADFGASDFG">#REF!</definedName>
    <definedName name="adg_AE_F">#REF!</definedName>
    <definedName name="adg_AE_I">#REF!</definedName>
    <definedName name="adg_ANO">#REF!</definedName>
    <definedName name="adg_ANO_INPC">#REF!</definedName>
    <definedName name="adg_AR_F">#REF!</definedName>
    <definedName name="adg_AR_I">#REF!</definedName>
    <definedName name="adg_CAMPOS">#REF!</definedName>
    <definedName name="adg_CC_F">#REF!</definedName>
    <definedName name="adg_CC_I">#REF!</definedName>
    <definedName name="adg_CONCEPTO">#REF!</definedName>
    <definedName name="adg_CONCEPTO2">#REF!</definedName>
    <definedName name="adg_DECIMALES">#REF!</definedName>
    <definedName name="adg_desmes">#REF!</definedName>
    <definedName name="adg_desmon">#REF!</definedName>
    <definedName name="adg_despre">#REF!</definedName>
    <definedName name="adg_desunidades">#REF!</definedName>
    <definedName name="adg_desver">#REF!</definedName>
    <definedName name="adg_empresa">#REF!</definedName>
    <definedName name="adg_Excluir">#REF!</definedName>
    <definedName name="adg_Exclusiones">#REF!</definedName>
    <definedName name="adg_GC_F">#REF!</definedName>
    <definedName name="adg_GC_I">#REF!</definedName>
    <definedName name="adg_INPC">#REF!</definedName>
    <definedName name="adg_LoE">#REF!</definedName>
    <definedName name="adg_MES">#REF!</definedName>
    <definedName name="adg_Mes_Base">#REF!</definedName>
    <definedName name="adg_MES_INPC">#REF!</definedName>
    <definedName name="adg_MONEDA_SIG">#REF!</definedName>
    <definedName name="adg_PRESUPUESTO">#REF!</definedName>
    <definedName name="adg_REAGRUPACION">#REF!</definedName>
    <definedName name="adg_Reasigna_Gpo">#REF!</definedName>
    <definedName name="adg_Reasignaciones">#REF!</definedName>
    <definedName name="adg_SAE_F">#REF!</definedName>
    <definedName name="adg_SAE_I">#REF!</definedName>
    <definedName name="adg_TAE_F">#REF!</definedName>
    <definedName name="adg_TAE_I">#REF!</definedName>
    <definedName name="adg_TC">#REF!</definedName>
    <definedName name="adg_TIPO_CAMBIO">#REF!</definedName>
    <definedName name="adg_UNIDADES">#REF!</definedName>
    <definedName name="adg_VERSION">#REF!</definedName>
    <definedName name="adg_VERSION_AREA_R">#REF!</definedName>
    <definedName name="adg_VERSION_INPC">#REF!</definedName>
    <definedName name="adios">#REF!</definedName>
    <definedName name="ADR">#REF!</definedName>
    <definedName name="adriana">#REF!</definedName>
    <definedName name="adris">#REF!</definedName>
    <definedName name="ads">#REF!</definedName>
    <definedName name="adulto2">#REF!</definedName>
    <definedName name="ADULTS">#REF!</definedName>
    <definedName name="aeaeae">#REF!</definedName>
    <definedName name="aegge">#REF!</definedName>
    <definedName name="aeiou">#REF!</definedName>
    <definedName name="aerrr">#REF!</definedName>
    <definedName name="AERTR">#REF!</definedName>
    <definedName name="afafaf">#REF!</definedName>
    <definedName name="AFDG">#REF!</definedName>
    <definedName name="AFG">#REF!</definedName>
    <definedName name="afj">#REF!</definedName>
    <definedName name="afjladkf">#REF!</definedName>
    <definedName name="afloat">#REF!</definedName>
    <definedName name="afsa">#REF!</definedName>
    <definedName name="AFSDG">#REF!</definedName>
    <definedName name="Afswagff">#REF!</definedName>
    <definedName name="Afswagff_1">#REF!</definedName>
    <definedName name="agagag">#REF!</definedName>
    <definedName name="Agency">#REF!</definedName>
    <definedName name="AGENCYCOMMISSION">#REF!</definedName>
    <definedName name="Agenda">#REF!</definedName>
    <definedName name="ago">#REF!</definedName>
    <definedName name="agu">#REF!</definedName>
    <definedName name="aguascalientes">'[7]aca-'!#REF!</definedName>
    <definedName name="agus" localSheetId="0">#REF!</definedName>
    <definedName name="agus">#REF!</definedName>
    <definedName name="agus2">#REF!</definedName>
    <definedName name="agusss">#REF!</definedName>
    <definedName name="agustina">#REF!</definedName>
    <definedName name="agustinaaa">#REF!</definedName>
    <definedName name="ahahah">#REF!</definedName>
    <definedName name="AHAHAHAHA">#REF!</definedName>
    <definedName name="ahgsvdf">#REF!</definedName>
    <definedName name="ahwrq">#REF!</definedName>
    <definedName name="aiaiai">#REF!</definedName>
    <definedName name="aj">#REF!</definedName>
    <definedName name="AJA">#REF!</definedName>
    <definedName name="ajajaj">#REF!</definedName>
    <definedName name="ajajajaj">#REF!</definedName>
    <definedName name="ajdhdg">#REF!</definedName>
    <definedName name="AJHASDG">#REF!</definedName>
    <definedName name="ajhdt">#REF!</definedName>
    <definedName name="aju">#REF!</definedName>
    <definedName name="AJUA">#REF!</definedName>
    <definedName name="ajustado">#REF!</definedName>
    <definedName name="akakak">#REF!</definedName>
    <definedName name="Al">#REF!</definedName>
    <definedName name="AL_ENCUENTRO_CON_JESUS_D_MD">#REF!</definedName>
    <definedName name="alalal">#REF!</definedName>
    <definedName name="ALDIFEOCMW">#REF!</definedName>
    <definedName name="ALDIFEOCMW_1">#REF!</definedName>
    <definedName name="alejandra">#REF!</definedName>
    <definedName name="alf">#REF!</definedName>
    <definedName name="ALIAS">#REF!</definedName>
    <definedName name="ALIASDF">#REF!</definedName>
    <definedName name="ALICIA">#REF!</definedName>
    <definedName name="ALIS">#REF!</definedName>
    <definedName name="ALIS_1">#REF!</definedName>
    <definedName name="alksdhfdf">#REF!</definedName>
    <definedName name="ALL">#REF!</definedName>
    <definedName name="All_Argentina">#REF!</definedName>
    <definedName name="All_Brazil">#REF!</definedName>
    <definedName name="All_Chile">#REF!</definedName>
    <definedName name="All_Paraguay">#REF!</definedName>
    <definedName name="All_Status_Argentina">#REF!</definedName>
    <definedName name="All_Status_Brazil">#REF!</definedName>
    <definedName name="All_Status_Chile">#REF!</definedName>
    <definedName name="All_Status_Paraguay">#REF!</definedName>
    <definedName name="All_Status_Uruguay">#REF!</definedName>
    <definedName name="All_Uruguay">#REF!</definedName>
    <definedName name="alli">#REF!</definedName>
    <definedName name="alma">#REF!</definedName>
    <definedName name="ALOE">#REF!</definedName>
    <definedName name="Altavista">#REF!</definedName>
    <definedName name="ALTH">#REF!</definedName>
    <definedName name="amamam">#REF!</definedName>
    <definedName name="AMANJH">#REF!</definedName>
    <definedName name="Ambient">#REF!</definedName>
    <definedName name="amdlk">#REF!</definedName>
    <definedName name="AMERICA">#REF!</definedName>
    <definedName name="Ana_y_los_siete">#REF!</definedName>
    <definedName name="anabdgf">#REF!</definedName>
    <definedName name="analisis">'[1]#G.O.'!#REF!</definedName>
    <definedName name="ANEXO">#REF!</definedName>
    <definedName name="ANG">#REF!</definedName>
    <definedName name="Angel_Face">#REF!</definedName>
    <definedName name="ankara">#REF!</definedName>
    <definedName name="ansd">#REF!</definedName>
    <definedName name="ANT">#REF!</definedName>
    <definedName name="antofa">'[8]Tarifas Enero 2009'!$Z$1:$AF$58</definedName>
    <definedName name="Antofagasta" localSheetId="0">#REF!</definedName>
    <definedName name="Antofagasta">#REF!</definedName>
    <definedName name="antofagasta2">'[9]Regiones Noviembre 2002'!$X$3:$AG$56</definedName>
    <definedName name="AntofaGSE" localSheetId="0">#REF!</definedName>
    <definedName name="AntofaGSE">#REF!</definedName>
    <definedName name="anual">#N/A</definedName>
    <definedName name="anual_grafica">#REF!</definedName>
    <definedName name="ANULAYREEMPLAZA">#REF!</definedName>
    <definedName name="anunciantes">[10]Anunciantes!$A$1:$A$65536</definedName>
    <definedName name="añlbga" localSheetId="0">#REF!</definedName>
    <definedName name="añlbga">#REF!</definedName>
    <definedName name="añldkjfañljdf">#REF!</definedName>
    <definedName name="año_2000">#REF!</definedName>
    <definedName name="año_20000">#REF!</definedName>
    <definedName name="AÑO_20000A">#REF!</definedName>
    <definedName name="Año_20001">#REF!</definedName>
    <definedName name="Año_2001">#REF!</definedName>
    <definedName name="AÑO_20010A">#REF!</definedName>
    <definedName name="Año_2002">#REF!</definedName>
    <definedName name="aod">#REF!</definedName>
    <definedName name="aor">#REF!</definedName>
    <definedName name="APA">#REF!</definedName>
    <definedName name="Aplicación_a_Gastos">#REF!</definedName>
    <definedName name="APLICAR">#REF!</definedName>
    <definedName name="APPROVAL">#REF!</definedName>
    <definedName name="APR">#REF!</definedName>
    <definedName name="aprcahq">#REF!</definedName>
    <definedName name="aprcal">#REF!</definedName>
    <definedName name="aprcohq">#REF!</definedName>
    <definedName name="aprcol">#REF!</definedName>
    <definedName name="aprcumhq">#REF!</definedName>
    <definedName name="aprcuml">#REF!</definedName>
    <definedName name="APRINT">#REF!</definedName>
    <definedName name="APRJUN">#REF!</definedName>
    <definedName name="aq">#REF!</definedName>
    <definedName name="aqui_no_hay">#REF!</definedName>
    <definedName name="ar">#REF!</definedName>
    <definedName name="ara">#REF!</definedName>
    <definedName name="ara_1">#REF!</definedName>
    <definedName name="AraucaGSE">#REF!</definedName>
    <definedName name="araucania">'[8]Tarifas Enero 2009'!$Z$69:$AF$126</definedName>
    <definedName name="Araucanía" localSheetId="0">#REF!</definedName>
    <definedName name="Araucanía">#REF!</definedName>
    <definedName name="ARE">#REF!</definedName>
    <definedName name="AREA">#REF!</definedName>
    <definedName name="_xlnm.Print_Area">#N/A</definedName>
    <definedName name="area1">#REF!</definedName>
    <definedName name="area89">#REF!</definedName>
    <definedName name="ARELI">#REF!</definedName>
    <definedName name="ARELI_1">#REF!</definedName>
    <definedName name="ARFAEA">#REF!</definedName>
    <definedName name="ARFET">#REF!</definedName>
    <definedName name="ARGE">#REF!</definedName>
    <definedName name="Arica">#REF!</definedName>
    <definedName name="arica2">'[9]Regiones Noviembre 2002'!$B$3:$K$56</definedName>
    <definedName name="AricaGSE" localSheetId="0">#REF!</definedName>
    <definedName name="AricaGSE">#REF!</definedName>
    <definedName name="ARIEL">#REF!</definedName>
    <definedName name="ARIEL_Media_Plan">#REF!</definedName>
    <definedName name="arroces">#REF!</definedName>
    <definedName name="arys">#REF!</definedName>
    <definedName name="as">#REF!</definedName>
    <definedName name="ASA">#REF!</definedName>
    <definedName name="ASAs">#REF!</definedName>
    <definedName name="asasas">#REF!</definedName>
    <definedName name="asasc">#REF!</definedName>
    <definedName name="ascsq">#REF!</definedName>
    <definedName name="asd">#N/A</definedName>
    <definedName name="asdad">#REF!</definedName>
    <definedName name="asdadasdas" localSheetId="0">'[11]1'!Ordena</definedName>
    <definedName name="asdadasdas">'[11]1'!Ordena</definedName>
    <definedName name="asdas">#REF!</definedName>
    <definedName name="ASDASAD">#N/A</definedName>
    <definedName name="asdasd">#REF!</definedName>
    <definedName name="asdasdas">#REF!</definedName>
    <definedName name="asdasdas_1" hidden="1">{#N/A,#N/A,FALSE,"Pauta Televisión"}</definedName>
    <definedName name="asdasdas_1_1" hidden="1">{#N/A,#N/A,FALSE,"Pauta Televisión"}</definedName>
    <definedName name="asdasdas_1_1_1" hidden="1">{#N/A,#N/A,FALSE,"Pauta Televisión"}</definedName>
    <definedName name="asdasdas_1_1_1_1" hidden="1">{#N/A,#N/A,FALSE,"Pauta Televisión"}</definedName>
    <definedName name="asdasdas_1_1_1_1_1" hidden="1">{#N/A,#N/A,FALSE,"Pauta Televisión"}</definedName>
    <definedName name="asdasdas_1_1_1_1_1_1" hidden="1">{#N/A,#N/A,FALSE,"Pauta Televisión"}</definedName>
    <definedName name="asdasdas_1_1_2" hidden="1">{#N/A,#N/A,FALSE,"Pauta Televisión"}</definedName>
    <definedName name="asdasdas_1_2" hidden="1">{#N/A,#N/A,FALSE,"Pauta Televisión"}</definedName>
    <definedName name="asdasdas_1_2_1" hidden="1">{#N/A,#N/A,FALSE,"Pauta Televisión"}</definedName>
    <definedName name="asdasdas_1_3" hidden="1">{#N/A,#N/A,FALSE,"Pauta Televisión"}</definedName>
    <definedName name="asdasdas_1_3_1" hidden="1">{#N/A,#N/A,FALSE,"Pauta Televisión"}</definedName>
    <definedName name="asdasdas_2" hidden="1">{#N/A,#N/A,FALSE,"Pauta Televisión"}</definedName>
    <definedName name="asdasdas_2_1" hidden="1">{#N/A,#N/A,FALSE,"Pauta Televisión"}</definedName>
    <definedName name="asdasdas_2_1_1" hidden="1">{#N/A,#N/A,FALSE,"Pauta Televisión"}</definedName>
    <definedName name="asdasdas_2_1_1_1" hidden="1">{#N/A,#N/A,FALSE,"Pauta Televisión"}</definedName>
    <definedName name="asdasdas_2_1_2" hidden="1">{#N/A,#N/A,FALSE,"Pauta Televisión"}</definedName>
    <definedName name="asdasdas_2_2" hidden="1">{#N/A,#N/A,FALSE,"Pauta Televisión"}</definedName>
    <definedName name="asdasdas_2_2_1" hidden="1">{#N/A,#N/A,FALSE,"Pauta Televisión"}</definedName>
    <definedName name="asdasdas_3" hidden="1">{#N/A,#N/A,FALSE,"Pauta Televisión"}</definedName>
    <definedName name="asdasdas_3_1" hidden="1">{#N/A,#N/A,FALSE,"Pauta Televisión"}</definedName>
    <definedName name="asdasdas_3_1_1" hidden="1">{#N/A,#N/A,FALSE,"Pauta Televisión"}</definedName>
    <definedName name="asdasdas_3_1_1_1" hidden="1">{#N/A,#N/A,FALSE,"Pauta Televisión"}</definedName>
    <definedName name="asdasdas_3_1_2" hidden="1">{#N/A,#N/A,FALSE,"Pauta Televisión"}</definedName>
    <definedName name="asdasdas_3_2" hidden="1">{#N/A,#N/A,FALSE,"Pauta Televisión"}</definedName>
    <definedName name="asdasdas_3_2_1" hidden="1">{#N/A,#N/A,FALSE,"Pauta Televisión"}</definedName>
    <definedName name="asdasdas_4" hidden="1">{#N/A,#N/A,FALSE,"Pauta Televisión"}</definedName>
    <definedName name="asdasdas_4_1" hidden="1">{#N/A,#N/A,FALSE,"Pauta Televisión"}</definedName>
    <definedName name="asdasdas_4_1_1" hidden="1">{#N/A,#N/A,FALSE,"Pauta Televisión"}</definedName>
    <definedName name="asdasdas_4_1_1_1" hidden="1">{#N/A,#N/A,FALSE,"Pauta Televisión"}</definedName>
    <definedName name="asdasdas_4_2" hidden="1">{#N/A,#N/A,FALSE,"Pauta Televisión"}</definedName>
    <definedName name="asdasdas_4_2_1" hidden="1">{#N/A,#N/A,FALSE,"Pauta Televisión"}</definedName>
    <definedName name="asdasdas_5" hidden="1">{#N/A,#N/A,FALSE,"Pauta Televisión"}</definedName>
    <definedName name="asdasdas_5_1" hidden="1">{#N/A,#N/A,FALSE,"Pauta Televisión"}</definedName>
    <definedName name="asdasdas_5_1_1" hidden="1">{#N/A,#N/A,FALSE,"Pauta Televisión"}</definedName>
    <definedName name="asdasdas_5_1_1_1" hidden="1">{#N/A,#N/A,FALSE,"Pauta Televisión"}</definedName>
    <definedName name="asdasdas_5_2" hidden="1">{#N/A,#N/A,FALSE,"Pauta Televisión"}</definedName>
    <definedName name="asdasdas_5_2_1" hidden="1">{#N/A,#N/A,FALSE,"Pauta Televisión"}</definedName>
    <definedName name="asdasdasd">#N/A</definedName>
    <definedName name="asdass" localSheetId="0">#N/A</definedName>
    <definedName name="asdass">[0]!asdass</definedName>
    <definedName name="asddf" localSheetId="0">#REF!</definedName>
    <definedName name="asddf">#REF!</definedName>
    <definedName name="asde">#REF!</definedName>
    <definedName name="ASDF">#REF!</definedName>
    <definedName name="asdfasdasdasd">#REF!</definedName>
    <definedName name="asdfasdf">#REF!</definedName>
    <definedName name="asdfasdfasdfasdfasdfadf">#REF!</definedName>
    <definedName name="asdfasldjfña">#REF!</definedName>
    <definedName name="asdsa">#N/A</definedName>
    <definedName name="asdsad">#REF!</definedName>
    <definedName name="asdv">#REF!</definedName>
    <definedName name="asdvg">#REF!</definedName>
    <definedName name="ASE">#REF!</definedName>
    <definedName name="ASEEEE">#REF!</definedName>
    <definedName name="ASERF">#REF!</definedName>
    <definedName name="asfasdfasdf">#REF!</definedName>
    <definedName name="ASFASF">#REF!</definedName>
    <definedName name="asfffsfs">#REF!</definedName>
    <definedName name="ASIENTO2">#REF!</definedName>
    <definedName name="askldn">#REF!</definedName>
    <definedName name="aso">#REF!</definedName>
    <definedName name="asp">#REF!</definedName>
    <definedName name="ass">[12]!ass</definedName>
    <definedName name="ASSD" localSheetId="0">#REF!</definedName>
    <definedName name="ASSD">#REF!</definedName>
    <definedName name="asss">#REF!</definedName>
    <definedName name="assssdddd">#REF!</definedName>
    <definedName name="asv">#REF!</definedName>
    <definedName name="asv_1">#REF!</definedName>
    <definedName name="asxas">#N/A</definedName>
    <definedName name="Atacama">#REF!</definedName>
    <definedName name="AtacamaGSE">#REF!</definedName>
    <definedName name="atat">#REF!</definedName>
    <definedName name="atatat">#REF!</definedName>
    <definedName name="ATRA">#REF!</definedName>
    <definedName name="Atraccion2CanAmas">#REF!</definedName>
    <definedName name="Atraccion2CanH19">#REF!</definedName>
    <definedName name="Atraccion2CanJovenes">#REF!</definedName>
    <definedName name="Atraccion2CanM19">#REF!</definedName>
    <definedName name="Atraccion2CanNinos">#REF!</definedName>
    <definedName name="Atraccion2CanP19">#REF!</definedName>
    <definedName name="Atraccion2CanTarget10">#REF!</definedName>
    <definedName name="Atraccion2CanTarget11">#REF!</definedName>
    <definedName name="Atraccion2CanTarget12">#REF!</definedName>
    <definedName name="Atraccion2CanTarget13">#REF!</definedName>
    <definedName name="Atraccion2CanTarget14">#REF!</definedName>
    <definedName name="Atraccion2CanTarget15">#REF!</definedName>
    <definedName name="Atraccion2CanTarget16">#REF!</definedName>
    <definedName name="Atraccion2CanTarget17">#REF!</definedName>
    <definedName name="Atraccion2CanTarget18">#REF!</definedName>
    <definedName name="Atraccion2CanTarget19">#REF!</definedName>
    <definedName name="Atraccion2CanTarget20">#REF!</definedName>
    <definedName name="Atraccion2CanTarget7">#REF!</definedName>
    <definedName name="Atraccion2CanTarget8">#REF!</definedName>
    <definedName name="Atraccion2CanTarget9">#REF!</definedName>
    <definedName name="Atraccion5CanAmas">#REF!</definedName>
    <definedName name="Atraccion5CanH19">#REF!</definedName>
    <definedName name="Atraccion5CanJovenes">#REF!</definedName>
    <definedName name="Atraccion5CanM19">#REF!</definedName>
    <definedName name="Atraccion5CanNinos">#REF!</definedName>
    <definedName name="Atraccion5CanP19">#REF!</definedName>
    <definedName name="Atraccion5CanTarget10">#REF!</definedName>
    <definedName name="Atraccion5CanTarget11">#REF!</definedName>
    <definedName name="Atraccion5CanTarget12">#REF!</definedName>
    <definedName name="Atraccion5CanTarget13">#REF!</definedName>
    <definedName name="Atraccion5CanTarget14">#REF!</definedName>
    <definedName name="Atraccion5CanTarget15">#REF!</definedName>
    <definedName name="Atraccion5CanTarget16">#REF!</definedName>
    <definedName name="Atraccion5CanTarget17">#REF!</definedName>
    <definedName name="Atraccion5CanTarget18">#REF!</definedName>
    <definedName name="Atraccion5CanTarget19">#REF!</definedName>
    <definedName name="Atraccion5CanTarget20">#REF!</definedName>
    <definedName name="Atraccion5CanTarget7">#REF!</definedName>
    <definedName name="Atraccion5CanTarget8">#REF!</definedName>
    <definedName name="Atraccion5CanTarget9">#REF!</definedName>
    <definedName name="Atraccion9CanAmas">#REF!</definedName>
    <definedName name="Atraccion9CanH19">#REF!</definedName>
    <definedName name="Atraccion9CanJovenes">#REF!</definedName>
    <definedName name="Atraccion9CanM19">#REF!</definedName>
    <definedName name="Atraccion9CanNinos">#REF!</definedName>
    <definedName name="Atraccion9CanP19">#REF!</definedName>
    <definedName name="Atraccion9CanTarget10">#REF!</definedName>
    <definedName name="Atraccion9CanTarget11">#REF!</definedName>
    <definedName name="Atraccion9CanTarget12">#REF!</definedName>
    <definedName name="Atraccion9CanTarget13">#REF!</definedName>
    <definedName name="Atraccion9CanTarget14">#REF!</definedName>
    <definedName name="Atraccion9CanTarget15">#REF!</definedName>
    <definedName name="Atraccion9CanTarget16">#REF!</definedName>
    <definedName name="Atraccion9CanTarget17">#REF!</definedName>
    <definedName name="Atraccion9CanTarget18">#REF!</definedName>
    <definedName name="Atraccion9CanTarget19">#REF!</definedName>
    <definedName name="Atraccion9CanTarget20">#REF!</definedName>
    <definedName name="Atraccion9CanTarget7">#REF!</definedName>
    <definedName name="Atraccion9CanTarget8">#REF!</definedName>
    <definedName name="Atraccion9CanTarget9">#REF!</definedName>
    <definedName name="ATV">#REF!</definedName>
    <definedName name="ATVIND">#REF!</definedName>
    <definedName name="Aud">#REF!</definedName>
    <definedName name="AUDITORIO">#REF!</definedName>
    <definedName name="AUE">#REF!</definedName>
    <definedName name="AUG">#REF!</definedName>
    <definedName name="augcahq">#REF!</definedName>
    <definedName name="augcal">#REF!</definedName>
    <definedName name="augcohq">#REF!</definedName>
    <definedName name="augcol">#REF!</definedName>
    <definedName name="augcumhq">#REF!</definedName>
    <definedName name="augcuml">#REF!</definedName>
    <definedName name="aum">#REF!</definedName>
    <definedName name="Austral">#REF!</definedName>
    <definedName name="austral2">'[13]Regiones Noviembre 2002'!$CA$69:$CJ$122</definedName>
    <definedName name="AustralGSE" localSheetId="0">#REF!</definedName>
    <definedName name="AustralGSE">#REF!</definedName>
    <definedName name="aut">#REF!</definedName>
    <definedName name="AUTREY_CLUBS">#REF!</definedName>
    <definedName name="avds">#N/A</definedName>
    <definedName name="AVI_ACT_R">#REF!</definedName>
    <definedName name="AVI_FALTAN_R">#REF!</definedName>
    <definedName name="AVI_INDEX_R">#REF!</definedName>
    <definedName name="AVI_PLA_R">#REF!</definedName>
    <definedName name="avisos">#REF!</definedName>
    <definedName name="AW">#REF!</definedName>
    <definedName name="AWS">#REF!</definedName>
    <definedName name="axc">#N/A</definedName>
    <definedName name="AXE">#REF!</definedName>
    <definedName name="az">#REF!</definedName>
    <definedName name="Azera">#N/A</definedName>
    <definedName name="azt">#REF!</definedName>
    <definedName name="azteca">#REF!</definedName>
    <definedName name="AztecaOro">#REF!</definedName>
    <definedName name="azul">#REF!</definedName>
    <definedName name="azulfinal">#REF!</definedName>
    <definedName name="B">#REF!</definedName>
    <definedName name="B_COMP">#REF!</definedName>
    <definedName name="B_SPS">#REF!</definedName>
    <definedName name="B_SUS">#REF!</definedName>
    <definedName name="Bad_Debt_Asia">#REF!</definedName>
    <definedName name="baja">#REF!</definedName>
    <definedName name="Bajo_sosp">#REF!</definedName>
    <definedName name="Ballantine">#REF!</definedName>
    <definedName name="Ballantines">#REF!</definedName>
    <definedName name="Ballantines_1">#REF!</definedName>
    <definedName name="base">#REF!</definedName>
    <definedName name="BASE_95">#REF!</definedName>
    <definedName name="base_96">#REF!</definedName>
    <definedName name="base_de_datos">#REF!</definedName>
    <definedName name="base1">#REF!</definedName>
    <definedName name="_xlnm.Database">#REF!</definedName>
    <definedName name="basemo">#REF!</definedName>
    <definedName name="BASEXHORA">#REF!</definedName>
    <definedName name="bb">#REF!</definedName>
    <definedName name="BBB">#REF!</definedName>
    <definedName name="bbbbbb">#REF!</definedName>
    <definedName name="bbbbbbb">#REF!</definedName>
    <definedName name="bc">#N/A</definedName>
    <definedName name="bcbc">#N/A</definedName>
    <definedName name="bcbcbcbcbc">[8]Rating!$H$3:$I$997</definedName>
    <definedName name="bd" localSheetId="0">#REF!</definedName>
    <definedName name="bd">#REF!</definedName>
    <definedName name="bdg">#REF!</definedName>
    <definedName name="bdgsf">#REF!</definedName>
    <definedName name="bebe">#REF!</definedName>
    <definedName name="BEBERAGES">#REF!</definedName>
    <definedName name="BEBIDAS">#REF!</definedName>
    <definedName name="bene">#REF!</definedName>
    <definedName name="Bere">#REF!</definedName>
    <definedName name="beta">#N/A</definedName>
    <definedName name="BETO">#REF!</definedName>
    <definedName name="BETO_1">#REF!</definedName>
    <definedName name="BEVERAGESDOLLARS">#REF!</definedName>
    <definedName name="bfj">#REF!</definedName>
    <definedName name="BFX_BRANDFX">60122</definedName>
    <definedName name="bg">#REF!</definedName>
    <definedName name="BIBI">#REF!</definedName>
    <definedName name="BIBI2">#REF!</definedName>
    <definedName name="BIBI3">#REF!</definedName>
    <definedName name="Bilz">#REF!</definedName>
    <definedName name="BIMAS">#REF!</definedName>
    <definedName name="BIOBIO">[14]regiones!$X$61:$AG$103</definedName>
    <definedName name="BioBío" localSheetId="0">#REF!</definedName>
    <definedName name="BioBío">#REF!</definedName>
    <definedName name="BioGSE">#REF!</definedName>
    <definedName name="BISCUITS">#REF!</definedName>
    <definedName name="BL">#REF!</definedName>
    <definedName name="blanbco">#REF!</definedName>
    <definedName name="BlancoRow">#REF!</definedName>
    <definedName name="Bloggers">#REF!</definedName>
    <definedName name="Bloque">#REF!</definedName>
    <definedName name="bn">#REF!</definedName>
    <definedName name="bnhk">#REF!</definedName>
    <definedName name="bnknb">[0]!bnknb</definedName>
    <definedName name="bo">#N/A</definedName>
    <definedName name="BONCINEP">#REF!</definedName>
    <definedName name="BONCMK">#REF!</definedName>
    <definedName name="bonif">#REF!</definedName>
    <definedName name="bonif1">#REF!</definedName>
    <definedName name="bonif2">#REF!</definedName>
    <definedName name="BOTA">#REF!</definedName>
    <definedName name="bought">#REF!</definedName>
    <definedName name="BOXER">#REF!</definedName>
    <definedName name="br">#REF!</definedName>
    <definedName name="BRUTO">#REF!</definedName>
    <definedName name="BRUTO1AVi">#REF!</definedName>
    <definedName name="BRUTO1SEG">#REF!</definedName>
    <definedName name="BS">#REF!</definedName>
    <definedName name="BS_M">#REF!</definedName>
    <definedName name="BS_T">#REF!</definedName>
    <definedName name="BSRECIMG">#REF!</definedName>
    <definedName name="bt">#N/A</definedName>
    <definedName name="BUBU">#REF!</definedName>
    <definedName name="budget">#REF!</definedName>
    <definedName name="buen">#REF!</definedName>
    <definedName name="BuiltIn_Print_Area">#REF!</definedName>
    <definedName name="Bussiness_Finance">#REF!</definedName>
    <definedName name="bv">#REF!</definedName>
    <definedName name="bvbn">#REF!</definedName>
    <definedName name="bvbvbv">#REF!</definedName>
    <definedName name="bvnjhg">#REF!</definedName>
    <definedName name="bvnjhg_1">#REF!</definedName>
    <definedName name="bvnm">#REF!</definedName>
    <definedName name="by">#N/A</definedName>
    <definedName name="bybrand">#REF!</definedName>
    <definedName name="C_">#REF!</definedName>
    <definedName name="C_Calc">#REF!</definedName>
    <definedName name="C_CGRPNet1">#REF!</definedName>
    <definedName name="C_Code">#REF!</definedName>
    <definedName name="C_Code1">#REF!</definedName>
    <definedName name="C_Cost">#REF!</definedName>
    <definedName name="C_Descuento">#REF!</definedName>
    <definedName name="C_GRPs">#REF!</definedName>
    <definedName name="C_Name">#REF!</definedName>
    <definedName name="C_satur">#REF!</definedName>
    <definedName name="C_Satura">#REF!</definedName>
    <definedName name="C_Start">#REF!</definedName>
    <definedName name="C_SubCode">#REF!</definedName>
    <definedName name="CA">#REF!</definedName>
    <definedName name="cabel">#REF!</definedName>
    <definedName name="CabernetSauvignon">#REF!</definedName>
    <definedName name="CABEZA">#REF!</definedName>
    <definedName name="CABLE">#REF!</definedName>
    <definedName name="Cable2">#REF!</definedName>
    <definedName name="cableL20lau">#REF!</definedName>
    <definedName name="CableLz20">#REF!</definedName>
    <definedName name="CABLEVISION">#REF!</definedName>
    <definedName name="caca">#REF!</definedName>
    <definedName name="CACA_1">#REF!</definedName>
    <definedName name="CAFE">#REF!</definedName>
    <definedName name="cafefina">#REF!</definedName>
    <definedName name="cafefinal">#REF!</definedName>
    <definedName name="cago">#REF!</definedName>
    <definedName name="Calafia">#REF!</definedName>
    <definedName name="Calafia_1">#REF!</definedName>
    <definedName name="Calama">#REF!</definedName>
    <definedName name="CalamaGSE">#REF!</definedName>
    <definedName name="calcula" localSheetId="0">[15]Module1!calcula</definedName>
    <definedName name="calcula">[15]Module1!calcula</definedName>
    <definedName name="Calcular">#N/A</definedName>
    <definedName name="Calcular.Calcular" localSheetId="0">'[11]P_Diarios Santiago'!Calcular.Calcular</definedName>
    <definedName name="Calcular.Calcular">'[11]P_Diarios Santiago'!Calcular.Calcular</definedName>
    <definedName name="Calendario" localSheetId="0">#REF!</definedName>
    <definedName name="Calendario">#REF!</definedName>
    <definedName name="Calendario_Auspicio">#REF!</definedName>
    <definedName name="call">#N/A</definedName>
    <definedName name="cam">#REF!</definedName>
    <definedName name="cambio">#REF!</definedName>
    <definedName name="CAMBIO_PRECIO">#REF!</definedName>
    <definedName name="cambios">#REF!</definedName>
    <definedName name="Camion">#REF!</definedName>
    <definedName name="CAMP">#REF!</definedName>
    <definedName name="Campaign">#REF!</definedName>
    <definedName name="CAMPAIGN_PLAN">#REF!</definedName>
    <definedName name="Campana">#REF!</definedName>
    <definedName name="Campaña">#REF!</definedName>
    <definedName name="campañas_du">#REF!</definedName>
    <definedName name="CAMPO">#REF!</definedName>
    <definedName name="Canal">#REF!</definedName>
    <definedName name="canal04">#REF!</definedName>
    <definedName name="canal09">#REF!</definedName>
    <definedName name="canal2">#REF!</definedName>
    <definedName name="canal24h">'[16]Tarifas Marzo 2009 v22'!$C$8:$N$105</definedName>
    <definedName name="canal7">#REF!</definedName>
    <definedName name="canal9">#REF!</definedName>
    <definedName name="canales">#REF!</definedName>
    <definedName name="CancelRow">#REF!</definedName>
    <definedName name="canetnet">#REF!</definedName>
    <definedName name="CAPA">#REF!</definedName>
    <definedName name="Capital">#REF!</definedName>
    <definedName name="CAPTURA">#REF!</definedName>
    <definedName name="Capullo">[17]Sheet1!$BC$27</definedName>
    <definedName name="CAR" localSheetId="0">#REF!</definedName>
    <definedName name="CAR">#REF!</definedName>
    <definedName name="Cara">#REF!</definedName>
    <definedName name="CARAMELA">#REF!</definedName>
    <definedName name="caras">[18]caras!$A$2:$V$1816</definedName>
    <definedName name="Carátula" localSheetId="0">#REF!</definedName>
    <definedName name="Carátula">#REF!</definedName>
    <definedName name="Cárceles">#REF!</definedName>
    <definedName name="CARENF2">#REF!</definedName>
    <definedName name="CARENF21">#REF!</definedName>
    <definedName name="Caribe_Cooler">#REF!</definedName>
    <definedName name="Caribe_Cooler_1">#REF!</definedName>
    <definedName name="CaribeCooler">#REF!</definedName>
    <definedName name="carino">#REF!</definedName>
    <definedName name="carlos">#REF!</definedName>
    <definedName name="CAROLA">#REF!</definedName>
    <definedName name="carpeta">#REF!</definedName>
    <definedName name="CASHJERRY">#REF!</definedName>
    <definedName name="CASHMEN">#REF!</definedName>
    <definedName name="CASHMENS">#REF!</definedName>
    <definedName name="CASHYTD">#REF!</definedName>
    <definedName name="casos">#REF!</definedName>
    <definedName name="Catamarca">#REF!</definedName>
    <definedName name="CATG">#REF!</definedName>
    <definedName name="CATGDISCOUNT">#REF!</definedName>
    <definedName name="catothq">#REF!</definedName>
    <definedName name="catotl">#REF!</definedName>
    <definedName name="cbcbcb">#N/A</definedName>
    <definedName name="cbcbcbcb">#N/A</definedName>
    <definedName name="cc">#REF!</definedName>
    <definedName name="ccc">#REF!</definedName>
    <definedName name="cccc">#REF!</definedName>
    <definedName name="ccccc">#REF!</definedName>
    <definedName name="cccccc">#REF!</definedName>
    <definedName name="ccccccc">#REF!</definedName>
    <definedName name="CCF">#REF!</definedName>
    <definedName name="ccnb">#REF!</definedName>
    <definedName name="CCostL">#REF!</definedName>
    <definedName name="CCOSTO">#REF!</definedName>
    <definedName name="CCostP">#REF!</definedName>
    <definedName name="cd">#REF!</definedName>
    <definedName name="cdjej">#REF!</definedName>
    <definedName name="cdobregon">'[7]aca-'!#REF!</definedName>
    <definedName name="celaya">'[7]aca-'!#REF!</definedName>
    <definedName name="Celda_Periodo" localSheetId="0">#REF!</definedName>
    <definedName name="Celda_Periodo">#REF!</definedName>
    <definedName name="celia">#REF!</definedName>
    <definedName name="celia2">#REF!</definedName>
    <definedName name="CENTRAL2">[8]Rating!$M$12:$N$20</definedName>
    <definedName name="CEREALS" localSheetId="0">#REF!</definedName>
    <definedName name="CEREALS">#REF!</definedName>
    <definedName name="CEREALSDOLLARS">#REF!</definedName>
    <definedName name="CF">#REF!</definedName>
    <definedName name="CF_M">#REF!</definedName>
    <definedName name="CF_T">#REF!</definedName>
    <definedName name="CFDATA">#REF!</definedName>
    <definedName name="cfee">#REF!</definedName>
    <definedName name="cftotloc">#REF!</definedName>
    <definedName name="CGCG">#N/A</definedName>
    <definedName name="cgfjncvhn">#REF!</definedName>
    <definedName name="cgfjncvhn_1">#REF!</definedName>
    <definedName name="cha">#REF!</definedName>
    <definedName name="chacabuco">#REF!</definedName>
    <definedName name="Channels">#REF!</definedName>
    <definedName name="CHAPULTEPEC">#REF!</definedName>
    <definedName name="chart">#REF!</definedName>
    <definedName name="Chava">#REF!</definedName>
    <definedName name="CHEESE">#REF!</definedName>
    <definedName name="CHEESE1">#REF!</definedName>
    <definedName name="CHEESE2">#REF!</definedName>
    <definedName name="CHESSEDOLLARS">#REF!</definedName>
    <definedName name="CHG">#REF!</definedName>
    <definedName name="Chilango">#REF!</definedName>
    <definedName name="chiquitin">#REF!</definedName>
    <definedName name="Chv_Clasificacion">#REF!</definedName>
    <definedName name="Chv_Dcto.">#REF!</definedName>
    <definedName name="Cine">#REF!</definedName>
    <definedName name="Cine_dom_tarde">#REF!</definedName>
    <definedName name="Cine_familiar">#REF!</definedName>
    <definedName name="cine_term">#REF!</definedName>
    <definedName name="cine_trasnoche">#REF!</definedName>
    <definedName name="CINE2">#REF!</definedName>
    <definedName name="CINEMARK">#REF!</definedName>
    <definedName name="CINEPOLIS">#REF!</definedName>
    <definedName name="Cinito">#REF!</definedName>
    <definedName name="CINT">#REF!</definedName>
    <definedName name="Cintillos">#REF!</definedName>
    <definedName name="CINV2">#REF!</definedName>
    <definedName name="Cis">#REF!</definedName>
    <definedName name="clasi">#REF!</definedName>
    <definedName name="CLAU">#REF!</definedName>
    <definedName name="CLAU10">#REF!</definedName>
    <definedName name="CLAU11">#REF!</definedName>
    <definedName name="CLAU2">#REF!</definedName>
    <definedName name="CLAU26">#REF!</definedName>
    <definedName name="CLAU3">#REF!</definedName>
    <definedName name="CLAU32">#REF!</definedName>
    <definedName name="CLAU33">#REF!</definedName>
    <definedName name="CLAU4">#REF!</definedName>
    <definedName name="CLAU6">#REF!</definedName>
    <definedName name="CLAU7">#REF!</definedName>
    <definedName name="CLAU9">#REF!</definedName>
    <definedName name="claudia">#REF!</definedName>
    <definedName name="cle">#REF!</definedName>
    <definedName name="cli">#REF!</definedName>
    <definedName name="Client">#REF!</definedName>
    <definedName name="Cliente">#REF!</definedName>
    <definedName name="CLIENTE_R">#REF!</definedName>
    <definedName name="ClienteE">#REF!</definedName>
    <definedName name="CLIENTES">#REF!</definedName>
    <definedName name="CLIFAC">#REF!</definedName>
    <definedName name="clightdolares">#REF!</definedName>
    <definedName name="clightpesos">#REF!</definedName>
    <definedName name="clm">#REF!</definedName>
    <definedName name="Clubs">#REF!</definedName>
    <definedName name="CMDFH">#REF!</definedName>
    <definedName name="cmncn">#N/A</definedName>
    <definedName name="cncn">#N/A</definedName>
    <definedName name="Cob_Prensa" hidden="1">#REF!</definedName>
    <definedName name="COBERTURA_R">#REF!</definedName>
    <definedName name="cod">#REF!</definedName>
    <definedName name="CodAgencias">[19]Tablas!$K$27:$L$66</definedName>
    <definedName name="codigo" localSheetId="0">#REF!</definedName>
    <definedName name="codigo">#REF!</definedName>
    <definedName name="codigos">#REF!</definedName>
    <definedName name="codmedios">[19]Tablas!$D$36:$F$47</definedName>
    <definedName name="COFFEE_OTHERS" localSheetId="0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L">#REF!</definedName>
    <definedName name="COL_B">#REF!</definedName>
    <definedName name="COLFINAL">#REF!</definedName>
    <definedName name="COLLOGO">#REF!</definedName>
    <definedName name="COLU">#REF!</definedName>
    <definedName name="colu2">[6]COL!$F$5:$G$17</definedName>
    <definedName name="colu24">[20]Hoja1!$B$11:$C$21</definedName>
    <definedName name="Columna">[21]rating!$AB$10:$AC$21</definedName>
    <definedName name="COLUMNAS">'[16]Tarifas Marzo 2009 v22'!$P$8:$Q$19</definedName>
    <definedName name="COLUMNASTARGET">[6]bases!$E$9:$F$30</definedName>
    <definedName name="Com" localSheetId="0">#REF!</definedName>
    <definedName name="Com">#REF!</definedName>
    <definedName name="comAgencia">[19]Tablas!$I$10:$I$13</definedName>
    <definedName name="combate_estelar">#REF!</definedName>
    <definedName name="COMEN" localSheetId="0">#REF!</definedName>
    <definedName name="COMEN">#REF!</definedName>
    <definedName name="comisario_rex">#REF!</definedName>
    <definedName name="commmessages">#REF!</definedName>
    <definedName name="comp">#REF!</definedName>
    <definedName name="comparativo">#REF!</definedName>
    <definedName name="Complejos">#REF!</definedName>
    <definedName name="compra">#REF!</definedName>
    <definedName name="comtotl">#REF!</definedName>
    <definedName name="concepto">#REF!</definedName>
    <definedName name="Concepto_Alt">#REF!</definedName>
    <definedName name="CONCEPTOS">#REF!</definedName>
    <definedName name="CONF">#REF!</definedName>
    <definedName name="CONFECTIONARY">#REF!</definedName>
    <definedName name="Configuracion">#REF!</definedName>
    <definedName name="conflicto" localSheetId="0">#N/A</definedName>
    <definedName name="conflicto">[0]!conflicto</definedName>
    <definedName name="congelados" localSheetId="0">#REF!</definedName>
    <definedName name="congelados">#REF!</definedName>
    <definedName name="consu">#N/A</definedName>
    <definedName name="Consumer">#REF!</definedName>
    <definedName name="contratos">[22]Contratos!$A$2:$F$19</definedName>
    <definedName name="conv">#REF!</definedName>
    <definedName name="CONV2">#REF!</definedName>
    <definedName name="Convenio">#REF!</definedName>
    <definedName name="COOP">'[23]1'!$B$173:$B$174</definedName>
    <definedName name="Copack" localSheetId="0">#REF!</definedName>
    <definedName name="Copack">#REF!</definedName>
    <definedName name="Copack_up">#REF!</definedName>
    <definedName name="COPIA">#REF!</definedName>
    <definedName name="copia1">#REF!</definedName>
    <definedName name="cops">#REF!</definedName>
    <definedName name="coquiGSE">#REF!</definedName>
    <definedName name="Coquimbo">#REF!</definedName>
    <definedName name="corin_tellado">#REF!</definedName>
    <definedName name="COST">#REF!</definedName>
    <definedName name="COSTCHAP">#REF!</definedName>
    <definedName name="COSTEO">#REF!</definedName>
    <definedName name="COSTO">#REF!</definedName>
    <definedName name="COSTOS">#REF!</definedName>
    <definedName name="COSTSANG">#REF!</definedName>
    <definedName name="Costtype">[24]Data!#REF!</definedName>
    <definedName name="cotcos" localSheetId="0">#REF!</definedName>
    <definedName name="cotcos">#REF!</definedName>
    <definedName name="CotDiarios">#REF!</definedName>
    <definedName name="Cotizacion">#REF!</definedName>
    <definedName name="Cotizaciones2">#REF!</definedName>
    <definedName name="cotolhq">#REF!</definedName>
    <definedName name="cototl">#REF!</definedName>
    <definedName name="Country">#REF!</definedName>
    <definedName name="cp">#REF!</definedName>
    <definedName name="cppant">#REF!</definedName>
    <definedName name="cppppppppppppppppp">#REF!</definedName>
    <definedName name="cpr">#REF!</definedName>
    <definedName name="CPRNEG">#REF!</definedName>
    <definedName name="cr">#N/A</definedName>
    <definedName name="CREATE">#REF!</definedName>
    <definedName name="Creative">[24]Data!#REF!</definedName>
    <definedName name="CreativeTypeLookup">[25]Data!$J$3:$K$12</definedName>
    <definedName name="CreativeTypes">OFFSET([25]Data!$J$3,0,0,10)</definedName>
    <definedName name="creme">#REF!</definedName>
    <definedName name="creme_1">#REF!</definedName>
    <definedName name="CREME2">#REF!</definedName>
    <definedName name="Cris">#REF!</definedName>
    <definedName name="Critères_1">#REF!</definedName>
    <definedName name="Critères_2">#REF!</definedName>
    <definedName name="Critères_3">#REF!</definedName>
    <definedName name="criterio">#REF!</definedName>
    <definedName name="_xlnm.Criteria">#REF!</definedName>
    <definedName name="CRON">#REF!</definedName>
    <definedName name="CronoFeb">#N/A</definedName>
    <definedName name="CRPNEG">#REF!</definedName>
    <definedName name="cs">#REF!</definedName>
    <definedName name="csds">#N/A</definedName>
    <definedName name="cset">#REF!</definedName>
    <definedName name="CSKADGCVJHSA">#REF!</definedName>
    <definedName name="cst">#REF!</definedName>
    <definedName name="cte">#REF!</definedName>
    <definedName name="ctei">#REF!</definedName>
    <definedName name="cten">#REF!</definedName>
    <definedName name="CTOUNIT">#REF!</definedName>
    <definedName name="cu">#REF!</definedName>
    <definedName name="cuando">#N/A</definedName>
    <definedName name="cuant1" localSheetId="0">[15]Module1!calcula</definedName>
    <definedName name="cuant1">[15]Module1!calcula</definedName>
    <definedName name="Cuanto_me_quieres">#REF!</definedName>
    <definedName name="cuatro" localSheetId="0">#REF!</definedName>
    <definedName name="cuatro">#REF!</definedName>
    <definedName name="CUENTA">#REF!</definedName>
    <definedName name="Cuerpo">#REF!</definedName>
    <definedName name="cuervo">#REF!</definedName>
    <definedName name="cueva">#REF!</definedName>
    <definedName name="culiacan">#REF!</definedName>
    <definedName name="cumana">#REF!</definedName>
    <definedName name="CURRENCY">[24]Data!#REF!</definedName>
    <definedName name="cv" localSheetId="0">#REF!</definedName>
    <definedName name="cv">#REF!</definedName>
    <definedName name="cvb">#REF!</definedName>
    <definedName name="CViejas">#REF!</definedName>
    <definedName name="cxcvcxcxv">#N/A</definedName>
    <definedName name="cxp">#REF!</definedName>
    <definedName name="czxc">#N/A</definedName>
    <definedName name="czz">#REF!</definedName>
    <definedName name="d">#REF!</definedName>
    <definedName name="dadad">#REF!</definedName>
    <definedName name="dar">#REF!</definedName>
    <definedName name="das">#REF!</definedName>
    <definedName name="dasd">#REF!</definedName>
    <definedName name="dasf">#REF!</definedName>
    <definedName name="dat">#REF!</definedName>
    <definedName name="Data">#REF!</definedName>
    <definedName name="data8">#REF!</definedName>
    <definedName name="DATABLK">#REF!</definedName>
    <definedName name="dbgysvsv">#REF!</definedName>
    <definedName name="dc">#REF!</definedName>
    <definedName name="dd">#REF!</definedName>
    <definedName name="DDC">#REF!</definedName>
    <definedName name="ddc_abc">[26]Datos!$B$1:$D$55</definedName>
    <definedName name="ddd">#REF!</definedName>
    <definedName name="dddd">#REF!</definedName>
    <definedName name="DDDDD">#REF!</definedName>
    <definedName name="DDDDDD">#REF!</definedName>
    <definedName name="DDDSD">#REF!</definedName>
    <definedName name="ddee">#REF!</definedName>
    <definedName name="DDFDF">#REF!</definedName>
    <definedName name="DDFDF1">#REF!</definedName>
    <definedName name="ddffgdf">#N/A</definedName>
    <definedName name="ddfgh">#REF!</definedName>
    <definedName name="ddfsf">#N/A</definedName>
    <definedName name="ddv">#REF!</definedName>
    <definedName name="DE">#REF!</definedName>
    <definedName name="de_grubu">#REF!</definedName>
    <definedName name="de_ratecard">#REF!</definedName>
    <definedName name="de_tutar">#REF!</definedName>
    <definedName name="Deal">#REF!</definedName>
    <definedName name="DEC">#REF!</definedName>
    <definedName name="dec98cahq">#REF!</definedName>
    <definedName name="dec98cal">#REF!</definedName>
    <definedName name="dec98cohq">#REF!</definedName>
    <definedName name="dec98col">#REF!</definedName>
    <definedName name="dec98cumhq">#REF!</definedName>
    <definedName name="dec98cuml">#REF!</definedName>
    <definedName name="deccahq">#REF!</definedName>
    <definedName name="deccal">#REF!</definedName>
    <definedName name="deccohq">#REF!</definedName>
    <definedName name="deccol">#REF!</definedName>
    <definedName name="deccumhq">#REF!</definedName>
    <definedName name="def">#REF!</definedName>
    <definedName name="Define_target" localSheetId="0">'[11]P_Diarios Santiago'!Calcular.Calcular</definedName>
    <definedName name="Define_target">'[11]P_Diarios Santiago'!Calcular.Calcular</definedName>
    <definedName name="DEGI" localSheetId="0">#REF!</definedName>
    <definedName name="DEGI">#REF!</definedName>
    <definedName name="demasia">#REF!</definedName>
    <definedName name="demos">#REF!</definedName>
    <definedName name="Deos">#REF!</definedName>
    <definedName name="Department">#REF!</definedName>
    <definedName name="Departments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#REF!</definedName>
    <definedName name="der_tutar">#REF!</definedName>
    <definedName name="DERGI">#REF!</definedName>
    <definedName name="DERGİ_06">#REF!</definedName>
    <definedName name="DERGİ_07">#REF!</definedName>
    <definedName name="DERGİ_08">#REF!</definedName>
    <definedName name="des">#REF!</definedName>
    <definedName name="Des.R.Acum">#REF!</definedName>
    <definedName name="desacer">#REF!</definedName>
    <definedName name="DESC">#REF!</definedName>
    <definedName name="DESC1">#REF!</definedName>
    <definedName name="DESCUENTOS">#REF!</definedName>
    <definedName name="DESLARGO">#REF!</definedName>
    <definedName name="Despa">#REF!</definedName>
    <definedName name="Desplazado">#REF!</definedName>
    <definedName name="DESSERT">#REF!</definedName>
    <definedName name="DESSERTSDOLLARS">#REF!</definedName>
    <definedName name="Desvio">#REF!</definedName>
    <definedName name="Desvio_Abs">#REF!</definedName>
    <definedName name="detalle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DetalleRow">#REF!</definedName>
    <definedName name="Detras_de_la_pantalla">#REF!</definedName>
    <definedName name="Detras_pantalla_sab">#REF!</definedName>
    <definedName name="dewgty">#REF!</definedName>
    <definedName name="dewgty_1">#REF!</definedName>
    <definedName name="deya">#REF!</definedName>
    <definedName name="deya_1">#REF!</definedName>
    <definedName name="deya1">#REF!</definedName>
    <definedName name="deya1_1">#REF!</definedName>
    <definedName name="deya2">#REF!</definedName>
    <definedName name="deya2_1">#REF!</definedName>
    <definedName name="deya3">#REF!</definedName>
    <definedName name="deya3_1">#REF!</definedName>
    <definedName name="deya4">#REF!</definedName>
    <definedName name="deya4_1">#REF!</definedName>
    <definedName name="deya5">#REF!</definedName>
    <definedName name="deya5_1">#REF!</definedName>
    <definedName name="deya6">#REF!</definedName>
    <definedName name="deya6_1">#REF!</definedName>
    <definedName name="deya7">#REF!</definedName>
    <definedName name="deya7_1">#REF!</definedName>
    <definedName name="deyanira">#REF!</definedName>
    <definedName name="df">#N/A</definedName>
    <definedName name="DFA">#REF!</definedName>
    <definedName name="dfasdf">#REF!</definedName>
    <definedName name="dfasdfa">#REF!</definedName>
    <definedName name="dfdfdf">#REF!</definedName>
    <definedName name="DFDFGFF">#REF!</definedName>
    <definedName name="dfdsdfd">#N/A</definedName>
    <definedName name="dfdsf" localSheetId="0">#N/A</definedName>
    <definedName name="dfdsf">[0]!dfdsf</definedName>
    <definedName name="DFDWFDW">#N/A</definedName>
    <definedName name="dFecFinal">#REF!</definedName>
    <definedName name="dFecFinal_1">#REF!</definedName>
    <definedName name="dFecFinalCan">#REF!</definedName>
    <definedName name="dFecFinalCan_1">#REF!</definedName>
    <definedName name="dFecFinalDur">#REF!</definedName>
    <definedName name="dFecFinalDur_1">#REF!</definedName>
    <definedName name="dFecFinalFja">#REF!</definedName>
    <definedName name="dFecFinalFja_1">#REF!</definedName>
    <definedName name="dFecFinalGrp">#REF!</definedName>
    <definedName name="dFecFinalGrp_1">#REF!</definedName>
    <definedName name="dFecFinalPos">#REF!</definedName>
    <definedName name="dFecFinalPos_1">#REF!</definedName>
    <definedName name="dFecFinalRea">#REF!</definedName>
    <definedName name="dFecFinalRea_1">#REF!</definedName>
    <definedName name="dFecFinalReb">#REF!</definedName>
    <definedName name="dFecFinalReb_1">#REF!</definedName>
    <definedName name="dFecFinalRes">#REF!</definedName>
    <definedName name="dFecFinalRes_1">#REF!</definedName>
    <definedName name="dFecFinalSat">#REF!</definedName>
    <definedName name="dFecFinalSat_1">#REF!</definedName>
    <definedName name="dFecFinalSem">#REF!</definedName>
    <definedName name="dFecFinalSem_1">#REF!</definedName>
    <definedName name="dFecInicial">#REF!</definedName>
    <definedName name="dFecInicial_1">#REF!</definedName>
    <definedName name="dFecInicialCan">#REF!</definedName>
    <definedName name="dFecInicialCan_1">#REF!</definedName>
    <definedName name="dFecInicialDur">#REF!</definedName>
    <definedName name="dFecInicialDur_1">#REF!</definedName>
    <definedName name="dFecInicialFja">#REF!</definedName>
    <definedName name="dFecInicialFja_1">#REF!</definedName>
    <definedName name="dFecInicialGrp">#REF!</definedName>
    <definedName name="dFecInicialGrp_1">#REF!</definedName>
    <definedName name="dFecInicialPos">#REF!</definedName>
    <definedName name="dFecInicialPos_1">#REF!</definedName>
    <definedName name="dFecInicialRea">#REF!</definedName>
    <definedName name="dFecInicialRea_1">#REF!</definedName>
    <definedName name="dFecInicialReb">#REF!</definedName>
    <definedName name="dFecInicialReb_1">#REF!</definedName>
    <definedName name="dFecInicialRes">#REF!</definedName>
    <definedName name="dFecInicialRes_1">#REF!</definedName>
    <definedName name="dFecInicialSat">#REF!</definedName>
    <definedName name="dFecInicialSat_1">#REF!</definedName>
    <definedName name="dFecInicialSem">#REF!</definedName>
    <definedName name="dFecInicialSem_1">#REF!</definedName>
    <definedName name="DFEER">#REF!</definedName>
    <definedName name="dfefsdfaweioweriopweuioiowereuior">#REF!</definedName>
    <definedName name="dff">#REF!</definedName>
    <definedName name="dffdfdfdfdf">#N/A</definedName>
    <definedName name="dffg">#REF!</definedName>
    <definedName name="dfg">#REF!</definedName>
    <definedName name="dfga">#REF!</definedName>
    <definedName name="dfgañdfljañsdf">#REF!</definedName>
    <definedName name="dfgfg">#REF!</definedName>
    <definedName name="dfgh">#REF!</definedName>
    <definedName name="DFGHJ">#REF!</definedName>
    <definedName name="dfjdj">#REF!</definedName>
    <definedName name="dfr">#REF!</definedName>
    <definedName name="dfrgvh">#REF!</definedName>
    <definedName name="dfs">#REF!</definedName>
    <definedName name="dfsasdfasdfsda">#REF!</definedName>
    <definedName name="dfsd">#REF!</definedName>
    <definedName name="dfty">#REF!</definedName>
    <definedName name="dg">#REF!</definedName>
    <definedName name="dgdfg">#REF!</definedName>
    <definedName name="dghmcgm">#REF!</definedName>
    <definedName name="dghmcgm_1">#REF!</definedName>
    <definedName name="dghmdghm">#REF!</definedName>
    <definedName name="dghmdghm_1">#REF!</definedName>
    <definedName name="dghmdgm">#REF!</definedName>
    <definedName name="dghmdgm_1">#REF!</definedName>
    <definedName name="dghmgcm">#REF!</definedName>
    <definedName name="dghmgcm_1">#REF!</definedName>
    <definedName name="dghmgdm">#REF!</definedName>
    <definedName name="dghmgdm_1">#REF!</definedName>
    <definedName name="dghmgm">#REF!</definedName>
    <definedName name="dghmgm_1">#REF!</definedName>
    <definedName name="dgj">#REF!</definedName>
    <definedName name="dh">#REF!</definedName>
    <definedName name="DHJEU">#REF!</definedName>
    <definedName name="DHRTR">#REF!</definedName>
    <definedName name="dhsrth">#REF!</definedName>
    <definedName name="DI">#REF!</definedName>
    <definedName name="dia">#REF!</definedName>
    <definedName name="DIANA">#REF!</definedName>
    <definedName name="diario">[0]!diario</definedName>
    <definedName name="diarios">#REF!</definedName>
    <definedName name="Dias">#REF!</definedName>
    <definedName name="DIAS_R">#REF!</definedName>
    <definedName name="dias1">[27]negociaciones1!$A$19:$B$26</definedName>
    <definedName name="DIASEMANA" localSheetId="0">#REF!</definedName>
    <definedName name="DIASEMANA">#REF!</definedName>
    <definedName name="dici">#REF!</definedName>
    <definedName name="diciembre">#REF!</definedName>
    <definedName name="DIDK_AKD">#REF!</definedName>
    <definedName name="DIGER">#REF!</definedName>
    <definedName name="Digital">#REF!</definedName>
    <definedName name="Digital.Ausp">#REF!</definedName>
    <definedName name="Digital.Device">#REF!</definedName>
    <definedName name="Digital.Obj">#REF!</definedName>
    <definedName name="Digital.Plataforma">#REF!</definedName>
    <definedName name="Digital.Ubicacion">#REF!</definedName>
    <definedName name="Digital_canal">[28]!Tabla4[Canal]</definedName>
    <definedName name="Digital_RazónSocial">[28]!Tabla4[RazónSocial]</definedName>
    <definedName name="Digital_rut">[28]!Tabla4[Rut]</definedName>
    <definedName name="Digital_Sitio">[28]!Tabla4[DIGITAL]</definedName>
    <definedName name="DIGITAL2">#REF!</definedName>
    <definedName name="digngn" localSheetId="0">#REF!</definedName>
    <definedName name="digngn">#REF!</definedName>
    <definedName name="diiii">#REF!</definedName>
    <definedName name="Dimensions">[24]Data!#REF!</definedName>
    <definedName name="dios">#N/A</definedName>
    <definedName name="Dir">#REF!</definedName>
    <definedName name="DIRDF">#REF!</definedName>
    <definedName name="DIRECTV">#REF!</definedName>
    <definedName name="DIRPROVEEDOR">#REF!</definedName>
    <definedName name="discount">#REF!</definedName>
    <definedName name="DISCOUNTLEVEL">#REF!</definedName>
    <definedName name="DISCOUNTTYPE">#REF!</definedName>
    <definedName name="distribución">#REF!</definedName>
    <definedName name="DKDI">#REF!</definedName>
    <definedName name="dl">#REF!</definedName>
    <definedName name="DME">#REF!</definedName>
    <definedName name="DMP">#REF!</definedName>
    <definedName name="doble">#REF!</definedName>
    <definedName name="Documentos">#REF!</definedName>
    <definedName name="DocumentYear">#REF!</definedName>
    <definedName name="doğan">#REF!</definedName>
    <definedName name="dolar">#REF!</definedName>
    <definedName name="DOLLARS">#REF!</definedName>
    <definedName name="DOMINGO">#REF!</definedName>
    <definedName name="Don_Pedro">#REF!</definedName>
    <definedName name="Don_Pedro_1">#REF!</definedName>
    <definedName name="DONDE">[29]Rating!$M$58:$N$63</definedName>
    <definedName name="Donde_Ir" localSheetId="0">#REF!</definedName>
    <definedName name="Donde_Ir">#REF!</definedName>
    <definedName name="DonPedro">#REF!</definedName>
    <definedName name="Doña_Barbara">#REF!</definedName>
    <definedName name="DOS">#REF!</definedName>
    <definedName name="dplana">#REF!</definedName>
    <definedName name="Drake_y_osh">#REF!</definedName>
    <definedName name="DRF">#REF!</definedName>
    <definedName name="drg">#REF!</definedName>
    <definedName name="drjdty">#REF!</definedName>
    <definedName name="drtdfgdfg">#REF!</definedName>
    <definedName name="ds">#REF!</definedName>
    <definedName name="dsad" localSheetId="0">#N/A</definedName>
    <definedName name="dsad">[0]!dsad</definedName>
    <definedName name="dsadfs">[0]!dsadfs</definedName>
    <definedName name="dsc">#N/A</definedName>
    <definedName name="DSCTLVL">#REF!</definedName>
    <definedName name="dsdag">#REF!</definedName>
    <definedName name="DSDD">#REF!</definedName>
    <definedName name="dsds">#N/A</definedName>
    <definedName name="dsdsdddd">#N/A</definedName>
    <definedName name="DSF">#REF!</definedName>
    <definedName name="dsfad">#REF!</definedName>
    <definedName name="DSFADSF">#REF!</definedName>
    <definedName name="dsfasdf">#REF!</definedName>
    <definedName name="DSFDFDF">#REF!</definedName>
    <definedName name="dsfgsdfg">#REF!</definedName>
    <definedName name="DSP">#REF!</definedName>
    <definedName name="DSP_Video">#REF!</definedName>
    <definedName name="dss">#N/A</definedName>
    <definedName name="dt">#REF!</definedName>
    <definedName name="DUR">#REF!</definedName>
    <definedName name="dur_1">#REF!</definedName>
    <definedName name="durango">'[7]aca-'!#REF!</definedName>
    <definedName name="dvdv" localSheetId="0">#REF!</definedName>
    <definedName name="dvdv">#REF!</definedName>
    <definedName name="dvgrgrsv">#REF!</definedName>
    <definedName name="dydydfy">#REF!</definedName>
    <definedName name="dzsfgsdfgdsfg">#REF!</definedName>
    <definedName name="e">#REF!</definedName>
    <definedName name="e_1">#REF!</definedName>
    <definedName name="e5y5y">#REF!</definedName>
    <definedName name="e5yy">#REF!</definedName>
    <definedName name="eabr">#REF!</definedName>
    <definedName name="eago">#REF!</definedName>
    <definedName name="ebel" localSheetId="0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1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2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3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3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4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4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4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4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5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5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5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el_5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EBITDA_MES">#REF!</definedName>
    <definedName name="ebus">#REF!</definedName>
    <definedName name="Ecosport">#REF!</definedName>
    <definedName name="ed">#REF!</definedName>
    <definedName name="edad">#REF!</definedName>
    <definedName name="EDASA">#REF!</definedName>
    <definedName name="edcccccc">#REF!</definedName>
    <definedName name="edic">#REF!</definedName>
    <definedName name="edici">#REF!</definedName>
    <definedName name="edith">#REF!</definedName>
    <definedName name="edref">#REF!</definedName>
    <definedName name="EE">#REF!</definedName>
    <definedName name="eee">#REF!</definedName>
    <definedName name="EEEE">#REF!</definedName>
    <definedName name="EEEEE">#N/A</definedName>
    <definedName name="EEEEEE">#REF!</definedName>
    <definedName name="eeeeeeee">#REF!</definedName>
    <definedName name="eeeeeeeeeeeeeeee">#REF!</definedName>
    <definedName name="EERR">#REF!</definedName>
    <definedName name="EF">#REF!</definedName>
    <definedName name="efdg">#REF!</definedName>
    <definedName name="efeb">#REF!</definedName>
    <definedName name="efeb2">#REF!</definedName>
    <definedName name="efemat">#REF!</definedName>
    <definedName name="efer">#N/A</definedName>
    <definedName name="Efficient">#REF!</definedName>
    <definedName name="eficiencia">#N/A</definedName>
    <definedName name="eficiencia2">#N/A</definedName>
    <definedName name="efinal">[30]RANGOS!$K$6:$K$11</definedName>
    <definedName name="efm">#REF!</definedName>
    <definedName name="efo">#REF!</definedName>
    <definedName name="eg">#REF!</definedName>
    <definedName name="eg_1">#REF!</definedName>
    <definedName name="EGJPRWGEJIRGIJ4IEJGPJ4osfnenvnergiojgjrglkjjkldgjkljklgjs">#REF!</definedName>
    <definedName name="ei">#REF!</definedName>
    <definedName name="eimp">#REF!</definedName>
    <definedName name="einicial">[30]RANGOS!$J$6:$J$11</definedName>
    <definedName name="EIWOOIJ">#REF!</definedName>
    <definedName name="EJECUTIVO">#REF!</definedName>
    <definedName name="EJUL">#REF!</definedName>
    <definedName name="EJUL3">#REF!</definedName>
    <definedName name="ejun">#REF!</definedName>
    <definedName name="ejun2">#REF!</definedName>
    <definedName name="el">#REF!</definedName>
    <definedName name="el_clon">#REF!</definedName>
    <definedName name="El_club_de_la_comedia">#REF!</definedName>
    <definedName name="El_diario_de_eva">#REF!</definedName>
    <definedName name="El_Juramento">#REF!</definedName>
    <definedName name="el_mago">#REF!</definedName>
    <definedName name="el_mago_rep">#REF!</definedName>
    <definedName name="El_poder_del_10">#REF!</definedName>
    <definedName name="El_rostro_de_Analia">#REF!</definedName>
    <definedName name="el_zorro">#REF!</definedName>
    <definedName name="elel">#REF!</definedName>
    <definedName name="eliminar">[0]!eliminar</definedName>
    <definedName name="elsa">#REF!</definedName>
    <definedName name="EMAR">#REF!</definedName>
    <definedName name="Empresa">#REF!</definedName>
    <definedName name="En_la_mira">#REF!</definedName>
    <definedName name="Encabezado_Columna1">#REF!</definedName>
    <definedName name="Encabezado_Columna2">#REF!</definedName>
    <definedName name="Encabezado_Columna3">#REF!</definedName>
    <definedName name="Encabezado_Columna4">#REF!</definedName>
    <definedName name="encina">#REF!</definedName>
    <definedName name="encina2">#REF!</definedName>
    <definedName name="enep">#REF!</definedName>
    <definedName name="enero">#REF!</definedName>
    <definedName name="enesp">#REF!</definedName>
    <definedName name="ENHANCERS">#REF!</definedName>
    <definedName name="ENHANCERSDOLLARS">#REF!</definedName>
    <definedName name="enilll">#REF!</definedName>
    <definedName name="enov">#REF!</definedName>
    <definedName name="ENOV2">#REF!</definedName>
    <definedName name="ensenada">#REF!</definedName>
    <definedName name="envio">[19]Tablas!$E$3:$E$6</definedName>
    <definedName name="eoct">#REF!</definedName>
    <definedName name="eqwe" localSheetId="0">#REF!</definedName>
    <definedName name="eqwe">#REF!</definedName>
    <definedName name="er">#REF!</definedName>
    <definedName name="ERER">#REF!</definedName>
    <definedName name="erey78">#REF!</definedName>
    <definedName name="erey78_1">#REF!</definedName>
    <definedName name="ERF">#REF!</definedName>
    <definedName name="erg">#REF!</definedName>
    <definedName name="erggdd">#REF!</definedName>
    <definedName name="ergt">#REF!</definedName>
    <definedName name="errv">#REF!</definedName>
    <definedName name="ERT">#REF!</definedName>
    <definedName name="ERTD">#REF!</definedName>
    <definedName name="ertwywyyty">#REF!</definedName>
    <definedName name="erty">#REF!</definedName>
    <definedName name="erwe">#REF!</definedName>
    <definedName name="es">#REF!</definedName>
    <definedName name="ESABR">#REF!</definedName>
    <definedName name="ESCAN">#REF!</definedName>
    <definedName name="ESCAN_12">#REF!</definedName>
    <definedName name="ESCAN_9">#REF!</definedName>
    <definedName name="ESCAN_9_1">#REF!</definedName>
    <definedName name="Escudo">#N/A</definedName>
    <definedName name="esd">#REF!</definedName>
    <definedName name="esene">#REF!</definedName>
    <definedName name="esene2">#REF!</definedName>
    <definedName name="ESEP">#REF!</definedName>
    <definedName name="eski">#REF!</definedName>
    <definedName name="esmar">#REF!</definedName>
    <definedName name="eSP">#REF!</definedName>
    <definedName name="ESPACIO">#REF!</definedName>
    <definedName name="espdic">#REF!</definedName>
    <definedName name="ESPECIALES">#REF!</definedName>
    <definedName name="ESPECRV">#REF!</definedName>
    <definedName name="ESPLUISLL">#REF!</definedName>
    <definedName name="ESPRAVE">#REF!</definedName>
    <definedName name="espse">#REF!</definedName>
    <definedName name="estos_niños">#REF!</definedName>
    <definedName name="estracto">#REF!</definedName>
    <definedName name="Estrategia">[28]!Tabla1[ESTRATEGIA]</definedName>
    <definedName name="etc" localSheetId="0">#REF!</definedName>
    <definedName name="etc">#REF!</definedName>
    <definedName name="etg">#REF!</definedName>
    <definedName name="ETGH">#REF!</definedName>
    <definedName name="etrg">#REF!</definedName>
    <definedName name="etrg_1">#REF!</definedName>
    <definedName name="etuyshgh">#REF!</definedName>
    <definedName name="etyj">#REF!</definedName>
    <definedName name="EUReXToATS">#REF!</definedName>
    <definedName name="EUReXToBEF">#REF!</definedName>
    <definedName name="EUReXToDEM">#REF!</definedName>
    <definedName name="EUReXToESP">#REF!</definedName>
    <definedName name="EUReXToFIM">#REF!</definedName>
    <definedName name="EUReXToFRF">#REF!</definedName>
    <definedName name="EUReXToGRD">#REF!</definedName>
    <definedName name="EUReXToIEP">#REF!</definedName>
    <definedName name="EUReXToITL">#REF!</definedName>
    <definedName name="EUReXToLUF">#REF!</definedName>
    <definedName name="EUReXToNLG">#REF!</definedName>
    <definedName name="EUReXToPTE">#REF!</definedName>
    <definedName name="evelyn1">#REF!</definedName>
    <definedName name="evelynfe">#REF!</definedName>
    <definedName name="EVENTOS">#REF!</definedName>
    <definedName name="EVERAFTER">#REF!</definedName>
    <definedName name="EVERAFTER_1">#REF!</definedName>
    <definedName name="ewfe">#N/A</definedName>
    <definedName name="ewg">#REF!</definedName>
    <definedName name="Excel">#REF!</definedName>
    <definedName name="Excel_BuiltIn_Criteria_0">#REF!</definedName>
    <definedName name="Excel_BuiltIn_Criteria_0___0">#REF!</definedName>
    <definedName name="Excel_BuiltIn_Criteria_0___0___0">#REF!</definedName>
    <definedName name="Excel_BuiltIn_Criteria_0___0___0_12">#REF!</definedName>
    <definedName name="Excel_BuiltIn_Criteria_0___0___0_9">#REF!</definedName>
    <definedName name="Excel_BuiltIn_Criteria_0___0___0_9_1">#REF!</definedName>
    <definedName name="Excel_BuiltIn_Criteria_0___0___3">#REF!</definedName>
    <definedName name="Excel_BuiltIn_Criteria_0___0___3_12">#REF!</definedName>
    <definedName name="Excel_BuiltIn_Criteria_0___0___3_9">#REF!</definedName>
    <definedName name="Excel_BuiltIn_Criteria_0___0___3_9_1">#REF!</definedName>
    <definedName name="Excel_BuiltIn_Criteria_0___0___4">#REF!</definedName>
    <definedName name="Excel_BuiltIn_Criteria_0___0___4_12">#REF!</definedName>
    <definedName name="Excel_BuiltIn_Criteria_0___0___4_9">#REF!</definedName>
    <definedName name="Excel_BuiltIn_Criteria_0___0___5">#REF!</definedName>
    <definedName name="Excel_BuiltIn_Criteria_0___0___5_12">#REF!</definedName>
    <definedName name="Excel_BuiltIn_Criteria_0___0___5_9">#REF!</definedName>
    <definedName name="Excel_BuiltIn_Criteria_0___0_10">#REF!</definedName>
    <definedName name="Excel_BuiltIn_Criteria_0___0_12">#REF!</definedName>
    <definedName name="Excel_BuiltIn_Criteria_0___0_9">#REF!</definedName>
    <definedName name="Excel_BuiltIn_Criteria_0___0_9_1">#REF!</definedName>
    <definedName name="Excel_BuiltIn_Criteria_0___3">#REF!</definedName>
    <definedName name="Excel_BuiltIn_Criteria_0___3_12">#REF!</definedName>
    <definedName name="Excel_BuiltIn_Criteria_0___3_9">#REF!</definedName>
    <definedName name="Excel_BuiltIn_Criteria_0___4">#REF!</definedName>
    <definedName name="Excel_BuiltIn_Criteria_0___4_12">#REF!</definedName>
    <definedName name="Excel_BuiltIn_Criteria_0___4_9">#REF!</definedName>
    <definedName name="Excel_BuiltIn_Criteria_0_10">#REF!</definedName>
    <definedName name="Excel_BuiltIn_Criteria_0_12">#REF!</definedName>
    <definedName name="Excel_BuiltIn_Criteria_0_9">#REF!</definedName>
    <definedName name="Excel_BuiltIn_Criteria_0_9_1">#REF!</definedName>
    <definedName name="Excel_BuiltIn_Database">#REF!</definedName>
    <definedName name="Excel_BuiltIn_Database_1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2_1">#REF!</definedName>
    <definedName name="Excel_BuiltIn_Print_Area_3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Titles">#REF!</definedName>
    <definedName name="EXCLUSIV">#REF!</definedName>
    <definedName name="EXIT">#REF!</definedName>
    <definedName name="EXPORT">#REF!</definedName>
    <definedName name="EXPORTACION">#REF!</definedName>
    <definedName name="EXPORTS">#REF!</definedName>
    <definedName name="EXPORTSDOLLARS">#REF!</definedName>
    <definedName name="EXPRESS">#REF!</definedName>
    <definedName name="EXT">#REF!</definedName>
    <definedName name="EXTAR">#REF!</definedName>
    <definedName name="EXTER">#REF!</definedName>
    <definedName name="eyay">#REF!</definedName>
    <definedName name="eyy">#REF!</definedName>
    <definedName name="ezx">#REF!</definedName>
    <definedName name="F.S.">#REF!</definedName>
    <definedName name="F_1">#REF!</definedName>
    <definedName name="fa">#REF!</definedName>
    <definedName name="Facebook">#REF!</definedName>
    <definedName name="Factor">#REF!</definedName>
    <definedName name="Factor_Suavización">#REF!</definedName>
    <definedName name="FACTURACION">#REF!</definedName>
    <definedName name="fad">#REF!</definedName>
    <definedName name="fads">#REF!</definedName>
    <definedName name="FAERF4">#REF!</definedName>
    <definedName name="FAF">#REF!</definedName>
    <definedName name="fafaast">#REF!</definedName>
    <definedName name="familia">#REF!</definedName>
    <definedName name="FAR">#REF!</definedName>
    <definedName name="farandula">#REF!</definedName>
    <definedName name="FAREGAE">#REF!</definedName>
    <definedName name="FASNF">#REF!</definedName>
    <definedName name="FCB">#REF!</definedName>
    <definedName name="fcwrev">#REF!</definedName>
    <definedName name="fd">#REF!</definedName>
    <definedName name="FDDFDF">#REF!</definedName>
    <definedName name="fde">#REF!</definedName>
    <definedName name="fdf">#REF!</definedName>
    <definedName name="FDFDFDFD">#REF!</definedName>
    <definedName name="fdfssdf">#REF!</definedName>
    <definedName name="FDGC">#REF!</definedName>
    <definedName name="FDGG">#REF!</definedName>
    <definedName name="fe">#REF!</definedName>
    <definedName name="FEB">#REF!</definedName>
    <definedName name="febcahq">#REF!</definedName>
    <definedName name="febcal">#REF!</definedName>
    <definedName name="febcohq">#REF!</definedName>
    <definedName name="febcol">#REF!</definedName>
    <definedName name="febcumhq">#REF!</definedName>
    <definedName name="febcuml">#REF!</definedName>
    <definedName name="Febrero">#REF!</definedName>
    <definedName name="FECHA">#REF!</definedName>
    <definedName name="FechaAux">#REF!</definedName>
    <definedName name="fees">#REF!</definedName>
    <definedName name="femat">#REF!</definedName>
    <definedName name="fer">#REF!</definedName>
    <definedName name="Feria">#REF!</definedName>
    <definedName name="FERIA2">#REF!</definedName>
    <definedName name="fersda">#REF!</definedName>
    <definedName name="festival">#REF!</definedName>
    <definedName name="FETR">#N/A</definedName>
    <definedName name="FF">#REF!</definedName>
    <definedName name="fff">#REF!</definedName>
    <definedName name="FFF_1">#REF!</definedName>
    <definedName name="FFFF">#REF!</definedName>
    <definedName name="ffffff">#REF!</definedName>
    <definedName name="FFFFFFF">#REF!</definedName>
    <definedName name="ffffffff">#REF!</definedName>
    <definedName name="fffffffffffffffffff">#REF!</definedName>
    <definedName name="fffs">#REF!</definedName>
    <definedName name="FFG">#REF!</definedName>
    <definedName name="ffghj">#REF!</definedName>
    <definedName name="ffsdfsfdfs">#REF!</definedName>
    <definedName name="fgas">#REF!</definedName>
    <definedName name="fgf">#REF!</definedName>
    <definedName name="FGFDFG">#N/A</definedName>
    <definedName name="fgfdg">#REF!</definedName>
    <definedName name="fgfgfgfsdf">#REF!</definedName>
    <definedName name="fgg">#REF!</definedName>
    <definedName name="FGGD">#N/A</definedName>
    <definedName name="fggh">#REF!</definedName>
    <definedName name="FGH">#REF!</definedName>
    <definedName name="FGH_1">#REF!</definedName>
    <definedName name="fghgfhgh">#REF!</definedName>
    <definedName name="FGHJ">#REF!</definedName>
    <definedName name="fgi">#REF!</definedName>
    <definedName name="fgsfg">#REF!</definedName>
    <definedName name="fh">#REF!</definedName>
    <definedName name="fhgfhgh">#REF!</definedName>
    <definedName name="fhy">#REF!</definedName>
    <definedName name="Fiebre_del_baile">#REF!</definedName>
    <definedName name="Fiebre_finde">#REF!</definedName>
    <definedName name="FİLM">#REF!</definedName>
    <definedName name="FIN">#REF!</definedName>
    <definedName name="FIN_INDI">#REF!</definedName>
    <definedName name="FIN02TV">#REF!</definedName>
    <definedName name="final">#REF!</definedName>
    <definedName name="FINAL_FORM">#REF!</definedName>
    <definedName name="fiyat">#REF!</definedName>
    <definedName name="fiyat_list">#REF!</definedName>
    <definedName name="Flan">#REF!</definedName>
    <definedName name="Flo">#REF!</definedName>
    <definedName name="flor">#REF!</definedName>
    <definedName name="Flor10">#REF!</definedName>
    <definedName name="Flor11">#REF!</definedName>
    <definedName name="Flor13">#REF!</definedName>
    <definedName name="Flor14">#REF!</definedName>
    <definedName name="Flor15">#REF!</definedName>
    <definedName name="Flor16">#REF!</definedName>
    <definedName name="Flor17">#REF!</definedName>
    <definedName name="Flor18">#REF!</definedName>
    <definedName name="Flor19">#REF!</definedName>
    <definedName name="Flor2">#REF!</definedName>
    <definedName name="FLor20">#REF!</definedName>
    <definedName name="Flor21">#REF!</definedName>
    <definedName name="Flor23">#REF!</definedName>
    <definedName name="Flor24">#REF!</definedName>
    <definedName name="Flor25">#REF!</definedName>
    <definedName name="FLor26">#REF!</definedName>
    <definedName name="Flor27">#REF!</definedName>
    <definedName name="FLor28">#REF!</definedName>
    <definedName name="Flor29">#REF!</definedName>
    <definedName name="Flor30">#REF!</definedName>
    <definedName name="Flor4">#REF!</definedName>
    <definedName name="Flor40">#REF!</definedName>
    <definedName name="Flor41">#REF!</definedName>
    <definedName name="Flor42">#REF!</definedName>
    <definedName name="Flor43">#REF!</definedName>
    <definedName name="Flor5">#REF!</definedName>
    <definedName name="Flor6">#REF!</definedName>
    <definedName name="FLor7">#REF!</definedName>
    <definedName name="Flor8">#REF!</definedName>
    <definedName name="Flor9">#REF!</definedName>
    <definedName name="florenciaa">#REF!</definedName>
    <definedName name="Flow">#REF!</definedName>
    <definedName name="Flow_1">#REF!</definedName>
    <definedName name="Flow_Revistas">#REF!</definedName>
    <definedName name="flow2">#REF!</definedName>
    <definedName name="FLOW3">#REF!</definedName>
    <definedName name="flow7">#REF!</definedName>
    <definedName name="flow8">#REF!</definedName>
    <definedName name="FlowActividad">#REF!</definedName>
    <definedName name="FlowPPoint">#REF!</definedName>
    <definedName name="FlowPPoint_1">#REF!</definedName>
    <definedName name="Flows">#REF!</definedName>
    <definedName name="flyp">#REF!</definedName>
    <definedName name="Fo">#REF!</definedName>
    <definedName name="FOFO">#REF!</definedName>
    <definedName name="FOOD_SERVICE">#REF!</definedName>
    <definedName name="FOODSERVICE">#REF!</definedName>
    <definedName name="FOODSERVICEDOLLARS">#REF!</definedName>
    <definedName name="FOR">#REF!</definedName>
    <definedName name="FORMA">#REF!</definedName>
    <definedName name="FORMA_1">#REF!</definedName>
    <definedName name="Format">#REF!</definedName>
    <definedName name="formato">#REF!</definedName>
    <definedName name="Formatoact">#REF!</definedName>
    <definedName name="formatocompra">#REF!</definedName>
    <definedName name="FormatoDecimales">#REF!</definedName>
    <definedName name="FORMATOS">[31]Hoja1!$D$4:$D$30</definedName>
    <definedName name="Formula_1">#REF!</definedName>
    <definedName name="fox">'[32]Hoja1 (2)'!fox</definedName>
    <definedName name="fp" localSheetId="0">#REF!</definedName>
    <definedName name="fp">#REF!</definedName>
    <definedName name="FR">#REF!</definedName>
    <definedName name="FR3G">#REF!</definedName>
    <definedName name="fragmentos">#REF!</definedName>
    <definedName name="Franja">#REF!</definedName>
    <definedName name="frcs">#REF!</definedName>
    <definedName name="FRECUENCIA">#REF!</definedName>
    <definedName name="Freispot">#REF!</definedName>
    <definedName name="FRG">#REF!</definedName>
    <definedName name="FRISCO">#REF!</definedName>
    <definedName name="FrontBuyoutRate">#REF!</definedName>
    <definedName name="FS">#REF!</definedName>
    <definedName name="FS_FEB">#REF!</definedName>
    <definedName name="fsa">#REF!</definedName>
    <definedName name="fth">#REF!</definedName>
    <definedName name="Fto">#REF!</definedName>
    <definedName name="Fundador">#REF!</definedName>
    <definedName name="Fundador_1">#REF!</definedName>
    <definedName name="futbol">#REF!</definedName>
    <definedName name="Futbol_argentino">#REF!</definedName>
    <definedName name="fv">#REF!</definedName>
    <definedName name="fvd">#REF!</definedName>
    <definedName name="fyh">#REF!</definedName>
    <definedName name="fyukmmmnhj">#REF!</definedName>
    <definedName name="g">#REF!</definedName>
    <definedName name="g.o.">#REF!</definedName>
    <definedName name="g_1">#REF!</definedName>
    <definedName name="ga">#REF!</definedName>
    <definedName name="gABC1">#REF!</definedName>
    <definedName name="gabi">#REF!</definedName>
    <definedName name="gabriella">#REF!</definedName>
    <definedName name="gadalajara">#REF!</definedName>
    <definedName name="GADFG">#REF!</definedName>
    <definedName name="GAERGT">#REF!</definedName>
    <definedName name="GALLITO">#REF!</definedName>
    <definedName name="Gama">'[33]VIA PUBLICA'!#REF!</definedName>
    <definedName name="GAREG" localSheetId="0">#REF!</definedName>
    <definedName name="GAREG">#REF!</definedName>
    <definedName name="GARET">#REF!</definedName>
    <definedName name="GARGE">#REF!</definedName>
    <definedName name="gato">#REF!</definedName>
    <definedName name="GATRG">#REF!</definedName>
    <definedName name="gaz_ahp_tutar">#REF!</definedName>
    <definedName name="gaz_ratecard">#REF!</definedName>
    <definedName name="gaz_tutar">#REF!</definedName>
    <definedName name="gaz1_adi">#REF!</definedName>
    <definedName name="gaz1_ahp_tutar">#REF!</definedName>
    <definedName name="gaz1_net_tutar">#REF!</definedName>
    <definedName name="gaz1_ratecard">#REF!</definedName>
    <definedName name="gaz1_tutar">#REF!</definedName>
    <definedName name="gaz2_adi">#REF!</definedName>
    <definedName name="gaz2_ratecard">#REF!</definedName>
    <definedName name="gaz2_tutar">#REF!</definedName>
    <definedName name="GAZETE_06">#REF!</definedName>
    <definedName name="GAZETE_07">#REF!</definedName>
    <definedName name="GAZETE_08">#REF!</definedName>
    <definedName name="gb">#REF!</definedName>
    <definedName name="gbfvç">#REF!</definedName>
    <definedName name="gC2_">#REF!</definedName>
    <definedName name="gC3_">#REF!</definedName>
    <definedName name="gd">#REF!</definedName>
    <definedName name="gDE">#REF!</definedName>
    <definedName name="gdfgdf">#REF!</definedName>
    <definedName name="gdfgsdf">#REF!</definedName>
    <definedName name="GDGDGD">#REF!</definedName>
    <definedName name="gdlfff">#REF!</definedName>
    <definedName name="gdlllll">#REF!</definedName>
    <definedName name="GEAGTRR">#REF!</definedName>
    <definedName name="gelificables">#REF!</definedName>
    <definedName name="Gente_como_tu">#REF!</definedName>
    <definedName name="gf">#REF!</definedName>
    <definedName name="gfa">#REF!</definedName>
    <definedName name="gfchngf">#REF!</definedName>
    <definedName name="gfghgh">#REF!</definedName>
    <definedName name="gfh">#REF!</definedName>
    <definedName name="gfhjhj">#REF!</definedName>
    <definedName name="gfhk">#REF!</definedName>
    <definedName name="gfhshst">#REF!</definedName>
    <definedName name="gfhsrhset">#REF!</definedName>
    <definedName name="GFTED">#REF!</definedName>
    <definedName name="gfvfhgfhg">#REF!</definedName>
    <definedName name="gfxh">#REF!</definedName>
    <definedName name="gg">#REF!</definedName>
    <definedName name="GG_1">#REF!</definedName>
    <definedName name="ggf">#REF!</definedName>
    <definedName name="ggg">#REF!</definedName>
    <definedName name="gggg">#REF!</definedName>
    <definedName name="ggggg">#REF!</definedName>
    <definedName name="gggggg">#REF!</definedName>
    <definedName name="ggggggg">#REF!</definedName>
    <definedName name="gggggggg">#REF!</definedName>
    <definedName name="GGGGT">#REF!</definedName>
    <definedName name="ggjhyu">#REF!</definedName>
    <definedName name="gh">#REF!</definedName>
    <definedName name="ghdff">#REF!</definedName>
    <definedName name="ghfghgfg">#REF!</definedName>
    <definedName name="ghfjc">#REF!</definedName>
    <definedName name="GHGH">#REF!</definedName>
    <definedName name="ghghsdgh">#REF!</definedName>
    <definedName name="ghj">#REF!</definedName>
    <definedName name="ghji">#REF!</definedName>
    <definedName name="ghjkg">#REF!</definedName>
    <definedName name="ghk">#REF!</definedName>
    <definedName name="ghkk">#REF!</definedName>
    <definedName name="ghsetyty">#REF!</definedName>
    <definedName name="giraunirev">#REF!</definedName>
    <definedName name="GK">#REF!</definedName>
    <definedName name="gkjbsgj">#REF!</definedName>
    <definedName name="GKSDJGAJFB">#REF!</definedName>
    <definedName name="GLOBAL">#REF!</definedName>
    <definedName name="Gmargin_up">#REF!</definedName>
    <definedName name="gme">#REF!</definedName>
    <definedName name="gn">#REF!</definedName>
    <definedName name="gn_1">#REF!</definedName>
    <definedName name="gol" hidden="1">[34]Tapa!#REF!</definedName>
    <definedName name="Google" localSheetId="0">#REF!</definedName>
    <definedName name="Google">#REF!</definedName>
    <definedName name="Google_Adwords">#REF!</definedName>
    <definedName name="got">#REF!</definedName>
    <definedName name="gr">#REF!</definedName>
    <definedName name="grado">#REF!</definedName>
    <definedName name="Graduados">#REF!</definedName>
    <definedName name="graf">#REF!</definedName>
    <definedName name="graf2">#REF!</definedName>
    <definedName name="Grafica">#REF!</definedName>
    <definedName name="GRAN_TOTAL">#REF!</definedName>
    <definedName name="GRAN_TOTAL_1">#REF!</definedName>
    <definedName name="GRAN_TOTAL24">#REF!</definedName>
    <definedName name="GRAN_TOTAL24_1">#REF!</definedName>
    <definedName name="Grand_Total">#REF!</definedName>
    <definedName name="Granelave">#REF!</definedName>
    <definedName name="granros">#REF!</definedName>
    <definedName name="graph1">#REF!</definedName>
    <definedName name="graph2">#REF!</definedName>
    <definedName name="graph3">#REF!</definedName>
    <definedName name="graph4">#REF!</definedName>
    <definedName name="graph5">#REF!</definedName>
    <definedName name="GRG">#REF!</definedName>
    <definedName name="GRGRH">#REF!</definedName>
    <definedName name="Grilla">#REF!</definedName>
    <definedName name="gris">#REF!</definedName>
    <definedName name="Gross_Margin">#REF!</definedName>
    <definedName name="Gross_sales">#REF!</definedName>
    <definedName name="GRP">#REF!</definedName>
    <definedName name="GRP_Calculator">#REF!</definedName>
    <definedName name="GRPSNEG">#REF!</definedName>
    <definedName name="GRPSPAUTAS">'[6]Pautas 24 horas'!$R$13:$BF$32</definedName>
    <definedName name="Gsales_up">#REF!</definedName>
    <definedName name="gsdfgdfgfg">#REF!</definedName>
    <definedName name="gse">#REF!</definedName>
    <definedName name="GSEArica">#REF!</definedName>
    <definedName name="GSEDDC">#REF!</definedName>
    <definedName name="gsee">[35]Sheet1!$H$13:$I$22</definedName>
    <definedName name="gsgtert" localSheetId="0">#REF!</definedName>
    <definedName name="gsgtert">#REF!</definedName>
    <definedName name="GT">#REF!</definedName>
    <definedName name="GTE">#REF!</definedName>
    <definedName name="GTE_1">#REF!</definedName>
    <definedName name="GTEG">#REF!</definedName>
    <definedName name="GTF">#REF!</definedName>
    <definedName name="GTG">#REF!</definedName>
    <definedName name="gty">#REF!</definedName>
    <definedName name="GUAD">#REF!</definedName>
    <definedName name="gunler">#REF!</definedName>
    <definedName name="GYE">#REF!</definedName>
    <definedName name="GYELANZ">#REF!</definedName>
    <definedName name="GYEMANT">#REF!</definedName>
    <definedName name="GYEPRELA">#REF!</definedName>
    <definedName name="H">#REF!</definedName>
    <definedName name="HA">#REF!</definedName>
    <definedName name="habc">#REF!</definedName>
    <definedName name="habc2">#REF!</definedName>
    <definedName name="HABC2564">'[8]tablas final 2°sem 2008'!#REF!</definedName>
    <definedName name="HABCD2564">'[36]tablas final 2°sem 2008'!#REF!</definedName>
    <definedName name="Hacienda" localSheetId="0">#REF!</definedName>
    <definedName name="Hacienda">#REF!</definedName>
    <definedName name="HAFGCAS">#REF!</definedName>
    <definedName name="hafta">#REF!</definedName>
    <definedName name="HAHA" localSheetId="0" hidden="1">{#N/A,#N/A,FALSE,"Pauta Prensa"}</definedName>
    <definedName name="HAHA" hidden="1">{#N/A,#N/A,FALSE,"Pauta Prensa"}</definedName>
    <definedName name="hahs">#REF!</definedName>
    <definedName name="Hair">#REF!</definedName>
    <definedName name="hamburguesas">#REF!</definedName>
    <definedName name="hasta">#N/A</definedName>
    <definedName name="hayst">#REF!</definedName>
    <definedName name="hb">#REF!</definedName>
    <definedName name="HBFB">#REF!</definedName>
    <definedName name="HBHBJ">#N/A</definedName>
    <definedName name="HC">#REF!</definedName>
    <definedName name="hd">#REF!</definedName>
    <definedName name="hdgrt">#REF!</definedName>
    <definedName name="HDM">[16]Rating!$K$35:$L$41</definedName>
    <definedName name="Header">#REF!</definedName>
    <definedName name="HeaderSoporte">#REF!</definedName>
    <definedName name="Heidi1">#REF!</definedName>
    <definedName name="helgdagar">#REF!</definedName>
    <definedName name="HELIX">#REF!</definedName>
    <definedName name="HELIX_1">#REF!</definedName>
    <definedName name="HELIX97">#REF!</definedName>
    <definedName name="HELIX97_1">#REF!</definedName>
    <definedName name="HELLO">#REF!</definedName>
    <definedName name="Hermanos_y_detectives">#REF!</definedName>
    <definedName name="hermosillo">#REF!</definedName>
    <definedName name="hernandezevelyn">#REF!</definedName>
    <definedName name="HERRAM">#REF!</definedName>
    <definedName name="hfdh">#REF!</definedName>
    <definedName name="hfg">#REF!</definedName>
    <definedName name="hfj">#REF!</definedName>
    <definedName name="hfj___0">#REF!</definedName>
    <definedName name="hfj___0_12">#REF!</definedName>
    <definedName name="hfj___0_9">#REF!</definedName>
    <definedName name="hfj_12">#REF!</definedName>
    <definedName name="hfj_9">#REF!</definedName>
    <definedName name="hfj_9_1">#REF!</definedName>
    <definedName name="HG">#REF!</definedName>
    <definedName name="hgcgf">#REF!</definedName>
    <definedName name="HGFDF">#N/A</definedName>
    <definedName name="hgfds">'[1]#G.O.'!#REF!</definedName>
    <definedName name="hgfhh">#REF!</definedName>
    <definedName name="hgfhrthf">#REF!</definedName>
    <definedName name="hgfhsj">#REF!</definedName>
    <definedName name="hgyjhdr">[37]analisis!$A$19:$N$30</definedName>
    <definedName name="hh" localSheetId="0">#REF!</definedName>
    <definedName name="hh">#REF!</definedName>
    <definedName name="hhh">#REF!</definedName>
    <definedName name="HHHH">#REF!</definedName>
    <definedName name="HHHHH">#REF!</definedName>
    <definedName name="hhhhhh">#REF!</definedName>
    <definedName name="hhhhhhhh">#REF!</definedName>
    <definedName name="HHLH">#REF!</definedName>
    <definedName name="hi">#REF!</definedName>
    <definedName name="Historias_chilenas">#REF!</definedName>
    <definedName name="Historias_de_Campo">#REF!</definedName>
    <definedName name="hjgfk">#REF!</definedName>
    <definedName name="hji">#REF!</definedName>
    <definedName name="HJK">#REF!</definedName>
    <definedName name="HJKKLHJ">#REF!</definedName>
    <definedName name="hjlk">#REF!</definedName>
    <definedName name="hjlk_1">#REF!</definedName>
    <definedName name="hjmhj">#REF!</definedName>
    <definedName name="HJUI">#REF!</definedName>
    <definedName name="HJY">#REF!</definedName>
    <definedName name="HKJK">#REF!</definedName>
    <definedName name="hkl">#REF!</definedName>
    <definedName name="hkudt">#REF!</definedName>
    <definedName name="HLHLHL">#REF!</definedName>
    <definedName name="hlojs">#REF!</definedName>
    <definedName name="hm_13_24_abc">[26]Datos!$F$1:$H$55</definedName>
    <definedName name="hm_25_64_abc">[26]Datos!$J$1:$L$55</definedName>
    <definedName name="hm_4_12_abc">[26]Datos!$N$1:$P$55</definedName>
    <definedName name="HM18ABC">#REF!</definedName>
    <definedName name="HM25_39">#REF!</definedName>
    <definedName name="HM2S">'[13]tablas final 2°sem'!$A$7:$H$14</definedName>
    <definedName name="hmabc" localSheetId="0">#REF!</definedName>
    <definedName name="hmabc">#REF!</definedName>
    <definedName name="hmabc12">#REF!</definedName>
    <definedName name="HMABC1824">'[8]tablas final 2°sem 2008'!#REF!</definedName>
    <definedName name="HMABC1C2" localSheetId="0">#REF!</definedName>
    <definedName name="HMABC1C2">#REF!</definedName>
    <definedName name="HMABC1C22549" localSheetId="0">'[8]tablas final 2°sem 2008'!#REF!</definedName>
    <definedName name="HMABC1C22549">'[8]tablas final 2°sem 2008'!#REF!</definedName>
    <definedName name="hmabc2" localSheetId="0">#REF!</definedName>
    <definedName name="hmabc2">#REF!</definedName>
    <definedName name="HMABC2549" localSheetId="0">'[38]tablas final 2°sem 2008'!#REF!</definedName>
    <definedName name="HMABC2549">'[38]tablas final 2°sem 2008'!#REF!</definedName>
    <definedName name="HMABC2564">'[8]tablas final 2°sem 2008'!$A$4:$J$13</definedName>
    <definedName name="HMABC3" localSheetId="0">#REF!</definedName>
    <definedName name="HMABC3">#REF!</definedName>
    <definedName name="hmabcd">#REF!</definedName>
    <definedName name="hmabcd1324">'[36]tablas final 2°sem 2008'!#REF!</definedName>
    <definedName name="HMABCD1864">'[8]tablas final 2°sem 2008'!#REF!</definedName>
    <definedName name="hmabcd2" localSheetId="0">#REF!</definedName>
    <definedName name="hmabcd2">#REF!</definedName>
    <definedName name="HMABCD2564" localSheetId="0">'[8]tablas final 2°sem 2008'!#REF!</definedName>
    <definedName name="HMABCD2564">'[8]tablas final 2°sem 2008'!#REF!</definedName>
    <definedName name="hn" localSheetId="0">#REF!</definedName>
    <definedName name="hn">#REF!</definedName>
    <definedName name="hn.">#REF!</definedName>
    <definedName name="HOG">#REF!</definedName>
    <definedName name="HOHA">#REF!</definedName>
    <definedName name="HOHA_1" hidden="1">{#N/A,#N/A,FALSE,"Pauta Prensa"}</definedName>
    <definedName name="HOHA_1_1" hidden="1">{#N/A,#N/A,FALSE,"Pauta Prensa"}</definedName>
    <definedName name="HOHA_1_1_1" hidden="1">{#N/A,#N/A,FALSE,"Pauta Prensa"}</definedName>
    <definedName name="HOHA_1_1_1_1" hidden="1">{#N/A,#N/A,FALSE,"Pauta Prensa"}</definedName>
    <definedName name="HOHA_1_1_1_1_1" hidden="1">{#N/A,#N/A,FALSE,"Pauta Prensa"}</definedName>
    <definedName name="HOHA_1_1_1_1_1_1" hidden="1">{#N/A,#N/A,FALSE,"Pauta Prensa"}</definedName>
    <definedName name="HOHA_1_1_2" hidden="1">{#N/A,#N/A,FALSE,"Pauta Prensa"}</definedName>
    <definedName name="HOHA_1_2" hidden="1">{#N/A,#N/A,FALSE,"Pauta Prensa"}</definedName>
    <definedName name="HOHA_1_2_1" hidden="1">{#N/A,#N/A,FALSE,"Pauta Prensa"}</definedName>
    <definedName name="HOHA_1_3" hidden="1">{#N/A,#N/A,FALSE,"Pauta Prensa"}</definedName>
    <definedName name="HOHA_1_3_1" hidden="1">{#N/A,#N/A,FALSE,"Pauta Prensa"}</definedName>
    <definedName name="HOHA_2" hidden="1">{#N/A,#N/A,FALSE,"Pauta Prensa"}</definedName>
    <definedName name="HOHA_2_1" hidden="1">{#N/A,#N/A,FALSE,"Pauta Prensa"}</definedName>
    <definedName name="HOHA_2_1_1" hidden="1">{#N/A,#N/A,FALSE,"Pauta Prensa"}</definedName>
    <definedName name="HOHA_2_1_1_1" hidden="1">{#N/A,#N/A,FALSE,"Pauta Prensa"}</definedName>
    <definedName name="HOHA_2_1_2" hidden="1">{#N/A,#N/A,FALSE,"Pauta Prensa"}</definedName>
    <definedName name="HOHA_2_2" hidden="1">{#N/A,#N/A,FALSE,"Pauta Prensa"}</definedName>
    <definedName name="HOHA_2_2_1" hidden="1">{#N/A,#N/A,FALSE,"Pauta Prensa"}</definedName>
    <definedName name="HOHA_3" hidden="1">{#N/A,#N/A,FALSE,"Pauta Prensa"}</definedName>
    <definedName name="HOHA_3_1" hidden="1">{#N/A,#N/A,FALSE,"Pauta Prensa"}</definedName>
    <definedName name="HOHA_3_1_1" hidden="1">{#N/A,#N/A,FALSE,"Pauta Prensa"}</definedName>
    <definedName name="HOHA_3_1_1_1" hidden="1">{#N/A,#N/A,FALSE,"Pauta Prensa"}</definedName>
    <definedName name="HOHA_3_1_2" hidden="1">{#N/A,#N/A,FALSE,"Pauta Prensa"}</definedName>
    <definedName name="HOHA_3_2" hidden="1">{#N/A,#N/A,FALSE,"Pauta Prensa"}</definedName>
    <definedName name="HOHA_3_2_1" hidden="1">{#N/A,#N/A,FALSE,"Pauta Prensa"}</definedName>
    <definedName name="HOHA_4" hidden="1">{#N/A,#N/A,FALSE,"Pauta Prensa"}</definedName>
    <definedName name="HOHA_4_1" hidden="1">{#N/A,#N/A,FALSE,"Pauta Prensa"}</definedName>
    <definedName name="HOHA_4_1_1" hidden="1">{#N/A,#N/A,FALSE,"Pauta Prensa"}</definedName>
    <definedName name="HOHA_4_1_1_1" hidden="1">{#N/A,#N/A,FALSE,"Pauta Prensa"}</definedName>
    <definedName name="HOHA_4_2" hidden="1">{#N/A,#N/A,FALSE,"Pauta Prensa"}</definedName>
    <definedName name="HOHA_4_2_1" hidden="1">{#N/A,#N/A,FALSE,"Pauta Prensa"}</definedName>
    <definedName name="HOHA_5" hidden="1">{#N/A,#N/A,FALSE,"Pauta Prensa"}</definedName>
    <definedName name="HOHA_5_1" hidden="1">{#N/A,#N/A,FALSE,"Pauta Prensa"}</definedName>
    <definedName name="HOHA_5_1_1" hidden="1">{#N/A,#N/A,FALSE,"Pauta Prensa"}</definedName>
    <definedName name="HOHA_5_1_1_1" hidden="1">{#N/A,#N/A,FALSE,"Pauta Prensa"}</definedName>
    <definedName name="HOHA_5_2" hidden="1">{#N/A,#N/A,FALSE,"Pauta Prensa"}</definedName>
    <definedName name="HOHA_5_2_1" hidden="1">{#N/A,#N/A,FALSE,"Pauta Prensa"}</definedName>
    <definedName name="hoja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suma">#REF!</definedName>
    <definedName name="HÖJD">#REF!</definedName>
    <definedName name="HÖJD_1">#REF!</definedName>
    <definedName name="hol">#REF!</definedName>
    <definedName name="HOLA">#REF!</definedName>
    <definedName name="hola_1">#REF!</definedName>
    <definedName name="home">#REF!</definedName>
    <definedName name="HOR">#REF!</definedName>
    <definedName name="HORA">#REF!</definedName>
    <definedName name="horas">#REF!</definedName>
    <definedName name="horasdia">[8]Rating!$M$5:$N$10</definedName>
    <definedName name="horasmo" localSheetId="0">#REF!</definedName>
    <definedName name="horasmo">#REF!</definedName>
    <definedName name="horneables">#REF!</definedName>
    <definedName name="Hornitos">#REF!</definedName>
    <definedName name="hoy">[39]Codigo!$A$1</definedName>
    <definedName name="HRTY" localSheetId="0">#REF!</definedName>
    <definedName name="HRTY">#REF!</definedName>
    <definedName name="hsdg">#REF!</definedName>
    <definedName name="hsdgg">#REF!</definedName>
    <definedName name="hsdgg_1">#REF!</definedName>
    <definedName name="hsdgg1">#REF!</definedName>
    <definedName name="hsghst">#REF!</definedName>
    <definedName name="hsrghuy6hj">#REF!</definedName>
    <definedName name="hstdghg">#REF!</definedName>
    <definedName name="ht">#REF!</definedName>
    <definedName name="HTML_CodePage" hidden="1">1252</definedName>
    <definedName name="HTML_Control" localSheetId="0" hidden="1">{"'Hoja1'!$D$9:$I$9"}</definedName>
    <definedName name="HTML_Control" hidden="1">{"'Hoja1'!$D$9:$I$9"}</definedName>
    <definedName name="HTML_Control_1" hidden="1">{"'Hoja1'!$D$9:$I$9"}</definedName>
    <definedName name="HTML_Control_1_1" hidden="1">{"'Hoja1'!$D$9:$I$9"}</definedName>
    <definedName name="HTML_Control_1_1_1" hidden="1">{"'Hoja1'!$D$9:$I$9"}</definedName>
    <definedName name="HTML_Control_1_1_1_1" hidden="1">{"'Hoja1'!$D$9:$I$9"}</definedName>
    <definedName name="HTML_Control_1_1_1_1_1" hidden="1">{"'Hoja1'!$D$9:$I$9"}</definedName>
    <definedName name="HTML_Control_1_1_1_1_1_1" hidden="1">{"'Hoja1'!$D$9:$I$9"}</definedName>
    <definedName name="HTML_Control_1_1_2" hidden="1">{"'Hoja1'!$D$9:$I$9"}</definedName>
    <definedName name="HTML_Control_1_2" hidden="1">{"'Hoja1'!$D$9:$I$9"}</definedName>
    <definedName name="HTML_Control_1_2_1" hidden="1">{"'Hoja1'!$D$9:$I$9"}</definedName>
    <definedName name="HTML_Control_1_3" hidden="1">{"'Hoja1'!$D$9:$I$9"}</definedName>
    <definedName name="HTML_Control_1_3_1" hidden="1">{"'Hoja1'!$D$9:$I$9"}</definedName>
    <definedName name="HTML_Control_2" hidden="1">{"'Hoja1'!$D$9:$I$9"}</definedName>
    <definedName name="HTML_Control_2_1" hidden="1">{"'Hoja1'!$D$9:$I$9"}</definedName>
    <definedName name="HTML_Control_2_1_1" hidden="1">{"'Hoja1'!$D$9:$I$9"}</definedName>
    <definedName name="HTML_Control_2_1_1_1" hidden="1">{"'Hoja1'!$D$9:$I$9"}</definedName>
    <definedName name="HTML_Control_2_1_2" hidden="1">{"'Hoja1'!$D$9:$I$9"}</definedName>
    <definedName name="HTML_Control_2_2" hidden="1">{"'Hoja1'!$D$9:$I$9"}</definedName>
    <definedName name="HTML_Control_2_2_1" hidden="1">{"'Hoja1'!$D$9:$I$9"}</definedName>
    <definedName name="HTML_Control_3" hidden="1">{"'Hoja1'!$D$9:$I$9"}</definedName>
    <definedName name="HTML_Control_3_1" hidden="1">{"'Hoja1'!$D$9:$I$9"}</definedName>
    <definedName name="HTML_Control_3_1_1" hidden="1">{"'Hoja1'!$D$9:$I$9"}</definedName>
    <definedName name="HTML_Control_3_1_1_1" hidden="1">{"'Hoja1'!$D$9:$I$9"}</definedName>
    <definedName name="HTML_Control_3_1_2" hidden="1">{"'Hoja1'!$D$9:$I$9"}</definedName>
    <definedName name="HTML_Control_3_2" hidden="1">{"'Hoja1'!$D$9:$I$9"}</definedName>
    <definedName name="HTML_Control_3_2_1" hidden="1">{"'Hoja1'!$D$9:$I$9"}</definedName>
    <definedName name="HTML_Control_4" hidden="1">{"'Hoja1'!$D$9:$I$9"}</definedName>
    <definedName name="HTML_Control_4_1" hidden="1">{"'Hoja1'!$D$9:$I$9"}</definedName>
    <definedName name="HTML_Control_4_1_1" hidden="1">{"'Hoja1'!$D$9:$I$9"}</definedName>
    <definedName name="HTML_Control_4_1_1_1" hidden="1">{"'Hoja1'!$D$9:$I$9"}</definedName>
    <definedName name="HTML_Control_4_2" hidden="1">{"'Hoja1'!$D$9:$I$9"}</definedName>
    <definedName name="HTML_Control_4_2_1" hidden="1">{"'Hoja1'!$D$9:$I$9"}</definedName>
    <definedName name="HTML_Control_5" hidden="1">{"'Hoja1'!$D$9:$I$9"}</definedName>
    <definedName name="HTML_Control_5_1" hidden="1">{"'Hoja1'!$D$9:$I$9"}</definedName>
    <definedName name="HTML_Control_5_1_1" hidden="1">{"'Hoja1'!$D$9:$I$9"}</definedName>
    <definedName name="HTML_Control_5_1_1_1" hidden="1">{"'Hoja1'!$D$9:$I$9"}</definedName>
    <definedName name="HTML_Control_5_2" hidden="1">{"'Hoja1'!$D$9:$I$9"}</definedName>
    <definedName name="HTML_Control_5_2_1" hidden="1">{"'Hoja1'!$D$9:$I$9"}</definedName>
    <definedName name="HTML_Description" hidden="1">""</definedName>
    <definedName name="HTML_Email" hidden="1">""</definedName>
    <definedName name="HTML_Header" hidden="1">"Hoja1"</definedName>
    <definedName name="HTML_LastUpdate" hidden="1">"25-02-1999"</definedName>
    <definedName name="HTML_LineAfter" hidden="1">FALSE</definedName>
    <definedName name="HTML_LineBefore" hidden="1">FALSE</definedName>
    <definedName name="HTML_Name" hidden="1">"elena"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"contratosEJEMPLO"</definedName>
    <definedName name="hu">#REF!</definedName>
    <definedName name="HUEVOS">#REF!</definedName>
    <definedName name="Humanos_en_el_camino">#REF!</definedName>
    <definedName name="Humor_CHV">#REF!</definedName>
    <definedName name="hy">#REF!</definedName>
    <definedName name="hye">#REF!</definedName>
    <definedName name="hygf">#REF!</definedName>
    <definedName name="I">#REF!</definedName>
    <definedName name="IAB">#REF!</definedName>
    <definedName name="iabr">#REF!</definedName>
    <definedName name="iago">#REF!</definedName>
    <definedName name="iene">#REF!</definedName>
    <definedName name="ifeb">#REF!</definedName>
    <definedName name="ifeb2">#REF!</definedName>
    <definedName name="igf">#REF!</definedName>
    <definedName name="IGUAL" localSheetId="0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1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1_3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2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2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2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2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2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3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3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3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3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3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4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4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5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GUAL_5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hbn">#REF!</definedName>
    <definedName name="ii">#REF!</definedName>
    <definedName name="iii">#REF!</definedName>
    <definedName name="iii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1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1_3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2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2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2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2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2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3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3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3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3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3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4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4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5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_5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IIII">#REF!</definedName>
    <definedName name="iiiiii">#REF!</definedName>
    <definedName name="iiiiiiiiiii">#REF!</definedName>
    <definedName name="ijul">#REF!</definedName>
    <definedName name="ik">#REF!</definedName>
    <definedName name="ilan">#REF!</definedName>
    <definedName name="İLAN_BOYUTU_1">#REF!</definedName>
    <definedName name="İLAN_BOYUTU_2">#REF!</definedName>
    <definedName name="im">#REF!</definedName>
    <definedName name="IMAR">#REF!</definedName>
    <definedName name="impacto">#REF!</definedName>
    <definedName name="impactojun">#REF!</definedName>
    <definedName name="impactojunio">#REF!</definedName>
    <definedName name="impresión">#REF!</definedName>
    <definedName name="Imprimir_área_IM">#REF!</definedName>
    <definedName name="iMuestra">#REF!</definedName>
    <definedName name="iMuestra_1">#REF!</definedName>
    <definedName name="iMuestraCan">#REF!</definedName>
    <definedName name="iMuestraCan_1">#REF!</definedName>
    <definedName name="iMuestraDur">#REF!</definedName>
    <definedName name="iMuestraDur_1">#REF!</definedName>
    <definedName name="iMuestraFja">#REF!</definedName>
    <definedName name="iMuestraFja_1">#REF!</definedName>
    <definedName name="iMuestraGrp">#REF!</definedName>
    <definedName name="iMuestraGrp_1">#REF!</definedName>
    <definedName name="iMuestraPos">#REF!</definedName>
    <definedName name="iMuestraPos_1">#REF!</definedName>
    <definedName name="iMuestraRea">#REF!</definedName>
    <definedName name="iMuestraRea_1">#REF!</definedName>
    <definedName name="iMuestraReb">#REF!</definedName>
    <definedName name="iMuestraReb_1">#REF!</definedName>
    <definedName name="iMuestraRes">#REF!</definedName>
    <definedName name="iMuestraRes_1">#REF!</definedName>
    <definedName name="iMuestraSat">#REF!</definedName>
    <definedName name="iMuestraSat_1">#REF!</definedName>
    <definedName name="iMuestraSem">#REF!</definedName>
    <definedName name="iMuestraSem_1">#REF!</definedName>
    <definedName name="IN">#REF!</definedName>
    <definedName name="INCE">#REF!</definedName>
    <definedName name="index">#REF!</definedName>
    <definedName name="INDICADOR_R">#REF!</definedName>
    <definedName name="indicadores">'[1]#G.O.'!#REF!</definedName>
    <definedName name="Infieles">#REF!</definedName>
    <definedName name="infla">#REF!</definedName>
    <definedName name="infla2">#REF!</definedName>
    <definedName name="InformeMensual">#REF!</definedName>
    <definedName name="INICIO">#REF!</definedName>
    <definedName name="INIFIN">#REF!</definedName>
    <definedName name="INPUT">#REF!</definedName>
    <definedName name="INSERT">#REF!</definedName>
    <definedName name="inserto">#REF!</definedName>
    <definedName name="Inserto2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erto24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spiring">#REF!</definedName>
    <definedName name="INT">#REF!</definedName>
    <definedName name="INT_CORPORATIVO_KRAFT">#REF!</definedName>
    <definedName name="INT_KRAFT_FOODS">#REF!</definedName>
    <definedName name="Interne">#REF!</definedName>
    <definedName name="INTERNET">#REF!</definedName>
    <definedName name="internet_06">#REF!</definedName>
    <definedName name="internet_07">#REF!</definedName>
    <definedName name="internet_08">#REF!</definedName>
    <definedName name="INTERNET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ERNET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intro">#N/A</definedName>
    <definedName name="iNumSemanas">#REF!</definedName>
    <definedName name="iNumSemanas_1">#REF!</definedName>
    <definedName name="iNumSemanasCan">#REF!</definedName>
    <definedName name="iNumSemanasCan_1">#REF!</definedName>
    <definedName name="iNumSemanasDur">#REF!</definedName>
    <definedName name="iNumSemanasDur_1">#REF!</definedName>
    <definedName name="iNumSemanasFja">#REF!</definedName>
    <definedName name="iNumSemanasFja_1">#REF!</definedName>
    <definedName name="iNumSemanasGrp">#REF!</definedName>
    <definedName name="iNumSemanasGrp_1">#REF!</definedName>
    <definedName name="iNumSemanasPos">#REF!</definedName>
    <definedName name="iNumSemanasPos_1">#REF!</definedName>
    <definedName name="iNumSemanasRea">#REF!</definedName>
    <definedName name="iNumSemanasRea_1">#REF!</definedName>
    <definedName name="iNumSemanasReb">#REF!</definedName>
    <definedName name="iNumSemanasReb_1">#REF!</definedName>
    <definedName name="iNumSemanasRes">#REF!</definedName>
    <definedName name="iNumSemanasRes_1">#REF!</definedName>
    <definedName name="iNumSemanasSat">#REF!</definedName>
    <definedName name="iNumSemanasSat_1">#REF!</definedName>
    <definedName name="iNumSemanasSem">#REF!</definedName>
    <definedName name="iNumSemanasSem_1">#REF!</definedName>
    <definedName name="INV_AGE_ACT_R">#REF!</definedName>
    <definedName name="INV_AGE_FALTAN_R">#REF!</definedName>
    <definedName name="INV_AGE_INDEX_R">#REF!</definedName>
    <definedName name="INV_AGE_PLA_R">#REF!</definedName>
    <definedName name="INV_CLI_ACT_R">#REF!</definedName>
    <definedName name="INV_CLI_FALTAN_R">#REF!</definedName>
    <definedName name="INV_CLI_INDEX_R">#REF!</definedName>
    <definedName name="INV_CLI_PLA_R">#REF!</definedName>
    <definedName name="INV_TOT_AGENCIA_R">#REF!</definedName>
    <definedName name="INV_TOT_CLIENTE_R">#REF!</definedName>
    <definedName name="Invasión">#REF!</definedName>
    <definedName name="invertvaz">#REF!</definedName>
    <definedName name="Investment_Calculator">#REF!</definedName>
    <definedName name="InvTotal">#REF!</definedName>
    <definedName name="io">#REF!</definedName>
    <definedName name="ioct">#REF!</definedName>
    <definedName name="IQANB">#REF!</definedName>
    <definedName name="Iquique">#REF!</definedName>
    <definedName name="iquique2">'[9]Regiones Noviembre 2002'!$M$3:$V$56</definedName>
    <definedName name="IquiqueGSE" localSheetId="0">#REF!</definedName>
    <definedName name="IquiqueGSE">#REF!</definedName>
    <definedName name="irapuato" localSheetId="0">'[7]aca-'!#REF!</definedName>
    <definedName name="irapuato">'[7]aca-'!#REF!</definedName>
    <definedName name="IRE" localSheetId="0">#REF!</definedName>
    <definedName name="IRE">#REF!</definedName>
    <definedName name="IRR">#REF!</definedName>
    <definedName name="ISAAC">#REF!</definedName>
    <definedName name="Isamelito05">#REF!</definedName>
    <definedName name="İSMET">#REF!</definedName>
    <definedName name="iUniverso">#REF!</definedName>
    <definedName name="iUniverso_1">#REF!</definedName>
    <definedName name="iUniversoCan">#REF!</definedName>
    <definedName name="iUniversoCan_1">#REF!</definedName>
    <definedName name="iUniversoDur">#REF!</definedName>
    <definedName name="iUniversoDur_1">#REF!</definedName>
    <definedName name="iUniversoFja">#REF!</definedName>
    <definedName name="iUniversoFja_1">#REF!</definedName>
    <definedName name="iUniversoGrp">#REF!</definedName>
    <definedName name="iUniversoGrp_1">#REF!</definedName>
    <definedName name="iUniversoPos">#REF!</definedName>
    <definedName name="iUniversoPos_1">#REF!</definedName>
    <definedName name="iUniversoRea">#REF!</definedName>
    <definedName name="iUniversoRea_1">#REF!</definedName>
    <definedName name="iUniversoReb">#REF!</definedName>
    <definedName name="iUniversoReb_1">#REF!</definedName>
    <definedName name="iUniversoRes">#REF!</definedName>
    <definedName name="iUniversoRes_1">#REF!</definedName>
    <definedName name="iUniversoSat">#REF!</definedName>
    <definedName name="iUniversoSat_1">#REF!</definedName>
    <definedName name="iUniversoSem">#REF!</definedName>
    <definedName name="iUniversoSem_1">#REF!</definedName>
    <definedName name="iuouoi">#REF!</definedName>
    <definedName name="IV17000_1">#REF!</definedName>
    <definedName name="IV20000_1">#REF!</definedName>
    <definedName name="ivan">#N/A</definedName>
    <definedName name="J">#REF!</definedName>
    <definedName name="ja">#REF!</definedName>
    <definedName name="jahey">#REF!</definedName>
    <definedName name="JAHSY">#REF!</definedName>
    <definedName name="jaja">#REF!</definedName>
    <definedName name="JAN">#REF!</definedName>
    <definedName name="jancahq">#REF!</definedName>
    <definedName name="jancal">#REF!</definedName>
    <definedName name="jancohq">#REF!</definedName>
    <definedName name="jancol">#REF!</definedName>
    <definedName name="jancumhq">#REF!</definedName>
    <definedName name="jancuml">#REF!</definedName>
    <definedName name="janjun">#REF!</definedName>
    <definedName name="jASDewt4">#REF!</definedName>
    <definedName name="JAZ">#REF!</definedName>
    <definedName name="JAZITA">#REF!</definedName>
    <definedName name="jazul">#REF!</definedName>
    <definedName name="jd">#REF!</definedName>
    <definedName name="JDHG">#REF!</definedName>
    <definedName name="jdshye">#REF!</definedName>
    <definedName name="jduet">#REF!</definedName>
    <definedName name="JEJE">#REF!</definedName>
    <definedName name="JELLO">#REF!</definedName>
    <definedName name="JESSICA">#REF!</definedName>
    <definedName name="jey">#REF!</definedName>
    <definedName name="JF">#REF!</definedName>
    <definedName name="JFUR">#REF!</definedName>
    <definedName name="jg">#REF!</definedName>
    <definedName name="jgf">#REF!</definedName>
    <definedName name="jgfio">#REF!</definedName>
    <definedName name="jgfio___0">#REF!</definedName>
    <definedName name="jgfio___0_12">#REF!</definedName>
    <definedName name="jgfio___0_9">#REF!</definedName>
    <definedName name="jgfio_12">#REF!</definedName>
    <definedName name="jgfio_9">#REF!</definedName>
    <definedName name="jgfio_9_1">#REF!</definedName>
    <definedName name="jghgh">#REF!</definedName>
    <definedName name="jghgh_12">#REF!</definedName>
    <definedName name="jghgh_9">#REF!</definedName>
    <definedName name="jghgh_9_1">#REF!</definedName>
    <definedName name="jgjx">#REF!</definedName>
    <definedName name="jh">#REF!</definedName>
    <definedName name="ji">#REF!</definedName>
    <definedName name="ji_1">#REF!</definedName>
    <definedName name="jijjiji">#REF!</definedName>
    <definedName name="jj">#REF!</definedName>
    <definedName name="jjh">#REF!</definedName>
    <definedName name="jjijiji">#REF!</definedName>
    <definedName name="jjj">#REF!</definedName>
    <definedName name="jjjjjj">#REF!</definedName>
    <definedName name="jjjjjjjjj">#REF!</definedName>
    <definedName name="jjjjjjjjjjjjj">#REF!</definedName>
    <definedName name="jjjjjjjjjjjjjj">#REF!</definedName>
    <definedName name="jjjjjjjjjjjjjjjjj">#REF!</definedName>
    <definedName name="jjjll">#REF!</definedName>
    <definedName name="jk">#REF!</definedName>
    <definedName name="JKDASKFJSDO">#REF!</definedName>
    <definedName name="jkdfhdf">#N/A</definedName>
    <definedName name="jkfkbdfdkfd">#REF!</definedName>
    <definedName name="jkfkbdfdkfd___0">#REF!</definedName>
    <definedName name="jkfkbdfdkfd___0_12">#REF!</definedName>
    <definedName name="jkfkbdfdkfd___0_9">#REF!</definedName>
    <definedName name="jkfkbdfdkfd_12">#REF!</definedName>
    <definedName name="jkfkbdfdkfd_9">#REF!</definedName>
    <definedName name="jkfkbdfdkfd_9_1">#REF!</definedName>
    <definedName name="JKIO">#REF!</definedName>
    <definedName name="jkl">#REF!</definedName>
    <definedName name="jksjdfs">#REF!</definedName>
    <definedName name="jlgfyy">#REF!</definedName>
    <definedName name="jlj">#REF!</definedName>
    <definedName name="jm">#REF!</definedName>
    <definedName name="JN">#REF!</definedName>
    <definedName name="joe">#REF!</definedName>
    <definedName name="JORDI">#REF!</definedName>
    <definedName name="jorge">#REF!</definedName>
    <definedName name="JOSE">#REF!</definedName>
    <definedName name="JOSE1">#REF!</definedName>
    <definedName name="JOSE2">#REF!</definedName>
    <definedName name="jova">#REF!</definedName>
    <definedName name="jovenes">#REF!</definedName>
    <definedName name="jovenes2">#REF!</definedName>
    <definedName name="JOYFM_S1">#REF!</definedName>
    <definedName name="jshd">#REF!</definedName>
    <definedName name="JSKKKS">#REF!</definedName>
    <definedName name="jtyuy">#REF!</definedName>
    <definedName name="ju">#REF!</definedName>
    <definedName name="Jue_19">#REF!</definedName>
    <definedName name="JUEGO">#REF!</definedName>
    <definedName name="JUJU">#REF!</definedName>
    <definedName name="JUJUJ">#REF!</definedName>
    <definedName name="JUJUJ_1">#REF!</definedName>
    <definedName name="JUL">#REF!</definedName>
    <definedName name="julago">#REF!</definedName>
    <definedName name="julcahq">#REF!</definedName>
    <definedName name="julcal">#REF!</definedName>
    <definedName name="julcohq">#REF!</definedName>
    <definedName name="julcol">#REF!</definedName>
    <definedName name="julcumhq">#REF!</definedName>
    <definedName name="julcuml">#REF!</definedName>
    <definedName name="juldecson">#REF!</definedName>
    <definedName name="juli">#REF!</definedName>
    <definedName name="Julio">[12]!Julio</definedName>
    <definedName name="JUN" localSheetId="0">#REF!</definedName>
    <definedName name="JUN">#REF!</definedName>
    <definedName name="juncahq">#REF!</definedName>
    <definedName name="juncal">#REF!</definedName>
    <definedName name="juncohq">#REF!</definedName>
    <definedName name="juncol">#REF!</definedName>
    <definedName name="juncumhq">#REF!</definedName>
    <definedName name="juncuml">#REF!</definedName>
    <definedName name="juni">#REF!</definedName>
    <definedName name="junio">#REF!</definedName>
    <definedName name="juniovivi">#REF!</definedName>
    <definedName name="JUO">#REF!</definedName>
    <definedName name="JURI">#REF!</definedName>
    <definedName name="jyjuj" localSheetId="0">[11]!Define_target</definedName>
    <definedName name="jyjuj">[11]!Define_target</definedName>
    <definedName name="k" localSheetId="0">#REF!</definedName>
    <definedName name="k">#REF!</definedName>
    <definedName name="k_1">#REF!</definedName>
    <definedName name="Kahlua">#REF!</definedName>
    <definedName name="kaiyu">#REF!</definedName>
    <definedName name="KAJDT">#REF!</definedName>
    <definedName name="kajsu">#REF!</definedName>
    <definedName name="kaka">#REF!</definedName>
    <definedName name="KAMPANYA">#REF!</definedName>
    <definedName name="kampanya_süresi">#REF!</definedName>
    <definedName name="KANAL">#REF!</definedName>
    <definedName name="kAREN">#REF!</definedName>
    <definedName name="Karla">#REF!</definedName>
    <definedName name="KASIE">#REF!</definedName>
    <definedName name="KATEGORI">#REF!</definedName>
    <definedName name="KATEGORİ">#REF!</definedName>
    <definedName name="KATLIST">#REF!</definedName>
    <definedName name="kdfkfkfkf">'[1]#G.O.'!#REF!</definedName>
    <definedName name="kdflg">#REF!</definedName>
    <definedName name="KDIND">#REF!</definedName>
    <definedName name="KDKD">#REF!</definedName>
    <definedName name="kdkdkdkdk">#REF!</definedName>
    <definedName name="KFJG">#REF!</definedName>
    <definedName name="KFJH">#REF!</definedName>
    <definedName name="kghjghfhgdfds">#N/A</definedName>
    <definedName name="kgieehsfgad">'[8]Tarifas Enero 2009'!$R$1:$X$58</definedName>
    <definedName name="khhloi" localSheetId="0">#REF!</definedName>
    <definedName name="khhloi">#REF!</definedName>
    <definedName name="khhu">#REF!</definedName>
    <definedName name="ki">#REF!</definedName>
    <definedName name="KIGU">'[7]aca-'!#REF!</definedName>
    <definedName name="KILO" localSheetId="0">#REF!</definedName>
    <definedName name="KILO">#REF!</definedName>
    <definedName name="KILO_1">#REF!</definedName>
    <definedName name="kiñi">#REF!</definedName>
    <definedName name="KIO">#REF!</definedName>
    <definedName name="Kiruza">#REF!</definedName>
    <definedName name="KJ">#REF!</definedName>
    <definedName name="KJH">#REF!</definedName>
    <definedName name="kjjh">#REF!</definedName>
    <definedName name="KJKJ">#REF!</definedName>
    <definedName name="kjl">#REF!</definedName>
    <definedName name="kjl_1">#REF!</definedName>
    <definedName name="kjo">#REF!</definedName>
    <definedName name="KJS">#REF!</definedName>
    <definedName name="kk">#REF!</definedName>
    <definedName name="kkk">#REF!</definedName>
    <definedName name="kkkk">#REF!</definedName>
    <definedName name="kkkkkkk">#REF!</definedName>
    <definedName name="kkkkkkkkkkkkkk">#REF!</definedName>
    <definedName name="kl">#REF!</definedName>
    <definedName name="KLASDJHASD">#REF!</definedName>
    <definedName name="KLJSDLK">#REF!</definedName>
    <definedName name="klklk" localSheetId="0">#N/A</definedName>
    <definedName name="klklk">[0]!klklk</definedName>
    <definedName name="kñkljg" localSheetId="0">#REF!</definedName>
    <definedName name="kñkljg">#REF!</definedName>
    <definedName name="ko">#REF!</definedName>
    <definedName name="KOD">#REF!</definedName>
    <definedName name="koioi">#REF!</definedName>
    <definedName name="KOK">#REF!</definedName>
    <definedName name="kokis">#REF!</definedName>
    <definedName name="KOKO">#REF!</definedName>
    <definedName name="KOLŞ">#REF!</definedName>
    <definedName name="KOP">#REF!</definedName>
    <definedName name="KPI">#REF!</definedName>
    <definedName name="KPIS">#REF!</definedName>
    <definedName name="kpl">#REF!</definedName>
    <definedName name="KSIYE">#REF!</definedName>
    <definedName name="ksjdhkjashdkjAS">#REF!</definedName>
    <definedName name="ksje">#REF!</definedName>
    <definedName name="KSJY">#REF!</definedName>
    <definedName name="kujyuyu">#REF!</definedName>
    <definedName name="kujyuyu_1">#REF!</definedName>
    <definedName name="l">#REF!</definedName>
    <definedName name="L.GJMHN">#REF!</definedName>
    <definedName name="L_Adserver">#REF!</definedName>
    <definedName name="L_base1">#REF!</definedName>
    <definedName name="L_marca_prod">#REF!</definedName>
    <definedName name="l_name">#REF!</definedName>
    <definedName name="la">#REF!</definedName>
    <definedName name="La_Esclava_Isaura">#REF!</definedName>
    <definedName name="La_jueza">#REF!</definedName>
    <definedName name="la_tormenta">#REF!</definedName>
    <definedName name="La_traición">#REF!</definedName>
    <definedName name="labor">#REF!</definedName>
    <definedName name="LAIODU">#REF!</definedName>
    <definedName name="LAKDJ">#REF!</definedName>
    <definedName name="laksdu">#REF!</definedName>
    <definedName name="laksi">#REF!</definedName>
    <definedName name="lala">#REF!</definedName>
    <definedName name="lala1">#REF!</definedName>
    <definedName name="lala2">#REF!</definedName>
    <definedName name="lalalala">#REF!</definedName>
    <definedName name="lalalalalala">#REF!</definedName>
    <definedName name="lalo">#REF!</definedName>
    <definedName name="lalo2">#REF!</definedName>
    <definedName name="lalo3">#REF!</definedName>
    <definedName name="LAN">#REF!</definedName>
    <definedName name="LANZA">#REF!</definedName>
    <definedName name="lanzagye">#REF!</definedName>
    <definedName name="lanzagye2">#REF!</definedName>
    <definedName name="LANZAM">#REF!</definedName>
    <definedName name="LANZGYE">#REF!</definedName>
    <definedName name="LANZUIO">#REF!</definedName>
    <definedName name="lañdflgafl">#REF!</definedName>
    <definedName name="lao">#REF!</definedName>
    <definedName name="laou">#REF!</definedName>
    <definedName name="lar">#N/A</definedName>
    <definedName name="las">#N/A</definedName>
    <definedName name="laskdjlaksd">#REF!</definedName>
    <definedName name="laura">#REF!</definedName>
    <definedName name="laura2">#REF!</definedName>
    <definedName name="LC">#REF!</definedName>
    <definedName name="ld">#N/A</definedName>
    <definedName name="ldcjkljkfdsjkfv">#REF!</definedName>
    <definedName name="ldcjkljkfdsjkfv_12">#REF!</definedName>
    <definedName name="ldcjkljkfdsjkfv_9">#REF!</definedName>
    <definedName name="LDFKF">#REF!</definedName>
    <definedName name="ldke4">#REF!</definedName>
    <definedName name="ldkeri">#REF!</definedName>
    <definedName name="ldkeu">#REF!</definedName>
    <definedName name="ldñ">#REF!</definedName>
    <definedName name="LE">#REF!</definedName>
    <definedName name="LEFT">#REF!</definedName>
    <definedName name="lele">#REF!</definedName>
    <definedName name="lele___0">#REF!</definedName>
    <definedName name="lele___0_12">#REF!</definedName>
    <definedName name="lele___0_9">#REF!</definedName>
    <definedName name="lele_12">#REF!</definedName>
    <definedName name="lele_9">#REF!</definedName>
    <definedName name="lele_9_1">#REF!</definedName>
    <definedName name="lelo">#REF!</definedName>
    <definedName name="lelo2">#REF!</definedName>
    <definedName name="lelo3">#REF!</definedName>
    <definedName name="LEONÇ">#REF!</definedName>
    <definedName name="lety">#REF!</definedName>
    <definedName name="LETY1">#REF!</definedName>
    <definedName name="lety10">#REF!</definedName>
    <definedName name="lety100">#REF!</definedName>
    <definedName name="LETY12">#REF!</definedName>
    <definedName name="LETY13">#REF!</definedName>
    <definedName name="LETY2">#REF!</definedName>
    <definedName name="lety22">#REF!</definedName>
    <definedName name="lety3">#REF!</definedName>
    <definedName name="LETY4">#REF!</definedName>
    <definedName name="lety5">#REF!</definedName>
    <definedName name="lety6">#REF!</definedName>
    <definedName name="lety7">#REF!</definedName>
    <definedName name="lety8">#REF!</definedName>
    <definedName name="lety9">#REF!</definedName>
    <definedName name="lety99">#REF!</definedName>
    <definedName name="LEVITRA">#REF!</definedName>
    <definedName name="lfo">#REF!</definedName>
    <definedName name="lfol">#REF!</definedName>
    <definedName name="li">#REF!</definedName>
    <definedName name="LIBRETOS">#REF!</definedName>
    <definedName name="LIBRETOSSN">#REF!</definedName>
    <definedName name="Lifeboxset">#REF!</definedName>
    <definedName name="LILI">#REF!</definedName>
    <definedName name="LIM_QUI">#REF!</definedName>
    <definedName name="lio">#N/A</definedName>
    <definedName name="Lista">#REF!</definedName>
    <definedName name="LISTADO">#REF!</definedName>
    <definedName name="listatodo">#REF!,#REF!,#REF!,#REF!,#REF!</definedName>
    <definedName name="ListStart">#REF!</definedName>
    <definedName name="LITER">#REF!</definedName>
    <definedName name="LIZ">#REF!</definedName>
    <definedName name="lkd">#REF!</definedName>
    <definedName name="lkdeo">#REF!</definedName>
    <definedName name="lkdu">#REF!</definedName>
    <definedName name="LKJ">#N/A</definedName>
    <definedName name="lks">#REF!</definedName>
    <definedName name="ll">#REF!</definedName>
    <definedName name="ll_1">#REF!</definedName>
    <definedName name="LL_adserver">#REF!</definedName>
    <definedName name="LLAVE1">#REF!</definedName>
    <definedName name="llave3">#REF!</definedName>
    <definedName name="lli">#N/A</definedName>
    <definedName name="LLL">#REF!</definedName>
    <definedName name="LLLL">#REF!</definedName>
    <definedName name="lllll">#REF!</definedName>
    <definedName name="llllll">#REF!</definedName>
    <definedName name="lllllllllllllll">#REF!</definedName>
    <definedName name="LLLLWSOSJDM">#REF!</definedName>
    <definedName name="lml">#REF!</definedName>
    <definedName name="lñ">#REF!</definedName>
    <definedName name="LÑJAÑJDF">#REF!</definedName>
    <definedName name="LO">#REF!</definedName>
    <definedName name="LOCO">#REF!</definedName>
    <definedName name="loi">#REF!</definedName>
    <definedName name="LOLO">#REF!</definedName>
    <definedName name="LOLO_1">#REF!</definedName>
    <definedName name="LOLO1">#REF!</definedName>
    <definedName name="LOLO1_1">#REF!</definedName>
    <definedName name="LOLO2">#REF!</definedName>
    <definedName name="LOLO2_1">#REF!</definedName>
    <definedName name="LOLO3">#REF!</definedName>
    <definedName name="LOLO3_1">#REF!</definedName>
    <definedName name="LOLO8">#REF!</definedName>
    <definedName name="LOLO8_1">#REF!</definedName>
    <definedName name="LOLOLO">#REF!</definedName>
    <definedName name="lolos">#REF!</definedName>
    <definedName name="loloz">#REF!</definedName>
    <definedName name="LOLY">#REF!</definedName>
    <definedName name="LOLY\S">#REF!</definedName>
    <definedName name="lore">#REF!</definedName>
    <definedName name="lorea">#REF!</definedName>
    <definedName name="lorena">#REF!</definedName>
    <definedName name="LosHéroes">#N/A</definedName>
    <definedName name="losmochis">'[7]aca-'!#REF!</definedName>
    <definedName name="LOU" localSheetId="0">#REF!</definedName>
    <definedName name="LOU">#REF!</definedName>
    <definedName name="lp">#REF!</definedName>
    <definedName name="lpas">#REF!</definedName>
    <definedName name="ls">#REF!</definedName>
    <definedName name="LSAJKS">#REF!</definedName>
    <definedName name="lsaoe">#REF!</definedName>
    <definedName name="lsdkdj">#REF!</definedName>
    <definedName name="lsgh">#REF!</definedName>
    <definedName name="LSILVA">'[32]Hoja1 (2)'!LSILVA</definedName>
    <definedName name="LSJDFI" localSheetId="0">#REF!</definedName>
    <definedName name="LSJDFI">#REF!</definedName>
    <definedName name="lskd">#REF!</definedName>
    <definedName name="LSKI">#REF!</definedName>
    <definedName name="lskue">#REF!</definedName>
    <definedName name="lsoe">#REF!</definedName>
    <definedName name="LTTY">#REF!</definedName>
    <definedName name="Lucchetti">#REF!</definedName>
    <definedName name="Lucha_libre">#REF!</definedName>
    <definedName name="LUG">#REF!</definedName>
    <definedName name="LUGDF">#REF!</definedName>
    <definedName name="lunvie">#REF!</definedName>
    <definedName name="lunvie2">#REF!</definedName>
    <definedName name="lupita">#REF!</definedName>
    <definedName name="lupita_1">#REF!</definedName>
    <definedName name="LUPITA1">#REF!</definedName>
    <definedName name="LUPITA1_1">#REF!</definedName>
    <definedName name="LUPITA2">#REF!</definedName>
    <definedName name="m">#REF!</definedName>
    <definedName name="M_GRAM2">#REF!</definedName>
    <definedName name="M2S">#REF!</definedName>
    <definedName name="maad">#REF!</definedName>
    <definedName name="MABC2564">'[8]tablas final 2°sem 2008'!#REF!</definedName>
    <definedName name="MABC2599">'[38]tablas final 2°sem 2008'!#REF!</definedName>
    <definedName name="madna" localSheetId="0">#REF!</definedName>
    <definedName name="madna">#REF!</definedName>
    <definedName name="mag">#REF!</definedName>
    <definedName name="Magazine">#REF!</definedName>
    <definedName name="Magazines">#REF!</definedName>
    <definedName name="mah">#REF!</definedName>
    <definedName name="MAIN">#REF!</definedName>
    <definedName name="MajorHeader">#REF!</definedName>
    <definedName name="Mala_conducta">#REF!</definedName>
    <definedName name="Mala_Conducta_Repetición">#REF!</definedName>
    <definedName name="Mala_conducta_resumen">#REF!</definedName>
    <definedName name="Malibu">#REF!</definedName>
    <definedName name="mall">#REF!</definedName>
    <definedName name="MAN">#REF!</definedName>
    <definedName name="manec">'[40]Hoja2 (2)'!$D$10:$U$4895</definedName>
    <definedName name="Mangye" localSheetId="0">#REF!</definedName>
    <definedName name="Mangye">#REF!</definedName>
    <definedName name="MANTEN22">#REF!</definedName>
    <definedName name="Mantencion">#N/A</definedName>
    <definedName name="Mantención">#N/A</definedName>
    <definedName name="MANTUIO">#REF!</definedName>
    <definedName name="Manuel_Rodriguez">#REF!</definedName>
    <definedName name="Maq_roup">#REF!</definedName>
    <definedName name="MAR">#REF!</definedName>
    <definedName name="marcahq">#REF!</definedName>
    <definedName name="marcal">#REF!</definedName>
    <definedName name="marcas">[41]Marcas!$D$1:$D$65536</definedName>
    <definedName name="marcascli">[10]MarcasCli!$A$1:$A$65536</definedName>
    <definedName name="marcohq" localSheetId="0">#REF!</definedName>
    <definedName name="marcohq">#REF!</definedName>
    <definedName name="marcol">#REF!</definedName>
    <definedName name="marcumhq">#REF!</definedName>
    <definedName name="marcuml">#REF!</definedName>
    <definedName name="margarinas">#REF!</definedName>
    <definedName name="mariajose">#REF!</definedName>
    <definedName name="marian">#REF!</definedName>
    <definedName name="MARIO">#REF!</definedName>
    <definedName name="MARIO_1">#REF!</definedName>
    <definedName name="marisolfinal">#REF!</definedName>
    <definedName name="MARKET">#REF!</definedName>
    <definedName name="marl1">#REF!</definedName>
    <definedName name="marlboro">#REF!</definedName>
    <definedName name="MARTHA">#REF!</definedName>
    <definedName name="mary">#REF!</definedName>
    <definedName name="marzo">#REF!</definedName>
    <definedName name="MARZO_99">#REF!</definedName>
    <definedName name="MAS">#REF!</definedName>
    <definedName name="mas_sabe_el_diablo">#REF!</definedName>
    <definedName name="mass">[10]Tablas!$E$14:$E$15</definedName>
    <definedName name="Mat" localSheetId="0">#REF!</definedName>
    <definedName name="Mat">#REF!</definedName>
    <definedName name="MATE">#REF!</definedName>
    <definedName name="MATERIAL">#REF!</definedName>
    <definedName name="materiales">#REF!</definedName>
    <definedName name="MATRIZ">#REF!</definedName>
    <definedName name="Maule">#REF!</definedName>
    <definedName name="MauleGSE">#REF!</definedName>
    <definedName name="mavi">#N/A</definedName>
    <definedName name="mavika">#N/A</definedName>
    <definedName name="MaxRange">#REF!</definedName>
    <definedName name="MAXTVPAGA">#REF!</definedName>
    <definedName name="MAXTVPAGA_1">#REF!</definedName>
    <definedName name="MAY">#REF!</definedName>
    <definedName name="MAYBABR">#REF!</definedName>
    <definedName name="maycahq">#REF!</definedName>
    <definedName name="maycal">#REF!</definedName>
    <definedName name="maycohq">#REF!</definedName>
    <definedName name="maycol">#REF!</definedName>
    <definedName name="maycumhq">#REF!</definedName>
    <definedName name="maycuml">#REF!</definedName>
    <definedName name="MAYI">#REF!</definedName>
    <definedName name="mayo">#REF!</definedName>
    <definedName name="MAYO2003">[42]Hoja1!$C$7:$D$57</definedName>
    <definedName name="mazatlan" localSheetId="0">#REF!</definedName>
    <definedName name="mazatlan">#REF!</definedName>
    <definedName name="Mazzola">#REF!</definedName>
    <definedName name="mb">#N/A</definedName>
    <definedName name="mbmbmb1">#N/A</definedName>
    <definedName name="mBonificable">#REF!</definedName>
    <definedName name="mc">#REF!</definedName>
    <definedName name="MC3D3564">'[8]tablas final 2°sem 2008'!#REF!</definedName>
    <definedName name="mComAgencia" localSheetId="0">#REF!</definedName>
    <definedName name="mComAgencia">#REF!</definedName>
    <definedName name="mComMPL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_vs_2RF">#REF!</definedName>
    <definedName name="MD_YTD_vs_LY">#REF!</definedName>
    <definedName name="MD_YTD_VS_TRF">#REF!</definedName>
    <definedName name="mdjid">#REF!</definedName>
    <definedName name="MDJY">#REF!</definedName>
    <definedName name="MEALS">#REF!</definedName>
    <definedName name="MEALSDOLLARS">#REF!</definedName>
    <definedName name="MECU">#REF!</definedName>
    <definedName name="media">#REF!</definedName>
    <definedName name="MediaCommission">#REF!</definedName>
    <definedName name="mediaplanactualizadoelbueno">#REF!</definedName>
    <definedName name="MediaType">#REF!</definedName>
    <definedName name="MEDIDA">#REF!</definedName>
    <definedName name="MEDIO">#REF!</definedName>
    <definedName name="Medio_Tiempo">#REF!</definedName>
    <definedName name="Mega_Clasificacion">#REF!</definedName>
    <definedName name="Mega_Dcto.">#REF!</definedName>
    <definedName name="meme">#REF!</definedName>
    <definedName name="MEMO">#REF!</definedName>
    <definedName name="MEMO_1">#REF!</definedName>
    <definedName name="MEMO1">#REF!</definedName>
    <definedName name="mENCIONES">#REF!</definedName>
    <definedName name="MENCOM">#REF!</definedName>
    <definedName name="Mens_Health">#REF!</definedName>
    <definedName name="Mensual">#REF!</definedName>
    <definedName name="MENU">#REF!</definedName>
    <definedName name="MENU1">#REF!</definedName>
    <definedName name="mercado">[19]Tablas!$K$3:$K$10</definedName>
    <definedName name="mercedes" localSheetId="0">#REF!</definedName>
    <definedName name="mercedes">#REF!</definedName>
    <definedName name="merida">#REF!</definedName>
    <definedName name="mes">#REF!</definedName>
    <definedName name="mesdia">[19]Tablas!$E$14:$E$15</definedName>
    <definedName name="mesmsm" localSheetId="0">#REF!</definedName>
    <definedName name="mesmsm">#REF!</definedName>
    <definedName name="MesProx">#REF!</definedName>
    <definedName name="MESS">#REF!</definedName>
    <definedName name="mexicali">#REF!</definedName>
    <definedName name="mezave">#REF!</definedName>
    <definedName name="mezcros">#REF!</definedName>
    <definedName name="mFacturable">#REF!</definedName>
    <definedName name="MG">#REF!</definedName>
    <definedName name="mi">#N/A</definedName>
    <definedName name="Mi_verdad">#REF!</definedName>
    <definedName name="Mi_vida_eres_tu">#REF!</definedName>
    <definedName name="mia">#REF!</definedName>
    <definedName name="mich">#REF!</definedName>
    <definedName name="michelle">#REF!</definedName>
    <definedName name="mil">#REF!</definedName>
    <definedName name="MILOAG">#REF!</definedName>
    <definedName name="Minimo">#REF!</definedName>
    <definedName name="minimumresidualdays">#REF!</definedName>
    <definedName name="MIRADO">#REF!</definedName>
    <definedName name="Mis_años_grossos">#REF!</definedName>
    <definedName name="Mis_Años_Grossos__Dgo.">#REF!</definedName>
    <definedName name="Mis_años_grossos_dgo">#REF!</definedName>
    <definedName name="Mis_años_grossos_rep">#REF!</definedName>
    <definedName name="Mis_años_grossos_sab">#REF!</definedName>
    <definedName name="Mis_años_grossos_sab_tarde">#REF!</definedName>
    <definedName name="misc">#REF!</definedName>
    <definedName name="MISTAKE">#REF!</definedName>
    <definedName name="mj">#REF!</definedName>
    <definedName name="mkmnn52">#REF!</definedName>
    <definedName name="ML">#REF!</definedName>
    <definedName name="MLA">#REF!</definedName>
    <definedName name="MM">#REF!</definedName>
    <definedName name="MMBB">#REF!</definedName>
    <definedName name="mmm">#REF!</definedName>
    <definedName name="MMMM">#REF!</definedName>
    <definedName name="mmmmm">#REF!</definedName>
    <definedName name="MMMMMMM">#REF!</definedName>
    <definedName name="mmmmmmmmmmmm">#REF!</definedName>
    <definedName name="mmmmmmmmmmmmm">#REF!</definedName>
    <definedName name="MMPRIS">#REF!</definedName>
    <definedName name="MMPRIS_1">#REF!</definedName>
    <definedName name="MMS">#REF!</definedName>
    <definedName name="mn">#N/A</definedName>
    <definedName name="mnb">#REF!</definedName>
    <definedName name="MNEMONIC">#REF!</definedName>
    <definedName name="mobil1">#REF!</definedName>
    <definedName name="Mobile_Display">#REF!</definedName>
    <definedName name="Mobile_Display_DMP">#REF!</definedName>
    <definedName name="MOD_COMPRA_R">#REF!</definedName>
    <definedName name="modelo">#REF!</definedName>
    <definedName name="modi">#N/A</definedName>
    <definedName name="Modificaciones">#N/A</definedName>
    <definedName name="momo">#REF!</definedName>
    <definedName name="mon">#REF!</definedName>
    <definedName name="MONCODE">#REF!</definedName>
    <definedName name="Moneda">#REF!</definedName>
    <definedName name="MONICS">#REF!</definedName>
    <definedName name="monterrey">#REF!</definedName>
    <definedName name="Month">#REF!</definedName>
    <definedName name="MOVIL">#REF!</definedName>
    <definedName name="MOVISTAR">#REF!</definedName>
    <definedName name="mPieTotalFac">#REF!</definedName>
    <definedName name="mpre3">'[43]Tarifa Preferencial (3)'!$A$11:$N$75</definedName>
    <definedName name="mr">#REF!</definedName>
    <definedName name="ms">#REF!</definedName>
    <definedName name="msd">#REF!</definedName>
    <definedName name="msd_1">#REF!</definedName>
    <definedName name="msjak">#REF!</definedName>
    <definedName name="mSubTotBon">#REF!</definedName>
    <definedName name="mSubTotFac">#REF!</definedName>
    <definedName name="mSubTotFacPre">#REF!</definedName>
    <definedName name="mswksu">#REF!</definedName>
    <definedName name="mTotalBon">#REF!</definedName>
    <definedName name="mTotalFac">#REF!</definedName>
    <definedName name="mTotalFacN">#REF!</definedName>
    <definedName name="mTotalFacPre">#REF!</definedName>
    <definedName name="mTotalFacPreN">#REF!</definedName>
    <definedName name="mTotalNeto">#REF!</definedName>
    <definedName name="mTotalPreFac">#REF!</definedName>
    <definedName name="mTotComAge">#REF!</definedName>
    <definedName name="mTotComAgePre">#REF!</definedName>
    <definedName name="mTotComMPL">#REF!</definedName>
    <definedName name="mTotComMPLPre">#REF!</definedName>
    <definedName name="mtovis">#REF!</definedName>
    <definedName name="MTY">#REF!</definedName>
    <definedName name="mu">#REF!</definedName>
    <definedName name="MUJER2">#REF!</definedName>
    <definedName name="MUJERES">#REF!</definedName>
    <definedName name="Mujeres_que_matan">#REF!</definedName>
    <definedName name="mujeres_res">#REF!</definedName>
    <definedName name="mujeres2">#REF!</definedName>
    <definedName name="MUSICA">#REF!</definedName>
    <definedName name="musteri">#REF!</definedName>
    <definedName name="mv">#N/A</definedName>
    <definedName name="mvcnc">#N/A</definedName>
    <definedName name="MVSLz10">#REF!</definedName>
    <definedName name="MVSLz20">#REF!</definedName>
    <definedName name="MX">#REF!</definedName>
    <definedName name="MXTT">#REF!</definedName>
    <definedName name="mz">#N/A</definedName>
    <definedName name="mznx">#REF!</definedName>
    <definedName name="N">#REF!</definedName>
    <definedName name="NAC">#REF!</definedName>
    <definedName name="nadA">#REF!</definedName>
    <definedName name="nagsf">#REF!</definedName>
    <definedName name="nahsg">#REF!</definedName>
    <definedName name="natgeo">#REF!</definedName>
    <definedName name="national">#REF!</definedName>
    <definedName name="NBJK">#N/A</definedName>
    <definedName name="neg">#REF!</definedName>
    <definedName name="negociaciones">#REF!</definedName>
    <definedName name="Negociado">#REF!</definedName>
    <definedName name="nes">#REF!</definedName>
    <definedName name="nesp">#REF!</definedName>
    <definedName name="nesp3">#REF!</definedName>
    <definedName name="NET">#REF!</definedName>
    <definedName name="Net_sales">#REF!</definedName>
    <definedName name="NETGROSS">#REF!</definedName>
    <definedName name="netloc">#REF!</definedName>
    <definedName name="NETO">#REF!</definedName>
    <definedName name="NETO1SEG">#REF!</definedName>
    <definedName name="Networking_ET">#REF!</definedName>
    <definedName name="new">#REF!</definedName>
    <definedName name="NEW_IMPORTS">#REF!</definedName>
    <definedName name="News">#REF!</definedName>
    <definedName name="NEXTEL">#REF!</definedName>
    <definedName name="nh">#REF!</definedName>
    <definedName name="nhju">#REF!</definedName>
    <definedName name="niagaradolares">#REF!</definedName>
    <definedName name="niagarapesos">#REF!</definedName>
    <definedName name="nim">#REF!</definedName>
    <definedName name="nini">#REF!</definedName>
    <definedName name="NINT64">#REF!</definedName>
    <definedName name="Niños_ricos">#REF!</definedName>
    <definedName name="NIVELABRIL">'[6]Niveles ABRIL'!$A$7:$B$76</definedName>
    <definedName name="nj">#REF!</definedName>
    <definedName name="NJJLKL">#REF!</definedName>
    <definedName name="NKJK">#REF!</definedName>
    <definedName name="NKJK.">#REF!</definedName>
    <definedName name="nm">#REF!</definedName>
    <definedName name="nm_1">#REF!</definedName>
    <definedName name="nMedCinco">#REF!</definedName>
    <definedName name="nMedCuatro">#REF!</definedName>
    <definedName name="nMedDos">#REF!</definedName>
    <definedName name="nMediaCinco">#REF!</definedName>
    <definedName name="nMediaCuatro">#REF!</definedName>
    <definedName name="nMediaDos">#REF!</definedName>
    <definedName name="nMediaSeis">#REF!</definedName>
    <definedName name="nMediaTotal">#REF!</definedName>
    <definedName name="nMediaTres">#REF!</definedName>
    <definedName name="nMediaUno">#REF!</definedName>
    <definedName name="nMedSeis">#REF!</definedName>
    <definedName name="nMedTotal">#REF!</definedName>
    <definedName name="nMedTres">#REF!</definedName>
    <definedName name="nMedUno">#REF!</definedName>
    <definedName name="nn">#REF!</definedName>
    <definedName name="nn_1">#REF!</definedName>
    <definedName name="nnetloc">#REF!</definedName>
    <definedName name="nnmm">#REF!</definedName>
    <definedName name="nnn">#REF!</definedName>
    <definedName name="nnnn">#REF!</definedName>
    <definedName name="nnnnn">#REF!</definedName>
    <definedName name="nnnnng">#REF!</definedName>
    <definedName name="nnnnnnnnnn">#REF!</definedName>
    <definedName name="nnnnnnnnnnn">#REF!</definedName>
    <definedName name="nnnnnnnnnnnn">#REF!</definedName>
    <definedName name="nnvnvnv">#N/A</definedName>
    <definedName name="no">#REF!</definedName>
    <definedName name="noch">#REF!</definedName>
    <definedName name="NOM_CAMPAÑA_R">#REF!</definedName>
    <definedName name="NOM_EMPRESA_R">#REF!</definedName>
    <definedName name="NOMBREMES">#REF!</definedName>
    <definedName name="NOMDF">#REF!</definedName>
    <definedName name="NOMMATERIAL">#REF!</definedName>
    <definedName name="NOMMEDIOS">#REF!</definedName>
    <definedName name="NOMPROV">#REF!</definedName>
    <definedName name="nonono">#REF!</definedName>
    <definedName name="NONTOTAL">#REF!</definedName>
    <definedName name="noooo">#REF!</definedName>
    <definedName name="NORTE">#REF!</definedName>
    <definedName name="NORTE_1">#REF!</definedName>
    <definedName name="nose">#REF!</definedName>
    <definedName name="nose_1">#REF!</definedName>
    <definedName name="NOTA">#REF!</definedName>
    <definedName name="NOTAS">#REF!</definedName>
    <definedName name="notcom">[44]Rating1!$J$12:$L$19</definedName>
    <definedName name="NOTI">#REF!</definedName>
    <definedName name="Noticias_central">#REF!</definedName>
    <definedName name="Noticias_mañana">#REF!</definedName>
    <definedName name="Noticias_noche_dom">#REF!</definedName>
    <definedName name="Noticias_noche_L_V">#REF!</definedName>
    <definedName name="Noticias_noche_sab">#REF!</definedName>
    <definedName name="Noticias_noche_SyD">#REF!</definedName>
    <definedName name="Noticias_tarde">#REF!</definedName>
    <definedName name="Noticias_tarde_SyD">#REF!</definedName>
    <definedName name="Noticieros">#REF!</definedName>
    <definedName name="notita">#N/A</definedName>
    <definedName name="NOV">#REF!</definedName>
    <definedName name="Novadiol">#REF!</definedName>
    <definedName name="Novadiol2">#REF!</definedName>
    <definedName name="novcahq">#REF!</definedName>
    <definedName name="novcal">#REF!</definedName>
    <definedName name="novcohq">#REF!</definedName>
    <definedName name="novcol">#REF!</definedName>
    <definedName name="novcumhq">#REF!</definedName>
    <definedName name="novcuml">#REF!</definedName>
    <definedName name="noviembr">[45]codigos!$A$7:$B$94</definedName>
    <definedName name="noviembre">#REF!</definedName>
    <definedName name="NOVTRANS">#REF!</definedName>
    <definedName name="NPCHEESE">#REF!</definedName>
    <definedName name="NPLAN">#REF!</definedName>
    <definedName name="NS">#REF!</definedName>
    <definedName name="Nsales_up">#REF!</definedName>
    <definedName name="NT4_AT">#REF!</definedName>
    <definedName name="NT4_SCT">#REF!</definedName>
    <definedName name="NT4_SET">#REF!</definedName>
    <definedName name="nu">#N/A</definedName>
    <definedName name="NUEVAOLA">[46]Analisis!$A$1:$U$78</definedName>
    <definedName name="nuevo" localSheetId="0">#REF!</definedName>
    <definedName name="nuevo">#REF!</definedName>
    <definedName name="NUM_EMP">#REF!</definedName>
    <definedName name="NUM_SPOT_R">#REF!</definedName>
    <definedName name="ny">#N/A</definedName>
    <definedName name="nyterfs">#REF!</definedName>
    <definedName name="Ñ">#REF!</definedName>
    <definedName name="Ñ_1">#REF!</definedName>
    <definedName name="ÑALSKGF">#REF!</definedName>
    <definedName name="ñd">#N/A</definedName>
    <definedName name="ñdlfo">#REF!</definedName>
    <definedName name="ñf">#N/A</definedName>
    <definedName name="ñg">#REF!</definedName>
    <definedName name="ñiñ">#REF!</definedName>
    <definedName name="ñiuf">#REF!</definedName>
    <definedName name="ñk">#REF!</definedName>
    <definedName name="ñk_1">#REF!</definedName>
    <definedName name="ñl">#N/A</definedName>
    <definedName name="ñleo">#REF!</definedName>
    <definedName name="ÑLK">#REF!</definedName>
    <definedName name="ñlkkñl">#REF!</definedName>
    <definedName name="ÑLPO">#REF!</definedName>
    <definedName name="ñlsd">#REF!</definedName>
    <definedName name="ÑLUFLIYF">#REF!</definedName>
    <definedName name="ñm">#REF!</definedName>
    <definedName name="ÑÑ">#REF!</definedName>
    <definedName name="ÑÑ_1">#REF!</definedName>
    <definedName name="ññññ">#REF!</definedName>
    <definedName name="ñññññ">#REF!</definedName>
    <definedName name="ññññññññ">#REF!</definedName>
    <definedName name="ñññññññññññññ">#REF!</definedName>
    <definedName name="ño">#REF!</definedName>
    <definedName name="ñomkl">#REF!</definedName>
    <definedName name="ñp">#REF!</definedName>
    <definedName name="ÑPI">#REF!</definedName>
    <definedName name="ÑPO">#REF!</definedName>
    <definedName name="ÑSLP">#REF!</definedName>
    <definedName name="ÑSPWO20293834UJG">#REF!</definedName>
    <definedName name="O">#REF!</definedName>
    <definedName name="O_1">#REF!</definedName>
    <definedName name="oaxaca">'[7]aca-'!#REF!</definedName>
    <definedName name="OB_OTRO" localSheetId="0">#REF!</definedName>
    <definedName name="OB_OTRO">#REF!</definedName>
    <definedName name="objetivo">#REF!</definedName>
    <definedName name="OBS">#REF!</definedName>
    <definedName name="obsss">#REF!</definedName>
    <definedName name="oct">#REF!</definedName>
    <definedName name="octcahq">#REF!</definedName>
    <definedName name="octcal">#REF!</definedName>
    <definedName name="octcohq">#REF!</definedName>
    <definedName name="octcol">#REF!</definedName>
    <definedName name="octcumhq">#REF!</definedName>
    <definedName name="octcuml">#REF!</definedName>
    <definedName name="octubre">#REF!</definedName>
    <definedName name="ocupado">#REF!</definedName>
    <definedName name="ödeme">#REF!</definedName>
    <definedName name="ödeme2">#REF!</definedName>
    <definedName name="oe">#N/A</definedName>
    <definedName name="OESP">#REF!</definedName>
    <definedName name="OGYP">#REF!</definedName>
    <definedName name="OHiggins">#REF!</definedName>
    <definedName name="ohiggins2">'[9]Regiones Noviembre 2002'!$B$69:$K$122</definedName>
    <definedName name="oi" localSheetId="0">#REF!</definedName>
    <definedName name="oi">#REF!</definedName>
    <definedName name="oineooekq">#N/A</definedName>
    <definedName name="oioooiom">#N/A</definedName>
    <definedName name="oiry">#REF!</definedName>
    <definedName name="OK">#REF!</definedName>
    <definedName name="okj">#REF!</definedName>
    <definedName name="ol">#REF!</definedName>
    <definedName name="omar">#REF!</definedName>
    <definedName name="on">#REF!</definedName>
    <definedName name="oo">#REF!</definedName>
    <definedName name="OOh">#REF!</definedName>
    <definedName name="OOHPlan">#REF!</definedName>
    <definedName name="ooo">#REF!</definedName>
    <definedName name="OOOH">#REF!</definedName>
    <definedName name="OOOO">#REF!</definedName>
    <definedName name="ooooo">#REF!</definedName>
    <definedName name="oooooooooo">#REF!</definedName>
    <definedName name="oooooooooooo">#REF!</definedName>
    <definedName name="op">#REF!</definedName>
    <definedName name="OPE">#REF!</definedName>
    <definedName name="ophn">#REF!</definedName>
    <definedName name="opighik">#REF!</definedName>
    <definedName name="opopop">#REF!</definedName>
    <definedName name="OPSZ0800_MATERIAIS_Lista">#REF!</definedName>
    <definedName name="oq">#N/A</definedName>
    <definedName name="or">#REF!</definedName>
    <definedName name="Oral">#REF!</definedName>
    <definedName name="Ordena" localSheetId="0">[11]!Define_target</definedName>
    <definedName name="Ordena">[11]!Define_target</definedName>
    <definedName name="ordenados" localSheetId="0">#REF!</definedName>
    <definedName name="ordenados">#REF!</definedName>
    <definedName name="Ordenam">#REF!</definedName>
    <definedName name="ordertype">#REF!</definedName>
    <definedName name="ORDREV">#REF!</definedName>
    <definedName name="ORIGEN">#REF!</definedName>
    <definedName name="OriginalAmount">#REF!</definedName>
    <definedName name="OS">#REF!</definedName>
    <definedName name="Osorno">#REF!</definedName>
    <definedName name="OsornoGSE">#REF!</definedName>
    <definedName name="OTA">#REF!</definedName>
    <definedName name="other">#REF!</definedName>
    <definedName name="otheradv">#REF!</definedName>
    <definedName name="OTLTA">#REF!</definedName>
    <definedName name="otrA">#REF!</definedName>
    <definedName name="otro">#REF!</definedName>
    <definedName name="otro1">#REF!</definedName>
    <definedName name="otro2">#REF!</definedName>
    <definedName name="Otros">#REF!</definedName>
    <definedName name="ouaj">#REF!</definedName>
    <definedName name="OUT">#REF!</definedName>
    <definedName name="OUTDOOR2">#REF!</definedName>
    <definedName name="OUTMED">#REF!</definedName>
    <definedName name="OUTMEDIA">#REF!</definedName>
    <definedName name="OVE">#REF!</definedName>
    <definedName name="OVERALL">#REF!</definedName>
    <definedName name="ow">#N/A</definedName>
    <definedName name="OXE">#REF!</definedName>
    <definedName name="oye">#N/A</definedName>
    <definedName name="p">#REF!</definedName>
    <definedName name="P_1">#REF!</definedName>
    <definedName name="P_L">#REF!</definedName>
    <definedName name="P_L_">#REF!</definedName>
    <definedName name="P_L__ESTIMADO">#REF!</definedName>
    <definedName name="P_L_M">#REF!</definedName>
    <definedName name="P_L_T">#REF!</definedName>
    <definedName name="P_L93SUM">#REF!</definedName>
    <definedName name="P_LCOM">#REF!</definedName>
    <definedName name="P_LPS">#REF!</definedName>
    <definedName name="P_LUS">#REF!</definedName>
    <definedName name="P_TITLE">#REF!</definedName>
    <definedName name="p0p">#REF!</definedName>
    <definedName name="pa">#REF!</definedName>
    <definedName name="PABLO">#REF!</definedName>
    <definedName name="pabr">#REF!</definedName>
    <definedName name="PAC">#REF!</definedName>
    <definedName name="pack">#REF!</definedName>
    <definedName name="Pack_material">#REF!</definedName>
    <definedName name="Pack_up">#REF!</definedName>
    <definedName name="Paco">#REF!</definedName>
    <definedName name="PAGE0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o">#REF!</definedName>
    <definedName name="pallets">#REF!</definedName>
    <definedName name="PAM">[47]Auxiliar!$I$5:$O$19</definedName>
    <definedName name="PARABUSES" localSheetId="0">#REF!</definedName>
    <definedName name="PARABUSES">#REF!</definedName>
    <definedName name="Paraíso_Tropical">#REF!</definedName>
    <definedName name="parati">#REF!</definedName>
    <definedName name="PARIS">[48]Rk!$A$1:$Q$231</definedName>
    <definedName name="parrilla" localSheetId="0">#REF!</definedName>
    <definedName name="parrilla">#REF!</definedName>
    <definedName name="PARRILLA1">#REF!</definedName>
    <definedName name="Pastas">#REF!</definedName>
    <definedName name="pastasec">#REF!</definedName>
    <definedName name="pastasfres">#REF!</definedName>
    <definedName name="PATR">#REF!</definedName>
    <definedName name="PATROCI">#REF!</definedName>
    <definedName name="PATROCINADOS">#REF!</definedName>
    <definedName name="PAULI">#N/A</definedName>
    <definedName name="PAULINA">#REF!</definedName>
    <definedName name="pauta">#REF!</definedName>
    <definedName name="Pauta_">'[49]resumen campaña'!#REF!</definedName>
    <definedName name="pauta_1" localSheetId="0">#REF!</definedName>
    <definedName name="pauta_1">#REF!</definedName>
    <definedName name="pauta_12">#REF!</definedName>
    <definedName name="pauta_9">#REF!</definedName>
    <definedName name="pauta111" localSheetId="0">#N/A</definedName>
    <definedName name="pauta111">[0]!pauta111</definedName>
    <definedName name="pauta2" localSheetId="0">'[1]#G.O.'!#REF!</definedName>
    <definedName name="pauta2">'[1]#G.O.'!#REF!</definedName>
    <definedName name="pautafinal">#REF!</definedName>
    <definedName name="pautapr">#REF!</definedName>
    <definedName name="PAUTAS">#REF!</definedName>
    <definedName name="PAUTAS_1">#REF!</definedName>
    <definedName name="pay">#REF!</definedName>
    <definedName name="payment">#REF!</definedName>
    <definedName name="PaymentCodeNames">#REF!</definedName>
    <definedName name="PAZ">#REF!</definedName>
    <definedName name="PC">#REF!</definedName>
    <definedName name="PCHIN963">#REF!</definedName>
    <definedName name="Pcontrib_up">#REF!</definedName>
    <definedName name="pctv">#REF!</definedName>
    <definedName name="PctvLz20">#REF!</definedName>
    <definedName name="PE">#REF!</definedName>
    <definedName name="PE_1">#REF!</definedName>
    <definedName name="PEAB">#REF!</definedName>
    <definedName name="peago">#REF!</definedName>
    <definedName name="Pecados_capitales">#REF!</definedName>
    <definedName name="PEconsumer">#REF!</definedName>
    <definedName name="PEDIDOANULACION">#REF!</definedName>
    <definedName name="PEFAC">#REF!</definedName>
    <definedName name="PEFAC_1">#REF!</definedName>
    <definedName name="PEFAC02">#REF!</definedName>
    <definedName name="PEFAC02_1">#REF!</definedName>
    <definedName name="PEFAC021">#REF!</definedName>
    <definedName name="Pefac1">#REF!</definedName>
    <definedName name="PEFAC2">#REF!</definedName>
    <definedName name="PEFAC2_1">#REF!</definedName>
    <definedName name="pefac22">#REF!</definedName>
    <definedName name="Pefacabr06">#REF!</definedName>
    <definedName name="PEFACO2">#REF!</definedName>
    <definedName name="PEFEB">#REF!</definedName>
    <definedName name="pejul">#REF!</definedName>
    <definedName name="peligro_latente">#REF!</definedName>
    <definedName name="PELOTON">[43]Rating!$L$67:$M$73</definedName>
    <definedName name="pemar">#REF!</definedName>
    <definedName name="PEPSI">#REF!</definedName>
    <definedName name="Percentage">#REF!</definedName>
    <definedName name="perezperezperezperez">#REF!</definedName>
    <definedName name="PERFIL">#REF!</definedName>
    <definedName name="Perfumería">#REF!</definedName>
    <definedName name="Periodo">#REF!</definedName>
    <definedName name="PERIODO_R">#REF!</definedName>
    <definedName name="PERJGNGHHGOEJGOEOGOEJ">#REF!</definedName>
    <definedName name="perro">#REF!</definedName>
    <definedName name="personas">#REF!</definedName>
    <definedName name="PESO_CAMPAÑA_2_R">#REF!</definedName>
    <definedName name="PESO_CAMPAÑA_R">#REF!</definedName>
    <definedName name="Pesos">#REF!</definedName>
    <definedName name="pez">#REF!</definedName>
    <definedName name="pfeb2">#REF!</definedName>
    <definedName name="pfmes">#REF!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i">#REF!</definedName>
    <definedName name="pia">#REF!</definedName>
    <definedName name="piab">#REF!</definedName>
    <definedName name="piago">#REF!</definedName>
    <definedName name="PIE">#REF!</definedName>
    <definedName name="PIENE">#REF!</definedName>
    <definedName name="PIF">#REF!</definedName>
    <definedName name="Pijama_Surf">#REF!</definedName>
    <definedName name="pijul">#REF!</definedName>
    <definedName name="PIJUN">#REF!</definedName>
    <definedName name="pijun2">#REF!</definedName>
    <definedName name="pilar">#REF!</definedName>
    <definedName name="PILOT">#REF!</definedName>
    <definedName name="PILOTOS">#REF!</definedName>
    <definedName name="pimay">#REF!</definedName>
    <definedName name="PIMAYO">#REF!</definedName>
    <definedName name="pimp">#REF!</definedName>
    <definedName name="PIN">#REF!</definedName>
    <definedName name="PINCHE">#REF!</definedName>
    <definedName name="pipi">#REF!</definedName>
    <definedName name="pise">#REF!</definedName>
    <definedName name="pjul">#REF!</definedName>
    <definedName name="PJUL2">#REF!</definedName>
    <definedName name="PL">#REF!</definedName>
    <definedName name="pla">[35]Sheet1!$H$13:$I$22</definedName>
    <definedName name="Plan" localSheetId="0">#REF!</definedName>
    <definedName name="Plan">#REF!</definedName>
    <definedName name="Plan_Acum.">#REF!</definedName>
    <definedName name="PLAN_BRANDFX">#REF!</definedName>
    <definedName name="plana">#REF!</definedName>
    <definedName name="PLANES">#REF!</definedName>
    <definedName name="PLANES_1">#REF!</definedName>
    <definedName name="PLANESFEBRERO">#REF!</definedName>
    <definedName name="PLANESS">#REF!</definedName>
    <definedName name="PLANESS_1">#REF!</definedName>
    <definedName name="Planilla_Ana_y_los_7">#REF!</definedName>
    <definedName name="planilla_Ana_y_los_siete">#REF!</definedName>
    <definedName name="planilla_Aquí_no_Hay_quien_Viva">#REF!</definedName>
    <definedName name="planilla_bajo_sosp">#REF!</definedName>
    <definedName name="planilla_Cárceles">#REF!</definedName>
    <definedName name="planilla_cine_familiar">#REF!</definedName>
    <definedName name="planilla_cine_term">#REF!</definedName>
    <definedName name="planilla_cine_transnoche">#REF!</definedName>
    <definedName name="planilla_combate_estelar">#REF!</definedName>
    <definedName name="planilla_corin_tellado">#REF!</definedName>
    <definedName name="Planilla_cuanto_me_quieres">#REF!</definedName>
    <definedName name="Planilla_Detrás">#REF!</definedName>
    <definedName name="planilla_Detrás_de_la_Pantalla__Fin_Sem">#REF!</definedName>
    <definedName name="planilla_diosa_magra">#REF!</definedName>
    <definedName name="Planilla_Documentos">#REF!</definedName>
    <definedName name="planilla_Doña_Barbara">#REF!</definedName>
    <definedName name="planilla_Drake_y_Josh">#REF!</definedName>
    <definedName name="planilla_el_clon">#REF!</definedName>
    <definedName name="Planilla_El_club">#REF!</definedName>
    <definedName name="Planilla_El_club_de_la_comedia">#REF!</definedName>
    <definedName name="Planilla_El_diario">#REF!</definedName>
    <definedName name="Planilla_El_Juramento">#REF!</definedName>
    <definedName name="planilla_el_mago">#REF!</definedName>
    <definedName name="planilla_el_mago_rep">#REF!</definedName>
    <definedName name="Planilla_El_poder_del_10">#REF!</definedName>
    <definedName name="Planilla_El_Rostro_de_Analía">#REF!</definedName>
    <definedName name="planilla_el_zorro">#REF!</definedName>
    <definedName name="Planilla_En_la_mira">#REF!</definedName>
    <definedName name="Planilla_Esclava">#REF!</definedName>
    <definedName name="Planilla_Estos_niños">#REF!</definedName>
    <definedName name="planilla_festival">#REF!</definedName>
    <definedName name="planilla_Fiebre_de_Baile">#REF!</definedName>
    <definedName name="Planilla_Fiebre_finde">#REF!</definedName>
    <definedName name="Planilla_formula_1">#REF!</definedName>
    <definedName name="planilla_fragmentos">#REF!</definedName>
    <definedName name="planilla_futbol">#REF!</definedName>
    <definedName name="Planilla_futbol_arg">#REF!</definedName>
    <definedName name="Planilla_Gente_como_tu">#REF!</definedName>
    <definedName name="planilla_grsls">#REF!</definedName>
    <definedName name="planilla_Hermanos_y_Detectives">#REF!</definedName>
    <definedName name="Planilla_Historias">#REF!</definedName>
    <definedName name="planilla_Historias_de_campo">#REF!</definedName>
    <definedName name="Planilla_Humanos">#REF!</definedName>
    <definedName name="planilla_humanos2">#REF!</definedName>
    <definedName name="planilla_Humor_CHV">#REF!</definedName>
    <definedName name="Planilla_Infieles">#REF!</definedName>
    <definedName name="Planilla_Invasion">#REF!</definedName>
    <definedName name="planilla_Kiruza_Kiruza">#REF!</definedName>
    <definedName name="Planilla_La_jueza">#REF!</definedName>
    <definedName name="planilla_la_tormenta">#REF!</definedName>
    <definedName name="Planilla_La_traicioin">#REF!</definedName>
    <definedName name="Planilla_Lucha_libre">#REF!</definedName>
    <definedName name="planilla_Mago_Enmascarado__rep">#REF!</definedName>
    <definedName name="Planilla_Mala_cond_resumen">#REF!</definedName>
    <definedName name="Planilla_Mala_conducta">#REF!</definedName>
    <definedName name="Planilla_Mala_conducta_rep">#REF!</definedName>
    <definedName name="planilla_Manuel_Rodriguez">#REF!</definedName>
    <definedName name="planilla_mas_sabe_el_diablo">#REF!</definedName>
    <definedName name="planilla_Más_Sabe_el_Diablo">'[50]Planilla datos 2009'!$A$43</definedName>
    <definedName name="planilla_mejeres_res">#REF!</definedName>
    <definedName name="Planilla_mi_verdad">#REF!</definedName>
    <definedName name="Planilla_Mis_Años_Grossos">#REF!</definedName>
    <definedName name="planilla_Mis_Años_Grossos__Dgo.">#REF!</definedName>
    <definedName name="Planilla_Mis_Años_Grossos__Rep.">#REF!</definedName>
    <definedName name="Planilla_Mis_Años_Grossos__Sab.">#REF!</definedName>
    <definedName name="planilla_mujeres">#REF!</definedName>
    <definedName name="Planilla_Mujeres_que">#REF!</definedName>
    <definedName name="planilla_niños_ricos">#REF!</definedName>
    <definedName name="Planilla_Noticias_AM">#REF!</definedName>
    <definedName name="Planilla_Noticias_Central">#REF!</definedName>
    <definedName name="Planilla_Noticias_Noche">#REF!</definedName>
    <definedName name="Planilla_noticias_noche_dom">#REF!</definedName>
    <definedName name="planilla_Noticias_noche_L_V">#REF!</definedName>
    <definedName name="Planilla_noticias_noche_sab">#REF!</definedName>
    <definedName name="Planilla_Noticias_tarde">#REF!</definedName>
    <definedName name="Planilla_Noticias_tardeSyD">#REF!</definedName>
    <definedName name="Planilla_Paraíso_Tropical">#REF!</definedName>
    <definedName name="Planilla_Pecados">#REF!</definedName>
    <definedName name="planilla_peligro_latente">#REF!</definedName>
    <definedName name="Planilla_Policías">#REF!</definedName>
    <definedName name="Planilla_Primer">#REF!</definedName>
    <definedName name="planilla_Primer_Plano__Especial">#REF!</definedName>
    <definedName name="planilla_primer_plano_esp">#REF!</definedName>
    <definedName name="Planilla_Prueba_amor">#REF!</definedName>
    <definedName name="Planilla_Puro_Cine">#REF!</definedName>
    <definedName name="planilla_Resumen_Yingo">#REF!</definedName>
    <definedName name="planilla_series_nacionales">#REF!</definedName>
    <definedName name="Planilla_Series_Nacionales___Dgo">#REF!</definedName>
    <definedName name="planilla_series_sabado">#REF!</definedName>
    <definedName name="planilla_show_goles">#REF!</definedName>
    <definedName name="Planilla_siete_dias">#REF!</definedName>
    <definedName name="planilla_Sin_Anestesia">#REF!</definedName>
    <definedName name="Planilla_Sin_Anestesia_Resumen">#REF!</definedName>
    <definedName name="Planilla_Sin_verguenza">#REF!</definedName>
    <definedName name="Planilla_Sin_Vergüenza_L_V">#REF!</definedName>
    <definedName name="Planilla_Sin_verguenza_LaV">#REF!</definedName>
    <definedName name="planilla_SOS">#REF!</definedName>
    <definedName name="Planilla_SQP">#REF!</definedName>
    <definedName name="Planilla_Sueños">#REF!</definedName>
    <definedName name="Planilla_Teatro">#REF!</definedName>
    <definedName name="Planilla_Tolerancia">#REF!</definedName>
    <definedName name="Planilla_Ultima_Mirada">#REF!</definedName>
    <definedName name="planilla_usted_no_me_conoce">'[50]Planilla datos 2009'!$A$16</definedName>
    <definedName name="Planilla_Viejo_Zorro">#REF!</definedName>
    <definedName name="Planilla_Vuelveme_a_Querer">#REF!</definedName>
    <definedName name="Planilla_Windfall">#REF!</definedName>
    <definedName name="Planilla_Yingo">#REF!</definedName>
    <definedName name="planilla_zorro">'[51]Planilla datos 2009'!$A$43</definedName>
    <definedName name="planillaa_Windfall">#REF!</definedName>
    <definedName name="pLANMEDIOS">#REF!</definedName>
    <definedName name="planning">#REF!</definedName>
    <definedName name="Plataforma">#REF!</definedName>
    <definedName name="platilla">#REF!</definedName>
    <definedName name="plaza1">#REF!</definedName>
    <definedName name="plazo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azo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li">'[40]Hoja2 (2)'!$D$10:$U$4895</definedName>
    <definedName name="PLK" localSheetId="0">#REF!</definedName>
    <definedName name="PLK">#REF!</definedName>
    <definedName name="plnannig">#REF!</definedName>
    <definedName name="plop">[35]Sheet1!$A$5:$F$56</definedName>
    <definedName name="plus">'[52]Tarifa PLUS'!$A$8:$O$19</definedName>
    <definedName name="plusdic">'[44]Tarifa PLUS'!$A$7:$O$21</definedName>
    <definedName name="PM" localSheetId="0">#REF!</definedName>
    <definedName name="PM">#REF!</definedName>
    <definedName name="PNOV">#REF!</definedName>
    <definedName name="pñ">#REF!</definedName>
    <definedName name="po">#REF!</definedName>
    <definedName name="POC">#REF!</definedName>
    <definedName name="POCT">#REF!</definedName>
    <definedName name="poct2">#REF!</definedName>
    <definedName name="PODY">#REF!</definedName>
    <definedName name="POI">#REF!</definedName>
    <definedName name="Policias_en_accion">#REF!</definedName>
    <definedName name="Ponds">#REF!</definedName>
    <definedName name="popopp">#REF!</definedName>
    <definedName name="por">#REF!</definedName>
    <definedName name="PORC">#REF!</definedName>
    <definedName name="porcentaje">[20]bases!$E$9:$G$30</definedName>
    <definedName name="porcentajeprime">[6]bases!$E$9:$G$34</definedName>
    <definedName name="PORTADA">#REF!</definedName>
    <definedName name="portada1">#REF!</definedName>
    <definedName name="pos">#REF!</definedName>
    <definedName name="pos_1">#REF!</definedName>
    <definedName name="PosiciónCabecera">#REF!</definedName>
    <definedName name="Posiciones">#REF!</definedName>
    <definedName name="PosPrimeraDuración">#REF!</definedName>
    <definedName name="POST">#N/A</definedName>
    <definedName name="post10">#REF!</definedName>
    <definedName name="post20">#REF!</definedName>
    <definedName name="post30">#REF!</definedName>
    <definedName name="post40">#REF!</definedName>
    <definedName name="post60">#REF!</definedName>
    <definedName name="post70">#REF!</definedName>
    <definedName name="post80">#REF!</definedName>
    <definedName name="post90">#REF!</definedName>
    <definedName name="POSTALES">#REF!</definedName>
    <definedName name="posting">#REF!</definedName>
    <definedName name="pot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ot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P">#REF!</definedName>
    <definedName name="ppago">#REF!</definedName>
    <definedName name="ppjul">#REF!</definedName>
    <definedName name="PPP">#REF!</definedName>
    <definedName name="pppp">#REF!</definedName>
    <definedName name="ppppp">#REF!</definedName>
    <definedName name="pppppppp">#REF!</definedName>
    <definedName name="ppppppppp">#REF!</definedName>
    <definedName name="pq">#N/A</definedName>
    <definedName name="PR">#REF!</definedName>
    <definedName name="Pr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prd">#REF!</definedName>
    <definedName name="prec">#REF!</definedName>
    <definedName name="PREFABR">#REF!</definedName>
    <definedName name="PREFERENCE">#REF!</definedName>
    <definedName name="prefijos">[19]Tablas!$B$3:$C$12</definedName>
    <definedName name="PRELAUIO" localSheetId="0">#REF!</definedName>
    <definedName name="PRELAUIO">#REF!</definedName>
    <definedName name="premezclas">#REF!</definedName>
    <definedName name="Premium_Sites">#REF!</definedName>
    <definedName name="pren">#REF!</definedName>
    <definedName name="prene">#REF!</definedName>
    <definedName name="prene2">#REF!</definedName>
    <definedName name="prensa">#REF!</definedName>
    <definedName name="Prensa_formato">[28]!Tabla11[Prensa_formato]</definedName>
    <definedName name="Prensa1" localSheetId="0">#REF!</definedName>
    <definedName name="Prensa1">#REF!</definedName>
    <definedName name="PRENSA2">#REF!</definedName>
    <definedName name="prensayr">#REF!</definedName>
    <definedName name="PREPROD">#REF!</definedName>
    <definedName name="Presidente">#REF!</definedName>
    <definedName name="Press">#REF!</definedName>
    <definedName name="presupuesto">#REF!</definedName>
    <definedName name="PRFEB">#REF!</definedName>
    <definedName name="PRI">#REF!</definedName>
    <definedName name="PRI_FILA_ENCA_R">#REF!</definedName>
    <definedName name="Price">#REF!</definedName>
    <definedName name="price1">#REF!</definedName>
    <definedName name="priceinput">#REF!</definedName>
    <definedName name="PRIMATERIAL">#REF!</definedName>
    <definedName name="Prime_Off_Mega">#REF!</definedName>
    <definedName name="Prime_Off_Tvn">#REF!</definedName>
    <definedName name="Prime_Off_Uc">#REF!</definedName>
    <definedName name="Primer_Plano">#REF!</definedName>
    <definedName name="primer_plano_esp">#REF!</definedName>
    <definedName name="PrimeraCadena">#REF!</definedName>
    <definedName name="PRIMERDIA">#REF!</definedName>
    <definedName name="PRIMERMATERIAL">#REF!</definedName>
    <definedName name="PRINT">#REF!</definedName>
    <definedName name="Print_Area_MI">#REF!</definedName>
    <definedName name="PRINT_AREA_MI_1">#REF!</definedName>
    <definedName name="Print_Finrep_pesos">#REF!</definedName>
    <definedName name="PRINT_LC">#REF!</definedName>
    <definedName name="PRINT_TITLES_MI">#REF!</definedName>
    <definedName name="PRINT1">#REF!</definedName>
    <definedName name="PrintArea">#REF!</definedName>
    <definedName name="PRINTD">#REF!</definedName>
    <definedName name="PRINTDISCOUNT">#REF!</definedName>
    <definedName name="PRINTP">#REF!</definedName>
    <definedName name="pro">#REF!</definedName>
    <definedName name="PROD">#REF!</definedName>
    <definedName name="Prod_Contrib.">#REF!</definedName>
    <definedName name="proddahilahkharicTL">#REF!</definedName>
    <definedName name="produc">#REF!</definedName>
    <definedName name="Producción">#REF!</definedName>
    <definedName name="Product">#REF!</definedName>
    <definedName name="production">#REF!</definedName>
    <definedName name="Producto">#REF!</definedName>
    <definedName name="PRODUCTO_R">#REF!</definedName>
    <definedName name="PRODUCTS">#REF!</definedName>
    <definedName name="productsson">#REF!</definedName>
    <definedName name="prog">#REF!</definedName>
    <definedName name="prog_10">[53]PROGRAMAS!$A$2:$A$34</definedName>
    <definedName name="prog_12">[54]PROGRAMAS!$A$2:$A$34</definedName>
    <definedName name="prog_9">[54]PROGRAMAS!$A$2:$A$34</definedName>
    <definedName name="prog_9_1">[55]PROGRAMAS!$A$2:$A$34</definedName>
    <definedName name="Prog_List">#REF!</definedName>
    <definedName name="PROGRAMA">#REF!</definedName>
    <definedName name="Programa_R">#REF!</definedName>
    <definedName name="programas">'[23]1'!$A$152:$A$165</definedName>
    <definedName name="PROMEDIO" localSheetId="0">#REF!</definedName>
    <definedName name="PROMEDIO">#REF!</definedName>
    <definedName name="promobus">#REF!</definedName>
    <definedName name="Promocion">#N/A</definedName>
    <definedName name="PROP">#REF!</definedName>
    <definedName name="prop_AverageOTS">#REF!</definedName>
    <definedName name="prop_Campaign">#REF!</definedName>
    <definedName name="prop_Client">#REF!</definedName>
    <definedName name="prop_ClientDivision">#REF!</definedName>
    <definedName name="prop_Country">#REF!</definedName>
    <definedName name="prop_Currency">[56]Flow!#REF!</definedName>
    <definedName name="prop_Date">[56]Flow!#REF!</definedName>
    <definedName name="prop_ExchangeRate" localSheetId="0">#REF!</definedName>
    <definedName name="prop_ExchangeRate">#REF!</definedName>
    <definedName name="prop_IndirectExchangeRate">#REF!</definedName>
    <definedName name="prop_MediaBuyingTarget">#REF!</definedName>
    <definedName name="prop_MediaType">#REF!</definedName>
    <definedName name="prop_PercentageCover">#REF!</definedName>
    <definedName name="prop_PlanNumber">[56]Flow!#REF!</definedName>
    <definedName name="prop_ProductArea" localSheetId="0">#REF!</definedName>
    <definedName name="prop_ProductArea">#REF!</definedName>
    <definedName name="prop_Quotation">#REF!</definedName>
    <definedName name="prop_Source">#REF!</definedName>
    <definedName name="prop_UniverseSize">#REF!</definedName>
    <definedName name="prop_Year">#REF!</definedName>
    <definedName name="proui">#REF!</definedName>
    <definedName name="PROVEEDOR">#REF!</definedName>
    <definedName name="PROVEEDOR_R">#REF!</definedName>
    <definedName name="provincia">#REF!</definedName>
    <definedName name="PRT">#REF!</definedName>
    <definedName name="PRTCD">#REF!</definedName>
    <definedName name="prubea">#REF!</definedName>
    <definedName name="prueba">#REF!</definedName>
    <definedName name="Prueba_de_amor">#REF!</definedName>
    <definedName name="ps">#REF!</definedName>
    <definedName name="psauta">#REF!</definedName>
    <definedName name="PSD">#REF!</definedName>
    <definedName name="PSEP">#REF!</definedName>
    <definedName name="PSEP2">#REF!</definedName>
    <definedName name="PT">#REF!</definedName>
    <definedName name="PTO">#REF!</definedName>
    <definedName name="PtoMGSE">#REF!</definedName>
    <definedName name="ptomontt2">'[13]Regiones Noviembre 2002'!$BP$69:$BY$122</definedName>
    <definedName name="ptv" localSheetId="0">#REF!</definedName>
    <definedName name="ptv">#REF!</definedName>
    <definedName name="PU">#REF!</definedName>
    <definedName name="publica">#N/A</definedName>
    <definedName name="PublisherLookup">[25]Data!$A$3:$B$117</definedName>
    <definedName name="Publishers">OFFSET([25]Data!$A$3,0,0,115)</definedName>
    <definedName name="pudahuel">#REF!</definedName>
    <definedName name="puebla">#REF!</definedName>
    <definedName name="PuertoMontt">#REF!</definedName>
    <definedName name="Purch_up">#REF!</definedName>
    <definedName name="Purchase">#REF!</definedName>
    <definedName name="Puro_cine">#REF!</definedName>
    <definedName name="pw">#N/A</definedName>
    <definedName name="q">#REF!</definedName>
    <definedName name="Q_BEB">#REF!</definedName>
    <definedName name="qa">#REF!</definedName>
    <definedName name="qas">#REF!</definedName>
    <definedName name="qe">#REF!</definedName>
    <definedName name="qeg">#REF!</definedName>
    <definedName name="qeg_1">#REF!</definedName>
    <definedName name="qer">#REF!</definedName>
    <definedName name="qer_1">#REF!</definedName>
    <definedName name="qjer">#REF!</definedName>
    <definedName name="qp">#REF!</definedName>
    <definedName name="qq">#REF!</definedName>
    <definedName name="qqq">#REF!</definedName>
    <definedName name="qqqqq">#REF!</definedName>
    <definedName name="qqqqqqqqq">#REF!</definedName>
    <definedName name="qqqqqqqqqqqqqq">#REF!</definedName>
    <definedName name="qqqqqqqqqqqqqqq">#REF!</definedName>
    <definedName name="qqwe">#REF!</definedName>
    <definedName name="qrrrrrrt">#REF!</definedName>
    <definedName name="qry_exportacion">#REF!</definedName>
    <definedName name="qry_flow_exportar">#REF!</definedName>
    <definedName name="qry_Mensual">#REF!</definedName>
    <definedName name="qry_Pauta_Abierta">#REF!</definedName>
    <definedName name="qry_Pauta_Abierta_2">#REF!</definedName>
    <definedName name="qry_Pauta_Local">#REF!</definedName>
    <definedName name="qry_Pauta_Paga">#REF!</definedName>
    <definedName name="qry_Spot_reporte">#REF!</definedName>
    <definedName name="qswqw">#REF!</definedName>
    <definedName name="qt">#REF!</definedName>
    <definedName name="qth">#REF!</definedName>
    <definedName name="queretaro">'[7]aca-'!#REF!</definedName>
    <definedName name="qw" localSheetId="0">#REF!</definedName>
    <definedName name="qw">#REF!</definedName>
    <definedName name="qwd">#REF!</definedName>
    <definedName name="qwd_1">#REF!</definedName>
    <definedName name="qwe">#REF!</definedName>
    <definedName name="qweqweqwer">#REF!</definedName>
    <definedName name="qwerf">#REF!</definedName>
    <definedName name="QWERT">#REF!</definedName>
    <definedName name="qwqd">#REF!</definedName>
    <definedName name="qwqd_1">#REF!</definedName>
    <definedName name="qwrgwrjtetyj">#REF!</definedName>
    <definedName name="R_Barter">#REF!</definedName>
    <definedName name="R_Bonus">#REF!</definedName>
    <definedName name="R_Daypart">#REF!</definedName>
    <definedName name="R_Fees">#REF!</definedName>
    <definedName name="R_Gross">#REF!</definedName>
    <definedName name="R_GRPs">#REF!</definedName>
    <definedName name="R_Index">#REF!</definedName>
    <definedName name="R_Length">#REF!</definedName>
    <definedName name="R_Nego">#REF!</definedName>
    <definedName name="R_Reach">#REF!</definedName>
    <definedName name="R_Spots">#REF!</definedName>
    <definedName name="R_Tax">#REF!</definedName>
    <definedName name="ra">#REF!</definedName>
    <definedName name="ra.">#REF!</definedName>
    <definedName name="Racional">#REF!</definedName>
    <definedName name="Rad">#REF!</definedName>
    <definedName name="radfin">#REF!</definedName>
    <definedName name="radio">#REF!</definedName>
    <definedName name="radio_1">#REF!</definedName>
    <definedName name="radio1">#REF!</definedName>
    <definedName name="radio2">#REF!</definedName>
    <definedName name="radiofinal">#REF!</definedName>
    <definedName name="RADIOJOSE">#REF!</definedName>
    <definedName name="radior">#REF!</definedName>
    <definedName name="radios">#REF!</definedName>
    <definedName name="radmant">#REF!</definedName>
    <definedName name="RadSpot">#REF!</definedName>
    <definedName name="RADYO">#REF!</definedName>
    <definedName name="radyo_06">#REF!</definedName>
    <definedName name="radyo_07">#REF!</definedName>
    <definedName name="radyo_08">#REF!</definedName>
    <definedName name="ram">#REF!</definedName>
    <definedName name="rancaGSE">#REF!</definedName>
    <definedName name="range">#REF!</definedName>
    <definedName name="Rango">[57]Pauta!$B$11:$O$52</definedName>
    <definedName name="Rango_tarifas" localSheetId="0">#REF!</definedName>
    <definedName name="Rango_tarifas">#REF!</definedName>
    <definedName name="rango1">#REF!</definedName>
    <definedName name="RangoCabDía">#REF!</definedName>
    <definedName name="RangoCabInforme">#REF!</definedName>
    <definedName name="RangoCanal2">#REF!</definedName>
    <definedName name="RangoCanal4">#REF!</definedName>
    <definedName name="RangoCanal5">#REF!</definedName>
    <definedName name="RangoCanal9">#REF!</definedName>
    <definedName name="RangoDP1">#REF!</definedName>
    <definedName name="RangoDuración">#REF!</definedName>
    <definedName name="RangoHoras">#REF!</definedName>
    <definedName name="RangoPieDía">#REF!</definedName>
    <definedName name="RangoPieInforme">#REF!</definedName>
    <definedName name="RangoPieInforme_1">#REF!</definedName>
    <definedName name="RANK97">#REF!</definedName>
    <definedName name="RANK97___0">#REF!</definedName>
    <definedName name="RANK97___0_12">#REF!</definedName>
    <definedName name="RANK97___0_9">#REF!</definedName>
    <definedName name="RANK97___0_9_1">#REF!</definedName>
    <definedName name="RANK97___3">#REF!</definedName>
    <definedName name="RANK97___3_12">#REF!</definedName>
    <definedName name="RANK97___3_9">#REF!</definedName>
    <definedName name="RANK97___4">#REF!</definedName>
    <definedName name="RANK97___4_12">#REF!</definedName>
    <definedName name="RANK97___4_9">#REF!</definedName>
    <definedName name="RANK97_10">#REF!</definedName>
    <definedName name="RANK97_12">#REF!</definedName>
    <definedName name="RANK97_9">#REF!</definedName>
    <definedName name="RANK97_9_1">#REF!</definedName>
    <definedName name="RANK98">#REF!</definedName>
    <definedName name="RANK98___0">#REF!</definedName>
    <definedName name="RANK98___0_12">#REF!</definedName>
    <definedName name="RANK98___0_9">#REF!</definedName>
    <definedName name="RANK98___0_9_1">#REF!</definedName>
    <definedName name="RANK98___3">#REF!</definedName>
    <definedName name="RANK98___3_12">#REF!</definedName>
    <definedName name="RANK98___3_9">#REF!</definedName>
    <definedName name="RANK98___4">#REF!</definedName>
    <definedName name="RANK98___4_12">#REF!</definedName>
    <definedName name="RANK98___4_9">#REF!</definedName>
    <definedName name="RANK98_10">#REF!</definedName>
    <definedName name="RANK98_12">#REF!</definedName>
    <definedName name="RANK98_9">#REF!</definedName>
    <definedName name="RANK98_9_1">#REF!</definedName>
    <definedName name="ranking">#REF!</definedName>
    <definedName name="RANKNOTI">#REF!</definedName>
    <definedName name="RANKNOTI___0">#REF!</definedName>
    <definedName name="RANKNOTI___0_12">#REF!</definedName>
    <definedName name="RANKNOTI___0_9">#REF!</definedName>
    <definedName name="RANKNOTI___0_9_1">#REF!</definedName>
    <definedName name="RANKNOTI___3">#REF!</definedName>
    <definedName name="RANKNOTI___3_12">#REF!</definedName>
    <definedName name="RANKNOTI___3_9">#REF!</definedName>
    <definedName name="RANKNOTI___4">#REF!</definedName>
    <definedName name="RANKNOTI___4_12">#REF!</definedName>
    <definedName name="RANKNOTI___4_9">#REF!</definedName>
    <definedName name="RANKNOTI_10">#REF!</definedName>
    <definedName name="RANKNOTI_12">#REF!</definedName>
    <definedName name="RANKNOTI_9">#REF!</definedName>
    <definedName name="RANKNOTI_9_1">#REF!</definedName>
    <definedName name="RANKOCT">#REF!</definedName>
    <definedName name="RANKOCT___0">#REF!</definedName>
    <definedName name="RANKOCT___0_12">#REF!</definedName>
    <definedName name="RANKOCT___0_9">#REF!</definedName>
    <definedName name="RANKOCT___0_9_1">#REF!</definedName>
    <definedName name="RANKOCT___3">#REF!</definedName>
    <definedName name="RANKOCT___3_12">#REF!</definedName>
    <definedName name="RANKOCT___3_9">#REF!</definedName>
    <definedName name="RANKOCT___4">#REF!</definedName>
    <definedName name="RANKOCT___4_12">#REF!</definedName>
    <definedName name="RANKOCT___4_9">#REF!</definedName>
    <definedName name="RANKOCT_10">#REF!</definedName>
    <definedName name="RANKOCT_12">#REF!</definedName>
    <definedName name="RANKOCT_9">#REF!</definedName>
    <definedName name="RANKOCT_9_1">#REF!</definedName>
    <definedName name="rara">#REF!</definedName>
    <definedName name="RAT">#REF!</definedName>
    <definedName name="RAT_T1_ACT_R">#REF!</definedName>
    <definedName name="RAT_T1_FALTAN_R">#REF!</definedName>
    <definedName name="RAT_T1_INDEX_R">#REF!</definedName>
    <definedName name="RAT_T1_PLA_R">#REF!</definedName>
    <definedName name="RAT_T2_ACT_R">#REF!</definedName>
    <definedName name="RAT_T2_FALTAN_R">#REF!</definedName>
    <definedName name="RAT_T2_INDEX_R">#REF!</definedName>
    <definedName name="RAT_T2_PLA_R">#REF!</definedName>
    <definedName name="ratcan04">#REF!</definedName>
    <definedName name="RATI2">[58]Rating1!$J$4:$K$117</definedName>
    <definedName name="RATING">#REF!</definedName>
    <definedName name="rating1">'[30]Rat M25-64C2C3'!$H$3:$I$375</definedName>
    <definedName name="rating2">'[30]Rat H25-64ABCD'!$H$1:$I$288</definedName>
    <definedName name="rating3">'[30]Rat HM18-24ABC'!$H$2:$I$290</definedName>
    <definedName name="rating4">'[30]Rat HM25-49ABC1C2'!$H$3:$I$246</definedName>
    <definedName name="rating5">'[30]Rat HM25-64ABC'!$H$3:$I$309</definedName>
    <definedName name="rating6">'[30]Rat M25-64ABC'!$H$2:$I$333</definedName>
    <definedName name="rating7">'[30]Rat HM25-64ABCD'!$H$3:$I$210</definedName>
    <definedName name="RATINGHORA">#REF!</definedName>
    <definedName name="Ratings">#REF!</definedName>
    <definedName name="RatingsDom2Can">#REF!</definedName>
    <definedName name="RatingsDom5Can">#REF!</definedName>
    <definedName name="RatingsDom9Can">#REF!</definedName>
    <definedName name="RatingsLV5Can">#REF!</definedName>
    <definedName name="RatingsLV9Can">#REF!</definedName>
    <definedName name="RatingsSab2Can">#REF!</definedName>
    <definedName name="RatingsSab5Can">#REF!</definedName>
    <definedName name="RatingsSab9Can">#REF!</definedName>
    <definedName name="ratingstarget">[30]RANGOS!$D$6:$F$18</definedName>
    <definedName name="RATNEGO">#REF!</definedName>
    <definedName name="raw">#REF!</definedName>
    <definedName name="Raw_material">#REF!</definedName>
    <definedName name="Raw_up">#REF!</definedName>
    <definedName name="rdazul">#REF!</definedName>
    <definedName name="rdfinalreal">#REF!</definedName>
    <definedName name="rdfnrl">#REF!</definedName>
    <definedName name="rdgfgsr">#REF!</definedName>
    <definedName name="RDIO">#REF!</definedName>
    <definedName name="RDIO_1">#REF!</definedName>
    <definedName name="RE">#REF!</definedName>
    <definedName name="REA">#REF!</definedName>
    <definedName name="Reach_Calculator">#REF!</definedName>
    <definedName name="REACHADULTOS">#REF!</definedName>
    <definedName name="REACHKIDS">#REF!</definedName>
    <definedName name="read">#REF!</definedName>
    <definedName name="Real">#REF!</definedName>
    <definedName name="Real_Acum.">#REF!</definedName>
    <definedName name="real2">#REF!</definedName>
    <definedName name="reb">#REF!</definedName>
    <definedName name="reb_1">#REF!</definedName>
    <definedName name="rebozadores">#REF!</definedName>
    <definedName name="RECCOP">'[23]1'!$B$173:$C$174</definedName>
    <definedName name="RECEIV" localSheetId="0">#REF!</definedName>
    <definedName name="RECEIV">#REF!</definedName>
    <definedName name="RECISTAS">#REF!</definedName>
    <definedName name="RECISTAS_1">#REF!</definedName>
    <definedName name="RECISTYAS1">#REF!</definedName>
    <definedName name="Reclutamiento">#REF!</definedName>
    <definedName name="Reclutamiento_1" hidden="1">{#N/A,#N/A,FALSE,"Pauta Prensa"}</definedName>
    <definedName name="Reclutamiento_1_1" hidden="1">{#N/A,#N/A,FALSE,"Pauta Prensa"}</definedName>
    <definedName name="Reclutamiento_1_1_1" hidden="1">{#N/A,#N/A,FALSE,"Pauta Prensa"}</definedName>
    <definedName name="Reclutamiento_1_1_1_1" hidden="1">{#N/A,#N/A,FALSE,"Pauta Prensa"}</definedName>
    <definedName name="Reclutamiento_1_1_1_1_1" hidden="1">{#N/A,#N/A,FALSE,"Pauta Prensa"}</definedName>
    <definedName name="Reclutamiento_1_1_1_1_1_1" hidden="1">{#N/A,#N/A,FALSE,"Pauta Prensa"}</definedName>
    <definedName name="Reclutamiento_1_1_2" hidden="1">{#N/A,#N/A,FALSE,"Pauta Prensa"}</definedName>
    <definedName name="Reclutamiento_1_2" hidden="1">{#N/A,#N/A,FALSE,"Pauta Prensa"}</definedName>
    <definedName name="Reclutamiento_1_2_1" hidden="1">{#N/A,#N/A,FALSE,"Pauta Prensa"}</definedName>
    <definedName name="Reclutamiento_1_3" hidden="1">{#N/A,#N/A,FALSE,"Pauta Prensa"}</definedName>
    <definedName name="Reclutamiento_1_3_1" hidden="1">{#N/A,#N/A,FALSE,"Pauta Prensa"}</definedName>
    <definedName name="Reclutamiento_2" hidden="1">{#N/A,#N/A,FALSE,"Pauta Prensa"}</definedName>
    <definedName name="Reclutamiento_2_1" hidden="1">{#N/A,#N/A,FALSE,"Pauta Prensa"}</definedName>
    <definedName name="Reclutamiento_2_1_1" hidden="1">{#N/A,#N/A,FALSE,"Pauta Prensa"}</definedName>
    <definedName name="Reclutamiento_2_1_1_1" hidden="1">{#N/A,#N/A,FALSE,"Pauta Prensa"}</definedName>
    <definedName name="Reclutamiento_2_1_2" hidden="1">{#N/A,#N/A,FALSE,"Pauta Prensa"}</definedName>
    <definedName name="Reclutamiento_2_2" hidden="1">{#N/A,#N/A,FALSE,"Pauta Prensa"}</definedName>
    <definedName name="Reclutamiento_2_2_1" hidden="1">{#N/A,#N/A,FALSE,"Pauta Prensa"}</definedName>
    <definedName name="Reclutamiento_3" hidden="1">{#N/A,#N/A,FALSE,"Pauta Prensa"}</definedName>
    <definedName name="Reclutamiento_3_1" hidden="1">{#N/A,#N/A,FALSE,"Pauta Prensa"}</definedName>
    <definedName name="Reclutamiento_3_1_1" hidden="1">{#N/A,#N/A,FALSE,"Pauta Prensa"}</definedName>
    <definedName name="Reclutamiento_3_1_1_1" hidden="1">{#N/A,#N/A,FALSE,"Pauta Prensa"}</definedName>
    <definedName name="Reclutamiento_3_1_2" hidden="1">{#N/A,#N/A,FALSE,"Pauta Prensa"}</definedName>
    <definedName name="Reclutamiento_3_2" hidden="1">{#N/A,#N/A,FALSE,"Pauta Prensa"}</definedName>
    <definedName name="Reclutamiento_3_2_1" hidden="1">{#N/A,#N/A,FALSE,"Pauta Prensa"}</definedName>
    <definedName name="Reclutamiento_4" hidden="1">{#N/A,#N/A,FALSE,"Pauta Prensa"}</definedName>
    <definedName name="Reclutamiento_4_1" hidden="1">{#N/A,#N/A,FALSE,"Pauta Prensa"}</definedName>
    <definedName name="Reclutamiento_4_1_1" hidden="1">{#N/A,#N/A,FALSE,"Pauta Prensa"}</definedName>
    <definedName name="Reclutamiento_4_1_1_1" hidden="1">{#N/A,#N/A,FALSE,"Pauta Prensa"}</definedName>
    <definedName name="Reclutamiento_4_2" hidden="1">{#N/A,#N/A,FALSE,"Pauta Prensa"}</definedName>
    <definedName name="Reclutamiento_4_2_1" hidden="1">{#N/A,#N/A,FALSE,"Pauta Prensa"}</definedName>
    <definedName name="Reclutamiento_5" hidden="1">{#N/A,#N/A,FALSE,"Pauta Prensa"}</definedName>
    <definedName name="Reclutamiento_5_1" hidden="1">{#N/A,#N/A,FALSE,"Pauta Prensa"}</definedName>
    <definedName name="Reclutamiento_5_1_1" hidden="1">{#N/A,#N/A,FALSE,"Pauta Prensa"}</definedName>
    <definedName name="Reclutamiento_5_1_1_1" hidden="1">{#N/A,#N/A,FALSE,"Pauta Prensa"}</definedName>
    <definedName name="Reclutamiento_5_2" hidden="1">{#N/A,#N/A,FALSE,"Pauta Prensa"}</definedName>
    <definedName name="Reclutamiento_5_2_1" hidden="1">{#N/A,#N/A,FALSE,"Pauta Prensa"}</definedName>
    <definedName name="RECORD">#REF!</definedName>
    <definedName name="RED">[24]Data!#REF!</definedName>
    <definedName name="redfre" localSheetId="0">#REF!</definedName>
    <definedName name="redfre">#REF!</definedName>
    <definedName name="REDMNOV00">#REF!</definedName>
    <definedName name="redrmnov00">#REF!</definedName>
    <definedName name="refl">#REF!</definedName>
    <definedName name="REFORMA">#REF!</definedName>
    <definedName name="regiones">#REF!</definedName>
    <definedName name="regiones1">'[59]Tarifas Febrero 2013'!$B$3:$BD$58</definedName>
    <definedName name="regiones2">'[59]Tarifas Febrero 2013'!$B$70:$BL$128</definedName>
    <definedName name="regmet">[60]DatosTP!$C$5:$K$27</definedName>
    <definedName name="REGMETGSE">[60]DatosTP!$D$32:$E$41</definedName>
    <definedName name="REN" localSheetId="0">#REF!</definedName>
    <definedName name="REN">#REF!</definedName>
    <definedName name="RENE">#REF!</definedName>
    <definedName name="Renglon">#REF!</definedName>
    <definedName name="REP">#REF!</definedName>
    <definedName name="REP_1">#REF!</definedName>
    <definedName name="Reparto">#REF!</definedName>
    <definedName name="REPETICIONES">#REF!</definedName>
    <definedName name="Reporte">#REF!</definedName>
    <definedName name="Representante">#REF!</definedName>
    <definedName name="REREERE">#REF!</definedName>
    <definedName name="RES">#REF!</definedName>
    <definedName name="reserva">#REF!</definedName>
    <definedName name="Reservas_Dólares">#REF!</definedName>
    <definedName name="Reservas_Pesos">#REF!</definedName>
    <definedName name="RESP_MEDIOS_R">#REF!</definedName>
    <definedName name="respaldo">[19]Tablas!$I$3:$I$5</definedName>
    <definedName name="RESRADIOXGPO2" localSheetId="0">#REF!</definedName>
    <definedName name="RESRADIOXGPO2">#REF!</definedName>
    <definedName name="resrat">'[30]res rat'!$C$2:$J$1348</definedName>
    <definedName name="Resu">#REF!</definedName>
    <definedName name="RESULTS">#REF!</definedName>
    <definedName name="Resumen">#N/A</definedName>
    <definedName name="resumen2">#REF!</definedName>
    <definedName name="resumen3">#REF!</definedName>
    <definedName name="resumn">#REF!</definedName>
    <definedName name="ret">#REF!</definedName>
    <definedName name="RETE">#REF!</definedName>
    <definedName name="retg">#REF!</definedName>
    <definedName name="retg_1">#REF!</definedName>
    <definedName name="Retrieve_LC">#REF!</definedName>
    <definedName name="Retrieve_TC">#REF!</definedName>
    <definedName name="Retrive">#REF!</definedName>
    <definedName name="Retrive01">#REF!</definedName>
    <definedName name="Retrive011">#REF!</definedName>
    <definedName name="Retrive02">#REF!</definedName>
    <definedName name="Retrived">#REF!</definedName>
    <definedName name="RetriveD02">#REF!</definedName>
    <definedName name="Retrivek">#REF!</definedName>
    <definedName name="Retrivek02">#REF!</definedName>
    <definedName name="retwry">#REF!</definedName>
    <definedName name="REV">#REF!</definedName>
    <definedName name="REV_1">#REF!</definedName>
    <definedName name="Revaluación_del_Mes">#REF!</definedName>
    <definedName name="revcar">#REF!</definedName>
    <definedName name="REVDTV">#REF!</definedName>
    <definedName name="revision">#REF!</definedName>
    <definedName name="revista">#REF!</definedName>
    <definedName name="Revista_formato">[28]!Tabla12[Revista_formato]</definedName>
    <definedName name="Revistas" localSheetId="0">#REF!</definedName>
    <definedName name="Revistas">#REF!</definedName>
    <definedName name="REVISTAS_1">#REF!</definedName>
    <definedName name="REVISTAS1">#REF!</definedName>
    <definedName name="REVISTAS2">#REF!</definedName>
    <definedName name="revostas">#REF!</definedName>
    <definedName name="RF">#REF!</definedName>
    <definedName name="rfe">#REF!</definedName>
    <definedName name="rfr">#N/A</definedName>
    <definedName name="rfrfr">#REF!</definedName>
    <definedName name="rg">#REF!</definedName>
    <definedName name="rgdgd">#REF!</definedName>
    <definedName name="rgdgd_1">#REF!</definedName>
    <definedName name="RGDGD1">#REF!</definedName>
    <definedName name="ri">#REF!</definedName>
    <definedName name="Rich_Media">#REF!</definedName>
    <definedName name="Rioja">#REF!</definedName>
    <definedName name="RK">#REF!</definedName>
    <definedName name="RK982554___0">#REF!</definedName>
    <definedName name="RK982554___0_12">#REF!</definedName>
    <definedName name="RK982554___0_9">#REF!</definedName>
    <definedName name="RK982554___0_9_1">#REF!</definedName>
    <definedName name="RK982554___3">#REF!</definedName>
    <definedName name="RK982554___3_12">#REF!</definedName>
    <definedName name="RK982554___3_9">#REF!</definedName>
    <definedName name="RK982554___4">#REF!</definedName>
    <definedName name="RK982554___4_12">#REF!</definedName>
    <definedName name="RK982554___4_9">#REF!</definedName>
    <definedName name="RK982554_10">#REF!</definedName>
    <definedName name="RK982554_12">#REF!</definedName>
    <definedName name="RK982554_9">#REF!</definedName>
    <definedName name="RK982554_9_1">#REF!</definedName>
    <definedName name="RK982559___0">#REF!</definedName>
    <definedName name="RK982559___0_12">#REF!</definedName>
    <definedName name="RK982559___0_9">#REF!</definedName>
    <definedName name="RK982559___0_9_1">#REF!</definedName>
    <definedName name="RK982559___3">#REF!</definedName>
    <definedName name="RK982559___3_12">#REF!</definedName>
    <definedName name="RK982559___3_9">#REF!</definedName>
    <definedName name="RK982559___4">#REF!</definedName>
    <definedName name="RK982559___4_12">#REF!</definedName>
    <definedName name="RK982559___4_9">#REF!</definedName>
    <definedName name="RK982559_10">#REF!</definedName>
    <definedName name="RK982559_12">#REF!</definedName>
    <definedName name="RK982559_9">#REF!</definedName>
    <definedName name="RK982559_9_1">#REF!</definedName>
    <definedName name="RKGOOD3">#REF!</definedName>
    <definedName name="RKOCT">#REF!</definedName>
    <definedName name="RKOCT___0">#REF!</definedName>
    <definedName name="RKOCT___0_12">#REF!</definedName>
    <definedName name="RKOCT___0_9">#REF!</definedName>
    <definedName name="RKOCT___0_9_1">#REF!</definedName>
    <definedName name="RKOCT___3">#REF!</definedName>
    <definedName name="RKOCT___3_12">#REF!</definedName>
    <definedName name="RKOCT___3_9">#REF!</definedName>
    <definedName name="RKOCT___4">#REF!</definedName>
    <definedName name="RKOCT___4_12">#REF!</definedName>
    <definedName name="RKOCT___4_9">#REF!</definedName>
    <definedName name="RKOCT_10">#REF!</definedName>
    <definedName name="RKOCT_12">#REF!</definedName>
    <definedName name="RKOCT_9">#REF!</definedName>
    <definedName name="RKOCT_9_1">#REF!</definedName>
    <definedName name="RKTV">#REF!</definedName>
    <definedName name="RM">#REF!</definedName>
    <definedName name="RMDDC">#REF!</definedName>
    <definedName name="RMGSE">#REF!</definedName>
    <definedName name="RNG1CHG">#REF!</definedName>
    <definedName name="RNG1PL">#REF!</definedName>
    <definedName name="RNG2CHG">#REF!</definedName>
    <definedName name="RNG2PL">#REF!</definedName>
    <definedName name="RNG3CHG">#REF!</definedName>
    <definedName name="RNG3PL">#REF!</definedName>
    <definedName name="roba">#REF!</definedName>
    <definedName name="robaplana">#REF!</definedName>
    <definedName name="rodrigo" localSheetId="0">#N/A</definedName>
    <definedName name="rodrigo">[0]!rodrigo</definedName>
    <definedName name="roge" localSheetId="0">#REF!</definedName>
    <definedName name="roge">#REF!</definedName>
    <definedName name="rojo">#REF!</definedName>
    <definedName name="rojoradio">#REF!</definedName>
    <definedName name="Rolling_Stone">#REF!</definedName>
    <definedName name="ROMA">#N/A</definedName>
    <definedName name="roman">#REF!</definedName>
    <definedName name="román">#REF!</definedName>
    <definedName name="ROMI">#REF!</definedName>
    <definedName name="ROMITA">#REF!</definedName>
    <definedName name="ROMITA_1">#REF!</definedName>
    <definedName name="RORRIS">#REF!</definedName>
    <definedName name="RosaB3T">#REF!</definedName>
    <definedName name="rosario">#REF!</definedName>
    <definedName name="Rotación">#REF!</definedName>
    <definedName name="rotate">#REF!</definedName>
    <definedName name="rr">#REF!</definedName>
    <definedName name="rrrr">#REF!</definedName>
    <definedName name="RRRRR">#REF!</definedName>
    <definedName name="RRRRRRRR">#REF!</definedName>
    <definedName name="rrrrrrrrrr">#REF!</definedName>
    <definedName name="rrrrrrrrrrr">#REF!</definedName>
    <definedName name="rrrrrrrrrrrr">#REF!</definedName>
    <definedName name="rrrrrrrrrrrrrrrr">#REF!</definedName>
    <definedName name="RRTGG">#REF!</definedName>
    <definedName name="rt">#REF!</definedName>
    <definedName name="RTD">#REF!</definedName>
    <definedName name="rth">#REF!</definedName>
    <definedName name="rtr">#REF!</definedName>
    <definedName name="rtrey">#REF!</definedName>
    <definedName name="RTTTGH">#REF!</definedName>
    <definedName name="rty">#REF!</definedName>
    <definedName name="ru">#REF!</definedName>
    <definedName name="rub_anun">[41]Anunciantes!$A$1:$C$65536</definedName>
    <definedName name="rubros">[10]Rubros!$A$1:$A$65536</definedName>
    <definedName name="rut" localSheetId="0">#REF!</definedName>
    <definedName name="rut">#REF!</definedName>
    <definedName name="rutye">#REF!</definedName>
    <definedName name="rvs">#REF!</definedName>
    <definedName name="rytu">[0]!rytu</definedName>
    <definedName name="ryu">#REF!</definedName>
    <definedName name="ryuk">#REF!</definedName>
    <definedName name="S">#REF!</definedName>
    <definedName name="S_1">#REF!</definedName>
    <definedName name="S_Reg">#REF!</definedName>
    <definedName name="SA">#REF!</definedName>
    <definedName name="saassa">#N/A</definedName>
    <definedName name="SAAT">#REF!</definedName>
    <definedName name="Sabado">#REF!</definedName>
    <definedName name="sabah">#REF!</definedName>
    <definedName name="SabanaMensual">#REF!</definedName>
    <definedName name="sad">#REF!</definedName>
    <definedName name="sadas">#N/A</definedName>
    <definedName name="sadasdasd">#N/A</definedName>
    <definedName name="sadasdasdxas">#N/A</definedName>
    <definedName name="SADJHFBVI">#REF!</definedName>
    <definedName name="sadsdsds">#N/A</definedName>
    <definedName name="saf" localSheetId="0">#N/A</definedName>
    <definedName name="saf">[0]!saf</definedName>
    <definedName name="safa" localSheetId="0">#REF!</definedName>
    <definedName name="safa">#REF!</definedName>
    <definedName name="safd" localSheetId="0">#N/A</definedName>
    <definedName name="safd">[0]!safd</definedName>
    <definedName name="safgftgt" localSheetId="0">#REF!</definedName>
    <definedName name="safgftgt">#REF!</definedName>
    <definedName name="sAgencia1">#REF!</definedName>
    <definedName name="sAgencia2">#REF!</definedName>
    <definedName name="sAgencia4">#REF!</definedName>
    <definedName name="sAgencia4Pre">#REF!</definedName>
    <definedName name="SAJI">#REF!</definedName>
    <definedName name="SAJITA">#REF!</definedName>
    <definedName name="SAL">#REF!</definedName>
    <definedName name="sala">#REF!</definedName>
    <definedName name="SalaCat">'[19]Salas 2'!$A$2:$E$151</definedName>
    <definedName name="Saldo_Final" localSheetId="0">#REF!</definedName>
    <definedName name="Saldo_Final">#REF!</definedName>
    <definedName name="Saldo_Inicial">#REF!</definedName>
    <definedName name="Sales_tons">#REF!</definedName>
    <definedName name="SalesPerson">[24]Data!#REF!</definedName>
    <definedName name="Salta" localSheetId="0">#REF!</definedName>
    <definedName name="Salta">#REF!</definedName>
    <definedName name="san">#REF!</definedName>
    <definedName name="SANDRA">#REF!</definedName>
    <definedName name="SANDRAESP">#REF!</definedName>
    <definedName name="santo">#REF!</definedName>
    <definedName name="SAP_Licence">#REF!</definedName>
    <definedName name="SAPBEXrevision" hidden="1">1</definedName>
    <definedName name="SAPBEXsysID" hidden="1">"W7P"</definedName>
    <definedName name="SAPBEXwbID" hidden="1">"424X20M7YDT08L5GWKRXB1UW2"</definedName>
    <definedName name="sAprobadoNom">#REF!</definedName>
    <definedName name="sara">#REF!</definedName>
    <definedName name="sArchivo">#REF!</definedName>
    <definedName name="sArchivo_1">#REF!</definedName>
    <definedName name="sAreaA">#REF!</definedName>
    <definedName name="sAreaB">#REF!</definedName>
    <definedName name="SASA">#REF!</definedName>
    <definedName name="SASASA">#REF!</definedName>
    <definedName name="sat">#REF!</definedName>
    <definedName name="sat_1">#REF!</definedName>
    <definedName name="SAVE">#REF!</definedName>
    <definedName name="sBoni1">#REF!</definedName>
    <definedName name="sBoni1_1">#REF!</definedName>
    <definedName name="sBoni2">#REF!</definedName>
    <definedName name="sBoni2_1">#REF!</definedName>
    <definedName name="sBoni3">#REF!</definedName>
    <definedName name="sBoni3_1">#REF!</definedName>
    <definedName name="sBoni4">#REF!</definedName>
    <definedName name="sBoni4_1">#REF!</definedName>
    <definedName name="sBoni5">#REF!</definedName>
    <definedName name="sBoni5_1">#REF!</definedName>
    <definedName name="sCampana">#REF!</definedName>
    <definedName name="sCampana_1">#REF!</definedName>
    <definedName name="sCampanaNom">#REF!</definedName>
    <definedName name="sCanales">#REF!</definedName>
    <definedName name="sCanales_1">#REF!</definedName>
    <definedName name="sCanales2">#REF!</definedName>
    <definedName name="sCanales2_1">#REF!</definedName>
    <definedName name="sCanales2Can">#REF!</definedName>
    <definedName name="sCanales2Can_1">#REF!</definedName>
    <definedName name="sCanales2Dur">#REF!</definedName>
    <definedName name="sCanales2Dur_1">#REF!</definedName>
    <definedName name="sCanales2Fja">#REF!</definedName>
    <definedName name="sCanales2Fja_1">#REF!</definedName>
    <definedName name="sCanales2Grp">#REF!</definedName>
    <definedName name="sCanales2Grp_1">#REF!</definedName>
    <definedName name="sCanales2Pos">#REF!</definedName>
    <definedName name="sCanales2Pos_1">#REF!</definedName>
    <definedName name="sCanales2Rea">#REF!</definedName>
    <definedName name="sCanales2Rea_1">#REF!</definedName>
    <definedName name="sCanales2Reb">#REF!</definedName>
    <definedName name="sCanales2Reb_1">#REF!</definedName>
    <definedName name="sCanales2Res">#REF!</definedName>
    <definedName name="sCanales2Res_1">#REF!</definedName>
    <definedName name="sCanales2Sat">#REF!</definedName>
    <definedName name="sCanales2Sat_1">#REF!</definedName>
    <definedName name="sCanales2Sem">#REF!</definedName>
    <definedName name="sCanales2Sem_1">#REF!</definedName>
    <definedName name="sCanalesCan">#REF!</definedName>
    <definedName name="sCanalesCan_1">#REF!</definedName>
    <definedName name="sCanalesDur">#REF!</definedName>
    <definedName name="sCanalesDur_1">#REF!</definedName>
    <definedName name="sCanalesFja">#REF!</definedName>
    <definedName name="sCanalesFja_1">#REF!</definedName>
    <definedName name="sCanalesGrp">#REF!</definedName>
    <definedName name="sCanalesGrp_1">#REF!</definedName>
    <definedName name="sCanalesPos">#REF!</definedName>
    <definedName name="sCanalesPos_1">#REF!</definedName>
    <definedName name="sCanalesRea">#REF!</definedName>
    <definedName name="sCanalesRea_1">#REF!</definedName>
    <definedName name="sCanalesReb">#REF!</definedName>
    <definedName name="sCanalesReb_1">#REF!</definedName>
    <definedName name="sCanalesRes">#REF!</definedName>
    <definedName name="sCanalesRes_1">#REF!</definedName>
    <definedName name="sCanalesSat">#REF!</definedName>
    <definedName name="sCanalesSat_1">#REF!</definedName>
    <definedName name="sCanalesSem">#REF!</definedName>
    <definedName name="sCanalesSem_1">#REF!</definedName>
    <definedName name="sccdc">#N/A</definedName>
    <definedName name="schedule">#REF!</definedName>
    <definedName name="sCliente">#REF!</definedName>
    <definedName name="sCliente_1">#REF!</definedName>
    <definedName name="sClienteCan">#REF!</definedName>
    <definedName name="sClienteCan_1">#REF!</definedName>
    <definedName name="sClienteDur">#REF!</definedName>
    <definedName name="sClienteDur_1">#REF!</definedName>
    <definedName name="sClienteFja">#REF!</definedName>
    <definedName name="sClienteFja_1">#REF!</definedName>
    <definedName name="sClienteGrp">#REF!</definedName>
    <definedName name="sClienteGrp_1">#REF!</definedName>
    <definedName name="sClienteNom">#REF!</definedName>
    <definedName name="sClientePos">#REF!</definedName>
    <definedName name="sClientePos_1">#REF!</definedName>
    <definedName name="sClienteRea">#REF!</definedName>
    <definedName name="sClienteRea_1">#REF!</definedName>
    <definedName name="sClienteReb">#REF!</definedName>
    <definedName name="sClienteReb_1">#REF!</definedName>
    <definedName name="sClienteRes">#REF!</definedName>
    <definedName name="sClienteRes_1">#REF!</definedName>
    <definedName name="sClienteSat">#REF!</definedName>
    <definedName name="sClienteSat_1">#REF!</definedName>
    <definedName name="sClienteSem">#REF!</definedName>
    <definedName name="sClienteSem_1">#REF!</definedName>
    <definedName name="sComisionAgn">#REF!</definedName>
    <definedName name="sComisionMPL">#REF!</definedName>
    <definedName name="sConMat">#REF!</definedName>
    <definedName name="sConvenio">#REF!</definedName>
    <definedName name="sCostes1">#REF!</definedName>
    <definedName name="sCostes1_1">#REF!</definedName>
    <definedName name="sCostes2">#REF!</definedName>
    <definedName name="sCostes2_1">#REF!</definedName>
    <definedName name="sCostes3">#REF!</definedName>
    <definedName name="sCostes3_1">#REF!</definedName>
    <definedName name="sCostes4">#REF!</definedName>
    <definedName name="sCostes4_1">#REF!</definedName>
    <definedName name="sCostes5">#REF!</definedName>
    <definedName name="sCostes5_1">#REF!</definedName>
    <definedName name="sCreacion">#REF!</definedName>
    <definedName name="sd">#REF!</definedName>
    <definedName name="sdasd">#REF!</definedName>
    <definedName name="sdd">#N/A</definedName>
    <definedName name="sdddf">#REF!</definedName>
    <definedName name="sdds">#N/A</definedName>
    <definedName name="sddsd">#REF!</definedName>
    <definedName name="sddsdok">#REF!</definedName>
    <definedName name="sder">#REF!</definedName>
    <definedName name="sDetalle">#REF!</definedName>
    <definedName name="sDetalleEsp">#REF!</definedName>
    <definedName name="sDetallePrinc">#REF!</definedName>
    <definedName name="sdf">#REF!</definedName>
    <definedName name="sdfa" localSheetId="0" hidden="1">{#N/A,#N/A,FALSE,"Pauta Prensa"}</definedName>
    <definedName name="sdfa" hidden="1">{#N/A,#N/A,FALSE,"Pauta Prensa"}</definedName>
    <definedName name="sdfasdfjañsdfljañsdf">#REF!</definedName>
    <definedName name="sdfdsdfsdsd">#N/A</definedName>
    <definedName name="sdfgds">#REF!</definedName>
    <definedName name="sdfgh">#REF!</definedName>
    <definedName name="sdfgsdfg">#REF!</definedName>
    <definedName name="SDFH">#REF!</definedName>
    <definedName name="sdfkjsd">#REF!</definedName>
    <definedName name="SDFR">#REF!</definedName>
    <definedName name="sdfsderwrwe">#REF!</definedName>
    <definedName name="sdfsdf">#REF!</definedName>
    <definedName name="sdfsdfsdf">#REF!</definedName>
    <definedName name="sdgdfgdsfgsdfgsdfgds">#REF!</definedName>
    <definedName name="sdgsdg">#REF!</definedName>
    <definedName name="SDHSDG">#REF!</definedName>
    <definedName name="sdljfacnhiod">#REF!</definedName>
    <definedName name="SDR">#REF!</definedName>
    <definedName name="sdrtstyt">#REF!</definedName>
    <definedName name="sds">#REF!</definedName>
    <definedName name="sdsd">[0]!sdsd</definedName>
    <definedName name="sdsdd">#N/A</definedName>
    <definedName name="sdsdffs">#N/A</definedName>
    <definedName name="SDSDSD">#REF!</definedName>
    <definedName name="sdsdsdsd">#REF!</definedName>
    <definedName name="sdsdsdsdds">#REF!</definedName>
    <definedName name="SDTTSTT">#REF!</definedName>
    <definedName name="sDuracion">#REF!</definedName>
    <definedName name="sDuracion_1">#REF!</definedName>
    <definedName name="sdv">#REF!</definedName>
    <definedName name="se">#N/A</definedName>
    <definedName name="Searchformance">#REF!</definedName>
    <definedName name="SED">#REF!</definedName>
    <definedName name="seg">#REF!</definedName>
    <definedName name="seg_1">#REF!</definedName>
    <definedName name="SEG_10">[53]VPS!$B$5:$M$5</definedName>
    <definedName name="SEG_12">[54]VPS!$B$5:$M$5</definedName>
    <definedName name="SEG_9">[54]VPS!$B$5:$M$5</definedName>
    <definedName name="SEG_9_1">[55]VPS!$B$5:$M$5</definedName>
    <definedName name="SEGUIMIENTO">#REF!</definedName>
    <definedName name="Segundaje">#REF!</definedName>
    <definedName name="SEGUNDO">#N/A</definedName>
    <definedName name="Selecciona_la_inversión">#REF!</definedName>
    <definedName name="SELECTED">#REF!</definedName>
    <definedName name="sem">#REF!</definedName>
    <definedName name="sem_1">#REF!</definedName>
    <definedName name="SEMANA">#REF!</definedName>
    <definedName name="SEMANAS">#REF!</definedName>
    <definedName name="SEMANAS_R">#REF!</definedName>
    <definedName name="semna">#N/A</definedName>
    <definedName name="sEncabezado">#REF!</definedName>
    <definedName name="SEP">#REF!</definedName>
    <definedName name="sepc2">#REF!</definedName>
    <definedName name="sepcahq">#REF!</definedName>
    <definedName name="sepcal">#REF!</definedName>
    <definedName name="sepcohq">#REF!</definedName>
    <definedName name="sepcol">#REF!</definedName>
    <definedName name="sepcumhq">#REF!</definedName>
    <definedName name="sepcuml">#REF!</definedName>
    <definedName name="sept">#REF!</definedName>
    <definedName name="septiembre">#REF!</definedName>
    <definedName name="SERIAL">#REF!</definedName>
    <definedName name="series_nacionales">#REF!</definedName>
    <definedName name="series_nacionales_dgo">#REF!</definedName>
    <definedName name="series_sabado">#REF!</definedName>
    <definedName name="ses">#REF!</definedName>
    <definedName name="ses_1">#REF!</definedName>
    <definedName name="SESS">#REF!</definedName>
    <definedName name="sEstado">#REF!</definedName>
    <definedName name="SETIEMBRE">#REF!</definedName>
    <definedName name="sexo">#REF!</definedName>
    <definedName name="sf">#REF!</definedName>
    <definedName name="sFactNeto">#REF!</definedName>
    <definedName name="sFactura">#REF!</definedName>
    <definedName name="sFacturaTipoNom">#REF!</definedName>
    <definedName name="sFecfin">#REF!</definedName>
    <definedName name="sFecfin_1">#REF!</definedName>
    <definedName name="sFecha">#REF!</definedName>
    <definedName name="sFechafin">#REF!</definedName>
    <definedName name="sFechaini">#REF!</definedName>
    <definedName name="sFecinicio">#REF!</definedName>
    <definedName name="sFecinicio_1">#REF!</definedName>
    <definedName name="sfgdfgsfg">#REF!</definedName>
    <definedName name="sFolioCte">#REF!</definedName>
    <definedName name="sFolioMPL">#REF!</definedName>
    <definedName name="sFolioNum">#REF!</definedName>
    <definedName name="sfsd">#REF!</definedName>
    <definedName name="sfsdf">#REF!</definedName>
    <definedName name="sftjhsyju">#REF!</definedName>
    <definedName name="sftjhsyju_1">#REF!</definedName>
    <definedName name="sgagnn">#REF!</definedName>
    <definedName name="sgfgsdfg">#REF!</definedName>
    <definedName name="sGRP1">#REF!</definedName>
    <definedName name="sGRP1_1">#REF!</definedName>
    <definedName name="sGRP2">#REF!</definedName>
    <definedName name="sGRP2_1">#REF!</definedName>
    <definedName name="sGRP3">#REF!</definedName>
    <definedName name="sGRP3_1">#REF!</definedName>
    <definedName name="sGRP4">#REF!</definedName>
    <definedName name="sGRP4_1">#REF!</definedName>
    <definedName name="sGRP5">#REF!</definedName>
    <definedName name="sGRP5_1">#REF!</definedName>
    <definedName name="sgsdgsg">#REF!</definedName>
    <definedName name="sgsfgsfg">#REF!</definedName>
    <definedName name="SHANNY">#REF!</definedName>
    <definedName name="SHARE">#REF!</definedName>
    <definedName name="sHeaderCan">#REF!</definedName>
    <definedName name="sHeaderCan_1">#REF!</definedName>
    <definedName name="sHeaderDur">#REF!</definedName>
    <definedName name="sHeaderDur_1">#REF!</definedName>
    <definedName name="sHeaderFra">#REF!</definedName>
    <definedName name="sHeaderFra_1">#REF!</definedName>
    <definedName name="sHeaderGrp">#REF!</definedName>
    <definedName name="sHeaderGrp_1">#REF!</definedName>
    <definedName name="sHeaderIns">#REF!</definedName>
    <definedName name="sHeaderIns_1">#REF!</definedName>
    <definedName name="sHeaderPos">#REF!</definedName>
    <definedName name="sHeaderPos_1">#REF!</definedName>
    <definedName name="sHeaderRea">#REF!</definedName>
    <definedName name="sHeaderRea_1">#REF!</definedName>
    <definedName name="sHeaderReb">#REF!</definedName>
    <definedName name="sHeaderReb_1">#REF!</definedName>
    <definedName name="sHeaderReg">#REF!</definedName>
    <definedName name="sHeaderReg_1">#REF!</definedName>
    <definedName name="sHeaderRes">#REF!</definedName>
    <definedName name="sHeaderRes_1">#REF!</definedName>
    <definedName name="sHeaderSat">#REF!</definedName>
    <definedName name="sHeaderSat_1">#REF!</definedName>
    <definedName name="sHeaderSem">#REF!</definedName>
    <definedName name="sHeaderSem_1">#REF!</definedName>
    <definedName name="sheare">#REF!</definedName>
    <definedName name="shetherht">#REF!</definedName>
    <definedName name="Show_de_goles">#REF!</definedName>
    <definedName name="SHYE">#REF!</definedName>
    <definedName name="Siete_dias">#REF!</definedName>
    <definedName name="SIGLAS">#REF!</definedName>
    <definedName name="SIGLAS2">#REF!</definedName>
    <definedName name="sImpTotFac">#REF!</definedName>
    <definedName name="sImpTotFac1">#REF!</definedName>
    <definedName name="Sin_anestesia">#REF!</definedName>
    <definedName name="sin_anestesia_res">#REF!</definedName>
    <definedName name="Sin_verguenza">#REF!</definedName>
    <definedName name="Sin_verguenza_LaV">#REF!</definedName>
    <definedName name="sino">[19]Tablas!$E$10:$E$11</definedName>
    <definedName name="sIns1" localSheetId="0">#REF!</definedName>
    <definedName name="sIns1">#REF!</definedName>
    <definedName name="sIns1_1">#REF!</definedName>
    <definedName name="sIns2">#REF!</definedName>
    <definedName name="sIns2_1">#REF!</definedName>
    <definedName name="sIns3">#REF!</definedName>
    <definedName name="sIns3_1">#REF!</definedName>
    <definedName name="sIns4">#REF!</definedName>
    <definedName name="sIns4_1">#REF!</definedName>
    <definedName name="sIns5">#REF!</definedName>
    <definedName name="sIns5_1">#REF!</definedName>
    <definedName name="sInserCanelada">#REF!</definedName>
    <definedName name="siscom">#REF!</definedName>
    <definedName name="sisisis">#REF!</definedName>
    <definedName name="SISY">#REF!</definedName>
    <definedName name="site">#REF!</definedName>
    <definedName name="sitec">#REF!</definedName>
    <definedName name="Sizes2">[61]data!$G$2:$G$5</definedName>
    <definedName name="sJefePlanNom" localSheetId="0">#REF!</definedName>
    <definedName name="sJefePlanNom">#REF!</definedName>
    <definedName name="skaj">#REF!</definedName>
    <definedName name="SLDJJ">#REF!</definedName>
    <definedName name="sldñsdlñss">#REF!</definedName>
    <definedName name="SM">#REF!</definedName>
    <definedName name="SM_1">#REF!</definedName>
    <definedName name="sMedio">#REF!</definedName>
    <definedName name="sMedioNom">#REF!</definedName>
    <definedName name="sMesSem">#REF!</definedName>
    <definedName name="sMesSem_1">#REF!</definedName>
    <definedName name="sMonto">#REF!</definedName>
    <definedName name="sMonto_1">#REF!</definedName>
    <definedName name="sMPL1">#REF!</definedName>
    <definedName name="sMPL2">#REF!</definedName>
    <definedName name="sMPL4">#REF!</definedName>
    <definedName name="sMPL4Pre">#REF!</definedName>
    <definedName name="sNCR">#REF!</definedName>
    <definedName name="sNivel">#REF!</definedName>
    <definedName name="sNomMes">#REF!</definedName>
    <definedName name="SOBERA">#REF!</definedName>
    <definedName name="sObservaciones">#REF!</definedName>
    <definedName name="Social_Ads">#REF!</definedName>
    <definedName name="Solic.Material_Chile_Reclutamiento">#REF!</definedName>
    <definedName name="Solic.Material_Chile_Reclutamiento_1" hidden="1">{#N/A,#N/A,FALSE,"Pauta Prensa"}</definedName>
    <definedName name="Solic.Material_Chile_Reclutamiento_1_1" hidden="1">{#N/A,#N/A,FALSE,"Pauta Prensa"}</definedName>
    <definedName name="Solic.Material_Chile_Reclutamiento_1_1_1" hidden="1">{#N/A,#N/A,FALSE,"Pauta Prensa"}</definedName>
    <definedName name="Solic.Material_Chile_Reclutamiento_1_1_1_1" hidden="1">{#N/A,#N/A,FALSE,"Pauta Prensa"}</definedName>
    <definedName name="Solic.Material_Chile_Reclutamiento_1_1_1_1_1" hidden="1">{#N/A,#N/A,FALSE,"Pauta Prensa"}</definedName>
    <definedName name="Solic.Material_Chile_Reclutamiento_1_1_1_1_1_1" hidden="1">{#N/A,#N/A,FALSE,"Pauta Prensa"}</definedName>
    <definedName name="Solic.Material_Chile_Reclutamiento_1_1_2" hidden="1">{#N/A,#N/A,FALSE,"Pauta Prensa"}</definedName>
    <definedName name="Solic.Material_Chile_Reclutamiento_1_2" hidden="1">{#N/A,#N/A,FALSE,"Pauta Prensa"}</definedName>
    <definedName name="Solic.Material_Chile_Reclutamiento_1_2_1" hidden="1">{#N/A,#N/A,FALSE,"Pauta Prensa"}</definedName>
    <definedName name="Solic.Material_Chile_Reclutamiento_1_3" hidden="1">{#N/A,#N/A,FALSE,"Pauta Prensa"}</definedName>
    <definedName name="Solic.Material_Chile_Reclutamiento_1_3_1" hidden="1">{#N/A,#N/A,FALSE,"Pauta Prensa"}</definedName>
    <definedName name="Solic.Material_Chile_Reclutamiento_2" hidden="1">{#N/A,#N/A,FALSE,"Pauta Prensa"}</definedName>
    <definedName name="Solic.Material_Chile_Reclutamiento_2_1" hidden="1">{#N/A,#N/A,FALSE,"Pauta Prensa"}</definedName>
    <definedName name="Solic.Material_Chile_Reclutamiento_2_1_1" hidden="1">{#N/A,#N/A,FALSE,"Pauta Prensa"}</definedName>
    <definedName name="Solic.Material_Chile_Reclutamiento_2_1_1_1" hidden="1">{#N/A,#N/A,FALSE,"Pauta Prensa"}</definedName>
    <definedName name="Solic.Material_Chile_Reclutamiento_2_1_2" hidden="1">{#N/A,#N/A,FALSE,"Pauta Prensa"}</definedName>
    <definedName name="Solic.Material_Chile_Reclutamiento_2_2" hidden="1">{#N/A,#N/A,FALSE,"Pauta Prensa"}</definedName>
    <definedName name="Solic.Material_Chile_Reclutamiento_2_2_1" hidden="1">{#N/A,#N/A,FALSE,"Pauta Prensa"}</definedName>
    <definedName name="Solic.Material_Chile_Reclutamiento_3" hidden="1">{#N/A,#N/A,FALSE,"Pauta Prensa"}</definedName>
    <definedName name="Solic.Material_Chile_Reclutamiento_3_1" hidden="1">{#N/A,#N/A,FALSE,"Pauta Prensa"}</definedName>
    <definedName name="Solic.Material_Chile_Reclutamiento_3_1_1" hidden="1">{#N/A,#N/A,FALSE,"Pauta Prensa"}</definedName>
    <definedName name="Solic.Material_Chile_Reclutamiento_3_1_1_1" hidden="1">{#N/A,#N/A,FALSE,"Pauta Prensa"}</definedName>
    <definedName name="Solic.Material_Chile_Reclutamiento_3_1_2" hidden="1">{#N/A,#N/A,FALSE,"Pauta Prensa"}</definedName>
    <definedName name="Solic.Material_Chile_Reclutamiento_3_2" hidden="1">{#N/A,#N/A,FALSE,"Pauta Prensa"}</definedName>
    <definedName name="Solic.Material_Chile_Reclutamiento_3_2_1" hidden="1">{#N/A,#N/A,FALSE,"Pauta Prensa"}</definedName>
    <definedName name="Solic.Material_Chile_Reclutamiento_4" hidden="1">{#N/A,#N/A,FALSE,"Pauta Prensa"}</definedName>
    <definedName name="Solic.Material_Chile_Reclutamiento_4_1" hidden="1">{#N/A,#N/A,FALSE,"Pauta Prensa"}</definedName>
    <definedName name="Solic.Material_Chile_Reclutamiento_4_1_1" hidden="1">{#N/A,#N/A,FALSE,"Pauta Prensa"}</definedName>
    <definedName name="Solic.Material_Chile_Reclutamiento_4_1_1_1" hidden="1">{#N/A,#N/A,FALSE,"Pauta Prensa"}</definedName>
    <definedName name="Solic.Material_Chile_Reclutamiento_4_2" hidden="1">{#N/A,#N/A,FALSE,"Pauta Prensa"}</definedName>
    <definedName name="Solic.Material_Chile_Reclutamiento_4_2_1" hidden="1">{#N/A,#N/A,FALSE,"Pauta Prensa"}</definedName>
    <definedName name="Solic.Material_Chile_Reclutamiento_5" hidden="1">{#N/A,#N/A,FALSE,"Pauta Prensa"}</definedName>
    <definedName name="Solic.Material_Chile_Reclutamiento_5_1" hidden="1">{#N/A,#N/A,FALSE,"Pauta Prensa"}</definedName>
    <definedName name="Solic.Material_Chile_Reclutamiento_5_1_1" hidden="1">{#N/A,#N/A,FALSE,"Pauta Prensa"}</definedName>
    <definedName name="Solic.Material_Chile_Reclutamiento_5_1_1_1" hidden="1">{#N/A,#N/A,FALSE,"Pauta Prensa"}</definedName>
    <definedName name="Solic.Material_Chile_Reclutamiento_5_2" hidden="1">{#N/A,#N/A,FALSE,"Pauta Prensa"}</definedName>
    <definedName name="Solic.Material_Chile_Reclutamiento_5_2_1" hidden="1">{#N/A,#N/A,FALSE,"Pauta Prensa"}</definedName>
    <definedName name="Soososo">#REF!</definedName>
    <definedName name="Soososo_1">#REF!</definedName>
    <definedName name="Soporte_Compra">#REF!</definedName>
    <definedName name="SOPORTES">[62]Hoja1!$B$4:$B$10</definedName>
    <definedName name="SORT" localSheetId="0">#REF!</definedName>
    <definedName name="SORT">#REF!</definedName>
    <definedName name="SORTEO">#REF!</definedName>
    <definedName name="SOS">#REF!</definedName>
    <definedName name="soumaya">#REF!</definedName>
    <definedName name="SOUPS">#REF!</definedName>
    <definedName name="Spec">#REF!</definedName>
    <definedName name="spend">#REF!</definedName>
    <definedName name="sPendiente">#REF!</definedName>
    <definedName name="sPeriodo">#REF!</definedName>
    <definedName name="sPieCiudad">#REF!</definedName>
    <definedName name="sPieComprom">#REF!</definedName>
    <definedName name="sPieCuenta">#REF!</definedName>
    <definedName name="sPieEmp">#REF!</definedName>
    <definedName name="sPiePagina">#REF!</definedName>
    <definedName name="sPiePeriodo">#REF!</definedName>
    <definedName name="sPieProdto">#REF!</definedName>
    <definedName name="sPieProv">#REF!</definedName>
    <definedName name="sPieTipo">#REF!</definedName>
    <definedName name="Spirit">#REF!</definedName>
    <definedName name="sPlan01">#REF!</definedName>
    <definedName name="sPlanNom">#REF!</definedName>
    <definedName name="sPlaza">#REF!</definedName>
    <definedName name="sPlaza_1">#REF!</definedName>
    <definedName name="sPlazaCan">#REF!</definedName>
    <definedName name="sPlazaCan_1">#REF!</definedName>
    <definedName name="sPlazaDur">#REF!</definedName>
    <definedName name="sPlazaDur_1">#REF!</definedName>
    <definedName name="sPlazaFja">#REF!</definedName>
    <definedName name="sPlazaFja_1">#REF!</definedName>
    <definedName name="sPlazaGrp">#REF!</definedName>
    <definedName name="sPlazaGrp_1">#REF!</definedName>
    <definedName name="sPlazaPos">#REF!</definedName>
    <definedName name="sPlazaPos_1">#REF!</definedName>
    <definedName name="sPlazaRea">#REF!</definedName>
    <definedName name="sPlazaRea_1">#REF!</definedName>
    <definedName name="sPlazaReb">#REF!</definedName>
    <definedName name="sPlazaReb_1">#REF!</definedName>
    <definedName name="sPlazaRes">#REF!</definedName>
    <definedName name="sPlazaRes_1">#REF!</definedName>
    <definedName name="sPlazas">#REF!</definedName>
    <definedName name="sPlazas_1">#REF!</definedName>
    <definedName name="sPlazaSat">#REF!</definedName>
    <definedName name="sPlazaSat_1">#REF!</definedName>
    <definedName name="sPlazaSem">#REF!</definedName>
    <definedName name="sPlazaSem_1">#REF!</definedName>
    <definedName name="SPND1">#REF!</definedName>
    <definedName name="SPND2">#REF!</definedName>
    <definedName name="SPNDDIS">#REF!</definedName>
    <definedName name="SPNDDIS2">#REF!</definedName>
    <definedName name="SPNDDIS3">#REF!</definedName>
    <definedName name="SPOT">#REF!</definedName>
    <definedName name="spoteo">#REF!</definedName>
    <definedName name="Spotify">#REF!</definedName>
    <definedName name="spots1er">#REF!</definedName>
    <definedName name="sPresup">#REF!</definedName>
    <definedName name="sPresupComp">#REF!</definedName>
    <definedName name="sPresupNom">#REF!</definedName>
    <definedName name="sPresupTipo">#REF!</definedName>
    <definedName name="sProducto">#REF!</definedName>
    <definedName name="sProducto_1">#REF!</definedName>
    <definedName name="sProductoNom">#REF!</definedName>
    <definedName name="SQP">#REF!</definedName>
    <definedName name="SR">#REF!</definedName>
    <definedName name="sRenglon">#REF!</definedName>
    <definedName name="sRenglon_1">#REF!</definedName>
    <definedName name="sRenglonCan">#REF!</definedName>
    <definedName name="sRenglonCan_1">#REF!</definedName>
    <definedName name="sRenglonDur">#REF!</definedName>
    <definedName name="sRenglonDur_1">#REF!</definedName>
    <definedName name="sRenglonFja">#REF!</definedName>
    <definedName name="sRenglonFja_1">#REF!</definedName>
    <definedName name="sRenglonGrp">#REF!</definedName>
    <definedName name="sRenglonGrp_1">#REF!</definedName>
    <definedName name="sRenglonNeg">#REF!</definedName>
    <definedName name="sRenglonNeg_1">#REF!</definedName>
    <definedName name="sRenglonPos">#REF!</definedName>
    <definedName name="sRenglonPos_1">#REF!</definedName>
    <definedName name="sRenglonReg">#REF!</definedName>
    <definedName name="sRenglonReg_1">#REF!</definedName>
    <definedName name="sRenglonRegB">#REF!</definedName>
    <definedName name="sRenglonRegB_1">#REF!</definedName>
    <definedName name="sRenglonRes">#REF!</definedName>
    <definedName name="sRenglonRes_1">#REF!</definedName>
    <definedName name="sRenglonSat">#REF!</definedName>
    <definedName name="sRenglonSat_1">#REF!</definedName>
    <definedName name="sRenglonSem">#REF!</definedName>
    <definedName name="sRenglonSem_1">#REF!</definedName>
    <definedName name="sRepresenNom">#REF!</definedName>
    <definedName name="sRevisionNum">#REF!</definedName>
    <definedName name="srgfdrgtergte">#REF!</definedName>
    <definedName name="srjetkygfh">#REF!</definedName>
    <definedName name="ss">#REF!</definedName>
    <definedName name="ssa">#N/A</definedName>
    <definedName name="SSAAS">#REF!</definedName>
    <definedName name="ssdd">#REF!</definedName>
    <definedName name="sSemana1">#REF!</definedName>
    <definedName name="sSemana1_1">#REF!</definedName>
    <definedName name="sSemana2">#REF!</definedName>
    <definedName name="sSemana2_1">#REF!</definedName>
    <definedName name="sSemana3">#REF!</definedName>
    <definedName name="sSemana3_1">#REF!</definedName>
    <definedName name="sSemana4">#REF!</definedName>
    <definedName name="sSemana4_1">#REF!</definedName>
    <definedName name="sSemana5">#REF!</definedName>
    <definedName name="sSemana5_1">#REF!</definedName>
    <definedName name="ssgvGFS">#REF!</definedName>
    <definedName name="ssgvGFS_1">#REF!</definedName>
    <definedName name="SSLink_0">#REF!</definedName>
    <definedName name="SSLink_1">#REF!</definedName>
    <definedName name="ssqw2">#REF!</definedName>
    <definedName name="ssqwe">#REF!</definedName>
    <definedName name="SSS">#REF!</definedName>
    <definedName name="ssss">#REF!</definedName>
    <definedName name="ssss_1">#REF!</definedName>
    <definedName name="sssss">#REF!</definedName>
    <definedName name="sssss1">#REF!</definedName>
    <definedName name="sssss2">#REF!</definedName>
    <definedName name="ssssss">#REF!</definedName>
    <definedName name="ssssss_1">#REF!</definedName>
    <definedName name="SSSSSSS">#REF!</definedName>
    <definedName name="SSSSSSSS">#REF!</definedName>
    <definedName name="sssssssss">#REF!</definedName>
    <definedName name="ssssssssss">#REF!</definedName>
    <definedName name="sssssssssssssss">#REF!</definedName>
    <definedName name="sStatus">#REF!</definedName>
    <definedName name="sSumario">#REF!</definedName>
    <definedName name="ST">#REF!</definedName>
    <definedName name="StaPln">#REF!</definedName>
    <definedName name="sTarget">#REF!</definedName>
    <definedName name="sTarget_1">#REF!</definedName>
    <definedName name="sTargetCan">#REF!</definedName>
    <definedName name="sTargetCan_1">#REF!</definedName>
    <definedName name="sTargetDur">#REF!</definedName>
    <definedName name="sTargetDur_1">#REF!</definedName>
    <definedName name="sTargetFja">#REF!</definedName>
    <definedName name="sTargetFja_1">#REF!</definedName>
    <definedName name="sTargetGrp">#REF!</definedName>
    <definedName name="sTargetGrp_1">#REF!</definedName>
    <definedName name="sTargetPos">#REF!</definedName>
    <definedName name="sTargetPos_1">#REF!</definedName>
    <definedName name="sTargetRea">#REF!</definedName>
    <definedName name="sTargetRea_1">#REF!</definedName>
    <definedName name="sTargetReb">#REF!</definedName>
    <definedName name="sTargetReb_1">#REF!</definedName>
    <definedName name="sTargetRes">#REF!</definedName>
    <definedName name="sTargetRes_1">#REF!</definedName>
    <definedName name="sTargetSat">#REF!</definedName>
    <definedName name="sTargetSat_1">#REF!</definedName>
    <definedName name="sTargetSem">#REF!</definedName>
    <definedName name="sTargetSem_1">#REF!</definedName>
    <definedName name="Start_Schedule">#REF!</definedName>
    <definedName name="Start_Spot">#REF!</definedName>
    <definedName name="Start_Weekpart">#REF!</definedName>
    <definedName name="Start_Weekpart1">#REF!</definedName>
    <definedName name="starty_scheduleee">#REF!</definedName>
    <definedName name="Stationnames">#REF!</definedName>
    <definedName name="Status">'[63]Pauta Digital V1'!#REF!</definedName>
    <definedName name="stay" localSheetId="0">#REF!</definedName>
    <definedName name="stay">#REF!</definedName>
    <definedName name="sTexto01">#REF!</definedName>
    <definedName name="sTexto02">#REF!</definedName>
    <definedName name="STG">#REF!</definedName>
    <definedName name="STGH">#N/A</definedName>
    <definedName name="Stigma">#REF!</definedName>
    <definedName name="sTipoPresup">#REF!</definedName>
    <definedName name="sTitulo">#REF!</definedName>
    <definedName name="sTitulo_1">#REF!</definedName>
    <definedName name="Stones">#N/A</definedName>
    <definedName name="sTotalBoni">#REF!</definedName>
    <definedName name="sTotalBoni_1">#REF!</definedName>
    <definedName name="sTotalCol">#REF!</definedName>
    <definedName name="sTotalCol_1">#REF!</definedName>
    <definedName name="sTotalCostes">#REF!</definedName>
    <definedName name="sTotalCostes_1">#REF!</definedName>
    <definedName name="sTotalGRP">#REF!</definedName>
    <definedName name="sTotalGRP_1">#REF!</definedName>
    <definedName name="sTotalIns">#REF!</definedName>
    <definedName name="sTotalIns_1">#REF!</definedName>
    <definedName name="sTotBrtFac">#REF!</definedName>
    <definedName name="sTotNetFac">#REF!</definedName>
    <definedName name="sTotNetFac1">#REF!</definedName>
    <definedName name="sTpo1Informe">#REF!</definedName>
    <definedName name="sTpo1Informe_1">#REF!</definedName>
    <definedName name="sTpo1InformeCan">#REF!</definedName>
    <definedName name="sTpo1InformeCan_1">#REF!</definedName>
    <definedName name="sTpo1InformeDur">#REF!</definedName>
    <definedName name="sTpo1InformeDur_1">#REF!</definedName>
    <definedName name="sTpo1InformeFja">#REF!</definedName>
    <definedName name="sTpo1InformeFja_1">#REF!</definedName>
    <definedName name="sTpo1InformeGrp">#REF!</definedName>
    <definedName name="sTpo1InformeGrp_1">#REF!</definedName>
    <definedName name="sTpo1InformePos">#REF!</definedName>
    <definedName name="sTpo1InformePos_1">#REF!</definedName>
    <definedName name="sTpo1InformeRea">#REF!</definedName>
    <definedName name="sTpo1InformeRea_1">#REF!</definedName>
    <definedName name="sTpo1InformeReb">#REF!</definedName>
    <definedName name="sTpo1InformeReb_1">#REF!</definedName>
    <definedName name="sTpo1InformeRes">#REF!</definedName>
    <definedName name="sTpo1InformeRes_1">#REF!</definedName>
    <definedName name="sTpo1InformeSat">#REF!</definedName>
    <definedName name="sTpo1InformeSat_1">#REF!</definedName>
    <definedName name="sTpo1InformeSem">#REF!</definedName>
    <definedName name="sTpo1InformeSem_1">#REF!</definedName>
    <definedName name="sTpo2Informe">#REF!</definedName>
    <definedName name="sTpo2Informe_1">#REF!</definedName>
    <definedName name="sTpo2InformeCan">#REF!</definedName>
    <definedName name="sTpo2InformeCan_1">#REF!</definedName>
    <definedName name="sTpo2InformeDur">#REF!</definedName>
    <definedName name="sTpo2InformeDur_1">#REF!</definedName>
    <definedName name="sTpo2InformeFja">#REF!</definedName>
    <definedName name="sTpo2InformeFja_1">#REF!</definedName>
    <definedName name="sTpo2InformeGrp">#REF!</definedName>
    <definedName name="sTpo2InformeGrp_1">#REF!</definedName>
    <definedName name="sTpo2InformePos">#REF!</definedName>
    <definedName name="sTpo2InformePos_1">#REF!</definedName>
    <definedName name="sTpo2InformeRea">#REF!</definedName>
    <definedName name="sTpo2InformeRea_1">#REF!</definedName>
    <definedName name="sTpo2InformeReb">#REF!</definedName>
    <definedName name="sTpo2InformeReb_1">#REF!</definedName>
    <definedName name="sTpo2InformeRes">#REF!</definedName>
    <definedName name="sTpo2InformeRes_1">#REF!</definedName>
    <definedName name="sTpo2InformeSat">#REF!</definedName>
    <definedName name="sTpo2InformeSat_1">#REF!</definedName>
    <definedName name="sTpo2InformeSem">#REF!</definedName>
    <definedName name="sTpo2InformeSem_1">#REF!</definedName>
    <definedName name="STSTSTSTS">#REF!</definedName>
    <definedName name="STSTSTSTTTT">#REF!</definedName>
    <definedName name="STSTSTTT">#REF!</definedName>
    <definedName name="STSTTTSTSSS">#REF!</definedName>
    <definedName name="STSTTTTTSTTSTST">#REF!</definedName>
    <definedName name="STTTT">#REF!</definedName>
    <definedName name="SU">#REF!</definedName>
    <definedName name="sub">#REF!</definedName>
    <definedName name="Subcampana">#REF!</definedName>
    <definedName name="SubtotalRow">#REF!</definedName>
    <definedName name="Sueños_Urbanos">#REF!</definedName>
    <definedName name="sug">#N/A</definedName>
    <definedName name="SUM">#REF!</definedName>
    <definedName name="SUM_1">#REF!</definedName>
    <definedName name="SUM_M">#REF!</definedName>
    <definedName name="SUM_T">#REF!</definedName>
    <definedName name="suma">#REF!</definedName>
    <definedName name="suma.">#REF!</definedName>
    <definedName name="SUMARIO1">#REF!</definedName>
    <definedName name="SUMCHG">#REF!</definedName>
    <definedName name="summary">#REF!</definedName>
    <definedName name="SUMMARY2">#REF!</definedName>
    <definedName name="SUMNARIODS">#REF!</definedName>
    <definedName name="SUMPL">#REF!</definedName>
    <definedName name="sup">#REF!</definedName>
    <definedName name="sup_1">#REF!</definedName>
    <definedName name="super">#REF!</definedName>
    <definedName name="super_1">#REF!</definedName>
    <definedName name="Supercanal">#REF!</definedName>
    <definedName name="SUPERED">#REF!</definedName>
    <definedName name="SUPERED_1">#REF!</definedName>
    <definedName name="SURE">#REF!</definedName>
    <definedName name="susana">#REF!</definedName>
    <definedName name="sw">#REF!</definedName>
    <definedName name="swekjweiop" localSheetId="0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swekjweiop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sx">#REF!</definedName>
    <definedName name="t">#REF!</definedName>
    <definedName name="t_1">#REF!</definedName>
    <definedName name="TA_JE">#REF!</definedName>
    <definedName name="TAB">#REF!</definedName>
    <definedName name="Tabla">#REF!</definedName>
    <definedName name="Tabla_1">#REF!</definedName>
    <definedName name="tanda">'[23]1'!$B$126:$B$131</definedName>
    <definedName name="tangplusdolares" localSheetId="0">#REF!</definedName>
    <definedName name="tangplusdolares">#REF!</definedName>
    <definedName name="tangpluspesos">#REF!</definedName>
    <definedName name="taoa">#N/A</definedName>
    <definedName name="tapa2">[64]Datos!$M$163:$N$165</definedName>
    <definedName name="tapita" localSheetId="0">#REF!</definedName>
    <definedName name="tapita">#REF!</definedName>
    <definedName name="Target">#REF!</definedName>
    <definedName name="Target_Cod">#REF!</definedName>
    <definedName name="Target_Size">1198459</definedName>
    <definedName name="TARGET1">#REF!</definedName>
    <definedName name="TARGET1_R">#REF!</definedName>
    <definedName name="Target2">#REF!</definedName>
    <definedName name="TARGET2_R">#REF!</definedName>
    <definedName name="Target3">#REF!</definedName>
    <definedName name="Target4">#REF!</definedName>
    <definedName name="targete">#REF!</definedName>
    <definedName name="TARGETING">[24]Data!#REF!</definedName>
    <definedName name="TARGUET" localSheetId="0">#REF!</definedName>
    <definedName name="TARGUET">#REF!</definedName>
    <definedName name="TARIF">#REF!</definedName>
    <definedName name="tarifa">#REF!</definedName>
    <definedName name="tarifa04">#REF!</definedName>
    <definedName name="tarifa2">'[65]Tarifa 2'!$B$8:$O$107</definedName>
    <definedName name="tarifa3">#REF!</definedName>
    <definedName name="tarifa4">#REF!</definedName>
    <definedName name="tarifac4">#REF!</definedName>
    <definedName name="TARIFANETA">#REF!</definedName>
    <definedName name="TARIFAS">'[66]Mayo 03'!$A$4:$G$56</definedName>
    <definedName name="Tarifas_Chv">#REF!</definedName>
    <definedName name="tarifas_mega">'[67]Tarifas Mega'!$A$1:$B$71</definedName>
    <definedName name="Tarifas_Tvn">#REF!</definedName>
    <definedName name="Tarifas_Uc">#REF!</definedName>
    <definedName name="tarifas24h">[6]bases!$C$37:$N$39</definedName>
    <definedName name="tarifas24horas">'[6]Tarifas Canal 24H'!$B$8:$M$9</definedName>
    <definedName name="TarifaTvsa" localSheetId="0">#REF!</definedName>
    <definedName name="TarifaTvsa">#REF!</definedName>
    <definedName name="TARİH">#REF!</definedName>
    <definedName name="TARYFE">#REF!</definedName>
    <definedName name="tastt">#REF!</definedName>
    <definedName name="tat">#REF!</definedName>
    <definedName name="tatal">#REF!</definedName>
    <definedName name="TAVA">#REF!</definedName>
    <definedName name="TE">#REF!</definedName>
    <definedName name="tea">#REF!</definedName>
    <definedName name="TEAGO">#REF!</definedName>
    <definedName name="teaser">#N/A</definedName>
    <definedName name="Teatro">#REF!</definedName>
    <definedName name="ted">#REF!</definedName>
    <definedName name="tef">#REF!</definedName>
    <definedName name="TELDF">#REF!</definedName>
    <definedName name="tele">#REF!</definedName>
    <definedName name="Telefonica">#REF!</definedName>
    <definedName name="TELEMONİTÖR">#REF!</definedName>
    <definedName name="TELESP">#REF!</definedName>
    <definedName name="TELESPOT">#REF!</definedName>
    <definedName name="televisa">#REF!</definedName>
    <definedName name="TELEVISION">#REF!</definedName>
    <definedName name="TELEVISION2">#REF!</definedName>
    <definedName name="TELEVISON">#REF!</definedName>
    <definedName name="TELING">#REF!</definedName>
    <definedName name="TELINGLES">#REF!</definedName>
    <definedName name="TEMAJOB">#REF!</definedName>
    <definedName name="TEMAPLAN">#REF!</definedName>
    <definedName name="TEMAS">#REF!</definedName>
    <definedName name="TEMAY">#REF!</definedName>
    <definedName name="tene">#REF!</definedName>
    <definedName name="tenov">#REF!</definedName>
    <definedName name="TEOCT1">#REF!</definedName>
    <definedName name="TEOCT2">#REF!</definedName>
    <definedName name="ter">#REF!</definedName>
    <definedName name="Terry">#REF!</definedName>
    <definedName name="TESP">#REF!</definedName>
    <definedName name="TEST0">#REF!</definedName>
    <definedName name="TESTHKEY">#REF!</definedName>
    <definedName name="TESTKEYS">#REF!</definedName>
    <definedName name="TESTVKEY">#REF!</definedName>
    <definedName name="tete">#REF!</definedName>
    <definedName name="tevito">#N/A</definedName>
    <definedName name="TG">#REF!</definedName>
    <definedName name="tgrp">#REF!</definedName>
    <definedName name="TGRT">#REF!</definedName>
    <definedName name="TGRTYAZ">#REF!</definedName>
    <definedName name="th">#REF!</definedName>
    <definedName name="thjki">#REF!</definedName>
    <definedName name="thuy">[0]!thuy</definedName>
    <definedName name="TIER">#REF!</definedName>
    <definedName name="TIERA">#REF!</definedName>
    <definedName name="TIERB">#REF!</definedName>
    <definedName name="TIERC">#REF!</definedName>
    <definedName name="Tiicke">#REF!</definedName>
    <definedName name="tijuana">#REF!</definedName>
    <definedName name="Time_Out">#REF!</definedName>
    <definedName name="tipodeop">[19]Tablas!$B$3:$B$12</definedName>
    <definedName name="tipoformato" localSheetId="0">#REF!</definedName>
    <definedName name="tipoformato">#REF!</definedName>
    <definedName name="tiraje">#REF!</definedName>
    <definedName name="tita">#N/A</definedName>
    <definedName name="tita1">#REF!</definedName>
    <definedName name="Tita2">'[7]aca-'!#REF!</definedName>
    <definedName name="titit" localSheetId="0">#REF!</definedName>
    <definedName name="titit">#REF!</definedName>
    <definedName name="TITLE1">#REF!</definedName>
    <definedName name="TITLE2">#REF!</definedName>
    <definedName name="titu">#REF!</definedName>
    <definedName name="titulo">#REF!</definedName>
    <definedName name="TITULO_1">#REF!</definedName>
    <definedName name="TITULO_2">#REF!</definedName>
    <definedName name="TITULO_3">#REF!</definedName>
    <definedName name="TITULO_4">#REF!</definedName>
    <definedName name="TITULO_5">#REF!</definedName>
    <definedName name="titulo_indice">#REF!</definedName>
    <definedName name="titulo_presupuesto">#REF!</definedName>
    <definedName name="Titulo_tipo">#REF!</definedName>
    <definedName name="_xlnm.Print_Titles">#REF!</definedName>
    <definedName name="Títulos_a_imprimir_IM">#REF!</definedName>
    <definedName name="TL">#REF!</definedName>
    <definedName name="TLrpodveAHKdahil">#REF!</definedName>
    <definedName name="TO">#N/A</definedName>
    <definedName name="to2006b">[39]Codigo!$A$4:$B$1281</definedName>
    <definedName name="todas" localSheetId="0">#REF!</definedName>
    <definedName name="todas">#REF!</definedName>
    <definedName name="todos">#REF!</definedName>
    <definedName name="Toledo">#REF!</definedName>
    <definedName name="Tolerancia_cero">#REF!</definedName>
    <definedName name="tortillinas">#REF!</definedName>
    <definedName name="Tot">#REF!</definedName>
    <definedName name="tota">#REF!</definedName>
    <definedName name="TOTAL">#REF!</definedName>
    <definedName name="total_avisos">#REF!</definedName>
    <definedName name="Total_Bonificable">#REF!</definedName>
    <definedName name="Total_Corte">#REF!</definedName>
    <definedName name="total_costo">#REF!</definedName>
    <definedName name="Total_Facturable">#REF!</definedName>
    <definedName name="total_grp_planif">#REF!</definedName>
    <definedName name="Total_Importe">#REF!</definedName>
    <definedName name="Total_oct">#REF!</definedName>
    <definedName name="Total_pautas">#REF!</definedName>
    <definedName name="Total_pautas_1">#REF!</definedName>
    <definedName name="TOTAL_PLAN">#REF!</definedName>
    <definedName name="TOTAL_PLAN_1">#REF!</definedName>
    <definedName name="total_sept">#REF!</definedName>
    <definedName name="Total_Servicio">#REF!</definedName>
    <definedName name="TOTAL13">#REF!</definedName>
    <definedName name="total1er">#REF!</definedName>
    <definedName name="TOTAL2">#REF!</definedName>
    <definedName name="TOTAL4">#REF!</definedName>
    <definedName name="TOTALES">#REF!</definedName>
    <definedName name="TOTALIVA">#REF!</definedName>
    <definedName name="TOTALMEDIO">#REF!</definedName>
    <definedName name="TOTALPAUTA">#REF!</definedName>
    <definedName name="totalpers">#REF!</definedName>
    <definedName name="TOTALS">#REF!</definedName>
    <definedName name="TOTALSPOTS">#REF!</definedName>
    <definedName name="TOTAVIXSEM">#REF!</definedName>
    <definedName name="totbn">#REF!</definedName>
    <definedName name="totco">#REF!</definedName>
    <definedName name="totin">#REF!</definedName>
    <definedName name="TOTLANGY">#REF!</definedName>
    <definedName name="TOTLANUI">#REF!</definedName>
    <definedName name="TOTMANGY">#REF!</definedName>
    <definedName name="TOTMANUI">#REF!</definedName>
    <definedName name="toto">#REF!</definedName>
    <definedName name="toto10">#REF!</definedName>
    <definedName name="toto12">#REF!</definedName>
    <definedName name="toto13">#REF!</definedName>
    <definedName name="toto15">#REF!</definedName>
    <definedName name="toto17">#REF!</definedName>
    <definedName name="toto2">#REF!</definedName>
    <definedName name="toto20">#REF!</definedName>
    <definedName name="toto3">#REF!</definedName>
    <definedName name="toto4">#REF!</definedName>
    <definedName name="toto5">#REF!</definedName>
    <definedName name="toto6">#REF!</definedName>
    <definedName name="toto7">#REF!</definedName>
    <definedName name="toto8">#REF!</definedName>
    <definedName name="toto9">#REF!</definedName>
    <definedName name="totpais">#REF!</definedName>
    <definedName name="totpaisconddc">#REF!</definedName>
    <definedName name="TOTPAISDDC">#REF!</definedName>
    <definedName name="TPDDC">#REF!</definedName>
    <definedName name="tpene">#REF!</definedName>
    <definedName name="tpjul">#REF!</definedName>
    <definedName name="TPOCT1">#REF!</definedName>
    <definedName name="TPOCT2">#REF!</definedName>
    <definedName name="TPSEP1">#REF!</definedName>
    <definedName name="TPTO">#REF!</definedName>
    <definedName name="tr">#REF!</definedName>
    <definedName name="trade">#REF!</definedName>
    <definedName name="TRANSLAT">#REF!</definedName>
    <definedName name="trasnoche1">[68]Rating1!$J$22:$K$34</definedName>
    <definedName name="Travel">#REF!</definedName>
    <definedName name="TREAL">#REF!</definedName>
    <definedName name="tren">#REF!</definedName>
    <definedName name="TRENDS">#REF!</definedName>
    <definedName name="TRES">#REF!</definedName>
    <definedName name="TRFVSLY94">#REF!</definedName>
    <definedName name="TRFVSSRF95">#REF!</definedName>
    <definedName name="trimestre110">#REF!</definedName>
    <definedName name="trimestre120">#REF!</definedName>
    <definedName name="trimestre130">#REF!</definedName>
    <definedName name="trimestre140">#REF!</definedName>
    <definedName name="trimestre160">#REF!</definedName>
    <definedName name="trimestre210">#REF!</definedName>
    <definedName name="trimestre220">#REF!</definedName>
    <definedName name="trimestre230">#REF!</definedName>
    <definedName name="trimestre240">#REF!</definedName>
    <definedName name="trimestre260">#REF!</definedName>
    <definedName name="trimestre310">#REF!</definedName>
    <definedName name="trimestre320">#REF!</definedName>
    <definedName name="trimestre330">#REF!</definedName>
    <definedName name="trimestre340">#REF!</definedName>
    <definedName name="trimestre360">#REF!</definedName>
    <definedName name="trimestre410">#REF!</definedName>
    <definedName name="trimestre420">#REF!</definedName>
    <definedName name="trimestre430">#REF!</definedName>
    <definedName name="trimestre440">#REF!</definedName>
    <definedName name="trimestre460">#REF!</definedName>
    <definedName name="tripa">#REF!</definedName>
    <definedName name="triple">#REF!</definedName>
    <definedName name="triumph">#REF!</definedName>
    <definedName name="trj">#N/A</definedName>
    <definedName name="TRP_T1_ACT_R">#REF!</definedName>
    <definedName name="TRP_T1_FALTAN_R">#REF!</definedName>
    <definedName name="TRP_T1_INDEX_R">#REF!</definedName>
    <definedName name="TRP_T1_PLA_R">#REF!</definedName>
    <definedName name="TRP_T2_ACT_R">#REF!</definedName>
    <definedName name="TRP_T2_FALTAN_R">#REF!</definedName>
    <definedName name="TRP_T2_INDEX_R">#REF!</definedName>
    <definedName name="TRP_T2_PLA_R">#REF!</definedName>
    <definedName name="trps1er">#REF!</definedName>
    <definedName name="trps21er">#REF!</definedName>
    <definedName name="TSRRFGB">#REF!</definedName>
    <definedName name="TSTSTSSS">#REF!</definedName>
    <definedName name="tt">#REF!</definedName>
    <definedName name="ttt">#REF!</definedName>
    <definedName name="tttt">#REF!</definedName>
    <definedName name="TTTT5T">#N/A</definedName>
    <definedName name="TTTTT">#REF!</definedName>
    <definedName name="TTTTTTTT">#REF!</definedName>
    <definedName name="ttttttttttttt">#REF!</definedName>
    <definedName name="tu">#REF!</definedName>
    <definedName name="tUbic">[19]Tablas!$K$13:$L$23</definedName>
    <definedName name="tui76op" localSheetId="0">#REF!</definedName>
    <definedName name="tui76op">#REF!</definedName>
    <definedName name="tui76op_1">#REF!</definedName>
    <definedName name="tula" localSheetId="0">'[11]P_Diarios Santiago'!Calcular.Calcular</definedName>
    <definedName name="tula">'[11]P_Diarios Santiago'!Calcular.Calcular</definedName>
    <definedName name="Tunisia" localSheetId="0">#REF!</definedName>
    <definedName name="Tunisia">#REF!</definedName>
    <definedName name="TÜR">#REF!</definedName>
    <definedName name="TUTAR">#REF!</definedName>
    <definedName name="TUTU">#REF!</definedName>
    <definedName name="TUTU_1">#REF!</definedName>
    <definedName name="tv">#REF!</definedName>
    <definedName name="TV_06">#REF!</definedName>
    <definedName name="TV_07">#REF!</definedName>
    <definedName name="TV_08">#REF!</definedName>
    <definedName name="TV_1">#REF!</definedName>
    <definedName name="tva">#REF!</definedName>
    <definedName name="TVAB">#REF!</definedName>
    <definedName name="TVAB_1">#REF!</definedName>
    <definedName name="tvachor">#REF!</definedName>
    <definedName name="TVAZ">#REF!</definedName>
    <definedName name="tvazt">#REF!</definedName>
    <definedName name="tvisa">#REF!</definedName>
    <definedName name="TVISITA">#REF!</definedName>
    <definedName name="TVIZ">#REF!</definedName>
    <definedName name="Tvn_Clasificacion">#REF!</definedName>
    <definedName name="Tvn_Dcto.">#REF!</definedName>
    <definedName name="tvpaga">#REF!</definedName>
    <definedName name="tvpaga_1">#REF!</definedName>
    <definedName name="TVSAVIRTUAL">#REF!</definedName>
    <definedName name="Twitter">#REF!</definedName>
    <definedName name="ty">#REF!</definedName>
    <definedName name="type">#REF!</definedName>
    <definedName name="Types">[24]Data!#REF!</definedName>
    <definedName name="tyttttttttttt" localSheetId="0">#REF!</definedName>
    <definedName name="tyttttttttttt">#REF!</definedName>
    <definedName name="tyui">#REF!</definedName>
    <definedName name="U">#REF!</definedName>
    <definedName name="ü">#REF!</definedName>
    <definedName name="ubi">'[23]1'!$B$35:$C$39</definedName>
    <definedName name="Ubic">#N/A</definedName>
    <definedName name="UBICAC">'[23]1'!$B$45:$B$49</definedName>
    <definedName name="Uc_Clasificacion">#REF!</definedName>
    <definedName name="Uc_Dcto.">#REF!</definedName>
    <definedName name="UET" localSheetId="0">#REF!</definedName>
    <definedName name="UET">#REF!</definedName>
    <definedName name="UEY">#REF!</definedName>
    <definedName name="ui">#REF!</definedName>
    <definedName name="uiiuiui">#REF!</definedName>
    <definedName name="UIO">#REF!</definedName>
    <definedName name="uj">#REF!</definedName>
    <definedName name="ULT_COL_R">#REF!</definedName>
    <definedName name="Ultima_mirada">#REF!</definedName>
    <definedName name="ULTIMODIA">#REF!</definedName>
    <definedName name="ULTMATERIAL">#REF!</definedName>
    <definedName name="unaplana">#REF!</definedName>
    <definedName name="unirev">#REF!</definedName>
    <definedName name="UNITARIOS">#REF!</definedName>
    <definedName name="UNITRV">#REF!</definedName>
    <definedName name="UNIVER">#REF!</definedName>
    <definedName name="universo">#REF!</definedName>
    <definedName name="UNMATERIAL">#REF!</definedName>
    <definedName name="uno">#REF!</definedName>
    <definedName name="UNRAUVEL">#REF!</definedName>
    <definedName name="uññ">#REF!</definedName>
    <definedName name="UPDATE">#REF!</definedName>
    <definedName name="ur">#REF!</definedName>
    <definedName name="URUN">#REF!</definedName>
    <definedName name="US">#REF!</definedName>
    <definedName name="USA">#REF!</definedName>
    <definedName name="usd">#REF!</definedName>
    <definedName name="USDahkdusulmusproddahil">#REF!</definedName>
    <definedName name="usdesika">'[69]Plan de TV'!$AP$1</definedName>
    <definedName name="USDprodveahkduslmus" localSheetId="0">#REF!</definedName>
    <definedName name="USDprodveahkduslmus">#REF!</definedName>
    <definedName name="USER">#REF!</definedName>
    <definedName name="usted_no_me_conoce">[50]Prime!$B$2596:$U$2600</definedName>
    <definedName name="Uti">#REF!</definedName>
    <definedName name="uu">#REF!</definedName>
    <definedName name="uuu">#REF!</definedName>
    <definedName name="uuuu">#REF!</definedName>
    <definedName name="uuuuu">#REF!</definedName>
    <definedName name="uuuuuuuuuuuuuuu">#REF!</definedName>
    <definedName name="uy">#REF!</definedName>
    <definedName name="uy_1">#REF!</definedName>
    <definedName name="v">#REF!</definedName>
    <definedName name="V.XLS">#REF!</definedName>
    <definedName name="ValdiGSE">#REF!</definedName>
    <definedName name="Valdivia">#REF!</definedName>
    <definedName name="VALLAS">#REF!</definedName>
    <definedName name="valores">[70]valores!$A:$IV</definedName>
    <definedName name="valorizacióntv">'[71]Valorización TV'!$A$1:$E$172</definedName>
    <definedName name="valparaiso">'[8]Tarifas Enero 2009'!$AX$1:$BD$58</definedName>
    <definedName name="Valparaíso" localSheetId="0">#REF!</definedName>
    <definedName name="Valparaíso">#REF!</definedName>
    <definedName name="valparaiso2">'[9]Regiones Noviembre 2002'!$BP$3:$BY$56</definedName>
    <definedName name="ValpoGSE" localSheetId="0">#REF!</definedName>
    <definedName name="ValpoGSE">#REF!</definedName>
    <definedName name="van">#N/A</definedName>
    <definedName name="vane">#REF!</definedName>
    <definedName name="Vanished">#REF!</definedName>
    <definedName name="Var_margin">#REF!</definedName>
    <definedName name="VARIACHAP">#REF!</definedName>
    <definedName name="VARIASA">#REF!</definedName>
    <definedName name="varios">#REF!</definedName>
    <definedName name="VARIOS_BANNERS">#REF!</definedName>
    <definedName name="VAROB">#REF!</definedName>
    <definedName name="vasdva">#REF!</definedName>
    <definedName name="Vasenol">#REF!</definedName>
    <definedName name="vb">#REF!</definedName>
    <definedName name="vbbbd">#REF!</definedName>
    <definedName name="vbbvb">#N/A</definedName>
    <definedName name="vbnm">#REF!</definedName>
    <definedName name="vbvbvb">#REF!</definedName>
    <definedName name="vcv">#REF!</definedName>
    <definedName name="vcvcb">#N/A</definedName>
    <definedName name="vcvcd">#N/A</definedName>
    <definedName name="vcvcv11">#N/A</definedName>
    <definedName name="vcvvv">#N/A</definedName>
    <definedName name="vd">#REF!</definedName>
    <definedName name="Vdd">[19]Tablas!$D$51:$D$64</definedName>
    <definedName name="vddlin">[41]Tablas!$A$19:$B$39</definedName>
    <definedName name="vdfvds" localSheetId="0">#REF!</definedName>
    <definedName name="vdfvds">#REF!</definedName>
    <definedName name="veckonr">#REF!</definedName>
    <definedName name="veckonr_1">#REF!</definedName>
    <definedName name="vektorm">#REF!</definedName>
    <definedName name="Vendedores">[19]Tablas!$C$22:$D$32</definedName>
    <definedName name="VendPct">[19]Tablas!$C$22:$F$32</definedName>
    <definedName name="ventas" localSheetId="0">#REF!</definedName>
    <definedName name="ventas">#REF!</definedName>
    <definedName name="verdefinal">#REF!</definedName>
    <definedName name="Version">#REF!</definedName>
    <definedName name="VERSIÓN">#REF!</definedName>
    <definedName name="VERSION4">#N/A</definedName>
    <definedName name="VERSIONES_R">#REF!</definedName>
    <definedName name="vf">#REF!</definedName>
    <definedName name="VFIYGBLU">#REF!</definedName>
    <definedName name="vfsd">#REF!</definedName>
    <definedName name="vg">#REF!</definedName>
    <definedName name="VGLNJL">#REF!</definedName>
    <definedName name="VHS">#N/A</definedName>
    <definedName name="vi">#REF!</definedName>
    <definedName name="via">#N/A</definedName>
    <definedName name="ViaPublica">#N/A</definedName>
    <definedName name="Vice">#REF!</definedName>
    <definedName name="vida">#REF!</definedName>
    <definedName name="Video">#REF!</definedName>
    <definedName name="Video_Adservers">#REF!</definedName>
    <definedName name="Video_Bloggers">#REF!</definedName>
    <definedName name="VideoNotas">#REF!</definedName>
    <definedName name="VIEJO">#REF!</definedName>
    <definedName name="VIEJO_1">#REF!</definedName>
    <definedName name="Viejo_Zorro">#REF!</definedName>
    <definedName name="VIENES2">#REF!</definedName>
    <definedName name="VIENES2_1">#REF!</definedName>
    <definedName name="VIERNES">#REF!</definedName>
    <definedName name="VIERNES_1">#REF!</definedName>
    <definedName name="villahermosa">#REF!</definedName>
    <definedName name="visual">#REF!</definedName>
    <definedName name="visual2">#REF!</definedName>
    <definedName name="vitina">#REF!</definedName>
    <definedName name="VLOOKFORM">#REF!</definedName>
    <definedName name="VLOOKUP">#REF!</definedName>
    <definedName name="Vmargin_up">#REF!</definedName>
    <definedName name="vmnbmbm">#N/A</definedName>
    <definedName name="VOLREF">#REF!</definedName>
    <definedName name="Vorspalte_1">#REF!</definedName>
    <definedName name="vp">#N/A</definedName>
    <definedName name="VPRAB">[72]VPR!$B$14</definedName>
    <definedName name="VPRAC">[72]VPR!$B$21</definedName>
    <definedName name="VPRC">[72]VPR!$B$15</definedName>
    <definedName name="VPRD">[72]VPR!$B$16</definedName>
    <definedName name="VPRG">[72]VPR!$B$13</definedName>
    <definedName name="VPRH">[72]VPR!$B$18</definedName>
    <definedName name="VPRM">[72]VPR!$B$19</definedName>
    <definedName name="VPRN">[72]VPR!$B$19</definedName>
    <definedName name="VPRP">[72]VPR!$B$17</definedName>
    <definedName name="VPS" localSheetId="0">#REF!</definedName>
    <definedName name="VPS">#REF!</definedName>
    <definedName name="vr">#N/A</definedName>
    <definedName name="vuelveme_a_querer">#REF!</definedName>
    <definedName name="VV">#REF!</definedName>
    <definedName name="vv122ç">#REF!</definedName>
    <definedName name="vvv">#REF!</definedName>
    <definedName name="VVVV">#REF!</definedName>
    <definedName name="vvvvvvvv">[0]!vvvvvvvv</definedName>
    <definedName name="vvvvvvvvvvv">#REF!</definedName>
    <definedName name="VVVVVVVVVVVVVVVVVVVVVVVVVVVVVVVVVVVVVVVVVVVVVVVVVVVVVVVVVVVVVVVVVVVVVVVVV">#REF!</definedName>
    <definedName name="VYGCH">#REF!</definedName>
    <definedName name="W">#REF!</definedName>
    <definedName name="w6w6w6w">#REF!</definedName>
    <definedName name="w6w6w6w6">#REF!</definedName>
    <definedName name="w6w6w6w66">#REF!</definedName>
    <definedName name="waf">#REF!</definedName>
    <definedName name="wdedfwe">#REF!</definedName>
    <definedName name="wdq">#REF!</definedName>
    <definedName name="wdws">#REF!</definedName>
    <definedName name="we">#REF!</definedName>
    <definedName name="Web_Display">#REF!</definedName>
    <definedName name="Web_Display_DMP">#REF!</definedName>
    <definedName name="wed">#REF!</definedName>
    <definedName name="WeekNumbers">#REF!</definedName>
    <definedName name="WEET">#REF!</definedName>
    <definedName name="weew">#REF!</definedName>
    <definedName name="wef">#REF!</definedName>
    <definedName name="WER">#REF!</definedName>
    <definedName name="wert">#REF!</definedName>
    <definedName name="werwer">#REF!</definedName>
    <definedName name="WETWERTWET">#REF!</definedName>
    <definedName name="wewewe">#REF!</definedName>
    <definedName name="wgtw">#REF!</definedName>
    <definedName name="Windfall">#REF!</definedName>
    <definedName name="windows">#REF!</definedName>
    <definedName name="WIT23TY2571E1111">#REF!</definedName>
    <definedName name="wo">#REF!</definedName>
    <definedName name="wq">#REF!</definedName>
    <definedName name="wq_1">#REF!</definedName>
    <definedName name="wqd">#REF!</definedName>
    <definedName name="WQR">#REF!</definedName>
    <definedName name="wrn.All._.Assumptions.">#REF!</definedName>
    <definedName name="wrn.All._.P._.and._.Ls.">#REF!</definedName>
    <definedName name="wrn.Areas._.Interior.">#REF!</definedName>
    <definedName name="wrn.Areas._.Metro.">#REF!</definedName>
    <definedName name="wrn.Clientes.">#REF!</definedName>
    <definedName name="wrn.COMPLETO.">#REF!</definedName>
    <definedName name="wrn.DCI._.Consolidated._.and._.Divisional.">#REF!</definedName>
    <definedName name="wrn.Heineken._.Plan._.Total.">#REF!</definedName>
    <definedName name="wrn.Heineken._.Plan._.Total.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1_1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1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2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2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2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2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2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3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3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3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3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3_1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3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3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4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4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4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4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4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4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5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5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5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5_1_1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5_2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Heineken._.Plan._.Total._5_2_1" hidden="1">{#N/A,#N/A,FALSE,"Portada";#N/A,#N/A,FALSE,"Resumen";#N/A,#N/A,FALSE,"FlowChart";#N/A,#N/A,FALSE,"TvOct";#N/A,#N/A,FALSE,"TvNov";#N/A,#N/A,FALSE,"TvDic";#N/A,#N/A,FALSE,"CableOct";#N/A,#N/A,FALSE,"CableNov";#N/A,#N/A,FALSE,"RevOct";#N/A,#N/A,FALSE,"RevNov";#N/A,#N/A,FALSE,"RevDic";#N/A,#N/A,FALSE,"RadOct";#N/A,#N/A,FALSE,"RadNov";#N/A,#N/A,FALSE,"RadDic"}</definedName>
    <definedName name="wrn.impresion.">#REF!</definedName>
    <definedName name="wrn.Informe._.Completo.">#REF!</definedName>
    <definedName name="wrn.Intl._.Division.">#REF!</definedName>
    <definedName name="wrn.Inversión._.por._.plaza.">#REF!</definedName>
    <definedName name="wrn.Inversión._.por._.plaza._1">#REF!</definedName>
    <definedName name="wrn.Motivos.">#REF!</definedName>
    <definedName name="wrn.Pauta._.Prensa.">#REF!</definedName>
    <definedName name="wrn.Pauta._.Prensa._.Real._.Publicado.">#REF!</definedName>
    <definedName name="wrn.Pauta._.Prensa._.Real._.Publicado._1" hidden="1">{#N/A,#N/A,FALSE,"Pauta Real Publicado"}</definedName>
    <definedName name="wrn.Pauta._.Prensa._.Real._.Publicado._1_1" hidden="1">{#N/A,#N/A,FALSE,"Pauta Real Publicado"}</definedName>
    <definedName name="wrn.Pauta._.Prensa._.Real._.Publicado._1_1_1" hidden="1">{#N/A,#N/A,FALSE,"Pauta Real Publicado"}</definedName>
    <definedName name="wrn.Pauta._.Prensa._.Real._.Publicado._1_1_1_1" hidden="1">{#N/A,#N/A,FALSE,"Pauta Real Publicado"}</definedName>
    <definedName name="wrn.Pauta._.Prensa._.Real._.Publicado._1_1_1_1_1" hidden="1">{#N/A,#N/A,FALSE,"Pauta Real Publicado"}</definedName>
    <definedName name="wrn.Pauta._.Prensa._.Real._.Publicado._1_1_1_1_1_1" hidden="1">{#N/A,#N/A,FALSE,"Pauta Real Publicado"}</definedName>
    <definedName name="wrn.Pauta._.Prensa._.Real._.Publicado._1_1_2" hidden="1">{#N/A,#N/A,FALSE,"Pauta Real Publicado"}</definedName>
    <definedName name="wrn.Pauta._.Prensa._.Real._.Publicado._1_2" hidden="1">{#N/A,#N/A,FALSE,"Pauta Real Publicado"}</definedName>
    <definedName name="wrn.Pauta._.Prensa._.Real._.Publicado._1_2_1" hidden="1">{#N/A,#N/A,FALSE,"Pauta Real Publicado"}</definedName>
    <definedName name="wrn.Pauta._.Prensa._.Real._.Publicado._1_3" hidden="1">{#N/A,#N/A,FALSE,"Pauta Real Publicado"}</definedName>
    <definedName name="wrn.Pauta._.Prensa._.Real._.Publicado._1_3_1" hidden="1">{#N/A,#N/A,FALSE,"Pauta Real Publicado"}</definedName>
    <definedName name="wrn.Pauta._.Prensa._.Real._.Publicado._2" hidden="1">{#N/A,#N/A,FALSE,"Pauta Real Publicado"}</definedName>
    <definedName name="wrn.Pauta._.Prensa._.Real._.Publicado._2_1" hidden="1">{#N/A,#N/A,FALSE,"Pauta Real Publicado"}</definedName>
    <definedName name="wrn.Pauta._.Prensa._.Real._.Publicado._2_1_1" hidden="1">{#N/A,#N/A,FALSE,"Pauta Real Publicado"}</definedName>
    <definedName name="wrn.Pauta._.Prensa._.Real._.Publicado._2_1_1_1" hidden="1">{#N/A,#N/A,FALSE,"Pauta Real Publicado"}</definedName>
    <definedName name="wrn.Pauta._.Prensa._.Real._.Publicado._2_1_2" hidden="1">{#N/A,#N/A,FALSE,"Pauta Real Publicado"}</definedName>
    <definedName name="wrn.Pauta._.Prensa._.Real._.Publicado._2_2" hidden="1">{#N/A,#N/A,FALSE,"Pauta Real Publicado"}</definedName>
    <definedName name="wrn.Pauta._.Prensa._.Real._.Publicado._2_2_1" hidden="1">{#N/A,#N/A,FALSE,"Pauta Real Publicado"}</definedName>
    <definedName name="wrn.Pauta._.Prensa._.Real._.Publicado._3" hidden="1">{#N/A,#N/A,FALSE,"Pauta Real Publicado"}</definedName>
    <definedName name="wrn.Pauta._.Prensa._.Real._.Publicado._3_1" hidden="1">{#N/A,#N/A,FALSE,"Pauta Real Publicado"}</definedName>
    <definedName name="wrn.Pauta._.Prensa._.Real._.Publicado._3_1_1" hidden="1">{#N/A,#N/A,FALSE,"Pauta Real Publicado"}</definedName>
    <definedName name="wrn.Pauta._.Prensa._.Real._.Publicado._3_1_1_1" hidden="1">{#N/A,#N/A,FALSE,"Pauta Real Publicado"}</definedName>
    <definedName name="wrn.Pauta._.Prensa._.Real._.Publicado._3_1_2" hidden="1">{#N/A,#N/A,FALSE,"Pauta Real Publicado"}</definedName>
    <definedName name="wrn.Pauta._.Prensa._.Real._.Publicado._3_2" hidden="1">{#N/A,#N/A,FALSE,"Pauta Real Publicado"}</definedName>
    <definedName name="wrn.Pauta._.Prensa._.Real._.Publicado._3_2_1" hidden="1">{#N/A,#N/A,FALSE,"Pauta Real Publicado"}</definedName>
    <definedName name="wrn.Pauta._.Prensa._.Real._.Publicado._4" hidden="1">{#N/A,#N/A,FALSE,"Pauta Real Publicado"}</definedName>
    <definedName name="wrn.Pauta._.Prensa._.Real._.Publicado._4_1" hidden="1">{#N/A,#N/A,FALSE,"Pauta Real Publicado"}</definedName>
    <definedName name="wrn.Pauta._.Prensa._.Real._.Publicado._4_1_1" hidden="1">{#N/A,#N/A,FALSE,"Pauta Real Publicado"}</definedName>
    <definedName name="wrn.Pauta._.Prensa._.Real._.Publicado._4_1_1_1" hidden="1">{#N/A,#N/A,FALSE,"Pauta Real Publicado"}</definedName>
    <definedName name="wrn.Pauta._.Prensa._.Real._.Publicado._4_2" hidden="1">{#N/A,#N/A,FALSE,"Pauta Real Publicado"}</definedName>
    <definedName name="wrn.Pauta._.Prensa._.Real._.Publicado._4_2_1" hidden="1">{#N/A,#N/A,FALSE,"Pauta Real Publicado"}</definedName>
    <definedName name="wrn.Pauta._.Prensa._.Real._.Publicado._5" hidden="1">{#N/A,#N/A,FALSE,"Pauta Real Publicado"}</definedName>
    <definedName name="wrn.Pauta._.Prensa._.Real._.Publicado._5_1" hidden="1">{#N/A,#N/A,FALSE,"Pauta Real Publicado"}</definedName>
    <definedName name="wrn.Pauta._.Prensa._.Real._.Publicado._5_1_1" hidden="1">{#N/A,#N/A,FALSE,"Pauta Real Publicado"}</definedName>
    <definedName name="wrn.Pauta._.Prensa._.Real._.Publicado._5_1_1_1" hidden="1">{#N/A,#N/A,FALSE,"Pauta Real Publicado"}</definedName>
    <definedName name="wrn.Pauta._.Prensa._.Real._.Publicado._5_2" hidden="1">{#N/A,#N/A,FALSE,"Pauta Real Publicado"}</definedName>
    <definedName name="wrn.Pauta._.Prensa._.Real._.Publicado._5_2_1" hidden="1">{#N/A,#N/A,FALSE,"Pauta Real Publicado"}</definedName>
    <definedName name="wrn.Pauta._.Prensa._1" hidden="1">{#N/A,#N/A,FALSE,"Pauta Prensa"}</definedName>
    <definedName name="wrn.Pauta._.Prensa._1_1" hidden="1">{#N/A,#N/A,FALSE,"Pauta Prensa"}</definedName>
    <definedName name="wrn.Pauta._.Prensa._1_1_1" hidden="1">{#N/A,#N/A,FALSE,"Pauta Prensa"}</definedName>
    <definedName name="wrn.Pauta._.Prensa._1_1_1_1" hidden="1">{#N/A,#N/A,FALSE,"Pauta Prensa"}</definedName>
    <definedName name="wrn.Pauta._.Prensa._1_1_1_1_1" hidden="1">{#N/A,#N/A,FALSE,"Pauta Prensa"}</definedName>
    <definedName name="wrn.Pauta._.Prensa._1_1_1_1_1_1" hidden="1">{#N/A,#N/A,FALSE,"Pauta Prensa"}</definedName>
    <definedName name="wrn.Pauta._.Prensa._1_1_2" hidden="1">{#N/A,#N/A,FALSE,"Pauta Prensa"}</definedName>
    <definedName name="wrn.Pauta._.Prensa._1_2" hidden="1">{#N/A,#N/A,FALSE,"Pauta Prensa"}</definedName>
    <definedName name="wrn.Pauta._.Prensa._1_2_1" hidden="1">{#N/A,#N/A,FALSE,"Pauta Prensa"}</definedName>
    <definedName name="wrn.Pauta._.Prensa._1_3" hidden="1">{#N/A,#N/A,FALSE,"Pauta Prensa"}</definedName>
    <definedName name="wrn.Pauta._.Prensa._1_3_1" hidden="1">{#N/A,#N/A,FALSE,"Pauta Prensa"}</definedName>
    <definedName name="wrn.Pauta._.Prensa._2" hidden="1">{#N/A,#N/A,FALSE,"Pauta Prensa"}</definedName>
    <definedName name="wrn.Pauta._.Prensa._2_1" hidden="1">{#N/A,#N/A,FALSE,"Pauta Prensa"}</definedName>
    <definedName name="wrn.Pauta._.Prensa._2_1_1" hidden="1">{#N/A,#N/A,FALSE,"Pauta Prensa"}</definedName>
    <definedName name="wrn.Pauta._.Prensa._2_1_1_1" hidden="1">{#N/A,#N/A,FALSE,"Pauta Prensa"}</definedName>
    <definedName name="wrn.Pauta._.Prensa._2_1_2" hidden="1">{#N/A,#N/A,FALSE,"Pauta Prensa"}</definedName>
    <definedName name="wrn.Pauta._.Prensa._2_2" hidden="1">{#N/A,#N/A,FALSE,"Pauta Prensa"}</definedName>
    <definedName name="wrn.Pauta._.Prensa._2_2_1" hidden="1">{#N/A,#N/A,FALSE,"Pauta Prensa"}</definedName>
    <definedName name="wrn.Pauta._.Prensa._3" hidden="1">{#N/A,#N/A,FALSE,"Pauta Prensa"}</definedName>
    <definedName name="wrn.Pauta._.Prensa._3_1" hidden="1">{#N/A,#N/A,FALSE,"Pauta Prensa"}</definedName>
    <definedName name="wrn.Pauta._.Prensa._3_1_1" hidden="1">{#N/A,#N/A,FALSE,"Pauta Prensa"}</definedName>
    <definedName name="wrn.Pauta._.Prensa._3_1_1_1" hidden="1">{#N/A,#N/A,FALSE,"Pauta Prensa"}</definedName>
    <definedName name="wrn.Pauta._.Prensa._3_1_2" hidden="1">{#N/A,#N/A,FALSE,"Pauta Prensa"}</definedName>
    <definedName name="wrn.Pauta._.Prensa._3_2" hidden="1">{#N/A,#N/A,FALSE,"Pauta Prensa"}</definedName>
    <definedName name="wrn.Pauta._.Prensa._3_2_1" hidden="1">{#N/A,#N/A,FALSE,"Pauta Prensa"}</definedName>
    <definedName name="wrn.Pauta._.Prensa._4" hidden="1">{#N/A,#N/A,FALSE,"Pauta Prensa"}</definedName>
    <definedName name="wrn.Pauta._.Prensa._4_1" hidden="1">{#N/A,#N/A,FALSE,"Pauta Prensa"}</definedName>
    <definedName name="wrn.Pauta._.Prensa._4_1_1" hidden="1">{#N/A,#N/A,FALSE,"Pauta Prensa"}</definedName>
    <definedName name="wrn.Pauta._.Prensa._4_1_1_1" hidden="1">{#N/A,#N/A,FALSE,"Pauta Prensa"}</definedName>
    <definedName name="wrn.Pauta._.Prensa._4_2" hidden="1">{#N/A,#N/A,FALSE,"Pauta Prensa"}</definedName>
    <definedName name="wrn.Pauta._.Prensa._4_2_1" hidden="1">{#N/A,#N/A,FALSE,"Pauta Prensa"}</definedName>
    <definedName name="wrn.Pauta._.Prensa._5" hidden="1">{#N/A,#N/A,FALSE,"Pauta Prensa"}</definedName>
    <definedName name="wrn.Pauta._.Prensa._5_1" hidden="1">{#N/A,#N/A,FALSE,"Pauta Prensa"}</definedName>
    <definedName name="wrn.Pauta._.Prensa._5_1_1" hidden="1">{#N/A,#N/A,FALSE,"Pauta Prensa"}</definedName>
    <definedName name="wrn.Pauta._.Prensa._5_1_1_1" hidden="1">{#N/A,#N/A,FALSE,"Pauta Prensa"}</definedName>
    <definedName name="wrn.Pauta._.Prensa._5_2" hidden="1">{#N/A,#N/A,FALSE,"Pauta Prensa"}</definedName>
    <definedName name="wrn.Pauta._.Prensa._5_2_1" hidden="1">{#N/A,#N/A,FALSE,"Pauta Prensa"}</definedName>
    <definedName name="wrn.Pauta._.Televisión.">#REF!</definedName>
    <definedName name="wrn.Pauta._.Televisión._.Real._.Exhibido.">#REF!</definedName>
    <definedName name="wrn.Pauta._.Televisión._.Real._.Exhibido._1" hidden="1">{#N/A,#N/A,FALSE,"Pauta Real Exhibido"}</definedName>
    <definedName name="wrn.Pauta._.Televisión._.Real._.Exhibido._1_1" hidden="1">{#N/A,#N/A,FALSE,"Pauta Real Exhibido"}</definedName>
    <definedName name="wrn.Pauta._.Televisión._.Real._.Exhibido._1_1_1" hidden="1">{#N/A,#N/A,FALSE,"Pauta Real Exhibido"}</definedName>
    <definedName name="wrn.Pauta._.Televisión._.Real._.Exhibido._1_1_1_1" hidden="1">{#N/A,#N/A,FALSE,"Pauta Real Exhibido"}</definedName>
    <definedName name="wrn.Pauta._.Televisión._.Real._.Exhibido._1_1_1_1_1" hidden="1">{#N/A,#N/A,FALSE,"Pauta Real Exhibido"}</definedName>
    <definedName name="wrn.Pauta._.Televisión._.Real._.Exhibido._1_1_1_1_1_1" hidden="1">{#N/A,#N/A,FALSE,"Pauta Real Exhibido"}</definedName>
    <definedName name="wrn.Pauta._.Televisión._.Real._.Exhibido._1_1_2" hidden="1">{#N/A,#N/A,FALSE,"Pauta Real Exhibido"}</definedName>
    <definedName name="wrn.Pauta._.Televisión._.Real._.Exhibido._1_2" hidden="1">{#N/A,#N/A,FALSE,"Pauta Real Exhibido"}</definedName>
    <definedName name="wrn.Pauta._.Televisión._.Real._.Exhibido._1_2_1" hidden="1">{#N/A,#N/A,FALSE,"Pauta Real Exhibido"}</definedName>
    <definedName name="wrn.Pauta._.Televisión._.Real._.Exhibido._1_3" hidden="1">{#N/A,#N/A,FALSE,"Pauta Real Exhibido"}</definedName>
    <definedName name="wrn.Pauta._.Televisión._.Real._.Exhibido._1_3_1" hidden="1">{#N/A,#N/A,FALSE,"Pauta Real Exhibido"}</definedName>
    <definedName name="wrn.Pauta._.Televisión._.Real._.Exhibido._2" hidden="1">{#N/A,#N/A,FALSE,"Pauta Real Exhibido"}</definedName>
    <definedName name="wrn.Pauta._.Televisión._.Real._.Exhibido._2_1" hidden="1">{#N/A,#N/A,FALSE,"Pauta Real Exhibido"}</definedName>
    <definedName name="wrn.Pauta._.Televisión._.Real._.Exhibido._2_1_1" hidden="1">{#N/A,#N/A,FALSE,"Pauta Real Exhibido"}</definedName>
    <definedName name="wrn.Pauta._.Televisión._.Real._.Exhibido._2_1_1_1" hidden="1">{#N/A,#N/A,FALSE,"Pauta Real Exhibido"}</definedName>
    <definedName name="wrn.Pauta._.Televisión._.Real._.Exhibido._2_1_2" hidden="1">{#N/A,#N/A,FALSE,"Pauta Real Exhibido"}</definedName>
    <definedName name="wrn.Pauta._.Televisión._.Real._.Exhibido._2_2" hidden="1">{#N/A,#N/A,FALSE,"Pauta Real Exhibido"}</definedName>
    <definedName name="wrn.Pauta._.Televisión._.Real._.Exhibido._2_2_1" hidden="1">{#N/A,#N/A,FALSE,"Pauta Real Exhibido"}</definedName>
    <definedName name="wrn.Pauta._.Televisión._.Real._.Exhibido._3" hidden="1">{#N/A,#N/A,FALSE,"Pauta Real Exhibido"}</definedName>
    <definedName name="wrn.Pauta._.Televisión._.Real._.Exhibido._3_1" hidden="1">{#N/A,#N/A,FALSE,"Pauta Real Exhibido"}</definedName>
    <definedName name="wrn.Pauta._.Televisión._.Real._.Exhibido._3_1_1" hidden="1">{#N/A,#N/A,FALSE,"Pauta Real Exhibido"}</definedName>
    <definedName name="wrn.Pauta._.Televisión._.Real._.Exhibido._3_1_1_1" hidden="1">{#N/A,#N/A,FALSE,"Pauta Real Exhibido"}</definedName>
    <definedName name="wrn.Pauta._.Televisión._.Real._.Exhibido._3_1_2" hidden="1">{#N/A,#N/A,FALSE,"Pauta Real Exhibido"}</definedName>
    <definedName name="wrn.Pauta._.Televisión._.Real._.Exhibido._3_2" hidden="1">{#N/A,#N/A,FALSE,"Pauta Real Exhibido"}</definedName>
    <definedName name="wrn.Pauta._.Televisión._.Real._.Exhibido._3_2_1" hidden="1">{#N/A,#N/A,FALSE,"Pauta Real Exhibido"}</definedName>
    <definedName name="wrn.Pauta._.Televisión._.Real._.Exhibido._4" hidden="1">{#N/A,#N/A,FALSE,"Pauta Real Exhibido"}</definedName>
    <definedName name="wrn.Pauta._.Televisión._.Real._.Exhibido._4_1" hidden="1">{#N/A,#N/A,FALSE,"Pauta Real Exhibido"}</definedName>
    <definedName name="wrn.Pauta._.Televisión._.Real._.Exhibido._4_1_1" hidden="1">{#N/A,#N/A,FALSE,"Pauta Real Exhibido"}</definedName>
    <definedName name="wrn.Pauta._.Televisión._.Real._.Exhibido._4_1_1_1" hidden="1">{#N/A,#N/A,FALSE,"Pauta Real Exhibido"}</definedName>
    <definedName name="wrn.Pauta._.Televisión._.Real._.Exhibido._4_2" hidden="1">{#N/A,#N/A,FALSE,"Pauta Real Exhibido"}</definedName>
    <definedName name="wrn.Pauta._.Televisión._.Real._.Exhibido._4_2_1" hidden="1">{#N/A,#N/A,FALSE,"Pauta Real Exhibido"}</definedName>
    <definedName name="wrn.Pauta._.Televisión._.Real._.Exhibido._5" hidden="1">{#N/A,#N/A,FALSE,"Pauta Real Exhibido"}</definedName>
    <definedName name="wrn.Pauta._.Televisión._.Real._.Exhibido._5_1" hidden="1">{#N/A,#N/A,FALSE,"Pauta Real Exhibido"}</definedName>
    <definedName name="wrn.Pauta._.Televisión._.Real._.Exhibido._5_1_1" hidden="1">{#N/A,#N/A,FALSE,"Pauta Real Exhibido"}</definedName>
    <definedName name="wrn.Pauta._.Televisión._.Real._.Exhibido._5_1_1_1" hidden="1">{#N/A,#N/A,FALSE,"Pauta Real Exhibido"}</definedName>
    <definedName name="wrn.Pauta._.Televisión._.Real._.Exhibido._5_2" hidden="1">{#N/A,#N/A,FALSE,"Pauta Real Exhibido"}</definedName>
    <definedName name="wrn.Pauta._.Televisión._.Real._.Exhibido._5_2_1" hidden="1">{#N/A,#N/A,FALSE,"Pauta Real Exhibido"}</definedName>
    <definedName name="wrn.Pauta._.Televisión._1" hidden="1">{#N/A,#N/A,FALSE,"Pauta Televisión"}</definedName>
    <definedName name="wrn.Pauta._.Televisión._1_1" hidden="1">{#N/A,#N/A,FALSE,"Pauta Televisión"}</definedName>
    <definedName name="wrn.Pauta._.Televisión._1_1_1" hidden="1">{#N/A,#N/A,FALSE,"Pauta Televisión"}</definedName>
    <definedName name="wrn.Pauta._.Televisión._1_1_1_1" hidden="1">{#N/A,#N/A,FALSE,"Pauta Televisión"}</definedName>
    <definedName name="wrn.Pauta._.Televisión._1_1_1_1_1" hidden="1">{#N/A,#N/A,FALSE,"Pauta Televisión"}</definedName>
    <definedName name="wrn.Pauta._.Televisión._1_1_1_1_1_1" hidden="1">{#N/A,#N/A,FALSE,"Pauta Televisión"}</definedName>
    <definedName name="wrn.Pauta._.Televisión._1_1_2" hidden="1">{#N/A,#N/A,FALSE,"Pauta Televisión"}</definedName>
    <definedName name="wrn.Pauta._.Televisión._1_2" hidden="1">{#N/A,#N/A,FALSE,"Pauta Televisión"}</definedName>
    <definedName name="wrn.Pauta._.Televisión._1_2_1" hidden="1">{#N/A,#N/A,FALSE,"Pauta Televisión"}</definedName>
    <definedName name="wrn.Pauta._.Televisión._1_3" hidden="1">{#N/A,#N/A,FALSE,"Pauta Televisión"}</definedName>
    <definedName name="wrn.Pauta._.Televisión._1_3_1" hidden="1">{#N/A,#N/A,FALSE,"Pauta Televisión"}</definedName>
    <definedName name="wrn.Pauta._.Televisión._2" hidden="1">{#N/A,#N/A,FALSE,"Pauta Televisión"}</definedName>
    <definedName name="wrn.Pauta._.Televisión._2_1" hidden="1">{#N/A,#N/A,FALSE,"Pauta Televisión"}</definedName>
    <definedName name="wrn.Pauta._.Televisión._2_1_1" hidden="1">{#N/A,#N/A,FALSE,"Pauta Televisión"}</definedName>
    <definedName name="wrn.Pauta._.Televisión._2_1_1_1" hidden="1">{#N/A,#N/A,FALSE,"Pauta Televisión"}</definedName>
    <definedName name="wrn.Pauta._.Televisión._2_1_2" hidden="1">{#N/A,#N/A,FALSE,"Pauta Televisión"}</definedName>
    <definedName name="wrn.Pauta._.Televisión._2_2" hidden="1">{#N/A,#N/A,FALSE,"Pauta Televisión"}</definedName>
    <definedName name="wrn.Pauta._.Televisión._2_2_1" hidden="1">{#N/A,#N/A,FALSE,"Pauta Televisión"}</definedName>
    <definedName name="wrn.Pauta._.Televisión._3" hidden="1">{#N/A,#N/A,FALSE,"Pauta Televisión"}</definedName>
    <definedName name="wrn.Pauta._.Televisión._3_1" hidden="1">{#N/A,#N/A,FALSE,"Pauta Televisión"}</definedName>
    <definedName name="wrn.Pauta._.Televisión._3_1_1" hidden="1">{#N/A,#N/A,FALSE,"Pauta Televisión"}</definedName>
    <definedName name="wrn.Pauta._.Televisión._3_1_1_1" hidden="1">{#N/A,#N/A,FALSE,"Pauta Televisión"}</definedName>
    <definedName name="wrn.Pauta._.Televisión._3_1_2" hidden="1">{#N/A,#N/A,FALSE,"Pauta Televisión"}</definedName>
    <definedName name="wrn.Pauta._.Televisión._3_2" hidden="1">{#N/A,#N/A,FALSE,"Pauta Televisión"}</definedName>
    <definedName name="wrn.Pauta._.Televisión._3_2_1" hidden="1">{#N/A,#N/A,FALSE,"Pauta Televisión"}</definedName>
    <definedName name="wrn.Pauta._.Televisión._4" hidden="1">{#N/A,#N/A,FALSE,"Pauta Televisión"}</definedName>
    <definedName name="wrn.Pauta._.Televisión._4_1" hidden="1">{#N/A,#N/A,FALSE,"Pauta Televisión"}</definedName>
    <definedName name="wrn.Pauta._.Televisión._4_1_1" hidden="1">{#N/A,#N/A,FALSE,"Pauta Televisión"}</definedName>
    <definedName name="wrn.Pauta._.Televisión._4_1_1_1" hidden="1">{#N/A,#N/A,FALSE,"Pauta Televisión"}</definedName>
    <definedName name="wrn.Pauta._.Televisión._4_2" hidden="1">{#N/A,#N/A,FALSE,"Pauta Televisión"}</definedName>
    <definedName name="wrn.Pauta._.Televisión._4_2_1" hidden="1">{#N/A,#N/A,FALSE,"Pauta Televisión"}</definedName>
    <definedName name="wrn.Pauta._.Televisión._5" hidden="1">{#N/A,#N/A,FALSE,"Pauta Televisión"}</definedName>
    <definedName name="wrn.Pauta._.Televisión._5_1" hidden="1">{#N/A,#N/A,FALSE,"Pauta Televisión"}</definedName>
    <definedName name="wrn.Pauta._.Televisión._5_1_1" hidden="1">{#N/A,#N/A,FALSE,"Pauta Televisión"}</definedName>
    <definedName name="wrn.Pauta._.Televisión._5_1_1_1" hidden="1">{#N/A,#N/A,FALSE,"Pauta Televisión"}</definedName>
    <definedName name="wrn.Pauta._.Televisión._5_2" hidden="1">{#N/A,#N/A,FALSE,"Pauta Televisión"}</definedName>
    <definedName name="wrn.Pauta._.Televisión._5_2_1" hidden="1">{#N/A,#N/A,FALSE,"Pauta Televisión"}</definedName>
    <definedName name="wrn.Plan._.Agosto._.02." localSheetId="0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1_1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1_3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2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2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2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2_1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2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3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3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3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3_1_1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3_2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4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4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5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Agosto._.02._5_1" hidden="1">{#N/A,#N/A,FALSE,"TAPA";#N/A,#N/A,FALSE,"resumen total por medios";#N/A,#N/A,FALSE,"Mediklin";#N/A,#N/A,FALSE,"obleas chinas";#N/A,#N/A,FALSE,"lamint";#N/A,#N/A,FALSE,"tapsin infantil";#N/A,#N/A,FALSE,"Disfrutab";#N/A,#N/A,FALSE,"Adelgazul Fibra";#N/A,#N/A,FALSE,"neneglos";#N/A,#N/A,FALSE,"bbdent";#N/A,#N/A,FALSE,"Adelgazul Te";#N/A,#N/A,FALSE,"Armonyl";#N/A,#N/A,FALSE,"TAPSIN SC";#N/A,#N/A,FALSE,"Tapsin Antigripal";#N/A,#N/A,FALSE,"TAPSIN TABLETAS";#N/A,#N/A,FALSE,"DISFRUTA";#N/A,#N/A,FALSE,"tapsin periodo";#N/A,#N/A,FALSE,"Tapsin marca";#N/A,#N/A,FALSE,"oralgene spray";#N/A,#N/A,FALSE,"Periodoncia";#N/A,#N/A,FALSE,"vapolatum labial";#N/A,#N/A,FALSE,"Resumen inversión TV"}</definedName>
    <definedName name="wrn.Plan._.junio._.02." localSheetId="0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1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1_1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1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1_3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2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2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2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2_1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2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3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3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3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3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3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4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4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5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junio._.02._5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wrn.Plan._.Septiembre." localSheetId="0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1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1_1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1_1_1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1_2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2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1_3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2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2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2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2_1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2_1_2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2_2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3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3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3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3_1_1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3_2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4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4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5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lan._.Septiembre._5_1" hidden="1">{#N/A,#N/A,FALSE,"TAPA";#N/A,#N/A,FALSE,"resumen total por medios";#N/A,#N/A,FALSE,"Resumen inversión TV";#N/A,#N/A,FALSE,"TAPSIN SC";#N/A,#N/A,FALSE,"TAPSIN TABLETAS";#N/A,#N/A,FALSE,"vapolatum labial";#N/A,#N/A,FALSE,"tapsin periodo";#N/A,#N/A,FALSE,"Armonyl";#N/A,#N/A,FALSE,"DISFRUTA";#N/A,#N/A,FALSE,"neneglos";#N/A,#N/A,FALSE,"Adelgazul Fibra";#N/A,#N/A,FALSE,"Disfrutab";#N/A,#N/A,FALSE,"tapsin infantil";#N/A,#N/A,FALSE,"Mediklin";#N/A,#N/A,FALSE,"lamint";#N/A,#N/A,FALSE,"Adelgazul Te";#N/A,#N/A,FALSE,"bbdent";#N/A,#N/A,FALSE,"Dolorub Tabletas";#N/A,#N/A,FALSE,"Tapsin marca";#N/A,#N/A,FALSE,"Periodoncia"}</definedName>
    <definedName name="wrn.Productos.">#REF!</definedName>
    <definedName name="wrn.RAF._.GARNIER.">#REF!</definedName>
    <definedName name="wrn.Retail._.Division.">#REF!</definedName>
    <definedName name="wrn.SSS.">#REF!</definedName>
    <definedName name="wrn.Vista._.Rapida.">#REF!</definedName>
    <definedName name="wrte">#REF!</definedName>
    <definedName name="ws">#REF!</definedName>
    <definedName name="wsdf">#REF!</definedName>
    <definedName name="wttw">#REF!</definedName>
    <definedName name="wtwertwertwe">#REF!</definedName>
    <definedName name="wtwrgtdfgsdf">#REF!</definedName>
    <definedName name="ww">#REF!</definedName>
    <definedName name="www">#REF!</definedName>
    <definedName name="wwww">#REF!</definedName>
    <definedName name="wwwww">#REF!</definedName>
    <definedName name="wwwwwww">#REF!</definedName>
    <definedName name="wwwwwwwwwwww">#REF!</definedName>
    <definedName name="wwwwwwwwwwwwwwwwwwwwwwwwwwwwwwwwwww">#REF!</definedName>
    <definedName name="wzy">#REF!</definedName>
    <definedName name="x" hidden="1">[73]PLANGENERAL!$AH$144</definedName>
    <definedName name="xa" localSheetId="0">#REF!</definedName>
    <definedName name="xa">#REF!</definedName>
    <definedName name="xc">#REF!</definedName>
    <definedName name="xcv">#REF!</definedName>
    <definedName name="xf">#REF!</definedName>
    <definedName name="xfgh">#REF!</definedName>
    <definedName name="xfh">#REF!</definedName>
    <definedName name="xfh_1">#REF!</definedName>
    <definedName name="xfhfshdfhdfju">#REF!</definedName>
    <definedName name="xfhgmngcf">#REF!</definedName>
    <definedName name="xfhgmngcf_1">#REF!</definedName>
    <definedName name="xg">#REF!</definedName>
    <definedName name="xg_1">#REF!</definedName>
    <definedName name="xggg">#REF!</definedName>
    <definedName name="XI">#REF!</definedName>
    <definedName name="xls">#REF!</definedName>
    <definedName name="xrate">#REF!</definedName>
    <definedName name="xs">#REF!</definedName>
    <definedName name="xscx">#REF!</definedName>
    <definedName name="xszdxc">#REF!</definedName>
    <definedName name="xuxu">#REF!</definedName>
    <definedName name="xvb">#REF!</definedName>
    <definedName name="XX">#REF!</definedName>
    <definedName name="xxx">#REF!</definedName>
    <definedName name="xxxff">#REF!</definedName>
    <definedName name="XXXX">#REF!</definedName>
    <definedName name="XXXX1">#REF!</definedName>
    <definedName name="XXXXX">#REF!</definedName>
    <definedName name="xxxxx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1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1_1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1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1_3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2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2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2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2_1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2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3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3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3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3_1_1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3_2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4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4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5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_5_1" hidden="1">{#N/A,#N/A,FALSE,"TAPSIN TABLETAS";#N/A,#N/A,FALSE,"neneglos";#N/A,#N/A,FALSE,"bbdent";#N/A,#N/A,FALSE,"Armonyl";#N/A,#N/A,FALSE,"DISFRUTA";#N/A,#N/A,FALSE,"Adelgazul Te";#N/A,#N/A,FALSE,"Adelgazul Fibra";#N/A,#N/A,FALSE,"Disfrutab";#N/A,#N/A,FALSE,"Tapsin Antigripal";#N/A,#N/A,FALSE,"tapsin periodo";#N/A,#N/A,FALSE,"tapsin infantil";#N/A,#N/A,FALSE,"Tapsin marca";#N/A,#N/A,FALSE,"dolorub";#N/A,#N/A,FALSE,"obleas chinas";#N/A,#N/A,FALSE,"lamint";#N/A,#N/A,FALSE,"vapolatum labial";#N/A,#N/A,FALSE,"oralgene spray";#N/A,#N/A,FALSE,"Periodoncia";#N/A,#N/A,FALSE,"Vapolatum Inhalador"}</definedName>
    <definedName name="xxxxxx">#REF!</definedName>
    <definedName name="xxxxxxxx">#REF!</definedName>
    <definedName name="xxxxxxxxxx">#REF!</definedName>
    <definedName name="xxxxxxxxxxxx">#REF!</definedName>
    <definedName name="xxxxxxxxxxxxx">#REF!</definedName>
    <definedName name="xxxxxxxxxxxxxxx">#REF!</definedName>
    <definedName name="xxxxxxxxxxxxxxxxxxxx">#REF!</definedName>
    <definedName name="xxxxxxxxxxxxxxxxxxxxxxx">#REF!</definedName>
    <definedName name="xxxxxxxxxxxxxxxxxxxxxxxx">#REF!</definedName>
    <definedName name="xxxxxxxxxxxxxxxxxxxxxxxxxxx">#REF!</definedName>
    <definedName name="xxxxxxxxxxxxxxxxxxxxxxxxxxxxxxxx">#REF!</definedName>
    <definedName name="xxxxxxxxz">#REF!</definedName>
    <definedName name="xyz">#REF!</definedName>
    <definedName name="xz">#REF!</definedName>
    <definedName name="xz_1">#REF!</definedName>
    <definedName name="xzxx">#N/A</definedName>
    <definedName name="Y">#REF!</definedName>
    <definedName name="y_1">#REF!</definedName>
    <definedName name="Y_EPOSI">#REF!</definedName>
    <definedName name="Y_EPOSITION">#REF!</definedName>
    <definedName name="ya">#REF!</definedName>
    <definedName name="ya_1">#REF!</definedName>
    <definedName name="Yahoo">#REF!</definedName>
    <definedName name="yaya">#REF!</definedName>
    <definedName name="ye">#REF!</definedName>
    <definedName name="yenı">#REF!</definedName>
    <definedName name="yers">#REF!</definedName>
    <definedName name="yes">#REF!</definedName>
    <definedName name="yesno">#REF!</definedName>
    <definedName name="yh">#REF!</definedName>
    <definedName name="yi">#REF!</definedName>
    <definedName name="Yingo">#REF!</definedName>
    <definedName name="Yingo_resumen">#REF!</definedName>
    <definedName name="ykk">#REF!</definedName>
    <definedName name="yo">#REF!</definedName>
    <definedName name="YO_1">#REF!</definedName>
    <definedName name="Yorka">#REF!</definedName>
    <definedName name="YOTO">#REF!</definedName>
    <definedName name="Youtube">#REF!</definedName>
    <definedName name="YOYO">#REF!</definedName>
    <definedName name="YOYO_1">#REF!</definedName>
    <definedName name="yoyos">#REF!</definedName>
    <definedName name="yr">#REF!</definedName>
    <definedName name="yrcahq">#REF!</definedName>
    <definedName name="yrcal">#REF!</definedName>
    <definedName name="yrcohq">#REF!</definedName>
    <definedName name="yrcol">#REF!</definedName>
    <definedName name="yt">#REF!</definedName>
    <definedName name="YTD">#REF!</definedName>
    <definedName name="YTDJUN">#REF!</definedName>
    <definedName name="ytj">#REF!</definedName>
    <definedName name="yttytyyty">#REF!</definedName>
    <definedName name="yttyy">#REF!</definedName>
    <definedName name="yu">#REF!</definedName>
    <definedName name="yu_1">#REF!</definedName>
    <definedName name="yufk">#REF!</definedName>
    <definedName name="YUI">#REF!</definedName>
    <definedName name="yuk">#REF!</definedName>
    <definedName name="yuka">#REF!</definedName>
    <definedName name="yur">#REF!</definedName>
    <definedName name="yuvl">#REF!</definedName>
    <definedName name="yy">#REF!</definedName>
    <definedName name="yyy">#REF!</definedName>
    <definedName name="yyyy">#REF!</definedName>
    <definedName name="yyyyyyyyyyyyy">#REF!</definedName>
    <definedName name="z">#REF!</definedName>
    <definedName name="za">#REF!</definedName>
    <definedName name="zdfb">#REF!</definedName>
    <definedName name="ZDFGZ">#REF!</definedName>
    <definedName name="zdzzzzfzf">#REF!</definedName>
    <definedName name="zfs">#REF!</definedName>
    <definedName name="zfzfzfffzzzzz">#REF!</definedName>
    <definedName name="zfzstt">#REF!</definedName>
    <definedName name="zsp">#REF!</definedName>
    <definedName name="zx">#REF!</definedName>
    <definedName name="zxcv">#REF!</definedName>
    <definedName name="zxdzc">#N/A</definedName>
    <definedName name="ZZ">#REF!</definedName>
    <definedName name="ZZ5000_1">#REF!</definedName>
    <definedName name="ZZX">#REF!</definedName>
    <definedName name="ZZZ">#REF!</definedName>
    <definedName name="ZZZZ">#REF!</definedName>
    <definedName name="zzzzzz">#REF!</definedName>
    <definedName name="zzzzzzzzzzzzzzzz">#REF!</definedName>
    <definedName name="zzzzzzzzzzzzzzzzzzzzzzzz">#REF!</definedName>
    <definedName name="zzzzzzzzzzzzzzzzzzzzzzzzzzzzzzz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" i="8" l="1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39" i="8"/>
  <c r="AN38" i="8"/>
  <c r="AN37" i="8"/>
  <c r="AN36" i="8"/>
  <c r="AN35" i="8"/>
  <c r="AN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N19" i="8"/>
  <c r="AN18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K17" i="8"/>
  <c r="AN43" i="8"/>
  <c r="P43" i="8"/>
  <c r="O43" i="8"/>
  <c r="N43" i="8"/>
  <c r="M43" i="8"/>
  <c r="L43" i="8"/>
  <c r="K43" i="8"/>
  <c r="J43" i="8"/>
  <c r="AN42" i="8"/>
  <c r="AN41" i="8"/>
  <c r="AN40" i="8"/>
  <c r="AX17" i="8"/>
  <c r="AS42" i="8" l="1"/>
  <c r="AQ42" i="8"/>
  <c r="AS41" i="8"/>
  <c r="AQ41" i="8"/>
  <c r="AS40" i="8"/>
  <c r="AQ40" i="8"/>
  <c r="AS39" i="8"/>
  <c r="AQ39" i="8"/>
  <c r="AS38" i="8"/>
  <c r="AQ38" i="8"/>
  <c r="AS37" i="8"/>
  <c r="AQ37" i="8"/>
  <c r="AS36" i="8"/>
  <c r="AQ36" i="8"/>
  <c r="AS35" i="8"/>
  <c r="AQ35" i="8"/>
  <c r="AS34" i="8"/>
  <c r="AQ34" i="8"/>
  <c r="AQ33" i="8"/>
  <c r="AS33" i="8"/>
  <c r="AT33" i="8" s="1"/>
  <c r="AQ32" i="8"/>
  <c r="AS32" i="8"/>
  <c r="AS31" i="8"/>
  <c r="AQ31" i="8"/>
  <c r="AS30" i="8"/>
  <c r="AQ30" i="8"/>
  <c r="AS29" i="8"/>
  <c r="AQ29" i="8"/>
  <c r="AS28" i="8"/>
  <c r="AQ28" i="8"/>
  <c r="AS27" i="8"/>
  <c r="AQ27" i="8"/>
  <c r="AU43" i="8" s="1"/>
  <c r="AS26" i="8"/>
  <c r="AQ26" i="8"/>
  <c r="AS25" i="8"/>
  <c r="AQ25" i="8"/>
  <c r="AS24" i="8"/>
  <c r="AQ24" i="8"/>
  <c r="AS23" i="8"/>
  <c r="AQ23" i="8"/>
  <c r="AS22" i="8"/>
  <c r="AQ22" i="8"/>
  <c r="AS21" i="8"/>
  <c r="AQ21" i="8"/>
  <c r="AS20" i="8"/>
  <c r="AQ20" i="8"/>
  <c r="AS19" i="8"/>
  <c r="AQ19" i="8"/>
  <c r="AQ18" i="8"/>
  <c r="AS18" i="8"/>
  <c r="AT32" i="8" l="1"/>
  <c r="AT41" i="8"/>
  <c r="AT35" i="8"/>
  <c r="AT26" i="8"/>
  <c r="AT25" i="8"/>
  <c r="AT39" i="8"/>
  <c r="AQ43" i="8"/>
  <c r="AT37" i="8"/>
  <c r="AT18" i="8"/>
  <c r="AS43" i="8"/>
  <c r="AT40" i="8"/>
  <c r="AT38" i="8"/>
  <c r="AT36" i="8"/>
  <c r="AT34" i="8"/>
  <c r="AT29" i="8"/>
  <c r="AT28" i="8"/>
  <c r="AT27" i="8"/>
  <c r="AT24" i="8"/>
  <c r="AT23" i="8"/>
  <c r="AT21" i="8"/>
  <c r="AT20" i="8"/>
  <c r="AT19" i="8"/>
  <c r="AT42" i="8"/>
  <c r="AT31" i="8"/>
  <c r="AT30" i="8"/>
  <c r="AT22" i="8"/>
  <c r="AT43" i="8" l="1"/>
</calcChain>
</file>

<file path=xl/sharedStrings.xml><?xml version="1.0" encoding="utf-8"?>
<sst xmlns="http://schemas.openxmlformats.org/spreadsheetml/2006/main" count="64" uniqueCount="34">
  <si>
    <t>Período:</t>
  </si>
  <si>
    <t>Versión:</t>
  </si>
  <si>
    <t>Programa</t>
  </si>
  <si>
    <t>Bloque</t>
  </si>
  <si>
    <t>Días</t>
  </si>
  <si>
    <t>Derechos</t>
  </si>
  <si>
    <t>Inicio</t>
  </si>
  <si>
    <t>Final</t>
  </si>
  <si>
    <t>Segundos</t>
  </si>
  <si>
    <t>Total Derechos</t>
  </si>
  <si>
    <t>Pond</t>
  </si>
  <si>
    <t>Rating</t>
  </si>
  <si>
    <t>TRPS</t>
  </si>
  <si>
    <t>Valor unitario</t>
  </si>
  <si>
    <t>Valor Total</t>
  </si>
  <si>
    <t>CPP</t>
  </si>
  <si>
    <t>Trps prime</t>
  </si>
  <si>
    <t>L</t>
  </si>
  <si>
    <t>M</t>
  </si>
  <si>
    <t>W</t>
  </si>
  <si>
    <t>J</t>
  </si>
  <si>
    <t>V</t>
  </si>
  <si>
    <t>S</t>
  </si>
  <si>
    <t>D</t>
  </si>
  <si>
    <t>Spot</t>
  </si>
  <si>
    <t>Mañana</t>
  </si>
  <si>
    <t>Tarde</t>
  </si>
  <si>
    <t>Mesa central</t>
  </si>
  <si>
    <t>Domingos de película</t>
  </si>
  <si>
    <t>TRPS POR DÍA</t>
  </si>
  <si>
    <t>Cliente</t>
  </si>
  <si>
    <t>Campaña:</t>
  </si>
  <si>
    <t>NOMBRE MES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</si>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</sst>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_-&quot;$&quot;\ * #,##0_-;\-&quot;$&quot;\ * #,##0_-;_-&quot;$&quot;\ * &quot;-&quot;??_-;_-@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Arial"/>
      <family val="2"/>
    </font>
    <font>
      <b/>
      <sz val="12"/>
      <color rgb="FF333333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2"/>
      <name val="Arial"/>
      <family val="2"/>
    </font>
    <font>
      <sz val="12"/>
      <color theme="0"/>
      <name val="Arial"/>
      <family val="2"/>
    </font>
    <font>
      <sz val="12"/>
      <name val="Calibri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rgb="FF4BACC6"/>
      </patternFill>
    </fill>
    <fill>
      <patternFill patternType="solid">
        <fgColor theme="0"/>
        <bgColor rgb="FF4BACC6"/>
      </patternFill>
    </fill>
    <fill>
      <patternFill patternType="solid">
        <fgColor theme="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92D050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5" fillId="0" borderId="0"/>
  </cellStyleXfs>
  <cellXfs count="80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164" fontId="2" fillId="2" borderId="0" xfId="0" applyNumberFormat="1" applyFont="1" applyFill="1" applyAlignment="1">
      <alignment horizontal="center" vertical="center"/>
    </xf>
    <xf numFmtId="6" fontId="2" fillId="2" borderId="0" xfId="0" applyNumberFormat="1" applyFont="1" applyFill="1"/>
    <xf numFmtId="0" fontId="4" fillId="2" borderId="0" xfId="0" applyFont="1" applyFill="1" applyAlignment="1">
      <alignment horizontal="left"/>
    </xf>
    <xf numFmtId="41" fontId="2" fillId="2" borderId="0" xfId="1" applyFont="1" applyFill="1" applyAlignment="1">
      <alignment horizontal="center" vertical="center"/>
    </xf>
    <xf numFmtId="6" fontId="3" fillId="2" borderId="0" xfId="0" applyNumberFormat="1" applyFont="1" applyFill="1"/>
    <xf numFmtId="0" fontId="4" fillId="2" borderId="0" xfId="3" applyFont="1" applyFill="1" applyAlignment="1">
      <alignment horizontal="left"/>
    </xf>
    <xf numFmtId="0" fontId="6" fillId="0" borderId="0" xfId="0" applyFont="1" applyAlignment="1">
      <alignment horizontal="center"/>
    </xf>
    <xf numFmtId="0" fontId="4" fillId="2" borderId="0" xfId="0" applyFont="1" applyFill="1" applyAlignment="1">
      <alignment horizontal="right"/>
    </xf>
    <xf numFmtId="0" fontId="6" fillId="2" borderId="1" xfId="0" applyFont="1" applyFill="1" applyBorder="1"/>
    <xf numFmtId="0" fontId="6" fillId="2" borderId="0" xfId="0" applyFont="1" applyFill="1" applyAlignment="1">
      <alignment horizontal="center"/>
    </xf>
    <xf numFmtId="0" fontId="9" fillId="4" borderId="3" xfId="0" applyFont="1" applyFill="1" applyBorder="1" applyAlignment="1">
      <alignment horizontal="center"/>
    </xf>
    <xf numFmtId="3" fontId="9" fillId="4" borderId="2" xfId="0" applyNumberFormat="1" applyFont="1" applyFill="1" applyBorder="1" applyAlignment="1">
      <alignment horizontal="center"/>
    </xf>
    <xf numFmtId="0" fontId="11" fillId="2" borderId="0" xfId="0" applyFont="1" applyFill="1"/>
    <xf numFmtId="0" fontId="10" fillId="0" borderId="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6" fontId="12" fillId="7" borderId="3" xfId="2" applyNumberFormat="1" applyFont="1" applyFill="1" applyBorder="1" applyAlignment="1">
      <alignment horizontal="center" vertical="center"/>
    </xf>
    <xf numFmtId="6" fontId="12" fillId="0" borderId="3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center"/>
    </xf>
    <xf numFmtId="0" fontId="10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20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2" fontId="12" fillId="0" borderId="10" xfId="0" applyNumberFormat="1" applyFont="1" applyBorder="1" applyAlignment="1">
      <alignment horizontal="center"/>
    </xf>
    <xf numFmtId="6" fontId="12" fillId="7" borderId="10" xfId="2" applyNumberFormat="1" applyFont="1" applyFill="1" applyBorder="1" applyAlignment="1">
      <alignment horizontal="center" vertical="center"/>
    </xf>
    <xf numFmtId="6" fontId="12" fillId="0" borderId="10" xfId="0" applyNumberFormat="1" applyFont="1" applyBorder="1" applyAlignment="1">
      <alignment horizontal="center"/>
    </xf>
    <xf numFmtId="4" fontId="12" fillId="0" borderId="10" xfId="0" applyNumberFormat="1" applyFont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10" fillId="2" borderId="0" xfId="0" applyFont="1" applyFill="1"/>
    <xf numFmtId="0" fontId="12" fillId="0" borderId="3" xfId="0" applyFont="1" applyBorder="1" applyAlignment="1">
      <alignment horizontal="left" vertical="center"/>
    </xf>
    <xf numFmtId="0" fontId="13" fillId="5" borderId="0" xfId="0" applyFont="1" applyFill="1"/>
    <xf numFmtId="0" fontId="3" fillId="5" borderId="0" xfId="0" applyFont="1" applyFill="1" applyAlignment="1">
      <alignment horizontal="center"/>
    </xf>
    <xf numFmtId="165" fontId="13" fillId="5" borderId="0" xfId="0" applyNumberFormat="1" applyFont="1" applyFill="1" applyAlignment="1">
      <alignment horizontal="center"/>
    </xf>
    <xf numFmtId="165" fontId="14" fillId="5" borderId="0" xfId="0" applyNumberFormat="1" applyFont="1" applyFill="1"/>
    <xf numFmtId="0" fontId="3" fillId="5" borderId="0" xfId="0" applyFont="1" applyFill="1"/>
    <xf numFmtId="0" fontId="13" fillId="5" borderId="0" xfId="0" applyFont="1" applyFill="1" applyAlignment="1">
      <alignment horizontal="center"/>
    </xf>
    <xf numFmtId="2" fontId="13" fillId="5" borderId="0" xfId="0" applyNumberFormat="1" applyFont="1" applyFill="1" applyAlignment="1">
      <alignment horizontal="center"/>
    </xf>
    <xf numFmtId="6" fontId="13" fillId="5" borderId="0" xfId="0" applyNumberFormat="1" applyFont="1" applyFill="1" applyAlignment="1">
      <alignment horizontal="center" vertical="center"/>
    </xf>
    <xf numFmtId="6" fontId="13" fillId="5" borderId="0" xfId="0" applyNumberFormat="1" applyFont="1" applyFill="1" applyAlignment="1">
      <alignment horizontal="center"/>
    </xf>
    <xf numFmtId="4" fontId="13" fillId="5" borderId="0" xfId="0" applyNumberFormat="1" applyFont="1" applyFill="1" applyAlignment="1">
      <alignment horizontal="center"/>
    </xf>
    <xf numFmtId="6" fontId="2" fillId="0" borderId="3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6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6" fontId="2" fillId="0" borderId="10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2" fillId="0" borderId="7" xfId="0" applyFont="1" applyBorder="1" applyAlignment="1">
      <alignment vertical="center"/>
    </xf>
  </cellXfs>
  <cellStyles count="4">
    <cellStyle name="Millares [0]" xfId="1" builtinId="6"/>
    <cellStyle name="Moneda [0]" xfId="2" builtinId="7"/>
    <cellStyle name="Normal" xfId="0" builtinId="0"/>
    <cellStyle name="Normal 3" xfId="3" xr:uid="{5B6318D9-FC0E-4198-A776-B468FE166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64676</xdr:rowOff>
    </xdr:from>
    <xdr:to>
      <xdr:col>2</xdr:col>
      <xdr:colOff>635000</xdr:colOff>
      <xdr:row>8</xdr:row>
      <xdr:rowOff>6271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71F48D-92F9-A86D-8485-0F88D3864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4676"/>
          <a:ext cx="1625600" cy="7543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CAROZZI/SAN-REMO/RE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_espinoza\Configuraci&#243;n%20local\Archivos%20temporales%20de%20Internet\OLK3B5\Pauta%20Presto%20(marzo%20abril%202007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vtr.net/DOCUME~1/randrews.AD/CONFIG~1/Temp/notes2CBB50/Brahma%20Feb-Mar%202006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acion%20rating%20verano%20a&#241;o%201998_19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-TERMINAL\DISCO%20E\Vtr-sebastian\2000\An&#225;lisis\Televisi&#243;n\Variacion%20rating%20verano%20a&#241;o%201999_2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ancisco.giadalah\Downloads\JJOO%20c&#225;psulas%20previas%20al%20event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_petitbon.DOMRECURSOS\Configuraci&#243;n%20local\Archivos%20temporales%20de%20Internet\Content.Outlook\L8C22XQT\Propuesta%20PRESTO%20TVN%20Regiones_Marzo%202010_V%201%2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LS\Datos\Documents%20and%20Settings\R_Montecinos\Escritorio\Pauta%20Easy%20-%20TVN%20Region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fonck\Escritorio\Ejecutivos\Nicolas%20supermercados\2009\COTIZACIONES%20CLIENTES\COTIZACION\LA%20CRIANZA\OP%20COTIZACION\25.02.2009%20OP%20COT%20LA%20CRIANZA%20V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ls\datos\WKS\ENC-REV\DIC'9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televisivamegavision-my.sharepoint.com/WPP-BBVA/04.-Campa&#241;a%20Corrida%20Solidaria/0.-Estrategia/Libro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usana.guzman\Local%20Settings\Temporary%20Internet%20Files\OLK10D\AysenLoweU.dat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abc.junio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ls\datos\WKS\CUANT-GO\_CG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pauta%2024%20H%20-%20Marzo%202009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Mstrat%20replaneado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J_Villagran\Configuraci&#243;n%20local\Archivos%20temporales%20de%20Internet\OLKC0\24-01-07%20CLARO%20%20Refugios%20Bonificad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hollmann\Escritorio\OP%20EXCEL\OMD\LONCOLECHE\070423-LONCOLECH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V%20PAGO\TARIFAS%20Y%20PARRILLAS\Propuesta%20de%20pauta%20Preferencial%20+%20Canal%2024%20horas%20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documentos\Rodrigo%20Sepulveda\Clientes%202003\Laboratorio%20Garden%20House\Pautas%20LGH%20spot%2020''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alabella%2015-02-2004\2004-12%20Diciembre\Cuentas\Dic04%20-%20Base%20Libro%20Ctas.%20Corrientes%2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den%20y%20Contrato%20Evento%20Telet&#243;n%202008%20alt%20%2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1%20Samsung%20Electronics%20Global%20_%20IO%20_%20v1%2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SAN-RESFSR01\Cuentas_SMG\Users\lina\Desktop\Agencia_2\001%20Digital\001%20A%20Mediavest\Nestl&#233;\001%202013\001%20Marcas\Sahne%20Nuss\Eyeblaster_NewCampaign_MediaPlan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0.51\pricing\1.%20CHV\1.%20Pricing\Planillas%20de%20Precio%20T-D\Nuevas%20desde%20Ago%202008\12.%20Dic%202008\Documents%20and%20Settings\mcvega\Configuraci&#243;n%20local\Archivos%20temporales%20de%20Internet\OLK63\Resumen%20de%20Prediccion%20de%20Ago%2008%20Aqua%20TV%20(2).xls?ABB5B1D9" TargetMode="External"/><Relationship Id="rId1" Type="http://schemas.openxmlformats.org/officeDocument/2006/relationships/externalLinkPath" Target="file:///\\ABB5B1D9\Resumen%20de%20Prediccion%20de%20Ago%2008%20Aqua%20TV%20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%20prensa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9\DERCO\Dercomaq\Planes\Provisorios\12.Diciembre\Camiones%20Jac\OMD_Plan%20Jac%20Camiones_Diciembre%20_V6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arriaga\Escritorio\REGIONES\COSTOS%20POR%20CONTACTO\2010\02_Febrero\Costo%20x%20cto%20Octubre%202009%20H%2025-64%20ABC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bril%202016-%20Regiones1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uis%20Marambio\Desktop\FSN-CHILE\Propuestas_SR111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televisivamegavision-my.sharepoint.com/Users/rodherre/AppData/Local/Microsoft/Windows/INetCache/Content.Outlook/7BKR136E/Maggi/Plan%20Search_Maggi%20Vive%20Bien_v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R_BRUNA\SANCELA\2002\Flowchart_Donnasept_20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LS\DATOS\WKS\CUANT-GO\A-BAS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MRIVERA\CONFIG~1\Temp\pautatv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mercial%20Regiones\09_PROPUESTAS,%20ANALISIS\PROPUESTAS\2010\Entel\Pauta%20TVN%20Regiones_Entel_Feb%202010_V.1.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es%20prensa%2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arriaga\Escritorio\REGIONES\PROPUESTAS,%20ANALISIS\PROPUESTAS\2010\Dijon\Propuesta%20Dijon_TVN%20Regiones_V.1.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LS\Datos\Documents%20and%20Settings\a_tobar\Configuraci&#243;n%20local\Archivos%20temporales%20de%20Internet\OLK18\APARI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MRIVERA\CONFIG~1\Temp\Pauta%20Mix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_vera\Configuraci&#243;n%20local\Archivos%20temporales%20de%20Internet\Content.Outlook\7I245JHA\22.02.2010%20OP%20COTIZACION%20SOPRAVAL%20V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Glaxo%20-%20Propuesta%20TVN%20Feb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dor/Configuraci&#243;n%20local/Archivos%20temporales%20de%20Internet/OLK6C0/Pauta%202010%2019%203%201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y%202015-Pref1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ELEVISION\MATRICES%20DE%20PAUTA\Pautas%20Mensuales%20a&#241;o%202015\11.Noviembre\Nov%202015-Red.xlt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UEVAOL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FO%20Uruguay%2020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ls\Creative\WINDOWS\TEMP\Prop-Medios-Planes\TV%20Superwiken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ata\Movistar\Campa&#241;as%202008\Comunidad%20(Abril%202)\Reportes\Planilla%20Avance_Movistar_Comunidad_V1F_29.04.08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1\pricing\Documents%20and%20Settings\cdelabarra\Configuraci&#243;n%20local\Archivos%20temporales%20de%20Internet\OLKE6\11.%20Clasif%2016%20al%2030%20Nov%20Rev%2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1\pricing\1.%20CHV\1.%20Pricing\Planillas%20de%20Precio%20T-D\Nuevas%20desde%20Ago%202008\2009\9.%20Sep%202009\8.%20Clasif%201%20al%2015%20Ago%20Rev%20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ELEVISION\MATRICES%20DE%20PAUTA\Pautas%20Mensuales%20a&#241;o%202015\9.Septiembre\Sep%202015-Pref.xlt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microsoft.com/office/2019/04/relationships/externalLinkLongPath" Target="file:///M:\Users\Leslie%20San%20Martin\Documents\CLIENTES%202008\CORONA%2008\planes%20de%20medios%2008\1enero\1_GRUPOLINK%202007\CORONA%2007\PLANES%20DE%20MEDIOS\NOVIEMBRE\DOCUME~1\EMILIO~1\CONFIG~1\TEMP\Documents%20and%20Settings\emilio%20gonzalez\Mis%20documentos\&#170;%20?900B4077" TargetMode="External"/><Relationship Id="rId1" Type="http://schemas.openxmlformats.org/officeDocument/2006/relationships/externalLinkPath" Target="file:///\\900B4077\&#170;%20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microsoft.com/office/2019/04/relationships/externalLinkLongPath" Target="file:///M:\Users\Leslie%20San%20Martin\Documents\CLIENTES%202008\CORONA%2008\planes%20de%20medios%2008\1enero\DOCUME~1\EMILIO~1\CONFIG~1\Temp\tmp\evolution-500-2770\app-launcher-9sYeUT\DOCUME~1\EMILIO~1\CONFIG~1\TEMP\Documents%20and%20Settings\emilio%20gonza?A9C0CBE1" TargetMode="External"/><Relationship Id="rId1" Type="http://schemas.openxmlformats.org/officeDocument/2006/relationships/externalLinkPath" Target="file:///\\A9C0CBE1\emilio%20gonza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televisivamegavision-my.sharepoint.com/Telcel/TELCEL99/PLANES99/Sumarios/REGION4/Planpr&#225;c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televisivamegavision-my.sharepoint.com/S/Z/Planeacion/Kuadri%20Krispis/SIX%20FLAGS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bril%202016%20-%20Tarifas%20X1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ancisco.giadalah\Downloads\Planilla%20de%20pre%20evaluaci&#243;n%20JJOO%20Rio%202016%20(1)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televisivamegavision-my.sharepoint.com/C:/C:/C:/Clobos/departamento/Mis%20documentos/Departamento%20de%20Medios/Estudios/Cuantificador%20Total%20pa&#237;s.xlt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eative%20Specs%20Form%20V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uis%20Marambio\Desktop\FSN-CHILE\Propuestas_SR1110-1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televisivamegavision-my.sharepoint.com/2014/12%20Planes%20Inciales/02%20Febrero/Tarjeta%20Credito/Plan%20Inicial%20Institucional-Tarjeta%20# 1.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antificador2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mrock/Mis%20documentos/MKT%20Y%20PNT/CLIENTES%20DIRECTOS/Nuevos%20Negocios/mary/03.23%20BACARDI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nadol%20-%20pauta%20paquete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1\pricing\1.%20CHV\1.%20Pricing\Planillas%20de%20Precio%20T-D\Nuevas%20desde%20Ago%202008\12.%20Dic%202008\Documents%20and%20Settings\mcvega\Configuraci&#243;n%20local\Archivos%20temporales%20de%20Internet\OLK63\Comp%20Sept%2008%20Competenci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ELEVISION\MATRICES%20DE%20PAUTA\Pautas%20Mensuales%20a&#241;o%202015\6.Junio\May%202015-Pref%20desde%2019%20de%20Mayo.xlt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rnermedia-my.sharepoint.com/STC_Belcorp/Belcorp/2011/2011%20Belcorp/Esika/Estrategias/Ejercicios%20TV%20Esika%202011/ejercicios%20esika%20201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1\pricing\1.%20CHV\1.%20Pricing\Planillas%20de%20Precio%20T-D\Nuevas%20desde%20Ago%202008\12.%20Dic%202008\Documents%20and%20Settings\mcvega\Configuraci&#243;n%20local\Archivos%20temporales%20de%20Internet\OLK63\Comparativo%20Julio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_rousseau\Configuraci&#243;n%20local\Archivos%20temporales%20de%20Internet\Content.Outlook\L08QAWRA\Rankeadores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televisivamegavision-my.sharepoint.com/S/@/Satelite/c_prensa/Departamento%20de%20Medios/99/PROG-MED/PRE96@0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LS\DATOS\WKS\JOTA\COF\PMODA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G.O."/>
      <sheetName val="plan"/>
      <sheetName val="GRAFICA"/>
      <sheetName val="#G_O_"/>
      <sheetName val="#G_O_1"/>
      <sheetName val="an-r"/>
      <sheetName val="Analisis"/>
      <sheetName val="Rk"/>
      <sheetName val="ventas"/>
      <sheetName val="REMO"/>
      <sheetName val="#G_O_2"/>
      <sheetName val="01_1999"/>
      <sheetName val="01_2000"/>
      <sheetName val="Anunciantes"/>
      <sheetName val="Caras"/>
      <sheetName val="Tablas"/>
      <sheetName val="Marcas"/>
      <sheetName val="MarcasCli"/>
      <sheetName val="DatosTP"/>
      <sheetName val="Rubros"/>
      <sheetName val="Salas_2"/>
      <sheetName val="resumen campaña"/>
      <sheetName val="Resultados"/>
      <sheetName val="Alc_y_Fr_Nin"/>
      <sheetName val="Diario"/>
      <sheetName val="Alc_y_Fre_Amas"/>
      <sheetName val="POST_EVALUACION"/>
      <sheetName val="Alcan_y_Frec_TOTAL_3_Semanas"/>
      <sheetName val="Análisis"/>
      <sheetName val="#G_O_3"/>
      <sheetName val="_G_O_"/>
      <sheetName val="#G_O_4"/>
      <sheetName val="Effet PRF"/>
      <sheetName val="Decade2Feb2002"/>
      <sheetName val="Seguimiento"/>
      <sheetName val="Post-Evaluacion"/>
      <sheetName val="#G_O_5"/>
      <sheetName val="resumen_campaña"/>
      <sheetName val="#G_O_6"/>
      <sheetName val="resumen_campaña1"/>
      <sheetName val="#G_O_7"/>
      <sheetName val="resumen_campaña2"/>
      <sheetName val="LOGO"/>
      <sheetName val="AUXILIAR"/>
      <sheetName val="Programas"/>
      <sheetName val="Ayuda"/>
      <sheetName val="Ranking Planeta"/>
      <sheetName val="HM 26-50 CDE"/>
      <sheetName val="Termografia"/>
      <sheetName val="Base"/>
      <sheetName val="Diccionario"/>
      <sheetName val="Notas"/>
      <sheetName val="Ene 09 Netas"/>
      <sheetName val="Rating"/>
      <sheetName val="#G_O_8"/>
      <sheetName val="resumen_campaña3"/>
      <sheetName val="Effet_PRF"/>
      <sheetName val="Ranking_Planeta"/>
      <sheetName val="Data URL"/>
      <sheetName val="FCST Q1"/>
      <sheetName val="AUSPICIO"/>
      <sheetName val="Rk Rev"/>
      <sheetName val="Hoja2"/>
      <sheetName val="Reach Curve"/>
      <sheetName val="Salas 2"/>
      <sheetName val="Regiones Noviembre 2002"/>
      <sheetName val="#G_O_9"/>
      <sheetName val="resumen_campaña4"/>
      <sheetName val="Effet_PRF1"/>
      <sheetName val="Ranking_Planeta1"/>
      <sheetName val="HM_26-50_CDE"/>
      <sheetName val="Rk_Rev"/>
      <sheetName val="Ene_09_Netas"/>
      <sheetName val="Data_URL"/>
      <sheetName val="Tablas - Ocultar"/>
      <sheetName val="channel"/>
      <sheetName val="Matriz"/>
      <sheetName val="Filtros"/>
      <sheetName val="Materiales"/>
      <sheetName val="Post-Evaluación"/>
      <sheetName val="Megadata"/>
      <sheetName val="Plan_TV_Abierta"/>
      <sheetName val="Flow"/>
      <sheetName val="GYE"/>
      <sheetName val="Targets"/>
      <sheetName val="UIO"/>
      <sheetName val="Caculation"/>
      <sheetName val="ANAREV"/>
      <sheetName val="Hoja3"/>
      <sheetName val="Agencias"/>
      <sheetName val="Campañas"/>
      <sheetName val="Clientes"/>
      <sheetName val="Ejecutivos"/>
      <sheetName val="Mes"/>
      <sheetName val="Plataformas"/>
      <sheetName val="Definiciones agencia"/>
      <sheetName val="Rk_Rev1"/>
      <sheetName val="HM_26-50_CDE1"/>
      <sheetName val="#G_O_10"/>
      <sheetName val="resumen_campaña5"/>
      <sheetName val="Ranking_Planeta2"/>
      <sheetName val="Effet_PRF2"/>
      <sheetName val="Rk_Rev2"/>
      <sheetName val="HM_26-50_CDE2"/>
      <sheetName val="Data_URL1"/>
      <sheetName val="#G_O_11"/>
      <sheetName val="resumen_campaña6"/>
      <sheetName val="Ranking_Planeta3"/>
      <sheetName val="Effet_PRF3"/>
      <sheetName val="Rk_Rev3"/>
      <sheetName val="HM_26-50_CDE3"/>
      <sheetName val="Data_URL2"/>
      <sheetName val="TVP 25&quot;"/>
      <sheetName val="Ene_09_Netas1"/>
      <sheetName val="Reach_Curve"/>
      <sheetName val="FCST_Q1"/>
      <sheetName val="Tablas_-_Ocultar"/>
      <sheetName val="Salas_21"/>
      <sheetName val="Regiones_Noviembre_2002"/>
      <sheetName val="TVP_25&quot;"/>
      <sheetName val="Definiciones_agencia"/>
      <sheetName val="#G_O_12"/>
      <sheetName val="resumen_campaña7"/>
      <sheetName val="Effet_PRF4"/>
      <sheetName val="Ranking_Planeta4"/>
      <sheetName val="Ene_09_Netas3"/>
      <sheetName val="Reach_Curve2"/>
      <sheetName val="Data_URL3"/>
      <sheetName val="FCST_Q12"/>
      <sheetName val="Tablas_-_Ocultar2"/>
      <sheetName val="Salas_23"/>
      <sheetName val="Regiones_Noviembre_20022"/>
      <sheetName val="TVP_25&quot;2"/>
      <sheetName val="Definiciones_agencia2"/>
      <sheetName val="Ene_09_Netas2"/>
      <sheetName val="Reach_Curve1"/>
      <sheetName val="FCST_Q11"/>
      <sheetName val="Tablas_-_Ocultar1"/>
      <sheetName val="Salas_22"/>
      <sheetName val="Regiones_Noviembre_20021"/>
      <sheetName val="TVP_25&quot;1"/>
      <sheetName val="Definiciones_agencia1"/>
      <sheetName val="Tabelas"/>
      <sheetName val="#G_O_13"/>
      <sheetName val="resumen_campaña8"/>
      <sheetName val="Effet_PRF5"/>
      <sheetName val="Ranking_Planeta5"/>
      <sheetName val="HM_26-50_CDE4"/>
      <sheetName val="Rk_Rev4"/>
      <sheetName val="Ene_09_Netas4"/>
      <sheetName val="Reach_Curve3"/>
      <sheetName val="Data_URL4"/>
      <sheetName val="FCST_Q13"/>
      <sheetName val="Tablas_-_Ocultar3"/>
      <sheetName val="Salas_24"/>
      <sheetName val="Regiones_Noviembre_20023"/>
      <sheetName val="TVP_25&quot;3"/>
      <sheetName val="Definiciones_agencia3"/>
      <sheetName val="#G_O_14"/>
      <sheetName val="resumen_campaña9"/>
      <sheetName val="Effet_PRF6"/>
      <sheetName val="Ranking_Planeta6"/>
      <sheetName val="HM_26-50_CDE5"/>
      <sheetName val="Rk_Rev5"/>
      <sheetName val="Ene_09_Netas5"/>
      <sheetName val="Reach_Curve4"/>
      <sheetName val="Data_URL5"/>
      <sheetName val="FCST_Q14"/>
      <sheetName val="Tablas_-_Ocultar4"/>
      <sheetName val="Salas_25"/>
      <sheetName val="Regiones_Noviembre_20024"/>
      <sheetName val="TVP_25&quot;4"/>
      <sheetName val="Definiciones_agencia4"/>
      <sheetName val="Inversióm"/>
      <sheetName val="tablas final 2°sem 2008"/>
      <sheetName val="Half Life Definitions"/>
      <sheetName val="Months"/>
      <sheetName val="Start"/>
      <sheetName val="ePromotions Roll-Up"/>
      <sheetName val="Vallas."/>
      <sheetName val="REMO.XLS"/>
      <sheetName val="VPR"/>
      <sheetName val="tarifa"/>
      <sheetName val="FRANJAS SPOT"/>
      <sheetName val="SPOTS X POSICION"/>
      <sheetName val="GRP´S X CANAL"/>
      <sheetName val="MIX INVERSION"/>
      <sheetName val="NEWS PREV"/>
      <sheetName val="#G_O_16"/>
      <sheetName val="resumen_campaña11"/>
      <sheetName val="Rk_Rev7"/>
      <sheetName val="Ranking_Planeta8"/>
      <sheetName val="HM_26-50_CDE7"/>
      <sheetName val="Effet_PRF8"/>
      <sheetName val="Data_URL7"/>
      <sheetName val="Ene_09_Netas7"/>
      <sheetName val="FCST_Q16"/>
      <sheetName val="Reach_Curve6"/>
      <sheetName val="Tablas_-_Ocultar6"/>
      <sheetName val="Salas_27"/>
      <sheetName val="Regiones_Noviembre_20026"/>
      <sheetName val="Definiciones_agencia6"/>
      <sheetName val="TVP_25&quot;6"/>
      <sheetName val="#G_O_15"/>
      <sheetName val="resumen_campaña10"/>
      <sheetName val="Rk_Rev6"/>
      <sheetName val="Ranking_Planeta7"/>
      <sheetName val="HM_26-50_CDE6"/>
      <sheetName val="Effet_PRF7"/>
      <sheetName val="Data_URL6"/>
      <sheetName val="Ene_09_Netas6"/>
      <sheetName val="FCST_Q15"/>
      <sheetName val="Reach_Curve5"/>
      <sheetName val="Tablas_-_Ocultar5"/>
      <sheetName val="Salas_26"/>
      <sheetName val="Regiones_Noviembre_20025"/>
      <sheetName val="Definiciones_agencia5"/>
      <sheetName val="TVP_25&quot;5"/>
      <sheetName val="Radio"/>
      <sheetName val="tablas_final_2°sem_2008"/>
      <sheetName val="Half_Life_Definitions"/>
      <sheetName val="ePromotions_Roll-Up"/>
      <sheetName val="Vallas_"/>
      <sheetName val="REMO_XLS"/>
      <sheetName val="FRANJAS_SPOT"/>
      <sheetName val="SPOTS_X_POSICION"/>
      <sheetName val="GRP´S_X_CANAL"/>
      <sheetName val="MIX_INVERSION"/>
      <sheetName val="PLANGENERAL"/>
      <sheetName val="DATA BASE"/>
      <sheetName val="Tapa"/>
      <sheetName val="Budget Coca-Cola"/>
      <sheetName val="Resumen TV"/>
      <sheetName val="Plan TV "/>
      <sheetName val="#G_O_17"/>
      <sheetName val="resumen_campaña12"/>
      <sheetName val="Rk_Rev8"/>
      <sheetName val="Ranking_Planeta9"/>
      <sheetName val="HM_26-50_CDE8"/>
      <sheetName val="Effet_PRF9"/>
      <sheetName val="Data_URL8"/>
      <sheetName val="Ene_09_Netas8"/>
      <sheetName val="FCST_Q17"/>
      <sheetName val="Reach_Curve7"/>
      <sheetName val="Tablas_-_Ocultar7"/>
      <sheetName val="Salas_28"/>
      <sheetName val="Regiones_Noviembre_20027"/>
      <sheetName val="Definiciones_agencia7"/>
      <sheetName val="TVP_25&quot;7"/>
      <sheetName val="NEWS_PREV"/>
      <sheetName val="Seguro de Rating"/>
      <sheetName val="#G_O_18"/>
      <sheetName val="resumen_campaña13"/>
      <sheetName val="Effet_PRF10"/>
      <sheetName val="Ranking_Planeta10"/>
      <sheetName val="HM_26-50_CDE9"/>
      <sheetName val="Data_URL9"/>
      <sheetName val="Ene_09_Netas9"/>
      <sheetName val="Rk_Rev9"/>
      <sheetName val="Salas_29"/>
      <sheetName val="Regiones_Noviembre_20028"/>
      <sheetName val="Reach_Curve8"/>
      <sheetName val="FCST_Q18"/>
      <sheetName val="Tablas_-_Ocultar8"/>
      <sheetName val="TVP_25&quot;8"/>
      <sheetName val="Definiciones_agencia8"/>
      <sheetName val="tablas_final_2°sem_20081"/>
      <sheetName val="Half_Life_Definitions1"/>
      <sheetName val="ePromotions_Roll-Up1"/>
      <sheetName val="Vallas_1"/>
      <sheetName val="REMO_XLS1"/>
      <sheetName val="FRANJAS_SPOT1"/>
      <sheetName val="SPOTS_X_POSICION1"/>
      <sheetName val="GRP´S_X_CANAL1"/>
      <sheetName val="MIX_INVERSION1"/>
      <sheetName val="Resumen_TV"/>
      <sheetName val="Plan_TV_"/>
      <sheetName val="NEWS_PREV1"/>
      <sheetName val="DATA_BASE"/>
      <sheetName val="Budget_Coca-Cola"/>
      <sheetName val="#G_O_19"/>
      <sheetName val="resumen_campaña14"/>
      <sheetName val="Effet_PRF11"/>
      <sheetName val="Ranking_Planeta11"/>
      <sheetName val="HM_26-50_CDE10"/>
      <sheetName val="Data_URL10"/>
      <sheetName val="Ene_09_Netas10"/>
      <sheetName val="Rk_Rev10"/>
      <sheetName val="Salas_210"/>
      <sheetName val="Regiones_Noviembre_20029"/>
      <sheetName val="Reach_Curve9"/>
      <sheetName val="FCST_Q19"/>
      <sheetName val="Tablas_-_Ocultar9"/>
      <sheetName val="TVP_25&quot;9"/>
      <sheetName val="Definiciones_agencia9"/>
      <sheetName val="tablas_final_2°sem_20082"/>
      <sheetName val="Half_Life_Definitions2"/>
      <sheetName val="ePromotions_Roll-Up2"/>
      <sheetName val="Vallas_2"/>
      <sheetName val="REMO_XLS2"/>
      <sheetName val="FRANJAS_SPOT2"/>
      <sheetName val="SPOTS_X_POSICION2"/>
      <sheetName val="GRP´S_X_CANAL2"/>
      <sheetName val="MIX_INVERSION2"/>
      <sheetName val="Resumen_TV1"/>
      <sheetName val="Plan_TV_1"/>
      <sheetName val="NEWS_PREV2"/>
      <sheetName val="DATA_BASE1"/>
      <sheetName val="Budget_Coca-Cola1"/>
      <sheetName val="#G_O_20"/>
      <sheetName val="resumen_campaña15"/>
      <sheetName val="Effet_PRF12"/>
      <sheetName val="Ranking_Planeta12"/>
      <sheetName val="HM_26-50_CDE11"/>
      <sheetName val="Data_URL11"/>
      <sheetName val="Ene_09_Netas11"/>
      <sheetName val="Rk_Rev11"/>
      <sheetName val="Salas_211"/>
      <sheetName val="Regiones_Noviembre_200210"/>
      <sheetName val="Reach_Curve10"/>
      <sheetName val="FCST_Q110"/>
      <sheetName val="Tablas_-_Ocultar10"/>
      <sheetName val="TVP_25&quot;10"/>
      <sheetName val="Definiciones_agencia10"/>
      <sheetName val="tablas_final_2°sem_20083"/>
      <sheetName val="Half_Life_Definitions3"/>
      <sheetName val="ePromotions_Roll-Up3"/>
      <sheetName val="Vallas_3"/>
      <sheetName val="REMO_XLS3"/>
      <sheetName val="FRANJAS_SPOT3"/>
      <sheetName val="SPOTS_X_POSICION3"/>
      <sheetName val="GRP´S_X_CANAL3"/>
      <sheetName val="MIX_INVERSION3"/>
      <sheetName val="Resumen_TV2"/>
      <sheetName val="Plan_TV_2"/>
      <sheetName val="NEWS_PREV3"/>
      <sheetName val="DATA_BASE2"/>
      <sheetName val="Budget_Coca-Cola2"/>
      <sheetName val="#G_O_21"/>
      <sheetName val="resumen_campaña16"/>
      <sheetName val="Effet_PRF13"/>
      <sheetName val="Ranking_Planeta13"/>
      <sheetName val="HM_26-50_CDE12"/>
      <sheetName val="Data_URL12"/>
      <sheetName val="Ene_09_Netas12"/>
      <sheetName val="Rk_Rev12"/>
      <sheetName val="Salas_212"/>
      <sheetName val="Regiones_Noviembre_200211"/>
      <sheetName val="Reach_Curve11"/>
      <sheetName val="FCST_Q111"/>
      <sheetName val="Tablas_-_Ocultar11"/>
      <sheetName val="TVP_25&quot;11"/>
      <sheetName val="Definiciones_agencia11"/>
      <sheetName val="tablas_final_2°sem_20084"/>
      <sheetName val="Half_Life_Definitions4"/>
      <sheetName val="ePromotions_Roll-Up4"/>
      <sheetName val="Vallas_4"/>
      <sheetName val="REMO_XLS4"/>
      <sheetName val="FRANJAS_SPOT4"/>
      <sheetName val="SPOTS_X_POSICION4"/>
      <sheetName val="GRP´S_X_CANAL4"/>
      <sheetName val="MIX_INVERSION4"/>
      <sheetName val="Resumen_TV3"/>
      <sheetName val="Plan_TV_3"/>
      <sheetName val="NEWS_PREV4"/>
      <sheetName val="DATA_BASE3"/>
      <sheetName val="Budget_Coca-Cola3"/>
      <sheetName val="NokiaBackToSchool"/>
      <sheetName val="Pre-Post Evaluación"/>
      <sheetName val="Menu"/>
      <sheetName val="#G_O_22"/>
      <sheetName val="resumen_campaña17"/>
      <sheetName val="Effet_PRF14"/>
      <sheetName val="Ranking_Planeta14"/>
      <sheetName val="HM_26-50_CDE13"/>
      <sheetName val="Rk_Rev13"/>
      <sheetName val="Ene_09_Netas13"/>
      <sheetName val="Reach_Curve12"/>
      <sheetName val="Data_URL13"/>
      <sheetName val="FCST_Q112"/>
      <sheetName val="Tablas_-_Ocultar12"/>
      <sheetName val="Salas_213"/>
      <sheetName val="Regiones_Noviembre_200212"/>
      <sheetName val="TVP_25&quot;12"/>
      <sheetName val="Definiciones_agencia12"/>
      <sheetName val="tablas_final_2°sem_20085"/>
      <sheetName val="Half_Life_Definitions5"/>
      <sheetName val="ePromotions_Roll-Up5"/>
      <sheetName val="Vallas_5"/>
      <sheetName val="REMO_XLS5"/>
      <sheetName val="FRANJAS_SPOT5"/>
      <sheetName val="SPOTS_X_POSICION5"/>
      <sheetName val="GRP´S_X_CANAL5"/>
      <sheetName val="MIX_INVERSION5"/>
      <sheetName val="NEWS_PREV5"/>
      <sheetName val="DATA_BASE4"/>
      <sheetName val="Budget_Coca-Cola4"/>
      <sheetName val="Resumen_TV4"/>
      <sheetName val="Plan_TV_4"/>
      <sheetName val="Seguro_de_Rating"/>
      <sheetName val="#G_O_23"/>
      <sheetName val="resumen_campaña18"/>
      <sheetName val="Effet_PRF15"/>
      <sheetName val="Ranking_Planeta15"/>
      <sheetName val="HM_26-50_CDE14"/>
      <sheetName val="Rk_Rev14"/>
      <sheetName val="Ene_09_Netas14"/>
      <sheetName val="Reach_Curve13"/>
      <sheetName val="Data_URL14"/>
      <sheetName val="FCST_Q113"/>
      <sheetName val="Tablas_-_Ocultar13"/>
      <sheetName val="Salas_214"/>
      <sheetName val="Regiones_Noviembre_200213"/>
      <sheetName val="TVP_25&quot;13"/>
      <sheetName val="Definiciones_agencia13"/>
      <sheetName val="tablas_final_2°sem_20086"/>
      <sheetName val="Half_Life_Definitions6"/>
      <sheetName val="ePromotions_Roll-Up6"/>
      <sheetName val="Vallas_6"/>
      <sheetName val="REMO_XLS6"/>
      <sheetName val="FRANJAS_SPOT6"/>
      <sheetName val="SPOTS_X_POSICION6"/>
      <sheetName val="GRP´S_X_CANAL6"/>
      <sheetName val="MIX_INVERSION6"/>
      <sheetName val="NEWS_PREV6"/>
      <sheetName val="DATA_BASE5"/>
      <sheetName val="Budget_Coca-Cola5"/>
      <sheetName val="Resumen_TV5"/>
      <sheetName val="Plan_TV_5"/>
      <sheetName val="Seguro_de_Rating1"/>
      <sheetName val="Canal 05"/>
      <sheetName val="Canal_05"/>
      <sheetName val="Canal_051"/>
      <sheetName val="Canal_053"/>
      <sheetName val="Canal_052"/>
      <sheetName val="Canal_05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/>
      <sheetData sheetId="432"/>
      <sheetData sheetId="433"/>
      <sheetData sheetId="434"/>
      <sheetData sheetId="4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uta "/>
      <sheetName val="rat2"/>
      <sheetName val="tarifas"/>
      <sheetName val="Pauta Presto (marzo abril 2007)"/>
      <sheetName val="aca-"/>
      <sheetName val="Pauta_"/>
      <sheetName val="Pauta_1"/>
      <sheetName val="Pauta_2"/>
      <sheetName val="Pauta_3"/>
      <sheetName val="Pauta_Presto_(marzo_abril_2007)"/>
    </sheetNames>
    <sheetDataSet>
      <sheetData sheetId="0" refreshError="1"/>
      <sheetData sheetId="1">
        <row r="1">
          <cell r="A1" t="str">
            <v>programa</v>
          </cell>
          <cell r="B1" t="str">
            <v>rating target</v>
          </cell>
        </row>
        <row r="2">
          <cell r="A2" t="str">
            <v>MUJERES QUE MATAN</v>
          </cell>
          <cell r="B2">
            <v>6.38</v>
          </cell>
        </row>
        <row r="3">
          <cell r="A3" t="str">
            <v>PRIMER PLANO</v>
          </cell>
          <cell r="B3">
            <v>6.32</v>
          </cell>
        </row>
        <row r="4">
          <cell r="A4" t="str">
            <v>THE BEAUTIFUL PEOPLE</v>
          </cell>
          <cell r="B4">
            <v>6.23</v>
          </cell>
        </row>
        <row r="5">
          <cell r="A5" t="str">
            <v>CHV NOTICIAS CENTRAL</v>
          </cell>
          <cell r="B5">
            <v>5.63</v>
          </cell>
        </row>
        <row r="6">
          <cell r="A6" t="str">
            <v>EL TIEMPO EN CHV (C)</v>
          </cell>
          <cell r="B6">
            <v>4.53</v>
          </cell>
        </row>
        <row r="7">
          <cell r="A7" t="str">
            <v>HISTORIAS DE EVA</v>
          </cell>
          <cell r="B7">
            <v>4.47</v>
          </cell>
        </row>
        <row r="8">
          <cell r="A8" t="str">
            <v>EL TIEMPO EN CHV</v>
          </cell>
          <cell r="B8">
            <v>4.08</v>
          </cell>
        </row>
        <row r="9">
          <cell r="A9" t="str">
            <v>CHV NOTICIAS TARDE</v>
          </cell>
          <cell r="B9">
            <v>3.9</v>
          </cell>
        </row>
        <row r="10">
          <cell r="A10" t="str">
            <v>TEATRO</v>
          </cell>
          <cell r="B10">
            <v>3.78</v>
          </cell>
        </row>
        <row r="11">
          <cell r="A11" t="str">
            <v>INFIELES</v>
          </cell>
          <cell r="B11">
            <v>3.73</v>
          </cell>
        </row>
        <row r="12">
          <cell r="A12" t="str">
            <v>VIVIR CON 10 (R)</v>
          </cell>
          <cell r="B12">
            <v>3.49</v>
          </cell>
        </row>
        <row r="13">
          <cell r="A13" t="str">
            <v>TIERRA DE PASIONES</v>
          </cell>
          <cell r="B13">
            <v>3.34</v>
          </cell>
        </row>
        <row r="14">
          <cell r="A14" t="str">
            <v>TEATRO CHILENO</v>
          </cell>
          <cell r="B14">
            <v>3.31</v>
          </cell>
        </row>
        <row r="15">
          <cell r="A15" t="str">
            <v>PECADOS CAPITALES</v>
          </cell>
          <cell r="B15">
            <v>3.28</v>
          </cell>
        </row>
        <row r="16">
          <cell r="A16" t="str">
            <v>VIVIR CON 10</v>
          </cell>
          <cell r="B16">
            <v>3.25</v>
          </cell>
        </row>
        <row r="17">
          <cell r="A17" t="str">
            <v>CHV NOTICIAS NOCHE</v>
          </cell>
          <cell r="B17">
            <v>3.13</v>
          </cell>
        </row>
        <row r="18">
          <cell r="A18" t="str">
            <v>SALVESE QUIEN PUEDA</v>
          </cell>
          <cell r="B18">
            <v>2.79</v>
          </cell>
        </row>
        <row r="19">
          <cell r="A19" t="str">
            <v>HOSPITAL</v>
          </cell>
          <cell r="B19">
            <v>2.78</v>
          </cell>
        </row>
        <row r="20">
          <cell r="A20" t="str">
            <v>SERIES NACIONALES</v>
          </cell>
          <cell r="B20">
            <v>2.61</v>
          </cell>
        </row>
        <row r="21">
          <cell r="A21" t="str">
            <v>SALVESE QUIEN PUEDA (VERANO)</v>
          </cell>
          <cell r="B21">
            <v>2.57</v>
          </cell>
        </row>
        <row r="22">
          <cell r="A22" t="str">
            <v>AVANCE CHV NOTICIAS</v>
          </cell>
          <cell r="B22">
            <v>2.54</v>
          </cell>
        </row>
        <row r="23">
          <cell r="A23" t="str">
            <v>CHAMPION LEAGUE</v>
          </cell>
          <cell r="B23">
            <v>2.52</v>
          </cell>
        </row>
        <row r="24">
          <cell r="A24" t="str">
            <v>ESMERALDA</v>
          </cell>
          <cell r="B24">
            <v>2.5099999999999998</v>
          </cell>
        </row>
        <row r="25">
          <cell r="A25" t="str">
            <v>CINE</v>
          </cell>
          <cell r="B25">
            <v>2.4700000000000002</v>
          </cell>
        </row>
        <row r="26">
          <cell r="A26" t="str">
            <v>CINE DE TRASNOCHE</v>
          </cell>
          <cell r="B26">
            <v>2.39</v>
          </cell>
        </row>
        <row r="27">
          <cell r="A27" t="str">
            <v>CHV NOTICIAS ULTIMA MIRADA</v>
          </cell>
          <cell r="B27">
            <v>2.37</v>
          </cell>
        </row>
        <row r="28">
          <cell r="A28" t="str">
            <v>EL TIEMPO EN CHV (N)</v>
          </cell>
          <cell r="B28">
            <v>2.13</v>
          </cell>
        </row>
        <row r="29">
          <cell r="A29" t="str">
            <v>CASADOS</v>
          </cell>
          <cell r="B29">
            <v>2.0699999999999998</v>
          </cell>
        </row>
        <row r="30">
          <cell r="A30" t="str">
            <v>DOCUMENTOS</v>
          </cell>
          <cell r="B30">
            <v>1.7</v>
          </cell>
        </row>
        <row r="31">
          <cell r="A31" t="str">
            <v>GENTE COMO TU</v>
          </cell>
          <cell r="B31">
            <v>1.67</v>
          </cell>
        </row>
        <row r="32">
          <cell r="A32" t="str">
            <v>TIERRA DE PASIONES (RESUMEN)</v>
          </cell>
          <cell r="B32">
            <v>1.58</v>
          </cell>
        </row>
        <row r="33">
          <cell r="A33" t="str">
            <v>CHV NOTICIAS MATINAL (B)</v>
          </cell>
          <cell r="B33">
            <v>1.54</v>
          </cell>
        </row>
        <row r="34">
          <cell r="A34" t="str">
            <v>FUTBOL INTERNACIONAL</v>
          </cell>
          <cell r="B34">
            <v>1.49</v>
          </cell>
        </row>
        <row r="35">
          <cell r="A35" t="str">
            <v>MAGAZINE CHAMPIONS LEAGUE</v>
          </cell>
          <cell r="B35">
            <v>1.48</v>
          </cell>
        </row>
        <row r="36">
          <cell r="A36" t="str">
            <v>EXTRA DE CHV NOTICIAS</v>
          </cell>
          <cell r="B36">
            <v>1.46</v>
          </cell>
        </row>
        <row r="37">
          <cell r="A37" t="str">
            <v>7 DIAS</v>
          </cell>
          <cell r="B37">
            <v>1.37</v>
          </cell>
        </row>
        <row r="38">
          <cell r="A38" t="str">
            <v>CHV NOTICIAS MATINAL (A)</v>
          </cell>
          <cell r="B38">
            <v>1.35</v>
          </cell>
        </row>
        <row r="39">
          <cell r="A39" t="str">
            <v>VIVIR CON 10 (RESUMEN)</v>
          </cell>
          <cell r="B39">
            <v>1.2</v>
          </cell>
        </row>
        <row r="40">
          <cell r="A40" t="str">
            <v>PREMIER LEAGUE</v>
          </cell>
          <cell r="B40">
            <v>1.1399999999999999</v>
          </cell>
        </row>
        <row r="41">
          <cell r="A41" t="str">
            <v>CHAMPION LEAGUE (LO MEJOR)</v>
          </cell>
          <cell r="B41">
            <v>1.1299999999999999</v>
          </cell>
        </row>
        <row r="42">
          <cell r="A42" t="str">
            <v>LUCHA LIBRE</v>
          </cell>
          <cell r="B42">
            <v>1.0900000000000001</v>
          </cell>
        </row>
        <row r="43">
          <cell r="A43" t="str">
            <v>CLASIFICATORIAS CHAMPION DE CH</v>
          </cell>
          <cell r="B43">
            <v>0.96</v>
          </cell>
        </row>
        <row r="44">
          <cell r="A44" t="str">
            <v>INVASION</v>
          </cell>
          <cell r="B44">
            <v>0.95</v>
          </cell>
        </row>
        <row r="45">
          <cell r="A45" t="str">
            <v>CORTO INVASION</v>
          </cell>
          <cell r="B45">
            <v>0.89</v>
          </cell>
        </row>
        <row r="46">
          <cell r="A46" t="str">
            <v>SHIN CHAN</v>
          </cell>
          <cell r="B46">
            <v>0.85</v>
          </cell>
        </row>
        <row r="47">
          <cell r="A47" t="str">
            <v>LOS ANOS DORADOS</v>
          </cell>
          <cell r="B47">
            <v>0.78</v>
          </cell>
        </row>
        <row r="48">
          <cell r="A48" t="str">
            <v>VEN A LA CABINA</v>
          </cell>
          <cell r="B48">
            <v>0.77</v>
          </cell>
        </row>
        <row r="49">
          <cell r="A49" t="str">
            <v>PRIMERA PAGINA</v>
          </cell>
          <cell r="B49">
            <v>0.6</v>
          </cell>
        </row>
        <row r="50">
          <cell r="A50" t="str">
            <v>POKEMON</v>
          </cell>
          <cell r="B50">
            <v>0.49</v>
          </cell>
        </row>
        <row r="51">
          <cell r="A51" t="str">
            <v>DORAEMON</v>
          </cell>
          <cell r="B51">
            <v>0.3</v>
          </cell>
        </row>
        <row r="52">
          <cell r="A52" t="str">
            <v>VIVIENDA CONSTRUCCION DECORACI</v>
          </cell>
          <cell r="B52">
            <v>0.27</v>
          </cell>
        </row>
        <row r="53">
          <cell r="A53" t="str">
            <v>DESPERTANDO CON CHILEVISION</v>
          </cell>
          <cell r="B53">
            <v>0.19</v>
          </cell>
        </row>
        <row r="54">
          <cell r="A54" t="str">
            <v>ESCUELA DE DETECTIVES</v>
          </cell>
          <cell r="B54">
            <v>0.17</v>
          </cell>
        </row>
        <row r="55">
          <cell r="A55" t="str">
            <v>INFOMERCIALES</v>
          </cell>
          <cell r="B55">
            <v>0.09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 04"/>
      <sheetName val="DatosRM"/>
      <sheetName val="Cuantificador RM"/>
      <sheetName val="DatosTP"/>
      <sheetName val="Cuantificador TP"/>
      <sheetName val="Nov 01"/>
      <sheetName val="rating"/>
      <sheetName val="ANEXOS"/>
      <sheetName val="Resumen"/>
      <sheetName val="FEBRERO"/>
      <sheetName val="rating (2)"/>
      <sheetName val="MARZO"/>
      <sheetName val="Justicia para Todos"/>
      <sheetName val="PLAN"/>
      <sheetName val="Hoja1"/>
      <sheetName val="Brief"/>
      <sheetName val="sep_04"/>
      <sheetName val="Cuantificador_RM"/>
      <sheetName val="Cuantificador_TP"/>
      <sheetName val="Nov_01"/>
      <sheetName val="rating_(2)"/>
      <sheetName val="Justicia_para_Todos"/>
      <sheetName val="sep_041"/>
      <sheetName val="Cuantificador_RM1"/>
      <sheetName val="Cuantificador_TP1"/>
      <sheetName val="Nov_011"/>
      <sheetName val="rating_(2)1"/>
      <sheetName val="Justicia_para_Todos1"/>
      <sheetName val="rat2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 t="str">
            <v>BLOQUES</v>
          </cell>
          <cell r="B4" t="str">
            <v>5"</v>
          </cell>
          <cell r="C4" t="str">
            <v>10"</v>
          </cell>
          <cell r="D4" t="str">
            <v>15"</v>
          </cell>
          <cell r="E4" t="str">
            <v>20"</v>
          </cell>
          <cell r="F4" t="str">
            <v>25"</v>
          </cell>
          <cell r="G4" t="str">
            <v>30"</v>
          </cell>
          <cell r="H4" t="str">
            <v>35"</v>
          </cell>
          <cell r="I4" t="str">
            <v>40"</v>
          </cell>
          <cell r="J4" t="str">
            <v>45"</v>
          </cell>
          <cell r="K4" t="str">
            <v>50"</v>
          </cell>
          <cell r="L4" t="str">
            <v>55"</v>
          </cell>
          <cell r="M4" t="str">
            <v>60"</v>
          </cell>
          <cell r="N4" t="str">
            <v>65"</v>
          </cell>
        </row>
        <row r="6">
          <cell r="A6" t="str">
            <v>X0</v>
          </cell>
          <cell r="B6">
            <v>28000</v>
          </cell>
          <cell r="C6">
            <v>56000</v>
          </cell>
          <cell r="D6">
            <v>69000</v>
          </cell>
          <cell r="E6">
            <v>79000</v>
          </cell>
          <cell r="F6">
            <v>89000</v>
          </cell>
          <cell r="G6">
            <v>99000</v>
          </cell>
          <cell r="H6">
            <v>116000</v>
          </cell>
          <cell r="I6">
            <v>132000</v>
          </cell>
          <cell r="J6">
            <v>149000</v>
          </cell>
          <cell r="K6">
            <v>173000</v>
          </cell>
          <cell r="L6">
            <v>200000</v>
          </cell>
          <cell r="M6">
            <v>228000</v>
          </cell>
          <cell r="N6">
            <v>247000</v>
          </cell>
        </row>
        <row r="7">
          <cell r="A7" t="str">
            <v>X1</v>
          </cell>
          <cell r="B7">
            <v>35000</v>
          </cell>
          <cell r="C7">
            <v>70000</v>
          </cell>
          <cell r="D7">
            <v>87000</v>
          </cell>
          <cell r="E7">
            <v>99000</v>
          </cell>
          <cell r="F7">
            <v>112000</v>
          </cell>
          <cell r="G7">
            <v>124000</v>
          </cell>
          <cell r="H7">
            <v>145000</v>
          </cell>
          <cell r="I7">
            <v>165000</v>
          </cell>
          <cell r="J7">
            <v>186000</v>
          </cell>
          <cell r="K7">
            <v>217000</v>
          </cell>
          <cell r="L7">
            <v>250000</v>
          </cell>
          <cell r="M7">
            <v>285000</v>
          </cell>
          <cell r="N7">
            <v>309000</v>
          </cell>
        </row>
        <row r="8">
          <cell r="A8" t="str">
            <v>X2</v>
          </cell>
          <cell r="B8">
            <v>44000</v>
          </cell>
          <cell r="C8">
            <v>88000</v>
          </cell>
          <cell r="D8">
            <v>108000</v>
          </cell>
          <cell r="E8">
            <v>124000</v>
          </cell>
          <cell r="F8">
            <v>139000</v>
          </cell>
          <cell r="G8">
            <v>155000</v>
          </cell>
          <cell r="H8">
            <v>181000</v>
          </cell>
          <cell r="I8">
            <v>206000</v>
          </cell>
          <cell r="J8">
            <v>232000</v>
          </cell>
          <cell r="K8">
            <v>271000</v>
          </cell>
          <cell r="L8">
            <v>312000</v>
          </cell>
          <cell r="M8">
            <v>356000</v>
          </cell>
          <cell r="N8">
            <v>386000</v>
          </cell>
        </row>
        <row r="9">
          <cell r="A9" t="str">
            <v>X3</v>
          </cell>
          <cell r="B9">
            <v>52000</v>
          </cell>
          <cell r="C9">
            <v>104000</v>
          </cell>
          <cell r="D9">
            <v>128000</v>
          </cell>
          <cell r="E9">
            <v>146000</v>
          </cell>
          <cell r="F9">
            <v>164000</v>
          </cell>
          <cell r="G9">
            <v>183000</v>
          </cell>
          <cell r="H9">
            <v>213000</v>
          </cell>
          <cell r="I9">
            <v>244000</v>
          </cell>
          <cell r="J9">
            <v>274000</v>
          </cell>
          <cell r="K9">
            <v>320000</v>
          </cell>
          <cell r="L9">
            <v>369000</v>
          </cell>
          <cell r="M9">
            <v>420000</v>
          </cell>
          <cell r="N9">
            <v>455000</v>
          </cell>
        </row>
        <row r="10">
          <cell r="A10" t="str">
            <v>X4</v>
          </cell>
          <cell r="B10">
            <v>57000</v>
          </cell>
          <cell r="C10">
            <v>114000</v>
          </cell>
          <cell r="D10">
            <v>141000</v>
          </cell>
          <cell r="E10">
            <v>161000</v>
          </cell>
          <cell r="F10">
            <v>181000</v>
          </cell>
          <cell r="G10">
            <v>201000</v>
          </cell>
          <cell r="H10">
            <v>235000</v>
          </cell>
          <cell r="I10">
            <v>268000</v>
          </cell>
          <cell r="J10">
            <v>302000</v>
          </cell>
          <cell r="K10">
            <v>352000</v>
          </cell>
          <cell r="L10">
            <v>405000</v>
          </cell>
          <cell r="M10">
            <v>462000</v>
          </cell>
          <cell r="N10">
            <v>501000</v>
          </cell>
        </row>
        <row r="11">
          <cell r="A11" t="str">
            <v>X5</v>
          </cell>
          <cell r="B11">
            <v>63000</v>
          </cell>
          <cell r="C11">
            <v>125000</v>
          </cell>
          <cell r="D11">
            <v>155000</v>
          </cell>
          <cell r="E11">
            <v>177000</v>
          </cell>
          <cell r="F11">
            <v>199000</v>
          </cell>
          <cell r="G11">
            <v>221000</v>
          </cell>
          <cell r="H11">
            <v>258000</v>
          </cell>
          <cell r="I11">
            <v>295000</v>
          </cell>
          <cell r="J11">
            <v>332000</v>
          </cell>
          <cell r="K11">
            <v>387000</v>
          </cell>
          <cell r="L11">
            <v>446000</v>
          </cell>
          <cell r="M11">
            <v>509000</v>
          </cell>
          <cell r="N11">
            <v>551000</v>
          </cell>
        </row>
        <row r="12">
          <cell r="A12" t="str">
            <v>X6</v>
          </cell>
          <cell r="B12">
            <v>69000</v>
          </cell>
          <cell r="C12">
            <v>138000</v>
          </cell>
          <cell r="D12">
            <v>170000</v>
          </cell>
          <cell r="E12">
            <v>195000</v>
          </cell>
          <cell r="F12">
            <v>219000</v>
          </cell>
          <cell r="G12">
            <v>243000</v>
          </cell>
          <cell r="H12">
            <v>284000</v>
          </cell>
          <cell r="I12">
            <v>324000</v>
          </cell>
          <cell r="J12">
            <v>365000</v>
          </cell>
          <cell r="K12">
            <v>426000</v>
          </cell>
          <cell r="L12">
            <v>491000</v>
          </cell>
          <cell r="M12">
            <v>559000</v>
          </cell>
          <cell r="N12">
            <v>606000</v>
          </cell>
        </row>
        <row r="13">
          <cell r="A13" t="str">
            <v>X7</v>
          </cell>
          <cell r="B13">
            <v>76000</v>
          </cell>
          <cell r="C13">
            <v>152000</v>
          </cell>
          <cell r="D13">
            <v>187000</v>
          </cell>
          <cell r="E13">
            <v>214000</v>
          </cell>
          <cell r="F13">
            <v>241000</v>
          </cell>
          <cell r="G13">
            <v>268000</v>
          </cell>
          <cell r="H13">
            <v>312000</v>
          </cell>
          <cell r="I13">
            <v>357000</v>
          </cell>
          <cell r="J13">
            <v>401000</v>
          </cell>
          <cell r="K13">
            <v>468000</v>
          </cell>
          <cell r="L13">
            <v>540000</v>
          </cell>
          <cell r="M13">
            <v>615000</v>
          </cell>
          <cell r="N13">
            <v>667000</v>
          </cell>
        </row>
        <row r="14">
          <cell r="A14" t="str">
            <v>X8</v>
          </cell>
          <cell r="B14">
            <v>83000</v>
          </cell>
          <cell r="C14">
            <v>167000</v>
          </cell>
          <cell r="D14">
            <v>206000</v>
          </cell>
          <cell r="E14">
            <v>235000</v>
          </cell>
          <cell r="F14">
            <v>265000</v>
          </cell>
          <cell r="G14">
            <v>294000</v>
          </cell>
          <cell r="H14">
            <v>343000</v>
          </cell>
          <cell r="I14">
            <v>392000</v>
          </cell>
          <cell r="J14">
            <v>441000</v>
          </cell>
          <cell r="K14">
            <v>515000</v>
          </cell>
          <cell r="L14">
            <v>594000</v>
          </cell>
          <cell r="M14">
            <v>677000</v>
          </cell>
          <cell r="N14">
            <v>733000</v>
          </cell>
        </row>
        <row r="15">
          <cell r="A15" t="str">
            <v>X9</v>
          </cell>
          <cell r="B15">
            <v>92000</v>
          </cell>
          <cell r="C15">
            <v>183000</v>
          </cell>
          <cell r="D15">
            <v>227000</v>
          </cell>
          <cell r="E15">
            <v>259000</v>
          </cell>
          <cell r="F15">
            <v>291000</v>
          </cell>
          <cell r="G15">
            <v>324000</v>
          </cell>
          <cell r="H15">
            <v>378000</v>
          </cell>
          <cell r="I15">
            <v>432000</v>
          </cell>
          <cell r="J15">
            <v>486000</v>
          </cell>
          <cell r="K15">
            <v>567000</v>
          </cell>
          <cell r="L15">
            <v>653000</v>
          </cell>
          <cell r="M15">
            <v>745000</v>
          </cell>
          <cell r="N15">
            <v>807000</v>
          </cell>
        </row>
        <row r="16">
          <cell r="A16" t="str">
            <v>X10</v>
          </cell>
          <cell r="B16">
            <v>101000</v>
          </cell>
          <cell r="C16">
            <v>202000</v>
          </cell>
          <cell r="D16">
            <v>249000</v>
          </cell>
          <cell r="E16">
            <v>285000</v>
          </cell>
          <cell r="F16">
            <v>320000</v>
          </cell>
          <cell r="G16">
            <v>356000</v>
          </cell>
          <cell r="H16">
            <v>415000</v>
          </cell>
          <cell r="I16">
            <v>475000</v>
          </cell>
          <cell r="J16">
            <v>534000</v>
          </cell>
          <cell r="K16">
            <v>623000</v>
          </cell>
          <cell r="L16">
            <v>718000</v>
          </cell>
          <cell r="M16">
            <v>819000</v>
          </cell>
          <cell r="N16">
            <v>887000</v>
          </cell>
        </row>
        <row r="17">
          <cell r="A17" t="str">
            <v>X11</v>
          </cell>
          <cell r="B17">
            <v>111000</v>
          </cell>
          <cell r="C17">
            <v>222000</v>
          </cell>
          <cell r="D17">
            <v>274000</v>
          </cell>
          <cell r="E17">
            <v>313000</v>
          </cell>
          <cell r="F17">
            <v>353000</v>
          </cell>
          <cell r="G17">
            <v>392000</v>
          </cell>
          <cell r="H17">
            <v>457000</v>
          </cell>
          <cell r="I17">
            <v>522000</v>
          </cell>
          <cell r="J17">
            <v>588000</v>
          </cell>
          <cell r="K17">
            <v>686000</v>
          </cell>
          <cell r="L17">
            <v>790000</v>
          </cell>
          <cell r="M17">
            <v>901000</v>
          </cell>
          <cell r="N17">
            <v>976000</v>
          </cell>
        </row>
        <row r="18">
          <cell r="A18" t="str">
            <v>X12</v>
          </cell>
          <cell r="B18">
            <v>122000</v>
          </cell>
          <cell r="C18">
            <v>244000</v>
          </cell>
          <cell r="D18">
            <v>302000</v>
          </cell>
          <cell r="E18">
            <v>345000</v>
          </cell>
          <cell r="F18">
            <v>388000</v>
          </cell>
          <cell r="G18">
            <v>431000</v>
          </cell>
          <cell r="H18">
            <v>503000</v>
          </cell>
          <cell r="I18">
            <v>575000</v>
          </cell>
          <cell r="J18">
            <v>646000</v>
          </cell>
          <cell r="K18">
            <v>754000</v>
          </cell>
          <cell r="L18">
            <v>869000</v>
          </cell>
          <cell r="M18">
            <v>991000</v>
          </cell>
          <cell r="N18">
            <v>1074000</v>
          </cell>
        </row>
        <row r="19">
          <cell r="A19" t="str">
            <v>X13</v>
          </cell>
          <cell r="B19">
            <v>134000</v>
          </cell>
          <cell r="C19">
            <v>269000</v>
          </cell>
          <cell r="D19">
            <v>332000</v>
          </cell>
          <cell r="E19">
            <v>379000</v>
          </cell>
          <cell r="F19">
            <v>427000</v>
          </cell>
          <cell r="G19">
            <v>474000</v>
          </cell>
          <cell r="H19">
            <v>553000</v>
          </cell>
          <cell r="I19">
            <v>632000</v>
          </cell>
          <cell r="J19">
            <v>711000</v>
          </cell>
          <cell r="K19">
            <v>829000</v>
          </cell>
          <cell r="L19">
            <v>956000</v>
          </cell>
          <cell r="M19">
            <v>1090000</v>
          </cell>
          <cell r="N19">
            <v>1181000</v>
          </cell>
        </row>
        <row r="20">
          <cell r="A20" t="str">
            <v>X14</v>
          </cell>
          <cell r="B20">
            <v>148000</v>
          </cell>
          <cell r="C20">
            <v>295000</v>
          </cell>
          <cell r="D20">
            <v>365000</v>
          </cell>
          <cell r="E20">
            <v>417000</v>
          </cell>
          <cell r="F20">
            <v>469000</v>
          </cell>
          <cell r="G20">
            <v>521000</v>
          </cell>
          <cell r="H20">
            <v>608000</v>
          </cell>
          <cell r="I20">
            <v>695000</v>
          </cell>
          <cell r="J20">
            <v>782000</v>
          </cell>
          <cell r="K20">
            <v>912000</v>
          </cell>
          <cell r="L20">
            <v>1051000</v>
          </cell>
          <cell r="M20">
            <v>1199000</v>
          </cell>
          <cell r="N20">
            <v>1299000</v>
          </cell>
        </row>
        <row r="21">
          <cell r="A21" t="str">
            <v>X15</v>
          </cell>
          <cell r="B21">
            <v>162000</v>
          </cell>
          <cell r="C21">
            <v>325000</v>
          </cell>
          <cell r="D21">
            <v>401000</v>
          </cell>
          <cell r="E21">
            <v>459000</v>
          </cell>
          <cell r="F21">
            <v>516000</v>
          </cell>
          <cell r="G21">
            <v>574000</v>
          </cell>
          <cell r="H21">
            <v>669000</v>
          </cell>
          <cell r="I21">
            <v>765000</v>
          </cell>
          <cell r="J21">
            <v>860000</v>
          </cell>
          <cell r="K21">
            <v>1004000</v>
          </cell>
          <cell r="L21">
            <v>1157000</v>
          </cell>
          <cell r="M21">
            <v>1319000</v>
          </cell>
          <cell r="N21">
            <v>1429000</v>
          </cell>
        </row>
        <row r="22">
          <cell r="A22" t="str">
            <v>X16</v>
          </cell>
          <cell r="B22">
            <v>179000</v>
          </cell>
          <cell r="C22">
            <v>357000</v>
          </cell>
          <cell r="D22">
            <v>442000</v>
          </cell>
          <cell r="E22">
            <v>505000</v>
          </cell>
          <cell r="F22">
            <v>568000</v>
          </cell>
          <cell r="G22">
            <v>631000</v>
          </cell>
          <cell r="H22">
            <v>736000</v>
          </cell>
          <cell r="I22">
            <v>841000</v>
          </cell>
          <cell r="J22">
            <v>946000</v>
          </cell>
          <cell r="K22">
            <v>1104000</v>
          </cell>
          <cell r="L22">
            <v>1272000</v>
          </cell>
          <cell r="M22">
            <v>1451000</v>
          </cell>
          <cell r="N22">
            <v>1572000</v>
          </cell>
        </row>
        <row r="23">
          <cell r="A23" t="str">
            <v>X17</v>
          </cell>
          <cell r="B23">
            <v>197000</v>
          </cell>
          <cell r="C23">
            <v>393000</v>
          </cell>
          <cell r="D23">
            <v>486000</v>
          </cell>
          <cell r="E23">
            <v>555000</v>
          </cell>
          <cell r="F23">
            <v>625000</v>
          </cell>
          <cell r="G23">
            <v>694000</v>
          </cell>
          <cell r="H23">
            <v>810000</v>
          </cell>
          <cell r="I23">
            <v>925000</v>
          </cell>
          <cell r="J23">
            <v>1041000</v>
          </cell>
          <cell r="K23">
            <v>1214000</v>
          </cell>
          <cell r="L23">
            <v>1399000</v>
          </cell>
          <cell r="M23">
            <v>1596000</v>
          </cell>
          <cell r="N23">
            <v>1729000</v>
          </cell>
        </row>
        <row r="24">
          <cell r="A24" t="str">
            <v>X18</v>
          </cell>
          <cell r="B24">
            <v>216000</v>
          </cell>
          <cell r="C24">
            <v>433000</v>
          </cell>
          <cell r="D24">
            <v>534000</v>
          </cell>
          <cell r="E24">
            <v>611000</v>
          </cell>
          <cell r="F24">
            <v>687000</v>
          </cell>
          <cell r="G24">
            <v>763000</v>
          </cell>
          <cell r="H24">
            <v>891000</v>
          </cell>
          <cell r="I24">
            <v>1018000</v>
          </cell>
          <cell r="J24">
            <v>1145000</v>
          </cell>
          <cell r="K24">
            <v>1336000</v>
          </cell>
          <cell r="L24">
            <v>1539000</v>
          </cell>
          <cell r="M24">
            <v>1756000</v>
          </cell>
          <cell r="N24">
            <v>1902000</v>
          </cell>
        </row>
        <row r="25">
          <cell r="A25" t="str">
            <v>X19</v>
          </cell>
          <cell r="B25">
            <v>315000</v>
          </cell>
          <cell r="C25">
            <v>630000</v>
          </cell>
          <cell r="D25">
            <v>655000</v>
          </cell>
          <cell r="E25">
            <v>756000</v>
          </cell>
          <cell r="F25">
            <v>798000</v>
          </cell>
          <cell r="G25">
            <v>840000</v>
          </cell>
          <cell r="H25">
            <v>980000</v>
          </cell>
          <cell r="I25">
            <v>1120000</v>
          </cell>
          <cell r="J25">
            <v>1260000</v>
          </cell>
          <cell r="K25">
            <v>1469000</v>
          </cell>
          <cell r="L25">
            <v>1693000</v>
          </cell>
          <cell r="M25">
            <v>1931000</v>
          </cell>
          <cell r="N25">
            <v>2092000</v>
          </cell>
        </row>
        <row r="26">
          <cell r="A26" t="str">
            <v>X20</v>
          </cell>
          <cell r="B26">
            <v>346000</v>
          </cell>
          <cell r="C26">
            <v>693000</v>
          </cell>
          <cell r="D26">
            <v>720000</v>
          </cell>
          <cell r="E26">
            <v>831000</v>
          </cell>
          <cell r="F26">
            <v>877000</v>
          </cell>
          <cell r="G26">
            <v>924000</v>
          </cell>
          <cell r="H26">
            <v>1078000</v>
          </cell>
          <cell r="I26">
            <v>1232000</v>
          </cell>
          <cell r="J26">
            <v>1385000</v>
          </cell>
          <cell r="K26">
            <v>1616000</v>
          </cell>
          <cell r="L26">
            <v>1863000</v>
          </cell>
          <cell r="M26">
            <v>2124000</v>
          </cell>
          <cell r="N26">
            <v>2301000</v>
          </cell>
        </row>
        <row r="27">
          <cell r="A27" t="str">
            <v>X21</v>
          </cell>
          <cell r="B27">
            <v>381000</v>
          </cell>
          <cell r="C27">
            <v>762000</v>
          </cell>
          <cell r="D27">
            <v>792000</v>
          </cell>
          <cell r="E27">
            <v>914000</v>
          </cell>
          <cell r="F27">
            <v>965000</v>
          </cell>
          <cell r="G27">
            <v>1016000</v>
          </cell>
          <cell r="H27">
            <v>1185000</v>
          </cell>
          <cell r="I27">
            <v>1355000</v>
          </cell>
          <cell r="J27">
            <v>1524000</v>
          </cell>
          <cell r="K27">
            <v>1778000</v>
          </cell>
          <cell r="L27">
            <v>2049000</v>
          </cell>
          <cell r="M27">
            <v>2337000</v>
          </cell>
          <cell r="N27">
            <v>2532000</v>
          </cell>
        </row>
        <row r="28">
          <cell r="A28" t="str">
            <v>X22</v>
          </cell>
          <cell r="B28">
            <v>419000</v>
          </cell>
          <cell r="C28">
            <v>838000</v>
          </cell>
          <cell r="D28">
            <v>872000</v>
          </cell>
          <cell r="E28">
            <v>1006000</v>
          </cell>
          <cell r="F28">
            <v>1062000</v>
          </cell>
          <cell r="G28">
            <v>1118000</v>
          </cell>
          <cell r="H28">
            <v>1304000</v>
          </cell>
          <cell r="I28">
            <v>1490000</v>
          </cell>
          <cell r="J28">
            <v>1676000</v>
          </cell>
          <cell r="K28">
            <v>1956000</v>
          </cell>
          <cell r="L28">
            <v>2254000</v>
          </cell>
          <cell r="M28">
            <v>2571000</v>
          </cell>
          <cell r="N28">
            <v>2785000</v>
          </cell>
        </row>
        <row r="29">
          <cell r="A29" t="str">
            <v>X23</v>
          </cell>
          <cell r="B29">
            <v>461000</v>
          </cell>
          <cell r="C29">
            <v>922000</v>
          </cell>
          <cell r="D29">
            <v>959000</v>
          </cell>
          <cell r="E29">
            <v>1106000</v>
          </cell>
          <cell r="F29">
            <v>1168000</v>
          </cell>
          <cell r="G29">
            <v>1229000</v>
          </cell>
          <cell r="H29">
            <v>1434000</v>
          </cell>
          <cell r="I29">
            <v>1639000</v>
          </cell>
          <cell r="J29">
            <v>1844000</v>
          </cell>
          <cell r="K29">
            <v>2151000</v>
          </cell>
          <cell r="L29">
            <v>2479000</v>
          </cell>
          <cell r="M29">
            <v>2828000</v>
          </cell>
          <cell r="N29">
            <v>3063000</v>
          </cell>
        </row>
        <row r="30">
          <cell r="A30" t="str">
            <v>X24</v>
          </cell>
          <cell r="B30">
            <v>507000</v>
          </cell>
          <cell r="C30">
            <v>1014000</v>
          </cell>
          <cell r="D30">
            <v>1055000</v>
          </cell>
          <cell r="E30">
            <v>1217000</v>
          </cell>
          <cell r="F30">
            <v>1285000</v>
          </cell>
          <cell r="G30">
            <v>1352000</v>
          </cell>
          <cell r="H30">
            <v>1578000</v>
          </cell>
          <cell r="I30">
            <v>1803000</v>
          </cell>
          <cell r="J30">
            <v>2028000</v>
          </cell>
          <cell r="K30">
            <v>2367000</v>
          </cell>
          <cell r="L30">
            <v>2727000</v>
          </cell>
          <cell r="M30">
            <v>3110000</v>
          </cell>
          <cell r="N30">
            <v>3370000</v>
          </cell>
        </row>
        <row r="31">
          <cell r="A31" t="str">
            <v>X25</v>
          </cell>
          <cell r="B31">
            <v>558000</v>
          </cell>
          <cell r="C31">
            <v>1116000</v>
          </cell>
          <cell r="D31">
            <v>1160000</v>
          </cell>
          <cell r="E31">
            <v>1339000</v>
          </cell>
          <cell r="F31">
            <v>1413000</v>
          </cell>
          <cell r="G31">
            <v>1488000</v>
          </cell>
          <cell r="H31">
            <v>1735000</v>
          </cell>
          <cell r="I31">
            <v>1983000</v>
          </cell>
          <cell r="J31">
            <v>2231000</v>
          </cell>
          <cell r="K31">
            <v>2603000</v>
          </cell>
          <cell r="L31">
            <v>3000000</v>
          </cell>
          <cell r="M31">
            <v>3421000</v>
          </cell>
          <cell r="N31">
            <v>3706000</v>
          </cell>
        </row>
        <row r="32">
          <cell r="A32" t="str">
            <v>X26</v>
          </cell>
          <cell r="B32">
            <v>614000</v>
          </cell>
          <cell r="C32">
            <v>1227000</v>
          </cell>
          <cell r="D32">
            <v>1276000</v>
          </cell>
          <cell r="E32">
            <v>1473000</v>
          </cell>
          <cell r="F32">
            <v>1554000</v>
          </cell>
          <cell r="G32">
            <v>1636000</v>
          </cell>
          <cell r="H32">
            <v>1909000</v>
          </cell>
          <cell r="I32">
            <v>2182000</v>
          </cell>
          <cell r="J32">
            <v>2454000</v>
          </cell>
          <cell r="K32">
            <v>2864000</v>
          </cell>
          <cell r="L32">
            <v>3300000</v>
          </cell>
          <cell r="M32">
            <v>3764000</v>
          </cell>
          <cell r="N32">
            <v>4077000</v>
          </cell>
        </row>
        <row r="33">
          <cell r="A33" t="str">
            <v>X27</v>
          </cell>
          <cell r="B33">
            <v>675000</v>
          </cell>
          <cell r="C33">
            <v>1350000</v>
          </cell>
          <cell r="D33">
            <v>1404000</v>
          </cell>
          <cell r="E33">
            <v>1620000</v>
          </cell>
          <cell r="F33">
            <v>1710000</v>
          </cell>
          <cell r="G33">
            <v>1800000</v>
          </cell>
          <cell r="H33">
            <v>2100000</v>
          </cell>
          <cell r="I33">
            <v>2400000</v>
          </cell>
          <cell r="J33">
            <v>2700000</v>
          </cell>
          <cell r="K33">
            <v>3150000</v>
          </cell>
          <cell r="L33">
            <v>3630000</v>
          </cell>
          <cell r="M33">
            <v>4140000</v>
          </cell>
          <cell r="N33">
            <v>4485000</v>
          </cell>
        </row>
        <row r="34">
          <cell r="A34" t="str">
            <v>X28</v>
          </cell>
          <cell r="B34">
            <v>742000</v>
          </cell>
          <cell r="C34">
            <v>1485000</v>
          </cell>
          <cell r="D34">
            <v>1544000</v>
          </cell>
          <cell r="E34">
            <v>1782000</v>
          </cell>
          <cell r="F34">
            <v>1881000</v>
          </cell>
          <cell r="G34">
            <v>1980000</v>
          </cell>
          <cell r="H34">
            <v>2310000</v>
          </cell>
          <cell r="I34">
            <v>2640000</v>
          </cell>
          <cell r="J34">
            <v>2970000</v>
          </cell>
          <cell r="K34">
            <v>3465000</v>
          </cell>
          <cell r="L34">
            <v>3993000</v>
          </cell>
          <cell r="M34">
            <v>4554000</v>
          </cell>
          <cell r="N34">
            <v>4933000</v>
          </cell>
        </row>
        <row r="35">
          <cell r="A35" t="str">
            <v>X29</v>
          </cell>
          <cell r="B35">
            <v>817000</v>
          </cell>
          <cell r="C35">
            <v>1633000</v>
          </cell>
          <cell r="D35">
            <v>1699000</v>
          </cell>
          <cell r="E35">
            <v>1960000</v>
          </cell>
          <cell r="F35">
            <v>2069000</v>
          </cell>
          <cell r="G35">
            <v>2178000</v>
          </cell>
          <cell r="H35">
            <v>2541000</v>
          </cell>
          <cell r="I35">
            <v>2904000</v>
          </cell>
          <cell r="J35">
            <v>3267000</v>
          </cell>
          <cell r="K35">
            <v>3811000</v>
          </cell>
          <cell r="L35">
            <v>4392000</v>
          </cell>
          <cell r="M35">
            <v>5009000</v>
          </cell>
          <cell r="N35">
            <v>5427000</v>
          </cell>
        </row>
        <row r="36">
          <cell r="A36" t="str">
            <v>X30</v>
          </cell>
          <cell r="B36">
            <v>898000</v>
          </cell>
          <cell r="C36">
            <v>1797000</v>
          </cell>
          <cell r="D36">
            <v>1869000</v>
          </cell>
          <cell r="E36">
            <v>2156000</v>
          </cell>
          <cell r="F36">
            <v>2276000</v>
          </cell>
          <cell r="G36">
            <v>2396000</v>
          </cell>
          <cell r="H36">
            <v>2795000</v>
          </cell>
          <cell r="I36">
            <v>3194000</v>
          </cell>
          <cell r="J36">
            <v>3594000</v>
          </cell>
          <cell r="K36">
            <v>4193000</v>
          </cell>
          <cell r="L36">
            <v>4831000</v>
          </cell>
          <cell r="M36">
            <v>5510000</v>
          </cell>
          <cell r="N36">
            <v>5969000</v>
          </cell>
        </row>
        <row r="37">
          <cell r="A37" t="str">
            <v>X31</v>
          </cell>
          <cell r="B37">
            <v>988000</v>
          </cell>
          <cell r="C37">
            <v>1976000</v>
          </cell>
          <cell r="D37">
            <v>2056000</v>
          </cell>
          <cell r="E37">
            <v>2372000</v>
          </cell>
          <cell r="F37">
            <v>2504000</v>
          </cell>
          <cell r="G37">
            <v>2635000</v>
          </cell>
          <cell r="H37">
            <v>3075000</v>
          </cell>
          <cell r="I37">
            <v>3514000</v>
          </cell>
          <cell r="J37">
            <v>3953000</v>
          </cell>
          <cell r="K37">
            <v>4612000</v>
          </cell>
          <cell r="L37">
            <v>5314000</v>
          </cell>
          <cell r="M37">
            <v>6061000</v>
          </cell>
          <cell r="N37">
            <v>6566000</v>
          </cell>
        </row>
        <row r="38">
          <cell r="A38" t="str">
            <v>X32</v>
          </cell>
          <cell r="B38">
            <v>1087000</v>
          </cell>
          <cell r="C38">
            <v>2174000</v>
          </cell>
          <cell r="D38">
            <v>2261000</v>
          </cell>
          <cell r="E38">
            <v>2609000</v>
          </cell>
          <cell r="F38">
            <v>2754000</v>
          </cell>
          <cell r="G38">
            <v>2899000</v>
          </cell>
          <cell r="H38">
            <v>3382000</v>
          </cell>
          <cell r="I38">
            <v>3865000</v>
          </cell>
          <cell r="J38">
            <v>4348000</v>
          </cell>
          <cell r="K38">
            <v>5073000</v>
          </cell>
          <cell r="L38">
            <v>5846000</v>
          </cell>
          <cell r="M38">
            <v>6667000</v>
          </cell>
          <cell r="N38">
            <v>7223000</v>
          </cell>
        </row>
        <row r="39">
          <cell r="A39" t="str">
            <v>X33</v>
          </cell>
          <cell r="B39">
            <v>1196000</v>
          </cell>
          <cell r="C39">
            <v>2392000</v>
          </cell>
          <cell r="D39">
            <v>2487000</v>
          </cell>
          <cell r="E39">
            <v>2870000</v>
          </cell>
          <cell r="F39">
            <v>3029000</v>
          </cell>
          <cell r="G39">
            <v>3189000</v>
          </cell>
          <cell r="H39">
            <v>3720000</v>
          </cell>
          <cell r="I39">
            <v>4252000</v>
          </cell>
          <cell r="J39">
            <v>4783000</v>
          </cell>
          <cell r="K39">
            <v>5580000</v>
          </cell>
          <cell r="L39">
            <v>6431000</v>
          </cell>
          <cell r="M39">
            <v>7334000</v>
          </cell>
          <cell r="N39">
            <v>7945000</v>
          </cell>
        </row>
        <row r="40">
          <cell r="A40" t="str">
            <v>X34</v>
          </cell>
          <cell r="B40">
            <v>1315000</v>
          </cell>
          <cell r="C40">
            <v>2631000</v>
          </cell>
          <cell r="D40">
            <v>2736000</v>
          </cell>
          <cell r="E40">
            <v>3157000</v>
          </cell>
          <cell r="F40">
            <v>3332000</v>
          </cell>
          <cell r="G40">
            <v>3508000</v>
          </cell>
          <cell r="H40">
            <v>4092000</v>
          </cell>
          <cell r="I40">
            <v>4677000</v>
          </cell>
          <cell r="J40">
            <v>5261000</v>
          </cell>
          <cell r="K40">
            <v>6138000</v>
          </cell>
          <cell r="L40">
            <v>7074000</v>
          </cell>
          <cell r="M40">
            <v>8067000</v>
          </cell>
          <cell r="N40">
            <v>8740000</v>
          </cell>
        </row>
        <row r="41">
          <cell r="A41" t="str">
            <v>X35</v>
          </cell>
          <cell r="B41">
            <v>1447000</v>
          </cell>
          <cell r="C41">
            <v>2894000</v>
          </cell>
          <cell r="D41">
            <v>3009000</v>
          </cell>
          <cell r="E41">
            <v>3472000</v>
          </cell>
          <cell r="F41">
            <v>3665000</v>
          </cell>
          <cell r="G41">
            <v>3858000</v>
          </cell>
          <cell r="H41">
            <v>4501000</v>
          </cell>
          <cell r="I41">
            <v>5144000</v>
          </cell>
          <cell r="J41">
            <v>5787000</v>
          </cell>
          <cell r="K41">
            <v>6752000</v>
          </cell>
          <cell r="L41">
            <v>7781000</v>
          </cell>
          <cell r="M41">
            <v>8874000</v>
          </cell>
          <cell r="N41">
            <v>9614000</v>
          </cell>
        </row>
        <row r="42">
          <cell r="A42" t="str">
            <v>X36</v>
          </cell>
          <cell r="B42">
            <v>1592000</v>
          </cell>
          <cell r="C42">
            <v>3183000</v>
          </cell>
          <cell r="D42">
            <v>3310000</v>
          </cell>
          <cell r="E42">
            <v>3820000</v>
          </cell>
          <cell r="F42">
            <v>4032000</v>
          </cell>
          <cell r="G42">
            <v>4244000</v>
          </cell>
          <cell r="H42">
            <v>4952000</v>
          </cell>
          <cell r="I42">
            <v>5659000</v>
          </cell>
          <cell r="J42">
            <v>6366000</v>
          </cell>
          <cell r="K42">
            <v>7427000</v>
          </cell>
          <cell r="L42">
            <v>8559000</v>
          </cell>
          <cell r="M42">
            <v>9762000</v>
          </cell>
          <cell r="N42">
            <v>10575000</v>
          </cell>
        </row>
        <row r="43">
          <cell r="A43" t="str">
            <v>X37</v>
          </cell>
          <cell r="B43">
            <v>1751000</v>
          </cell>
          <cell r="C43">
            <v>3501000</v>
          </cell>
          <cell r="D43">
            <v>3641000</v>
          </cell>
          <cell r="E43">
            <v>4202000</v>
          </cell>
          <cell r="F43">
            <v>4435000</v>
          </cell>
          <cell r="G43">
            <v>4669000</v>
          </cell>
          <cell r="H43">
            <v>5447000</v>
          </cell>
          <cell r="I43">
            <v>6225000</v>
          </cell>
          <cell r="J43">
            <v>7003000</v>
          </cell>
          <cell r="K43">
            <v>8170000</v>
          </cell>
          <cell r="L43">
            <v>9415000</v>
          </cell>
          <cell r="M43">
            <v>10738000</v>
          </cell>
          <cell r="N43">
            <v>11633000</v>
          </cell>
        </row>
        <row r="44">
          <cell r="A44" t="str">
            <v>X38</v>
          </cell>
          <cell r="B44">
            <v>1926000</v>
          </cell>
          <cell r="C44">
            <v>3852000</v>
          </cell>
          <cell r="D44">
            <v>4006000</v>
          </cell>
          <cell r="E44">
            <v>4622000</v>
          </cell>
          <cell r="F44">
            <v>4879000</v>
          </cell>
          <cell r="G44">
            <v>5135000</v>
          </cell>
          <cell r="H44">
            <v>5991000</v>
          </cell>
          <cell r="I44">
            <v>6847000</v>
          </cell>
          <cell r="J44">
            <v>7703000</v>
          </cell>
          <cell r="K44">
            <v>8987000</v>
          </cell>
          <cell r="L44">
            <v>10356000</v>
          </cell>
          <cell r="M44">
            <v>11811000</v>
          </cell>
          <cell r="N44">
            <v>12796000</v>
          </cell>
        </row>
        <row r="45">
          <cell r="A45" t="str">
            <v>X39</v>
          </cell>
          <cell r="B45">
            <v>2118000</v>
          </cell>
          <cell r="C45">
            <v>4237000</v>
          </cell>
          <cell r="D45">
            <v>4406000</v>
          </cell>
          <cell r="E45">
            <v>5084000</v>
          </cell>
          <cell r="F45">
            <v>5367000</v>
          </cell>
          <cell r="G45">
            <v>5649000</v>
          </cell>
          <cell r="H45">
            <v>6590000</v>
          </cell>
          <cell r="I45">
            <v>7532000</v>
          </cell>
          <cell r="J45">
            <v>8473000</v>
          </cell>
          <cell r="K45">
            <v>9886000</v>
          </cell>
          <cell r="L45">
            <v>11392000</v>
          </cell>
          <cell r="M45">
            <v>12993000</v>
          </cell>
          <cell r="N45">
            <v>14075000</v>
          </cell>
        </row>
        <row r="46">
          <cell r="A46" t="str">
            <v>X40</v>
          </cell>
          <cell r="B46">
            <v>2330000</v>
          </cell>
          <cell r="C46">
            <v>4660000</v>
          </cell>
          <cell r="D46">
            <v>4847000</v>
          </cell>
          <cell r="E46">
            <v>5592000</v>
          </cell>
          <cell r="F46">
            <v>5903000</v>
          </cell>
          <cell r="G46">
            <v>6214000</v>
          </cell>
          <cell r="H46">
            <v>7250000</v>
          </cell>
          <cell r="I46">
            <v>8285000</v>
          </cell>
          <cell r="J46">
            <v>9321000</v>
          </cell>
          <cell r="K46">
            <v>10874000</v>
          </cell>
          <cell r="L46">
            <v>12531000</v>
          </cell>
          <cell r="M46">
            <v>14292000</v>
          </cell>
          <cell r="N46">
            <v>15483000</v>
          </cell>
        </row>
        <row r="47">
          <cell r="A47" t="str">
            <v>X41</v>
          </cell>
          <cell r="B47">
            <v>2563000</v>
          </cell>
          <cell r="C47">
            <v>5126000</v>
          </cell>
          <cell r="D47">
            <v>5332000</v>
          </cell>
          <cell r="E47">
            <v>6152000</v>
          </cell>
          <cell r="F47">
            <v>6493000</v>
          </cell>
          <cell r="G47">
            <v>6835000</v>
          </cell>
          <cell r="H47">
            <v>7974000</v>
          </cell>
          <cell r="I47">
            <v>9114000</v>
          </cell>
          <cell r="J47">
            <v>10253000</v>
          </cell>
          <cell r="K47">
            <v>11962000</v>
          </cell>
          <cell r="L47">
            <v>13784000</v>
          </cell>
          <cell r="M47">
            <v>15721000</v>
          </cell>
          <cell r="N47">
            <v>17031000</v>
          </cell>
        </row>
        <row r="48">
          <cell r="A48" t="str">
            <v>X42</v>
          </cell>
          <cell r="B48">
            <v>2820000</v>
          </cell>
          <cell r="C48">
            <v>5639000</v>
          </cell>
          <cell r="D48">
            <v>5865000</v>
          </cell>
          <cell r="E48">
            <v>6767000</v>
          </cell>
          <cell r="F48">
            <v>7143000</v>
          </cell>
          <cell r="G48">
            <v>7519000</v>
          </cell>
          <cell r="H48">
            <v>8772000</v>
          </cell>
          <cell r="I48">
            <v>10025000</v>
          </cell>
          <cell r="J48">
            <v>11278000</v>
          </cell>
          <cell r="K48">
            <v>13158000</v>
          </cell>
          <cell r="L48">
            <v>15163000</v>
          </cell>
          <cell r="M48">
            <v>17293000</v>
          </cell>
          <cell r="N48">
            <v>18734000</v>
          </cell>
        </row>
        <row r="49">
          <cell r="A49" t="str">
            <v>X43</v>
          </cell>
          <cell r="B49">
            <v>3101000</v>
          </cell>
          <cell r="C49">
            <v>6203000</v>
          </cell>
          <cell r="D49">
            <v>6451000</v>
          </cell>
          <cell r="E49">
            <v>7444000</v>
          </cell>
          <cell r="F49">
            <v>7857000</v>
          </cell>
          <cell r="G49">
            <v>8271000</v>
          </cell>
          <cell r="H49">
            <v>9649000</v>
          </cell>
          <cell r="I49">
            <v>11028000</v>
          </cell>
          <cell r="J49">
            <v>12406000</v>
          </cell>
          <cell r="K49">
            <v>14474000</v>
          </cell>
          <cell r="L49">
            <v>16679000</v>
          </cell>
          <cell r="M49">
            <v>19023000</v>
          </cell>
          <cell r="N49">
            <v>20608000</v>
          </cell>
        </row>
        <row r="50">
          <cell r="A50" t="str">
            <v>X44</v>
          </cell>
          <cell r="B50">
            <v>3412000</v>
          </cell>
          <cell r="C50">
            <v>6823000</v>
          </cell>
          <cell r="D50">
            <v>7096000</v>
          </cell>
          <cell r="E50">
            <v>8188000</v>
          </cell>
          <cell r="F50">
            <v>8643000</v>
          </cell>
          <cell r="G50">
            <v>9098000</v>
          </cell>
          <cell r="H50">
            <v>10614000</v>
          </cell>
          <cell r="I50">
            <v>12130000</v>
          </cell>
          <cell r="J50">
            <v>13647000</v>
          </cell>
          <cell r="K50">
            <v>15921000</v>
          </cell>
          <cell r="L50">
            <v>18347000</v>
          </cell>
          <cell r="M50">
            <v>20925000</v>
          </cell>
          <cell r="N50">
            <v>22669000</v>
          </cell>
        </row>
        <row r="51">
          <cell r="A51" t="str">
            <v>X45</v>
          </cell>
          <cell r="B51">
            <v>3753000</v>
          </cell>
          <cell r="C51">
            <v>7506000</v>
          </cell>
          <cell r="D51">
            <v>7806000</v>
          </cell>
          <cell r="E51">
            <v>9007000</v>
          </cell>
          <cell r="F51">
            <v>9507000</v>
          </cell>
          <cell r="G51">
            <v>10008000</v>
          </cell>
          <cell r="H51">
            <v>11675000</v>
          </cell>
          <cell r="I51">
            <v>13343000</v>
          </cell>
          <cell r="J51">
            <v>15011000</v>
          </cell>
          <cell r="K51">
            <v>17513000</v>
          </cell>
          <cell r="L51">
            <v>20182000</v>
          </cell>
          <cell r="M51">
            <v>23017000</v>
          </cell>
          <cell r="N51">
            <v>24935000</v>
          </cell>
        </row>
        <row r="52">
          <cell r="A52" t="str">
            <v>X46</v>
          </cell>
          <cell r="B52">
            <v>4128000</v>
          </cell>
          <cell r="C52">
            <v>8256000</v>
          </cell>
          <cell r="D52">
            <v>8586000</v>
          </cell>
          <cell r="E52">
            <v>9907000</v>
          </cell>
          <cell r="F52">
            <v>10458000</v>
          </cell>
          <cell r="G52">
            <v>11008000</v>
          </cell>
          <cell r="H52">
            <v>12843000</v>
          </cell>
          <cell r="I52">
            <v>14678000</v>
          </cell>
          <cell r="J52">
            <v>16512000</v>
          </cell>
          <cell r="K52">
            <v>19264000</v>
          </cell>
          <cell r="L52">
            <v>22200000</v>
          </cell>
          <cell r="M52">
            <v>25319000</v>
          </cell>
          <cell r="N52">
            <v>27429000</v>
          </cell>
        </row>
        <row r="53">
          <cell r="A53" t="str">
            <v>X47</v>
          </cell>
          <cell r="B53">
            <v>4541000</v>
          </cell>
          <cell r="C53">
            <v>9082000</v>
          </cell>
          <cell r="D53">
            <v>9445000</v>
          </cell>
          <cell r="E53">
            <v>10898000</v>
          </cell>
          <cell r="F53">
            <v>11504000</v>
          </cell>
          <cell r="G53">
            <v>12109000</v>
          </cell>
          <cell r="H53">
            <v>14127000</v>
          </cell>
          <cell r="I53">
            <v>16145000</v>
          </cell>
          <cell r="J53">
            <v>18164000</v>
          </cell>
          <cell r="K53">
            <v>21191000</v>
          </cell>
          <cell r="L53">
            <v>24420000</v>
          </cell>
          <cell r="M53">
            <v>27851000</v>
          </cell>
          <cell r="N53">
            <v>30172000</v>
          </cell>
        </row>
        <row r="54">
          <cell r="A54" t="str">
            <v>X48</v>
          </cell>
          <cell r="B54">
            <v>4995000</v>
          </cell>
          <cell r="C54">
            <v>9990000</v>
          </cell>
          <cell r="D54">
            <v>10390000</v>
          </cell>
          <cell r="E54">
            <v>11988000</v>
          </cell>
          <cell r="F54">
            <v>12654000</v>
          </cell>
          <cell r="G54">
            <v>13320000</v>
          </cell>
          <cell r="H54">
            <v>15540000</v>
          </cell>
          <cell r="I54">
            <v>17760000</v>
          </cell>
          <cell r="J54">
            <v>19980000</v>
          </cell>
          <cell r="K54">
            <v>23310000</v>
          </cell>
          <cell r="L54">
            <v>26862000</v>
          </cell>
          <cell r="M54">
            <v>30636000</v>
          </cell>
          <cell r="N54">
            <v>33189000</v>
          </cell>
        </row>
        <row r="55">
          <cell r="A55" t="str">
            <v>X49</v>
          </cell>
          <cell r="B55">
            <v>5494000</v>
          </cell>
          <cell r="C55">
            <v>10989000</v>
          </cell>
          <cell r="D55">
            <v>11429000</v>
          </cell>
          <cell r="E55">
            <v>13187000</v>
          </cell>
          <cell r="F55">
            <v>13919000</v>
          </cell>
          <cell r="G55">
            <v>14652000</v>
          </cell>
          <cell r="H55">
            <v>17094000</v>
          </cell>
          <cell r="I55">
            <v>19536000</v>
          </cell>
          <cell r="J55">
            <v>21978000</v>
          </cell>
          <cell r="K55">
            <v>25641000</v>
          </cell>
          <cell r="L55">
            <v>29548000</v>
          </cell>
          <cell r="M55">
            <v>33700000</v>
          </cell>
          <cell r="N55">
            <v>36508000</v>
          </cell>
        </row>
        <row r="56">
          <cell r="A56" t="str">
            <v>X50</v>
          </cell>
          <cell r="B56">
            <v>6044000</v>
          </cell>
          <cell r="C56">
            <v>12088000</v>
          </cell>
          <cell r="D56">
            <v>12571000</v>
          </cell>
          <cell r="E56">
            <v>14505000</v>
          </cell>
          <cell r="F56">
            <v>15311000</v>
          </cell>
          <cell r="G56">
            <v>16117000</v>
          </cell>
          <cell r="H56">
            <v>18803000</v>
          </cell>
          <cell r="I56">
            <v>21490000</v>
          </cell>
          <cell r="J56">
            <v>24176000</v>
          </cell>
          <cell r="K56">
            <v>28205000</v>
          </cell>
          <cell r="L56">
            <v>32503000</v>
          </cell>
          <cell r="M56">
            <v>37070000</v>
          </cell>
          <cell r="N56">
            <v>40159000</v>
          </cell>
        </row>
        <row r="57">
          <cell r="A57" t="str">
            <v>X51</v>
          </cell>
          <cell r="B57">
            <v>6648000</v>
          </cell>
          <cell r="C57">
            <v>13297000</v>
          </cell>
          <cell r="D57">
            <v>13829000</v>
          </cell>
          <cell r="E57">
            <v>15956000</v>
          </cell>
          <cell r="F57">
            <v>16842000</v>
          </cell>
          <cell r="G57">
            <v>17729000</v>
          </cell>
          <cell r="H57">
            <v>20684000</v>
          </cell>
          <cell r="I57">
            <v>23639000</v>
          </cell>
          <cell r="J57">
            <v>26593000</v>
          </cell>
          <cell r="K57">
            <v>31026000</v>
          </cell>
          <cell r="L57">
            <v>35753000</v>
          </cell>
          <cell r="M57">
            <v>40776000</v>
          </cell>
          <cell r="N57">
            <v>44175000</v>
          </cell>
        </row>
        <row r="58">
          <cell r="A58" t="str">
            <v>X52</v>
          </cell>
          <cell r="B58">
            <v>7313000</v>
          </cell>
          <cell r="C58">
            <v>14626000</v>
          </cell>
          <cell r="D58">
            <v>15211000</v>
          </cell>
          <cell r="E58">
            <v>17552000</v>
          </cell>
          <cell r="F58">
            <v>18527000</v>
          </cell>
          <cell r="G58">
            <v>19502000</v>
          </cell>
          <cell r="H58">
            <v>22752000</v>
          </cell>
          <cell r="I58">
            <v>26002000</v>
          </cell>
          <cell r="J58">
            <v>29253000</v>
          </cell>
          <cell r="K58">
            <v>34128000</v>
          </cell>
          <cell r="L58">
            <v>39329000</v>
          </cell>
          <cell r="M58">
            <v>44854000</v>
          </cell>
          <cell r="N58">
            <v>48592000</v>
          </cell>
        </row>
        <row r="59">
          <cell r="A59" t="str">
            <v>X53</v>
          </cell>
          <cell r="B59">
            <v>8044000</v>
          </cell>
          <cell r="C59">
            <v>16089000</v>
          </cell>
          <cell r="D59">
            <v>16733000</v>
          </cell>
          <cell r="E59">
            <v>19307000</v>
          </cell>
          <cell r="F59">
            <v>20379000</v>
          </cell>
          <cell r="G59">
            <v>21452000</v>
          </cell>
          <cell r="H59">
            <v>25027000</v>
          </cell>
          <cell r="I59">
            <v>28603000</v>
          </cell>
          <cell r="J59">
            <v>32178000</v>
          </cell>
          <cell r="K59">
            <v>37541000</v>
          </cell>
          <cell r="L59">
            <v>43261000</v>
          </cell>
          <cell r="M59">
            <v>49340000</v>
          </cell>
          <cell r="N59">
            <v>53451000</v>
          </cell>
        </row>
        <row r="60">
          <cell r="A60" t="str">
            <v>X54</v>
          </cell>
          <cell r="B60">
            <v>8849000</v>
          </cell>
          <cell r="C60">
            <v>17698000</v>
          </cell>
          <cell r="D60">
            <v>18406000</v>
          </cell>
          <cell r="E60">
            <v>21237000</v>
          </cell>
          <cell r="F60">
            <v>22417000</v>
          </cell>
          <cell r="G60">
            <v>23597000</v>
          </cell>
          <cell r="H60">
            <v>27530000</v>
          </cell>
          <cell r="I60">
            <v>31463000</v>
          </cell>
          <cell r="J60">
            <v>35396000</v>
          </cell>
          <cell r="K60">
            <v>41295000</v>
          </cell>
          <cell r="L60">
            <v>47588000</v>
          </cell>
          <cell r="M60">
            <v>54273000</v>
          </cell>
          <cell r="N60">
            <v>58796000</v>
          </cell>
        </row>
        <row r="61">
          <cell r="A61" t="str">
            <v>X55</v>
          </cell>
          <cell r="B61">
            <v>9734000</v>
          </cell>
          <cell r="C61">
            <v>19468000</v>
          </cell>
          <cell r="D61">
            <v>20246000</v>
          </cell>
          <cell r="E61">
            <v>23361000</v>
          </cell>
          <cell r="F61">
            <v>24659000</v>
          </cell>
          <cell r="G61">
            <v>25957000</v>
          </cell>
          <cell r="H61">
            <v>30283000</v>
          </cell>
          <cell r="I61">
            <v>34609000</v>
          </cell>
          <cell r="J61">
            <v>38935000</v>
          </cell>
          <cell r="K61">
            <v>45425000</v>
          </cell>
          <cell r="L61">
            <v>52346000</v>
          </cell>
          <cell r="M61">
            <v>59701000</v>
          </cell>
          <cell r="N61">
            <v>64676000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>
        <row r="4">
          <cell r="A4" t="str">
            <v>BLOQUES</v>
          </cell>
        </row>
      </sheetData>
      <sheetData sheetId="20"/>
      <sheetData sheetId="21"/>
      <sheetData sheetId="22"/>
      <sheetData sheetId="23"/>
      <sheetData sheetId="24"/>
      <sheetData sheetId="25">
        <row r="4">
          <cell r="A4" t="str">
            <v>BLOQUES</v>
          </cell>
        </row>
      </sheetData>
      <sheetData sheetId="26"/>
      <sheetData sheetId="27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"/>
      <sheetName val="Hoja1"/>
      <sheetName val="01_1999"/>
      <sheetName val="Programas Ene 1999"/>
      <sheetName val="Programas Feb 1999"/>
      <sheetName val="Variacion rating verano año 199"/>
      <sheetName val="Setup"/>
      <sheetName val="rat2"/>
      <sheetName val="Pre Evaluacion"/>
      <sheetName val="Programas_Ene_1999"/>
      <sheetName val="Programas_Feb_1999"/>
      <sheetName val="Variacion_rating_verano_año_199"/>
      <sheetName val="Programas_Ene_19991"/>
      <sheetName val="Programas_Feb_19991"/>
      <sheetName val="Variacion_rating_verano_año_191"/>
      <sheetName val="01_2000"/>
      <sheetName val="ENERO 2008"/>
      <sheetName val="rating (2)"/>
      <sheetName val="Variacion%20rating%20verano%20a"/>
      <sheetName val="Nov 01"/>
      <sheetName val="Rk Target"/>
      <sheetName val="Neg"/>
      <sheetName val="Programas_Ene_19992"/>
      <sheetName val="Programas_Feb_19992"/>
      <sheetName val="Variacion_rating_verano_año_192"/>
      <sheetName val="ENERO_2008"/>
      <sheetName val="rating_(2)"/>
      <sheetName val="Pre_Evaluacion"/>
      <sheetName val="45"/>
      <sheetName val="Programas_Ene_19993"/>
      <sheetName val="Programas_Feb_19993"/>
      <sheetName val="Variacion_rating_verano_año_193"/>
      <sheetName val="Pre_Evaluacion1"/>
      <sheetName val="ENERO_20081"/>
      <sheetName val="rating_(2)1"/>
      <sheetName val="Nov_01"/>
      <sheetName val="Rk_Target"/>
      <sheetName val="Programas_Ene_19994"/>
      <sheetName val="Programas_Feb_19994"/>
      <sheetName val="Variacion_rating_verano_año_194"/>
      <sheetName val="Pre_Evaluacion2"/>
      <sheetName val="ENERO_20082"/>
      <sheetName val="rating_(2)2"/>
      <sheetName val="Nov_011"/>
      <sheetName val="Rk_Target1"/>
      <sheetName val="Programas_Ene_19995"/>
      <sheetName val="Programas_Feb_19995"/>
      <sheetName val="Variacion_rating_verano_año_195"/>
      <sheetName val="Pre_Evaluacion3"/>
      <sheetName val="ENERO_20083"/>
      <sheetName val="rating_(2)3"/>
      <sheetName val="Nov_012"/>
      <sheetName val="Rk_Target2"/>
      <sheetName val="Flowchart 2'270"/>
      <sheetName val="Flowchart_2'270"/>
      <sheetName val="MARCA JEEP 2005"/>
      <sheetName val="CANAL 2"/>
      <sheetName val="CANAL 4"/>
      <sheetName val="CANAL 5"/>
      <sheetName val="Canal 7"/>
      <sheetName val="Canal 9"/>
      <sheetName val="CANAL 13"/>
      <sheetName val="Rk tv abierta"/>
      <sheetName val="Rtg Negoc"/>
      <sheetName val="Diccionario"/>
      <sheetName val="Regiones Noviembre 2002"/>
      <sheetName val="tablas final 2°sem 2008"/>
      <sheetName val="Programas_Ene_19997"/>
      <sheetName val="Programas_Feb_19997"/>
      <sheetName val="Variacion_rating_verano_año_197"/>
      <sheetName val="Pre_Evaluacion5"/>
      <sheetName val="ENERO_20085"/>
      <sheetName val="rating_(2)5"/>
      <sheetName val="Rk_Target4"/>
      <sheetName val="Rk_tv_abierta1"/>
      <sheetName val="Rtg_Negoc1"/>
      <sheetName val="Flowchart_2'2702"/>
      <sheetName val="Nov_014"/>
      <sheetName val="CANAL_21"/>
      <sheetName val="CANAL_41"/>
      <sheetName val="CANAL_51"/>
      <sheetName val="Canal_71"/>
      <sheetName val="Canal_91"/>
      <sheetName val="CANAL_131"/>
      <sheetName val="Programas_Ene_19996"/>
      <sheetName val="Programas_Feb_19996"/>
      <sheetName val="Variacion_rating_verano_año_196"/>
      <sheetName val="Pre_Evaluacion4"/>
      <sheetName val="ENERO_20084"/>
      <sheetName val="rating_(2)4"/>
      <sheetName val="Rk_Target3"/>
      <sheetName val="Rk_tv_abierta"/>
      <sheetName val="Rtg_Negoc"/>
      <sheetName val="Flowchart_2'2701"/>
      <sheetName val="Nov_013"/>
      <sheetName val="CANAL_2"/>
      <sheetName val="CANAL_4"/>
      <sheetName val="CANAL_5"/>
      <sheetName val="Canal_7"/>
      <sheetName val="Canal_9"/>
      <sheetName val="CANAL_13"/>
      <sheetName val="MARCA_JEEP_2005"/>
      <sheetName val="plan"/>
      <sheetName val="res. mês"/>
      <sheetName val="resumen"/>
      <sheetName val="Resumen SOI"/>
      <sheetName val="rk radios Prov ok "/>
      <sheetName val="Programas_Ene_19998"/>
      <sheetName val="Programas_Feb_19998"/>
      <sheetName val="Variacion_rating_verano_año_198"/>
      <sheetName val="ENERO_20086"/>
      <sheetName val="rating_(2)6"/>
      <sheetName val="Pre_Evaluacion6"/>
      <sheetName val="Nov_015"/>
      <sheetName val="Rk_Target5"/>
      <sheetName val="Flowchart_2'2703"/>
      <sheetName val="MARCA_JEEP_20051"/>
      <sheetName val="CANAL_22"/>
      <sheetName val="CANAL_42"/>
      <sheetName val="CANAL_52"/>
      <sheetName val="Canal_72"/>
      <sheetName val="Canal_92"/>
      <sheetName val="CANAL_132"/>
      <sheetName val="Rk_tv_abierta2"/>
      <sheetName val="Rtg_Negoc2"/>
      <sheetName val="Regiones_Noviembre_2002"/>
      <sheetName val="tablas_final_2°sem_2008"/>
      <sheetName val="res__mês"/>
      <sheetName val="rk_radios_Prov_ok_"/>
      <sheetName val="BASE"/>
      <sheetName val="A&amp;F MAN 2DO"/>
      <sheetName val="module1"/>
      <sheetName val="Rating"/>
      <sheetName val="Tarifa Especial"/>
      <sheetName val="Tarifa Preferencial (3)"/>
      <sheetName val="MARCA_JEEP_20052"/>
      <sheetName val="Resumen_SOI"/>
      <sheetName val="MUJ2637"/>
      <sheetName val="news prev"/>
      <sheetName val="M1735AB"/>
      <sheetName val="Programas_Ene_19999"/>
      <sheetName val="Programas_Feb_19999"/>
      <sheetName val="Variacion_rating_verano_año_110"/>
      <sheetName val="Pre_Evaluacion7"/>
      <sheetName val="ENERO_20087"/>
      <sheetName val="rating_(2)7"/>
      <sheetName val="Nov_016"/>
      <sheetName val="Rk_Target6"/>
      <sheetName val="MARCA_JEEP_20053"/>
      <sheetName val="Flowchart_2'2704"/>
      <sheetName val="CANAL_23"/>
      <sheetName val="CANAL_43"/>
      <sheetName val="CANAL_53"/>
      <sheetName val="Canal_73"/>
      <sheetName val="Canal_93"/>
      <sheetName val="CANAL_133"/>
      <sheetName val="Rk_tv_abierta3"/>
      <sheetName val="Rtg_Negoc3"/>
      <sheetName val="Regiones_Noviembre_20021"/>
      <sheetName val="tablas_final_2°sem_20081"/>
      <sheetName val="res__mês1"/>
      <sheetName val="Resumen_SOI1"/>
      <sheetName val="rk_radios_Prov_ok_1"/>
      <sheetName val="A&amp;F_MAN_2DO"/>
      <sheetName val="Tarifa_Especial"/>
      <sheetName val="Tarifa_Preferencial_(3)"/>
      <sheetName val="Sheet1"/>
      <sheetName val="Programas_Ene_199910"/>
      <sheetName val="Programas_Feb_199910"/>
      <sheetName val="Variacion_rating_verano_año_111"/>
      <sheetName val="CAPA"/>
      <sheetName val="CAPAS"/>
      <sheetName val="CRONO"/>
      <sheetName val="TV SPE 1º"/>
      <sheetName val="TV SPE 2º"/>
      <sheetName val="RD CAP 1ª"/>
      <sheetName val="RD CAP 2ª"/>
      <sheetName val="RD INT 1ª"/>
      <sheetName val="PARAMETRES"/>
      <sheetName val="MENU"/>
      <sheetName val="outdr"/>
      <sheetName val="Est.REV."/>
      <sheetName val="GS_STD"/>
      <sheetName val="Dados BS-04"/>
      <sheetName val="SIN0002"/>
      <sheetName val="SIN0002.XLS"/>
      <sheetName val="TV_SPE_1º"/>
      <sheetName val="TV_SPE_2º"/>
      <sheetName val="RD_CAP_1ª"/>
      <sheetName val="RD_CAP_2ª"/>
      <sheetName val="RD_INT_1ª"/>
      <sheetName val="Est_REV_"/>
      <sheetName val="BANCAS"/>
      <sheetName val="R$"/>
      <sheetName val="Bullets"/>
      <sheetName val="perfil_fx_Hor"/>
      <sheetName val="Pre_Evaluacion8"/>
      <sheetName val="ENERO_20088"/>
      <sheetName val="rating_(2)8"/>
      <sheetName val="Nov_017"/>
      <sheetName val="Rk_Target7"/>
      <sheetName val="Flowchart_2'2705"/>
      <sheetName val="MARCA_JEEP_20054"/>
      <sheetName val="CANAL_24"/>
      <sheetName val="CANAL_44"/>
      <sheetName val="CANAL_54"/>
      <sheetName val="Canal_74"/>
      <sheetName val="Canal_94"/>
      <sheetName val="CANAL_134"/>
      <sheetName val="Rk_tv_abierta4"/>
      <sheetName val="Rtg_Negoc4"/>
      <sheetName val="Regiones_Noviembre_20022"/>
      <sheetName val="tablas_final_2°sem_20082"/>
      <sheetName val="res__mês2"/>
      <sheetName val="Resumen_SOI2"/>
      <sheetName val="rk_radios_Prov_ok_2"/>
      <sheetName val="A&amp;F_MAN_2DO1"/>
      <sheetName val="Tarifa_Especial1"/>
      <sheetName val="Tarifa_Preferencial_(3)1"/>
      <sheetName val="news_prev"/>
      <sheetName val="Programas_Ene_199911"/>
      <sheetName val="Programas_Feb_199911"/>
      <sheetName val="Variacion_rating_verano_año_112"/>
      <sheetName val="Pre_Evaluacion9"/>
      <sheetName val="ENERO_20089"/>
      <sheetName val="rating_(2)9"/>
      <sheetName val="Nov_018"/>
      <sheetName val="Rk_Target8"/>
      <sheetName val="Flowchart_2'2706"/>
      <sheetName val="MARCA_JEEP_20055"/>
      <sheetName val="CANAL_25"/>
      <sheetName val="CANAL_45"/>
      <sheetName val="CANAL_55"/>
      <sheetName val="Canal_75"/>
      <sheetName val="Canal_95"/>
      <sheetName val="CANAL_135"/>
      <sheetName val="Rk_tv_abierta5"/>
      <sheetName val="Rtg_Negoc5"/>
      <sheetName val="Regiones_Noviembre_20023"/>
      <sheetName val="tablas_final_2°sem_20083"/>
      <sheetName val="res__mês3"/>
      <sheetName val="Resumen_SOI3"/>
      <sheetName val="rk_radios_Prov_ok_3"/>
      <sheetName val="A&amp;F_MAN_2DO2"/>
      <sheetName val="Tarifa_Especial2"/>
      <sheetName val="Tarifa_Preferencial_(3)2"/>
      <sheetName val="news_prev1"/>
      <sheetName val="Programas_Ene_199912"/>
      <sheetName val="Programas_Feb_199912"/>
      <sheetName val="Variacion_rating_verano_año_113"/>
      <sheetName val="Pre_Evaluacion10"/>
      <sheetName val="ENERO_200810"/>
      <sheetName val="rating_(2)10"/>
      <sheetName val="Nov_019"/>
      <sheetName val="Rk_Target9"/>
      <sheetName val="Flowchart_2'2707"/>
      <sheetName val="MARCA_JEEP_20056"/>
      <sheetName val="CANAL_26"/>
      <sheetName val="CANAL_46"/>
      <sheetName val="CANAL_56"/>
      <sheetName val="Canal_76"/>
      <sheetName val="Canal_96"/>
      <sheetName val="CANAL_136"/>
      <sheetName val="Rk_tv_abierta6"/>
      <sheetName val="Rtg_Negoc6"/>
      <sheetName val="Regiones_Noviembre_20024"/>
      <sheetName val="tablas_final_2°sem_20084"/>
      <sheetName val="res__mês4"/>
      <sheetName val="Resumen_SOI4"/>
      <sheetName val="rk_radios_Prov_ok_4"/>
      <sheetName val="A&amp;F_MAN_2DO3"/>
      <sheetName val="Tarifa_Especial3"/>
      <sheetName val="Tarifa_Preferencial_(3)3"/>
      <sheetName val="news_prev2"/>
      <sheetName val="Data"/>
      <sheetName val="Parámetros"/>
      <sheetName val="Programas_Ene_199913"/>
      <sheetName val="Programas_Feb_199913"/>
      <sheetName val="Variacion_rating_verano_año_114"/>
      <sheetName val="Pre_Evaluacion11"/>
      <sheetName val="ENERO_200811"/>
      <sheetName val="rating_(2)11"/>
      <sheetName val="Nov_0110"/>
      <sheetName val="Rk_Target10"/>
      <sheetName val="Flowchart_2'2708"/>
      <sheetName val="MARCA_JEEP_20057"/>
      <sheetName val="Rk_tv_abierta7"/>
      <sheetName val="Rtg_Negoc7"/>
      <sheetName val="CANAL_27"/>
      <sheetName val="CANAL_47"/>
      <sheetName val="CANAL_57"/>
      <sheetName val="Canal_77"/>
      <sheetName val="Canal_97"/>
      <sheetName val="CANAL_137"/>
      <sheetName val="Regiones_Noviembre_20025"/>
      <sheetName val="tablas_final_2°sem_20085"/>
      <sheetName val="res__mês5"/>
      <sheetName val="rk_radios_Prov_ok_5"/>
      <sheetName val="Resumen_SOI5"/>
      <sheetName val="A&amp;F_MAN_2DO4"/>
      <sheetName val="Tarifa_Especial4"/>
      <sheetName val="Tarifa_Preferencial_(3)4"/>
      <sheetName val="news_prev4"/>
      <sheetName val="news_prev3"/>
    </sheetNames>
    <sheetDataSet>
      <sheetData sheetId="0" refreshError="1"/>
      <sheetData sheetId="1" refreshError="1"/>
      <sheetData sheetId="2" refreshError="1">
        <row r="1">
          <cell r="B1" t="str">
            <v>S</v>
          </cell>
          <cell r="C1" t="str">
            <v>Can</v>
          </cell>
          <cell r="D1" t="str">
            <v>Genero</v>
          </cell>
          <cell r="E1" t="str">
            <v>Programa</v>
          </cell>
          <cell r="F1" t="str">
            <v>Rat</v>
          </cell>
          <cell r="G1" t="str">
            <v>Personas</v>
          </cell>
          <cell r="H1" t="str">
            <v>Lun</v>
          </cell>
          <cell r="I1" t="str">
            <v>Mar</v>
          </cell>
          <cell r="J1" t="str">
            <v>Mie</v>
          </cell>
          <cell r="K1" t="str">
            <v>Jue</v>
          </cell>
          <cell r="L1" t="str">
            <v>Vie</v>
          </cell>
          <cell r="M1" t="str">
            <v>Sab</v>
          </cell>
          <cell r="N1" t="str">
            <v>Dom</v>
          </cell>
          <cell r="O1" t="str">
            <v>HoraI</v>
          </cell>
          <cell r="P1" t="str">
            <v>HoraF</v>
          </cell>
          <cell r="Q1" t="str">
            <v>Costo</v>
          </cell>
          <cell r="R1" t="str">
            <v>CtoPto</v>
          </cell>
          <cell r="S1" t="str">
            <v>TPE</v>
          </cell>
        </row>
        <row r="2">
          <cell r="B2" t="str">
            <v>0</v>
          </cell>
          <cell r="C2" t="str">
            <v>07</v>
          </cell>
          <cell r="D2" t="str">
            <v>VARIEDAD</v>
          </cell>
          <cell r="E2" t="str">
            <v>EL ULTIMO VERANO DEL SIGLO</v>
          </cell>
          <cell r="F2">
            <v>8.3000000000000007</v>
          </cell>
          <cell r="G2">
            <v>118932</v>
          </cell>
          <cell r="J2">
            <v>8.3000000000000007</v>
          </cell>
          <cell r="O2" t="str">
            <v>21:54</v>
          </cell>
          <cell r="P2" t="str">
            <v>00:34</v>
          </cell>
          <cell r="Q2">
            <v>0</v>
          </cell>
          <cell r="R2">
            <v>0</v>
          </cell>
          <cell r="S2">
            <v>4</v>
          </cell>
        </row>
        <row r="3">
          <cell r="B3" t="str">
            <v>0</v>
          </cell>
          <cell r="C3" t="str">
            <v>07</v>
          </cell>
          <cell r="D3" t="str">
            <v>REPORTAJE</v>
          </cell>
          <cell r="E3" t="str">
            <v>VIDA 2000</v>
          </cell>
          <cell r="F3">
            <v>8.1999999999999993</v>
          </cell>
          <cell r="G3">
            <v>117853</v>
          </cell>
          <cell r="I3">
            <v>8.1999999999999993</v>
          </cell>
          <cell r="O3" t="str">
            <v>22:07</v>
          </cell>
          <cell r="P3" t="str">
            <v>23:17</v>
          </cell>
          <cell r="Q3">
            <v>0</v>
          </cell>
          <cell r="R3">
            <v>0</v>
          </cell>
          <cell r="S3">
            <v>1</v>
          </cell>
        </row>
        <row r="4">
          <cell r="B4" t="str">
            <v>0</v>
          </cell>
          <cell r="C4" t="str">
            <v>07</v>
          </cell>
          <cell r="D4" t="str">
            <v>REALITY SHOW</v>
          </cell>
          <cell r="E4" t="str">
            <v>MEA CULPA</v>
          </cell>
          <cell r="F4">
            <v>7.8</v>
          </cell>
          <cell r="G4">
            <v>111074</v>
          </cell>
          <cell r="I4">
            <v>7.8</v>
          </cell>
          <cell r="O4" t="str">
            <v>22:01</v>
          </cell>
          <cell r="P4" t="str">
            <v>23:32</v>
          </cell>
          <cell r="Q4">
            <v>0</v>
          </cell>
          <cell r="R4">
            <v>0</v>
          </cell>
          <cell r="S4">
            <v>4</v>
          </cell>
        </row>
        <row r="5">
          <cell r="B5" t="str">
            <v>0</v>
          </cell>
          <cell r="C5" t="str">
            <v>07</v>
          </cell>
          <cell r="D5" t="str">
            <v>TELENOVELA</v>
          </cell>
          <cell r="E5" t="str">
            <v>BORRON Y CUENTA NUEVA</v>
          </cell>
          <cell r="F5">
            <v>7.6</v>
          </cell>
          <cell r="G5">
            <v>108745</v>
          </cell>
          <cell r="H5">
            <v>6.1</v>
          </cell>
          <cell r="I5">
            <v>7.8</v>
          </cell>
          <cell r="J5">
            <v>8.9</v>
          </cell>
          <cell r="O5" t="str">
            <v>19:34</v>
          </cell>
          <cell r="P5" t="str">
            <v>23:54</v>
          </cell>
          <cell r="Q5">
            <v>0</v>
          </cell>
          <cell r="R5">
            <v>0</v>
          </cell>
          <cell r="S5">
            <v>4</v>
          </cell>
        </row>
        <row r="6">
          <cell r="B6" t="str">
            <v>0</v>
          </cell>
          <cell r="C6" t="str">
            <v>07</v>
          </cell>
          <cell r="D6" t="str">
            <v>INFORMATIVO</v>
          </cell>
          <cell r="E6" t="str">
            <v>EL CATALEJO</v>
          </cell>
          <cell r="F6">
            <v>7.5</v>
          </cell>
          <cell r="G6">
            <v>107538</v>
          </cell>
          <cell r="I6">
            <v>7.5</v>
          </cell>
          <cell r="O6" t="str">
            <v>23:18</v>
          </cell>
          <cell r="P6" t="str">
            <v>00:10</v>
          </cell>
          <cell r="Q6">
            <v>0</v>
          </cell>
          <cell r="R6">
            <v>0</v>
          </cell>
          <cell r="S6">
            <v>1</v>
          </cell>
        </row>
        <row r="7">
          <cell r="B7" t="str">
            <v>0</v>
          </cell>
          <cell r="C7" t="str">
            <v>07</v>
          </cell>
          <cell r="D7" t="str">
            <v>INFORMATIVO</v>
          </cell>
          <cell r="E7" t="str">
            <v>TV TIEMPO</v>
          </cell>
          <cell r="F7">
            <v>7.4</v>
          </cell>
          <cell r="G7">
            <v>105099</v>
          </cell>
          <cell r="H7">
            <v>6.5</v>
          </cell>
          <cell r="I7">
            <v>10.6</v>
          </cell>
          <cell r="J7">
            <v>7.4</v>
          </cell>
          <cell r="K7">
            <v>7.2</v>
          </cell>
          <cell r="L7">
            <v>7.5</v>
          </cell>
          <cell r="M7">
            <v>5.4</v>
          </cell>
          <cell r="N7">
            <v>6.9</v>
          </cell>
          <cell r="O7" t="str">
            <v>21:51</v>
          </cell>
          <cell r="P7" t="str">
            <v>22:08</v>
          </cell>
          <cell r="Q7">
            <v>0</v>
          </cell>
          <cell r="R7">
            <v>0</v>
          </cell>
          <cell r="S7">
            <v>35</v>
          </cell>
        </row>
        <row r="8">
          <cell r="B8" t="str">
            <v>0</v>
          </cell>
          <cell r="C8" t="str">
            <v>07</v>
          </cell>
          <cell r="D8" t="str">
            <v>INFORMATIVO</v>
          </cell>
          <cell r="E8" t="str">
            <v>RED NACIONAL</v>
          </cell>
          <cell r="F8">
            <v>7.2</v>
          </cell>
          <cell r="G8">
            <v>103051</v>
          </cell>
          <cell r="J8">
            <v>7.2</v>
          </cell>
          <cell r="O8" t="str">
            <v>20:59</v>
          </cell>
          <cell r="P8" t="str">
            <v>21:12</v>
          </cell>
          <cell r="Q8">
            <v>0</v>
          </cell>
          <cell r="R8">
            <v>0</v>
          </cell>
          <cell r="S8">
            <v>1</v>
          </cell>
        </row>
        <row r="9">
          <cell r="B9" t="str">
            <v>0</v>
          </cell>
          <cell r="C9" t="str">
            <v>07</v>
          </cell>
          <cell r="D9" t="str">
            <v>CONVERSACION</v>
          </cell>
          <cell r="E9" t="str">
            <v>SUPER SALVAJE</v>
          </cell>
          <cell r="F9">
            <v>7</v>
          </cell>
          <cell r="G9">
            <v>99943</v>
          </cell>
          <cell r="N9">
            <v>7</v>
          </cell>
          <cell r="O9" t="str">
            <v>22:01</v>
          </cell>
          <cell r="P9" t="str">
            <v>00:12</v>
          </cell>
          <cell r="Q9">
            <v>0</v>
          </cell>
          <cell r="R9">
            <v>0</v>
          </cell>
          <cell r="S9">
            <v>5</v>
          </cell>
        </row>
        <row r="10">
          <cell r="B10" t="str">
            <v>0</v>
          </cell>
          <cell r="C10" t="str">
            <v>07</v>
          </cell>
          <cell r="D10" t="str">
            <v>REPORTAJE</v>
          </cell>
          <cell r="E10" t="str">
            <v>INFORME ESPECIAL</v>
          </cell>
          <cell r="F10">
            <v>6.8</v>
          </cell>
          <cell r="G10">
            <v>96699</v>
          </cell>
          <cell r="L10">
            <v>6.8</v>
          </cell>
          <cell r="O10" t="str">
            <v>22:00</v>
          </cell>
          <cell r="P10" t="str">
            <v>23:47</v>
          </cell>
          <cell r="Q10">
            <v>0</v>
          </cell>
          <cell r="R10">
            <v>0</v>
          </cell>
          <cell r="S10">
            <v>4</v>
          </cell>
        </row>
        <row r="11">
          <cell r="B11" t="str">
            <v>0</v>
          </cell>
          <cell r="C11" t="str">
            <v>07</v>
          </cell>
          <cell r="D11" t="str">
            <v>NOTICIERO</v>
          </cell>
          <cell r="E11" t="str">
            <v>24 HORAS</v>
          </cell>
          <cell r="F11">
            <v>6.7</v>
          </cell>
          <cell r="G11">
            <v>96093</v>
          </cell>
          <cell r="H11">
            <v>7.3</v>
          </cell>
          <cell r="I11">
            <v>8</v>
          </cell>
          <cell r="J11">
            <v>7.3</v>
          </cell>
          <cell r="K11">
            <v>6.8</v>
          </cell>
          <cell r="L11">
            <v>6.3</v>
          </cell>
          <cell r="M11">
            <v>5.6</v>
          </cell>
          <cell r="N11">
            <v>5.8</v>
          </cell>
          <cell r="O11" t="str">
            <v>20:57</v>
          </cell>
          <cell r="P11" t="str">
            <v>22:03</v>
          </cell>
          <cell r="Q11">
            <v>0</v>
          </cell>
          <cell r="R11">
            <v>0</v>
          </cell>
          <cell r="S11">
            <v>35</v>
          </cell>
        </row>
        <row r="12">
          <cell r="B12" t="str">
            <v>0</v>
          </cell>
          <cell r="C12" t="str">
            <v>07</v>
          </cell>
          <cell r="D12" t="str">
            <v>REPORTAJE</v>
          </cell>
          <cell r="E12" t="str">
            <v>LOS PATIPERROS</v>
          </cell>
          <cell r="F12">
            <v>4.7</v>
          </cell>
          <cell r="G12">
            <v>66659</v>
          </cell>
          <cell r="K12">
            <v>9.1</v>
          </cell>
          <cell r="M12">
            <v>0.2</v>
          </cell>
          <cell r="O12" t="str">
            <v>12:15</v>
          </cell>
          <cell r="P12" t="str">
            <v>23:22</v>
          </cell>
          <cell r="Q12">
            <v>0</v>
          </cell>
          <cell r="R12">
            <v>0</v>
          </cell>
          <cell r="S12">
            <v>5</v>
          </cell>
        </row>
        <row r="13">
          <cell r="B13" t="str">
            <v>0</v>
          </cell>
          <cell r="C13" t="str">
            <v>07</v>
          </cell>
          <cell r="D13" t="str">
            <v>SERIE</v>
          </cell>
          <cell r="E13" t="str">
            <v>EL VISITANTE</v>
          </cell>
          <cell r="F13">
            <v>4.7</v>
          </cell>
          <cell r="G13">
            <v>67399</v>
          </cell>
          <cell r="I13">
            <v>4.7</v>
          </cell>
          <cell r="O13" t="str">
            <v>23:20</v>
          </cell>
          <cell r="P13" t="str">
            <v>00:34</v>
          </cell>
          <cell r="Q13">
            <v>0</v>
          </cell>
          <cell r="R13">
            <v>0</v>
          </cell>
          <cell r="S13">
            <v>4</v>
          </cell>
        </row>
        <row r="14">
          <cell r="B14" t="str">
            <v>0</v>
          </cell>
          <cell r="C14" t="str">
            <v>07</v>
          </cell>
          <cell r="D14" t="str">
            <v>SERIE</v>
          </cell>
          <cell r="E14" t="str">
            <v>LOS ARCHIVOS SECRETOS X</v>
          </cell>
          <cell r="F14">
            <v>4.5</v>
          </cell>
          <cell r="G14">
            <v>64805</v>
          </cell>
          <cell r="K14">
            <v>4.5</v>
          </cell>
          <cell r="O14" t="str">
            <v>23:06</v>
          </cell>
          <cell r="P14" t="str">
            <v>00:25</v>
          </cell>
          <cell r="Q14">
            <v>0</v>
          </cell>
          <cell r="R14">
            <v>0</v>
          </cell>
          <cell r="S14">
            <v>4</v>
          </cell>
        </row>
        <row r="15">
          <cell r="B15" t="str">
            <v>0</v>
          </cell>
          <cell r="C15" t="str">
            <v>07</v>
          </cell>
          <cell r="D15" t="str">
            <v>TELENOVELA</v>
          </cell>
          <cell r="E15" t="str">
            <v>CAFE CON AROMA DE MUJER</v>
          </cell>
          <cell r="F15">
            <v>4.3</v>
          </cell>
          <cell r="G15">
            <v>61320</v>
          </cell>
          <cell r="H15">
            <v>5.0999999999999996</v>
          </cell>
          <cell r="I15">
            <v>5.4</v>
          </cell>
          <cell r="J15">
            <v>5.0999999999999996</v>
          </cell>
          <cell r="K15">
            <v>1.6</v>
          </cell>
          <cell r="O15" t="str">
            <v>14:46</v>
          </cell>
          <cell r="P15" t="str">
            <v>16:41</v>
          </cell>
          <cell r="Q15">
            <v>0</v>
          </cell>
          <cell r="R15">
            <v>0</v>
          </cell>
          <cell r="S15">
            <v>4</v>
          </cell>
        </row>
        <row r="16">
          <cell r="B16" t="str">
            <v>0</v>
          </cell>
          <cell r="C16" t="str">
            <v>07</v>
          </cell>
          <cell r="D16" t="str">
            <v>P_ESPECIAL</v>
          </cell>
          <cell r="E16" t="str">
            <v>ESPECIAL JAMBOREE</v>
          </cell>
          <cell r="F16">
            <v>4.2</v>
          </cell>
          <cell r="G16">
            <v>59540</v>
          </cell>
          <cell r="H16">
            <v>4.2</v>
          </cell>
          <cell r="O16" t="str">
            <v>22:03</v>
          </cell>
          <cell r="P16" t="str">
            <v>00:05</v>
          </cell>
          <cell r="Q16">
            <v>0</v>
          </cell>
          <cell r="R16">
            <v>0</v>
          </cell>
          <cell r="S16">
            <v>1</v>
          </cell>
        </row>
        <row r="17">
          <cell r="B17" t="str">
            <v>0</v>
          </cell>
          <cell r="C17" t="str">
            <v>07</v>
          </cell>
          <cell r="D17" t="str">
            <v>TELENOVELA</v>
          </cell>
          <cell r="E17" t="str">
            <v>BORRON Y CUENTA NUEVA (R)</v>
          </cell>
          <cell r="F17">
            <v>4.0999999999999996</v>
          </cell>
          <cell r="G17">
            <v>59271</v>
          </cell>
          <cell r="K17">
            <v>4.0999999999999996</v>
          </cell>
          <cell r="O17" t="str">
            <v>19:19</v>
          </cell>
          <cell r="P17" t="str">
            <v>20:57</v>
          </cell>
          <cell r="Q17">
            <v>0</v>
          </cell>
          <cell r="R17">
            <v>0</v>
          </cell>
          <cell r="S17">
            <v>1</v>
          </cell>
        </row>
        <row r="18">
          <cell r="B18" t="str">
            <v>0</v>
          </cell>
          <cell r="C18" t="str">
            <v>07</v>
          </cell>
          <cell r="D18" t="str">
            <v>SERIE</v>
          </cell>
          <cell r="E18" t="str">
            <v>BUFFY LA CAZA VAMPIROS</v>
          </cell>
          <cell r="F18">
            <v>4</v>
          </cell>
          <cell r="G18">
            <v>57528</v>
          </cell>
          <cell r="M18">
            <v>4</v>
          </cell>
          <cell r="O18" t="str">
            <v>21:55</v>
          </cell>
          <cell r="P18" t="str">
            <v>23:15</v>
          </cell>
          <cell r="Q18">
            <v>0</v>
          </cell>
          <cell r="R18">
            <v>0</v>
          </cell>
          <cell r="S18">
            <v>4</v>
          </cell>
        </row>
        <row r="19">
          <cell r="B19" t="str">
            <v>0</v>
          </cell>
          <cell r="C19" t="str">
            <v>07</v>
          </cell>
          <cell r="D19" t="str">
            <v>INFORMATIVO</v>
          </cell>
          <cell r="E19" t="str">
            <v>MEDIA NOCHE</v>
          </cell>
          <cell r="F19">
            <v>4</v>
          </cell>
          <cell r="G19">
            <v>57421</v>
          </cell>
          <cell r="H19">
            <v>3.8</v>
          </cell>
          <cell r="I19">
            <v>4.7</v>
          </cell>
          <cell r="J19">
            <v>5.8</v>
          </cell>
          <cell r="K19">
            <v>4.4000000000000004</v>
          </cell>
          <cell r="L19">
            <v>3.5</v>
          </cell>
          <cell r="M19">
            <v>1.8</v>
          </cell>
          <cell r="O19" t="str">
            <v>23:42</v>
          </cell>
          <cell r="P19" t="str">
            <v>01:45</v>
          </cell>
          <cell r="Q19">
            <v>0</v>
          </cell>
          <cell r="R19">
            <v>0</v>
          </cell>
          <cell r="S19">
            <v>28</v>
          </cell>
        </row>
        <row r="20">
          <cell r="B20" t="str">
            <v>0</v>
          </cell>
          <cell r="C20" t="str">
            <v>07</v>
          </cell>
          <cell r="D20" t="str">
            <v>TELENOVELA</v>
          </cell>
          <cell r="E20" t="str">
            <v>ESTUPIDO CUPIDO</v>
          </cell>
          <cell r="F20">
            <v>3.6</v>
          </cell>
          <cell r="G20">
            <v>51805</v>
          </cell>
          <cell r="H20">
            <v>4.2</v>
          </cell>
          <cell r="I20">
            <v>3.9</v>
          </cell>
          <cell r="J20">
            <v>4</v>
          </cell>
          <cell r="K20">
            <v>3.8</v>
          </cell>
          <cell r="L20">
            <v>4</v>
          </cell>
          <cell r="M20">
            <v>2.2999999999999998</v>
          </cell>
          <cell r="N20">
            <v>3.2</v>
          </cell>
          <cell r="O20" t="str">
            <v>18:50</v>
          </cell>
          <cell r="P20" t="str">
            <v>20:59</v>
          </cell>
          <cell r="Q20">
            <v>0</v>
          </cell>
          <cell r="R20">
            <v>0</v>
          </cell>
          <cell r="S20">
            <v>22</v>
          </cell>
        </row>
        <row r="21">
          <cell r="B21" t="str">
            <v>0</v>
          </cell>
          <cell r="C21" t="str">
            <v>07</v>
          </cell>
          <cell r="D21" t="str">
            <v>MISCELANEO</v>
          </cell>
          <cell r="E21" t="str">
            <v>BUENOS DIAS A TODOS (A)</v>
          </cell>
          <cell r="F21">
            <v>3.6</v>
          </cell>
          <cell r="G21">
            <v>51845</v>
          </cell>
          <cell r="H21">
            <v>3.4</v>
          </cell>
          <cell r="I21">
            <v>3.6</v>
          </cell>
          <cell r="J21">
            <v>3.9</v>
          </cell>
          <cell r="K21">
            <v>3.8</v>
          </cell>
          <cell r="L21">
            <v>3.5</v>
          </cell>
          <cell r="O21" t="str">
            <v>07:59</v>
          </cell>
          <cell r="P21" t="str">
            <v>08:59</v>
          </cell>
          <cell r="Q21">
            <v>0</v>
          </cell>
          <cell r="R21">
            <v>0</v>
          </cell>
          <cell r="S21">
            <v>24</v>
          </cell>
        </row>
        <row r="22">
          <cell r="B22" t="str">
            <v>0</v>
          </cell>
          <cell r="C22" t="str">
            <v>09</v>
          </cell>
          <cell r="D22" t="str">
            <v>HUMOR</v>
          </cell>
          <cell r="E22" t="str">
            <v>JAPPENING CON JA</v>
          </cell>
          <cell r="F22">
            <v>8.8000000000000007</v>
          </cell>
          <cell r="G22">
            <v>126479</v>
          </cell>
          <cell r="I22">
            <v>8.8000000000000007</v>
          </cell>
          <cell r="O22" t="str">
            <v>22:03</v>
          </cell>
          <cell r="P22" t="str">
            <v>23:47</v>
          </cell>
          <cell r="Q22">
            <v>0</v>
          </cell>
          <cell r="R22">
            <v>0</v>
          </cell>
          <cell r="S22">
            <v>1</v>
          </cell>
        </row>
        <row r="23">
          <cell r="B23" t="str">
            <v>0</v>
          </cell>
          <cell r="C23" t="str">
            <v>09</v>
          </cell>
          <cell r="D23" t="str">
            <v>TELENOVELA</v>
          </cell>
          <cell r="E23" t="str">
            <v>LA USURPADORA</v>
          </cell>
          <cell r="F23">
            <v>7</v>
          </cell>
          <cell r="G23">
            <v>99716</v>
          </cell>
          <cell r="H23">
            <v>7.3</v>
          </cell>
          <cell r="I23">
            <v>7.2</v>
          </cell>
          <cell r="J23">
            <v>5.9</v>
          </cell>
          <cell r="K23">
            <v>7.6</v>
          </cell>
          <cell r="O23" t="str">
            <v>14:42</v>
          </cell>
          <cell r="P23" t="str">
            <v>15:44</v>
          </cell>
          <cell r="Q23">
            <v>0</v>
          </cell>
          <cell r="R23">
            <v>0</v>
          </cell>
          <cell r="S23">
            <v>4</v>
          </cell>
        </row>
        <row r="24">
          <cell r="B24" t="str">
            <v>0</v>
          </cell>
          <cell r="C24" t="str">
            <v>09</v>
          </cell>
          <cell r="D24" t="str">
            <v>TELENOVELA</v>
          </cell>
          <cell r="E24" t="str">
            <v>LA USURPADORA (R)</v>
          </cell>
          <cell r="F24">
            <v>6.2</v>
          </cell>
          <cell r="G24">
            <v>88471</v>
          </cell>
          <cell r="L24">
            <v>6.2</v>
          </cell>
          <cell r="O24" t="str">
            <v>14:46</v>
          </cell>
          <cell r="P24" t="str">
            <v>17:03</v>
          </cell>
          <cell r="Q24">
            <v>0</v>
          </cell>
          <cell r="R24">
            <v>0</v>
          </cell>
          <cell r="S24">
            <v>1</v>
          </cell>
        </row>
        <row r="25">
          <cell r="B25" t="str">
            <v>0</v>
          </cell>
          <cell r="C25" t="str">
            <v>09</v>
          </cell>
          <cell r="D25" t="str">
            <v>CONCURSO</v>
          </cell>
          <cell r="E25" t="str">
            <v>VIDEOS Y PENITENCIA</v>
          </cell>
          <cell r="F25">
            <v>5.6</v>
          </cell>
          <cell r="G25">
            <v>80691</v>
          </cell>
          <cell r="J25">
            <v>5.6</v>
          </cell>
          <cell r="O25" t="str">
            <v>22:02</v>
          </cell>
          <cell r="P25" t="str">
            <v>00:04</v>
          </cell>
          <cell r="Q25">
            <v>0</v>
          </cell>
          <cell r="R25">
            <v>0</v>
          </cell>
          <cell r="S25">
            <v>3</v>
          </cell>
        </row>
        <row r="26">
          <cell r="B26" t="str">
            <v>0</v>
          </cell>
          <cell r="C26" t="str">
            <v>09</v>
          </cell>
          <cell r="D26" t="str">
            <v>TELENOVELA</v>
          </cell>
          <cell r="E26" t="str">
            <v>ALGUNA VEZ TENDREMOS ALAS</v>
          </cell>
          <cell r="F26">
            <v>4.8</v>
          </cell>
          <cell r="G26">
            <v>68613</v>
          </cell>
          <cell r="H26">
            <v>5.9</v>
          </cell>
          <cell r="I26">
            <v>4.8</v>
          </cell>
          <cell r="J26">
            <v>4.5999999999999996</v>
          </cell>
          <cell r="K26">
            <v>5.6</v>
          </cell>
          <cell r="L26">
            <v>3.1</v>
          </cell>
          <cell r="O26" t="str">
            <v>13:58</v>
          </cell>
          <cell r="P26" t="str">
            <v>14:59</v>
          </cell>
          <cell r="Q26">
            <v>0</v>
          </cell>
          <cell r="R26">
            <v>0</v>
          </cell>
          <cell r="S26">
            <v>14</v>
          </cell>
        </row>
        <row r="27">
          <cell r="B27" t="str">
            <v>0</v>
          </cell>
          <cell r="C27" t="str">
            <v>09</v>
          </cell>
          <cell r="D27" t="str">
            <v>TELENOVELA</v>
          </cell>
          <cell r="E27" t="str">
            <v>ALGUNA VEZ TENDREMOS ALAS (R)</v>
          </cell>
          <cell r="F27">
            <v>4.0999999999999996</v>
          </cell>
          <cell r="G27">
            <v>59159</v>
          </cell>
          <cell r="L27">
            <v>4.0999999999999996</v>
          </cell>
          <cell r="O27" t="str">
            <v>14:02</v>
          </cell>
          <cell r="P27" t="str">
            <v>14:46</v>
          </cell>
          <cell r="Q27">
            <v>0</v>
          </cell>
          <cell r="R27">
            <v>0</v>
          </cell>
          <cell r="S27">
            <v>1</v>
          </cell>
        </row>
        <row r="28">
          <cell r="B28" t="str">
            <v>0</v>
          </cell>
          <cell r="C28" t="str">
            <v>09</v>
          </cell>
          <cell r="D28" t="str">
            <v>PELICULA</v>
          </cell>
          <cell r="E28" t="str">
            <v>GRANDES ESTRENOS</v>
          </cell>
          <cell r="F28">
            <v>3.9</v>
          </cell>
          <cell r="G28">
            <v>55165</v>
          </cell>
          <cell r="N28">
            <v>3.9</v>
          </cell>
          <cell r="O28" t="str">
            <v>21:56</v>
          </cell>
          <cell r="P28" t="str">
            <v>23:55</v>
          </cell>
          <cell r="Q28">
            <v>0</v>
          </cell>
          <cell r="R28">
            <v>0</v>
          </cell>
          <cell r="S28">
            <v>5</v>
          </cell>
        </row>
        <row r="29">
          <cell r="B29" t="str">
            <v>0</v>
          </cell>
          <cell r="C29" t="str">
            <v>09</v>
          </cell>
          <cell r="D29" t="str">
            <v>MISCELANEO</v>
          </cell>
          <cell r="E29" t="str">
            <v>BUENAS TARDES ELI</v>
          </cell>
          <cell r="F29">
            <v>3.8</v>
          </cell>
          <cell r="G29">
            <v>54508</v>
          </cell>
          <cell r="H29">
            <v>3.8</v>
          </cell>
          <cell r="I29">
            <v>3.2</v>
          </cell>
          <cell r="J29">
            <v>4.3</v>
          </cell>
          <cell r="K29">
            <v>4</v>
          </cell>
          <cell r="O29" t="str">
            <v>15:44</v>
          </cell>
          <cell r="P29" t="str">
            <v>17:08</v>
          </cell>
          <cell r="Q29">
            <v>0</v>
          </cell>
          <cell r="R29">
            <v>0</v>
          </cell>
          <cell r="S29">
            <v>4</v>
          </cell>
        </row>
        <row r="30">
          <cell r="B30" t="str">
            <v>0</v>
          </cell>
          <cell r="C30" t="str">
            <v>09</v>
          </cell>
          <cell r="D30" t="str">
            <v>NOTICIERO</v>
          </cell>
          <cell r="E30" t="str">
            <v>MEGANOTICIAS</v>
          </cell>
          <cell r="F30">
            <v>3.5</v>
          </cell>
          <cell r="G30">
            <v>50394</v>
          </cell>
          <cell r="H30">
            <v>3.2</v>
          </cell>
          <cell r="I30">
            <v>3.7</v>
          </cell>
          <cell r="J30">
            <v>3.6</v>
          </cell>
          <cell r="K30">
            <v>3.9</v>
          </cell>
          <cell r="L30">
            <v>3.3</v>
          </cell>
          <cell r="O30" t="str">
            <v>20:58</v>
          </cell>
          <cell r="P30" t="str">
            <v>22:10</v>
          </cell>
          <cell r="Q30">
            <v>0</v>
          </cell>
          <cell r="R30">
            <v>0</v>
          </cell>
          <cell r="S30">
            <v>25</v>
          </cell>
        </row>
        <row r="31">
          <cell r="B31" t="str">
            <v>0</v>
          </cell>
          <cell r="C31" t="str">
            <v>09</v>
          </cell>
          <cell r="D31" t="str">
            <v>NOTICIERO</v>
          </cell>
          <cell r="E31" t="str">
            <v>MEGANOTICIAS HORA CERO</v>
          </cell>
          <cell r="F31">
            <v>3.3</v>
          </cell>
          <cell r="G31">
            <v>47539</v>
          </cell>
          <cell r="H31">
            <v>2.9</v>
          </cell>
          <cell r="I31">
            <v>3.8</v>
          </cell>
          <cell r="J31">
            <v>4.3</v>
          </cell>
          <cell r="K31">
            <v>2.5</v>
          </cell>
          <cell r="L31">
            <v>3.2</v>
          </cell>
          <cell r="O31" t="str">
            <v>23:57</v>
          </cell>
          <cell r="P31" t="str">
            <v>00:23</v>
          </cell>
          <cell r="Q31">
            <v>0</v>
          </cell>
          <cell r="R31">
            <v>0</v>
          </cell>
          <cell r="S31">
            <v>23</v>
          </cell>
        </row>
        <row r="32">
          <cell r="B32" t="str">
            <v>0</v>
          </cell>
          <cell r="C32" t="str">
            <v>09</v>
          </cell>
          <cell r="D32" t="str">
            <v>INFORMATIVO</v>
          </cell>
          <cell r="E32" t="str">
            <v>EL TIEMPO (R)</v>
          </cell>
          <cell r="F32">
            <v>3.2</v>
          </cell>
          <cell r="G32">
            <v>45632</v>
          </cell>
          <cell r="H32">
            <v>2.9</v>
          </cell>
          <cell r="I32">
            <v>2.9</v>
          </cell>
          <cell r="J32">
            <v>3.6</v>
          </cell>
          <cell r="K32">
            <v>3.2</v>
          </cell>
          <cell r="L32">
            <v>3.3</v>
          </cell>
          <cell r="O32" t="str">
            <v>00:08</v>
          </cell>
          <cell r="P32" t="str">
            <v>00:26</v>
          </cell>
          <cell r="Q32">
            <v>0</v>
          </cell>
          <cell r="R32">
            <v>0</v>
          </cell>
          <cell r="S32">
            <v>22</v>
          </cell>
        </row>
        <row r="33">
          <cell r="B33" t="str">
            <v>0</v>
          </cell>
          <cell r="C33" t="str">
            <v>09</v>
          </cell>
          <cell r="D33" t="str">
            <v>PELICULA</v>
          </cell>
          <cell r="E33" t="str">
            <v>HECHOS DE LA VIDA REAL</v>
          </cell>
          <cell r="F33">
            <v>3.1</v>
          </cell>
          <cell r="G33">
            <v>44407</v>
          </cell>
          <cell r="I33">
            <v>3.1</v>
          </cell>
          <cell r="O33" t="str">
            <v>22:02</v>
          </cell>
          <cell r="P33" t="str">
            <v>00:52</v>
          </cell>
          <cell r="Q33">
            <v>0</v>
          </cell>
          <cell r="R33">
            <v>0</v>
          </cell>
          <cell r="S33">
            <v>4</v>
          </cell>
        </row>
        <row r="34">
          <cell r="B34" t="str">
            <v>0</v>
          </cell>
          <cell r="C34" t="str">
            <v>09</v>
          </cell>
          <cell r="D34" t="str">
            <v>SERIE</v>
          </cell>
          <cell r="E34" t="str">
            <v>MILAGROS</v>
          </cell>
          <cell r="F34">
            <v>3.1</v>
          </cell>
          <cell r="G34">
            <v>43595</v>
          </cell>
          <cell r="H34">
            <v>3.1</v>
          </cell>
          <cell r="O34" t="str">
            <v>22:02</v>
          </cell>
          <cell r="P34" t="str">
            <v>23:02</v>
          </cell>
          <cell r="Q34">
            <v>0</v>
          </cell>
          <cell r="R34">
            <v>0</v>
          </cell>
          <cell r="S34">
            <v>4</v>
          </cell>
        </row>
        <row r="35">
          <cell r="B35" t="str">
            <v>0</v>
          </cell>
          <cell r="C35" t="str">
            <v>09</v>
          </cell>
          <cell r="D35" t="str">
            <v>TELENOVELA</v>
          </cell>
          <cell r="E35" t="str">
            <v>MARIA MERCEDES</v>
          </cell>
          <cell r="F35">
            <v>3</v>
          </cell>
          <cell r="G35">
            <v>43052</v>
          </cell>
          <cell r="H35">
            <v>3.1</v>
          </cell>
          <cell r="I35">
            <v>3.1</v>
          </cell>
          <cell r="J35">
            <v>3.1</v>
          </cell>
          <cell r="K35">
            <v>3</v>
          </cell>
          <cell r="L35">
            <v>2.8</v>
          </cell>
          <cell r="O35" t="str">
            <v>19:48</v>
          </cell>
          <cell r="P35" t="str">
            <v>20:59</v>
          </cell>
          <cell r="Q35">
            <v>0</v>
          </cell>
          <cell r="R35">
            <v>0</v>
          </cell>
          <cell r="S35">
            <v>25</v>
          </cell>
        </row>
        <row r="36">
          <cell r="B36" t="str">
            <v>0</v>
          </cell>
          <cell r="C36" t="str">
            <v>09</v>
          </cell>
          <cell r="D36" t="str">
            <v>D_ANIMADOS</v>
          </cell>
          <cell r="E36" t="str">
            <v>CONFIDENTE DE SECUNDARIA</v>
          </cell>
          <cell r="F36">
            <v>2.9</v>
          </cell>
          <cell r="G36">
            <v>41554</v>
          </cell>
          <cell r="H36">
            <v>3</v>
          </cell>
          <cell r="I36">
            <v>2.4</v>
          </cell>
          <cell r="J36">
            <v>2.7</v>
          </cell>
          <cell r="K36">
            <v>3.3</v>
          </cell>
          <cell r="L36">
            <v>3.1</v>
          </cell>
          <cell r="O36" t="str">
            <v>14:47</v>
          </cell>
          <cell r="P36" t="str">
            <v>16:43</v>
          </cell>
          <cell r="Q36">
            <v>0</v>
          </cell>
          <cell r="R36">
            <v>0</v>
          </cell>
          <cell r="S36">
            <v>20</v>
          </cell>
        </row>
        <row r="37">
          <cell r="B37" t="str">
            <v>0</v>
          </cell>
          <cell r="C37" t="str">
            <v>09</v>
          </cell>
          <cell r="D37" t="str">
            <v>PELICULA</v>
          </cell>
          <cell r="E37" t="str">
            <v>AVANT PREMIER</v>
          </cell>
          <cell r="F37">
            <v>2.9</v>
          </cell>
          <cell r="G37">
            <v>41162</v>
          </cell>
          <cell r="L37">
            <v>2.9</v>
          </cell>
          <cell r="O37" t="str">
            <v>21:58</v>
          </cell>
          <cell r="P37" t="str">
            <v>23:58</v>
          </cell>
          <cell r="Q37">
            <v>0</v>
          </cell>
          <cell r="R37">
            <v>0</v>
          </cell>
          <cell r="S37">
            <v>5</v>
          </cell>
        </row>
        <row r="38">
          <cell r="B38" t="str">
            <v>0</v>
          </cell>
          <cell r="C38" t="str">
            <v>09</v>
          </cell>
          <cell r="D38" t="str">
            <v>NOTICIERO</v>
          </cell>
          <cell r="E38" t="str">
            <v>MEGANOTICIAS SINTESIS DOMINGO</v>
          </cell>
          <cell r="F38">
            <v>2.9</v>
          </cell>
          <cell r="G38">
            <v>40972</v>
          </cell>
          <cell r="N38">
            <v>2.9</v>
          </cell>
          <cell r="O38" t="str">
            <v>20:57</v>
          </cell>
          <cell r="P38" t="str">
            <v>21:52</v>
          </cell>
          <cell r="Q38">
            <v>0</v>
          </cell>
          <cell r="R38">
            <v>0</v>
          </cell>
          <cell r="S38">
            <v>5</v>
          </cell>
        </row>
        <row r="39">
          <cell r="B39" t="str">
            <v>0</v>
          </cell>
          <cell r="C39" t="str">
            <v>09</v>
          </cell>
          <cell r="D39" t="str">
            <v>SERIE</v>
          </cell>
          <cell r="E39" t="str">
            <v>GUANTES DE SEDA</v>
          </cell>
          <cell r="F39">
            <v>2.8</v>
          </cell>
          <cell r="G39">
            <v>39943</v>
          </cell>
          <cell r="H39">
            <v>3.7</v>
          </cell>
          <cell r="I39">
            <v>4.2</v>
          </cell>
          <cell r="J39">
            <v>3.5</v>
          </cell>
          <cell r="K39">
            <v>0.8</v>
          </cell>
          <cell r="L39">
            <v>1.9</v>
          </cell>
          <cell r="O39" t="str">
            <v>23:08</v>
          </cell>
          <cell r="P39" t="str">
            <v>01:28</v>
          </cell>
          <cell r="Q39">
            <v>0</v>
          </cell>
          <cell r="R39">
            <v>0</v>
          </cell>
          <cell r="S39">
            <v>5</v>
          </cell>
        </row>
        <row r="40">
          <cell r="B40" t="str">
            <v>0</v>
          </cell>
          <cell r="C40" t="str">
            <v>09</v>
          </cell>
          <cell r="D40" t="str">
            <v>INFORMATIVO</v>
          </cell>
          <cell r="E40" t="str">
            <v>EL TIEMPO</v>
          </cell>
          <cell r="F40">
            <v>2.6</v>
          </cell>
          <cell r="G40">
            <v>36983</v>
          </cell>
          <cell r="H40">
            <v>2.7</v>
          </cell>
          <cell r="I40">
            <v>2.1</v>
          </cell>
          <cell r="J40">
            <v>3</v>
          </cell>
          <cell r="K40">
            <v>3</v>
          </cell>
          <cell r="L40">
            <v>2.5</v>
          </cell>
          <cell r="M40">
            <v>1.6</v>
          </cell>
          <cell r="N40">
            <v>3.1</v>
          </cell>
          <cell r="O40" t="str">
            <v>21:50</v>
          </cell>
          <cell r="P40" t="str">
            <v>22:15</v>
          </cell>
          <cell r="Q40">
            <v>0</v>
          </cell>
          <cell r="R40">
            <v>0</v>
          </cell>
          <cell r="S40">
            <v>35</v>
          </cell>
        </row>
        <row r="41">
          <cell r="B41" t="str">
            <v>0</v>
          </cell>
          <cell r="C41" t="str">
            <v>09</v>
          </cell>
          <cell r="D41" t="str">
            <v>TELENOVELA</v>
          </cell>
          <cell r="E41" t="str">
            <v>SIN TI</v>
          </cell>
          <cell r="F41">
            <v>2.6</v>
          </cell>
          <cell r="G41">
            <v>36652</v>
          </cell>
          <cell r="H41">
            <v>2.4</v>
          </cell>
          <cell r="I41">
            <v>2</v>
          </cell>
          <cell r="J41">
            <v>2.2000000000000002</v>
          </cell>
          <cell r="K41">
            <v>3.7</v>
          </cell>
          <cell r="L41">
            <v>2.5</v>
          </cell>
          <cell r="O41" t="str">
            <v>14:00</v>
          </cell>
          <cell r="P41" t="str">
            <v>14:58</v>
          </cell>
          <cell r="Q41">
            <v>0</v>
          </cell>
          <cell r="R41">
            <v>0</v>
          </cell>
          <cell r="S41">
            <v>10</v>
          </cell>
        </row>
        <row r="42">
          <cell r="B42" t="str">
            <v>0</v>
          </cell>
          <cell r="C42" t="str">
            <v>11</v>
          </cell>
          <cell r="D42" t="str">
            <v>CONVERSACION</v>
          </cell>
          <cell r="E42" t="str">
            <v>DE AQUI NO SALE</v>
          </cell>
          <cell r="F42">
            <v>5.8</v>
          </cell>
          <cell r="G42">
            <v>83146</v>
          </cell>
          <cell r="J42">
            <v>5.8</v>
          </cell>
          <cell r="O42" t="str">
            <v>22:03</v>
          </cell>
          <cell r="P42" t="str">
            <v>00:22</v>
          </cell>
          <cell r="Q42">
            <v>0</v>
          </cell>
          <cell r="R42">
            <v>0</v>
          </cell>
          <cell r="S42">
            <v>4</v>
          </cell>
        </row>
        <row r="43">
          <cell r="B43" t="str">
            <v>0</v>
          </cell>
          <cell r="C43" t="str">
            <v>11</v>
          </cell>
          <cell r="D43" t="str">
            <v>SERIE</v>
          </cell>
          <cell r="E43" t="str">
            <v>MILLENIUM</v>
          </cell>
          <cell r="F43">
            <v>4.3</v>
          </cell>
          <cell r="G43">
            <v>62087</v>
          </cell>
          <cell r="L43">
            <v>4.3</v>
          </cell>
          <cell r="O43" t="str">
            <v>23:51</v>
          </cell>
          <cell r="P43" t="str">
            <v>00:39</v>
          </cell>
          <cell r="Q43">
            <v>0</v>
          </cell>
          <cell r="R43">
            <v>0</v>
          </cell>
          <cell r="S43">
            <v>1</v>
          </cell>
        </row>
        <row r="44">
          <cell r="B44" t="str">
            <v>0</v>
          </cell>
          <cell r="C44" t="str">
            <v>11</v>
          </cell>
          <cell r="D44" t="str">
            <v>PELICULA</v>
          </cell>
          <cell r="E44" t="str">
            <v>CINE ACCION</v>
          </cell>
          <cell r="F44">
            <v>3.9</v>
          </cell>
          <cell r="G44">
            <v>55085</v>
          </cell>
          <cell r="L44">
            <v>3.9</v>
          </cell>
          <cell r="O44" t="str">
            <v>22:13</v>
          </cell>
          <cell r="P44" t="str">
            <v>23:50</v>
          </cell>
          <cell r="Q44">
            <v>0</v>
          </cell>
          <cell r="R44">
            <v>0</v>
          </cell>
          <cell r="S44">
            <v>1</v>
          </cell>
        </row>
        <row r="45">
          <cell r="B45" t="str">
            <v>0</v>
          </cell>
          <cell r="C45" t="str">
            <v>11</v>
          </cell>
          <cell r="D45" t="str">
            <v>SERIE</v>
          </cell>
          <cell r="E45" t="str">
            <v>DE ANGELES Y MISTERIOS</v>
          </cell>
          <cell r="F45">
            <v>3</v>
          </cell>
          <cell r="G45">
            <v>42229</v>
          </cell>
          <cell r="L45">
            <v>3</v>
          </cell>
          <cell r="O45" t="str">
            <v>21:59</v>
          </cell>
          <cell r="P45" t="str">
            <v>23:11</v>
          </cell>
          <cell r="Q45">
            <v>0</v>
          </cell>
          <cell r="R45">
            <v>0</v>
          </cell>
          <cell r="S45">
            <v>4</v>
          </cell>
        </row>
        <row r="46">
          <cell r="B46" t="str">
            <v>0</v>
          </cell>
          <cell r="C46" t="str">
            <v>11</v>
          </cell>
          <cell r="D46" t="str">
            <v>PELICULA</v>
          </cell>
          <cell r="E46" t="str">
            <v>CINE AVENTURA</v>
          </cell>
          <cell r="F46">
            <v>3</v>
          </cell>
          <cell r="G46">
            <v>42208</v>
          </cell>
          <cell r="M46">
            <v>3</v>
          </cell>
          <cell r="O46" t="str">
            <v>16:10</v>
          </cell>
          <cell r="P46" t="str">
            <v>17:53</v>
          </cell>
          <cell r="Q46">
            <v>0</v>
          </cell>
          <cell r="R46">
            <v>0</v>
          </cell>
          <cell r="S46">
            <v>1</v>
          </cell>
        </row>
        <row r="47">
          <cell r="B47" t="str">
            <v>0</v>
          </cell>
          <cell r="C47" t="str">
            <v>11</v>
          </cell>
          <cell r="D47" t="str">
            <v>HUMOR</v>
          </cell>
          <cell r="E47" t="str">
            <v>TV CONDORO NIGHTS</v>
          </cell>
          <cell r="F47">
            <v>3</v>
          </cell>
          <cell r="G47">
            <v>42999</v>
          </cell>
          <cell r="H47">
            <v>3</v>
          </cell>
          <cell r="O47" t="str">
            <v>22:01</v>
          </cell>
          <cell r="P47" t="str">
            <v>23:09</v>
          </cell>
          <cell r="Q47">
            <v>0</v>
          </cell>
          <cell r="R47">
            <v>0</v>
          </cell>
          <cell r="S47">
            <v>5</v>
          </cell>
        </row>
        <row r="48">
          <cell r="B48" t="str">
            <v>0</v>
          </cell>
          <cell r="C48" t="str">
            <v>11</v>
          </cell>
          <cell r="D48" t="str">
            <v>PELICULA</v>
          </cell>
          <cell r="E48" t="str">
            <v>CINE DE TRASNOCHE</v>
          </cell>
          <cell r="F48">
            <v>2.9</v>
          </cell>
          <cell r="G48">
            <v>42069</v>
          </cell>
          <cell r="N48">
            <v>2.9</v>
          </cell>
          <cell r="O48" t="str">
            <v>00:11</v>
          </cell>
          <cell r="P48" t="str">
            <v>01:45</v>
          </cell>
          <cell r="Q48">
            <v>0</v>
          </cell>
          <cell r="R48">
            <v>0</v>
          </cell>
          <cell r="S48">
            <v>1</v>
          </cell>
        </row>
        <row r="49">
          <cell r="B49" t="str">
            <v>0</v>
          </cell>
          <cell r="C49" t="str">
            <v>11</v>
          </cell>
          <cell r="D49" t="str">
            <v>REPORTAJE</v>
          </cell>
          <cell r="E49" t="str">
            <v>LAS VUELTAS DE LA VIDA</v>
          </cell>
          <cell r="F49">
            <v>2.8</v>
          </cell>
          <cell r="G49">
            <v>40155</v>
          </cell>
          <cell r="L49">
            <v>2.8</v>
          </cell>
          <cell r="O49" t="str">
            <v>23:09</v>
          </cell>
          <cell r="P49" t="str">
            <v>00:14</v>
          </cell>
          <cell r="Q49">
            <v>0</v>
          </cell>
          <cell r="R49">
            <v>0</v>
          </cell>
          <cell r="S49">
            <v>4</v>
          </cell>
        </row>
        <row r="50">
          <cell r="B50" t="str">
            <v>0</v>
          </cell>
          <cell r="C50" t="str">
            <v>11</v>
          </cell>
          <cell r="D50" t="str">
            <v>POLITICO</v>
          </cell>
          <cell r="E50" t="str">
            <v>A PROPOSITO</v>
          </cell>
          <cell r="F50">
            <v>2.6</v>
          </cell>
          <cell r="G50">
            <v>37456</v>
          </cell>
          <cell r="N50">
            <v>2.6</v>
          </cell>
          <cell r="O50" t="str">
            <v>22:05</v>
          </cell>
          <cell r="P50" t="str">
            <v>23:14</v>
          </cell>
          <cell r="Q50">
            <v>0</v>
          </cell>
          <cell r="R50">
            <v>0</v>
          </cell>
          <cell r="S50">
            <v>1</v>
          </cell>
        </row>
        <row r="51">
          <cell r="B51" t="str">
            <v>0</v>
          </cell>
          <cell r="C51" t="str">
            <v>11</v>
          </cell>
          <cell r="D51" t="str">
            <v>JUVENIL</v>
          </cell>
          <cell r="E51" t="str">
            <v>LUNATICOS</v>
          </cell>
          <cell r="F51">
            <v>2.5</v>
          </cell>
          <cell r="G51">
            <v>36000</v>
          </cell>
          <cell r="M51">
            <v>2.5</v>
          </cell>
          <cell r="O51" t="str">
            <v>23:41</v>
          </cell>
          <cell r="P51" t="str">
            <v>01:37</v>
          </cell>
          <cell r="Q51">
            <v>0</v>
          </cell>
          <cell r="R51">
            <v>0</v>
          </cell>
          <cell r="S51">
            <v>5</v>
          </cell>
        </row>
        <row r="52">
          <cell r="B52" t="str">
            <v>0</v>
          </cell>
          <cell r="C52" t="str">
            <v>11</v>
          </cell>
          <cell r="D52" t="str">
            <v>SERIE</v>
          </cell>
          <cell r="E52" t="str">
            <v>LAS FACETAS DEL AMOR</v>
          </cell>
          <cell r="F52">
            <v>2.5</v>
          </cell>
          <cell r="G52">
            <v>35990</v>
          </cell>
          <cell r="I52">
            <v>2.5</v>
          </cell>
          <cell r="O52" t="str">
            <v>22:03</v>
          </cell>
          <cell r="P52" t="str">
            <v>23:43</v>
          </cell>
          <cell r="Q52">
            <v>0</v>
          </cell>
          <cell r="R52">
            <v>0</v>
          </cell>
          <cell r="S52">
            <v>4</v>
          </cell>
        </row>
        <row r="53">
          <cell r="B53" t="str">
            <v>0</v>
          </cell>
          <cell r="C53" t="str">
            <v>11</v>
          </cell>
          <cell r="D53" t="str">
            <v>PELICULA</v>
          </cell>
          <cell r="E53" t="str">
            <v>GRAN PREMIER</v>
          </cell>
          <cell r="F53">
            <v>2.4</v>
          </cell>
          <cell r="G53">
            <v>34658</v>
          </cell>
          <cell r="K53">
            <v>2.4</v>
          </cell>
          <cell r="O53" t="str">
            <v>22:00</v>
          </cell>
          <cell r="P53" t="str">
            <v>00:01</v>
          </cell>
          <cell r="Q53">
            <v>0</v>
          </cell>
          <cell r="R53">
            <v>0</v>
          </cell>
          <cell r="S53">
            <v>4</v>
          </cell>
        </row>
        <row r="54">
          <cell r="B54" t="str">
            <v>0</v>
          </cell>
          <cell r="C54" t="str">
            <v>11</v>
          </cell>
          <cell r="D54" t="str">
            <v>INFORMATIVO</v>
          </cell>
          <cell r="E54" t="str">
            <v>EL TIEMPO EN CHV (C)</v>
          </cell>
          <cell r="F54">
            <v>2.2000000000000002</v>
          </cell>
          <cell r="G54">
            <v>31325</v>
          </cell>
          <cell r="H54">
            <v>2.2000000000000002</v>
          </cell>
          <cell r="I54">
            <v>2.4</v>
          </cell>
          <cell r="J54">
            <v>2.5</v>
          </cell>
          <cell r="K54">
            <v>2.2000000000000002</v>
          </cell>
          <cell r="L54">
            <v>2.1</v>
          </cell>
          <cell r="M54">
            <v>2</v>
          </cell>
          <cell r="N54">
            <v>1.9</v>
          </cell>
          <cell r="O54" t="str">
            <v>21:58</v>
          </cell>
          <cell r="P54" t="str">
            <v>22:09</v>
          </cell>
          <cell r="Q54">
            <v>0</v>
          </cell>
          <cell r="R54">
            <v>0</v>
          </cell>
          <cell r="S54">
            <v>35</v>
          </cell>
        </row>
        <row r="55">
          <cell r="B55" t="str">
            <v>0</v>
          </cell>
          <cell r="C55" t="str">
            <v>11</v>
          </cell>
          <cell r="D55" t="str">
            <v>CONVERSACION</v>
          </cell>
          <cell r="E55" t="str">
            <v>AMIGAS Y AMIGOS</v>
          </cell>
          <cell r="F55">
            <v>2.2000000000000002</v>
          </cell>
          <cell r="G55">
            <v>30749</v>
          </cell>
          <cell r="H55">
            <v>1.9</v>
          </cell>
          <cell r="I55">
            <v>2.2999999999999998</v>
          </cell>
          <cell r="J55">
            <v>2.1</v>
          </cell>
          <cell r="K55">
            <v>1.8</v>
          </cell>
          <cell r="L55">
            <v>2.7</v>
          </cell>
          <cell r="O55" t="str">
            <v>23:34</v>
          </cell>
          <cell r="P55" t="str">
            <v>01:29</v>
          </cell>
          <cell r="Q55">
            <v>0</v>
          </cell>
          <cell r="R55">
            <v>0</v>
          </cell>
          <cell r="S55">
            <v>18</v>
          </cell>
        </row>
        <row r="56">
          <cell r="B56" t="str">
            <v>0</v>
          </cell>
          <cell r="C56" t="str">
            <v>11</v>
          </cell>
          <cell r="D56" t="str">
            <v>PELICULA</v>
          </cell>
          <cell r="E56" t="str">
            <v>CINE JUVENIL</v>
          </cell>
          <cell r="F56">
            <v>2.1</v>
          </cell>
          <cell r="G56">
            <v>30230</v>
          </cell>
          <cell r="L56">
            <v>2.1</v>
          </cell>
          <cell r="O56" t="str">
            <v>18:50</v>
          </cell>
          <cell r="P56" t="str">
            <v>20:31</v>
          </cell>
          <cell r="Q56">
            <v>0</v>
          </cell>
          <cell r="R56">
            <v>0</v>
          </cell>
          <cell r="S56">
            <v>1</v>
          </cell>
        </row>
        <row r="57">
          <cell r="B57" t="str">
            <v>0</v>
          </cell>
          <cell r="C57" t="str">
            <v>11</v>
          </cell>
          <cell r="D57" t="str">
            <v>SERIE</v>
          </cell>
          <cell r="E57" t="str">
            <v>NASH BRIDGES</v>
          </cell>
          <cell r="F57">
            <v>2.1</v>
          </cell>
          <cell r="G57">
            <v>29707</v>
          </cell>
          <cell r="N57">
            <v>2.1</v>
          </cell>
          <cell r="O57" t="str">
            <v>16:04</v>
          </cell>
          <cell r="P57" t="str">
            <v>17:09</v>
          </cell>
          <cell r="Q57">
            <v>0</v>
          </cell>
          <cell r="R57">
            <v>0</v>
          </cell>
          <cell r="S57">
            <v>5</v>
          </cell>
        </row>
        <row r="58">
          <cell r="B58" t="str">
            <v>0</v>
          </cell>
          <cell r="C58" t="str">
            <v>11</v>
          </cell>
          <cell r="D58" t="str">
            <v>PELICULA</v>
          </cell>
          <cell r="E58" t="str">
            <v>NOCHE DE CINE</v>
          </cell>
          <cell r="F58">
            <v>2.1</v>
          </cell>
          <cell r="G58">
            <v>29538</v>
          </cell>
          <cell r="M58">
            <v>2.1</v>
          </cell>
          <cell r="O58" t="str">
            <v>22:02</v>
          </cell>
          <cell r="P58" t="str">
            <v>23:58</v>
          </cell>
          <cell r="Q58">
            <v>0</v>
          </cell>
          <cell r="R58">
            <v>0</v>
          </cell>
          <cell r="S58">
            <v>5</v>
          </cell>
        </row>
        <row r="59">
          <cell r="B59" t="str">
            <v>0</v>
          </cell>
          <cell r="C59" t="str">
            <v>11</v>
          </cell>
          <cell r="D59" t="str">
            <v>PELICULA</v>
          </cell>
          <cell r="E59" t="str">
            <v>DOMINGO DE PELICULA</v>
          </cell>
          <cell r="F59">
            <v>2.1</v>
          </cell>
          <cell r="G59">
            <v>29481</v>
          </cell>
          <cell r="N59">
            <v>2.1</v>
          </cell>
          <cell r="O59" t="str">
            <v>22:01</v>
          </cell>
          <cell r="P59" t="str">
            <v>00:00</v>
          </cell>
          <cell r="Q59">
            <v>0</v>
          </cell>
          <cell r="R59">
            <v>0</v>
          </cell>
          <cell r="S59">
            <v>4</v>
          </cell>
        </row>
        <row r="60">
          <cell r="B60" t="str">
            <v>0</v>
          </cell>
          <cell r="C60" t="str">
            <v>11</v>
          </cell>
          <cell r="D60" t="str">
            <v>NOTICIERO</v>
          </cell>
          <cell r="E60" t="str">
            <v>CHV NOTICIAS NOCHE</v>
          </cell>
          <cell r="F60">
            <v>2</v>
          </cell>
          <cell r="G60">
            <v>28368</v>
          </cell>
          <cell r="H60">
            <v>1.8</v>
          </cell>
          <cell r="I60">
            <v>2</v>
          </cell>
          <cell r="J60">
            <v>2.2999999999999998</v>
          </cell>
          <cell r="K60">
            <v>2.1</v>
          </cell>
          <cell r="L60">
            <v>1.7</v>
          </cell>
          <cell r="O60" t="str">
            <v>23:42</v>
          </cell>
          <cell r="P60" t="str">
            <v>02:15</v>
          </cell>
          <cell r="Q60">
            <v>0</v>
          </cell>
          <cell r="R60">
            <v>0</v>
          </cell>
          <cell r="S60">
            <v>23</v>
          </cell>
        </row>
        <row r="61">
          <cell r="B61" t="str">
            <v>0</v>
          </cell>
          <cell r="C61" t="str">
            <v>11</v>
          </cell>
          <cell r="D61" t="str">
            <v>SERIE</v>
          </cell>
          <cell r="E61" t="str">
            <v>MISION DEL DEBER</v>
          </cell>
          <cell r="F61">
            <v>1.9</v>
          </cell>
          <cell r="G61">
            <v>27279</v>
          </cell>
          <cell r="N61">
            <v>1.9</v>
          </cell>
          <cell r="O61" t="str">
            <v>23:15</v>
          </cell>
          <cell r="P61" t="str">
            <v>00:54</v>
          </cell>
          <cell r="Q61">
            <v>0</v>
          </cell>
          <cell r="R61">
            <v>0</v>
          </cell>
          <cell r="S61">
            <v>5</v>
          </cell>
        </row>
        <row r="62">
          <cell r="B62" t="str">
            <v>0</v>
          </cell>
          <cell r="C62" t="str">
            <v>13</v>
          </cell>
          <cell r="D62" t="str">
            <v>CONVERSACION</v>
          </cell>
          <cell r="E62" t="str">
            <v>VIVA EL LUNES</v>
          </cell>
          <cell r="F62">
            <v>16.399999999999999</v>
          </cell>
          <cell r="G62">
            <v>234178</v>
          </cell>
          <cell r="H62">
            <v>16.399999999999999</v>
          </cell>
          <cell r="O62" t="str">
            <v>21:58</v>
          </cell>
          <cell r="P62" t="str">
            <v>01:14</v>
          </cell>
          <cell r="Q62">
            <v>0</v>
          </cell>
          <cell r="R62">
            <v>0</v>
          </cell>
          <cell r="S62">
            <v>4</v>
          </cell>
        </row>
        <row r="63">
          <cell r="B63" t="str">
            <v>0</v>
          </cell>
          <cell r="C63" t="str">
            <v>13</v>
          </cell>
          <cell r="D63" t="str">
            <v>CONVERSACION</v>
          </cell>
          <cell r="E63" t="str">
            <v>REVIVA EL LUNES</v>
          </cell>
          <cell r="F63">
            <v>15.4</v>
          </cell>
          <cell r="G63">
            <v>220018</v>
          </cell>
          <cell r="H63">
            <v>15.4</v>
          </cell>
          <cell r="O63" t="str">
            <v>22:05</v>
          </cell>
          <cell r="P63" t="str">
            <v>00:25</v>
          </cell>
          <cell r="Q63">
            <v>0</v>
          </cell>
          <cell r="R63">
            <v>0</v>
          </cell>
          <cell r="S63">
            <v>1</v>
          </cell>
        </row>
        <row r="64">
          <cell r="B64" t="str">
            <v>0</v>
          </cell>
          <cell r="C64" t="str">
            <v>13</v>
          </cell>
          <cell r="D64" t="str">
            <v>FUTBOL</v>
          </cell>
          <cell r="E64" t="str">
            <v>FUTBOL</v>
          </cell>
          <cell r="F64">
            <v>8.6999999999999993</v>
          </cell>
          <cell r="G64">
            <v>124118</v>
          </cell>
          <cell r="N64">
            <v>8.6999999999999993</v>
          </cell>
          <cell r="O64" t="str">
            <v>21:54</v>
          </cell>
          <cell r="P64" t="str">
            <v>00:23</v>
          </cell>
          <cell r="Q64">
            <v>0</v>
          </cell>
          <cell r="R64">
            <v>0</v>
          </cell>
          <cell r="S64">
            <v>1</v>
          </cell>
        </row>
        <row r="65">
          <cell r="B65" t="str">
            <v>0</v>
          </cell>
          <cell r="C65" t="str">
            <v>13</v>
          </cell>
          <cell r="D65" t="str">
            <v>MUSICAL</v>
          </cell>
          <cell r="E65" t="str">
            <v>FESTIVAL DEL HUASO DE OLMUE</v>
          </cell>
          <cell r="F65">
            <v>8.6</v>
          </cell>
          <cell r="G65">
            <v>123572</v>
          </cell>
          <cell r="L65">
            <v>7.5</v>
          </cell>
          <cell r="M65">
            <v>9.1999999999999993</v>
          </cell>
          <cell r="N65">
            <v>9.1999999999999993</v>
          </cell>
          <cell r="O65" t="str">
            <v>21:59</v>
          </cell>
          <cell r="P65" t="str">
            <v>02:16</v>
          </cell>
          <cell r="Q65">
            <v>0</v>
          </cell>
          <cell r="R65">
            <v>0</v>
          </cell>
          <cell r="S65">
            <v>3</v>
          </cell>
        </row>
        <row r="66">
          <cell r="B66" t="str">
            <v>0</v>
          </cell>
          <cell r="C66" t="str">
            <v>13</v>
          </cell>
          <cell r="D66" t="str">
            <v>VARIEDAD</v>
          </cell>
          <cell r="E66" t="str">
            <v>VENGA CONMIGO</v>
          </cell>
          <cell r="F66">
            <v>8.6</v>
          </cell>
          <cell r="G66">
            <v>122524</v>
          </cell>
          <cell r="J66">
            <v>6.3</v>
          </cell>
          <cell r="K66">
            <v>10.8</v>
          </cell>
          <cell r="O66" t="str">
            <v>21:58</v>
          </cell>
          <cell r="P66" t="str">
            <v>00:49</v>
          </cell>
          <cell r="Q66">
            <v>0</v>
          </cell>
          <cell r="R66">
            <v>0</v>
          </cell>
          <cell r="S66">
            <v>4</v>
          </cell>
        </row>
        <row r="67">
          <cell r="B67" t="str">
            <v>0</v>
          </cell>
          <cell r="C67" t="str">
            <v>13</v>
          </cell>
          <cell r="D67" t="str">
            <v>FUTBOL</v>
          </cell>
          <cell r="E67" t="str">
            <v>FUTBOL SUB-20</v>
          </cell>
          <cell r="F67">
            <v>7.7</v>
          </cell>
          <cell r="G67">
            <v>110258</v>
          </cell>
          <cell r="H67">
            <v>7.3</v>
          </cell>
          <cell r="I67">
            <v>9.6999999999999993</v>
          </cell>
          <cell r="J67">
            <v>9</v>
          </cell>
          <cell r="K67">
            <v>5.7</v>
          </cell>
          <cell r="L67">
            <v>2.6</v>
          </cell>
          <cell r="M67">
            <v>9.4</v>
          </cell>
          <cell r="N67">
            <v>10.3</v>
          </cell>
          <cell r="O67" t="str">
            <v>16:50</v>
          </cell>
          <cell r="P67" t="str">
            <v>03:48</v>
          </cell>
          <cell r="Q67">
            <v>0</v>
          </cell>
          <cell r="R67">
            <v>0</v>
          </cell>
          <cell r="S67">
            <v>14</v>
          </cell>
        </row>
        <row r="68">
          <cell r="B68" t="str">
            <v>0</v>
          </cell>
          <cell r="C68" t="str">
            <v>13</v>
          </cell>
          <cell r="D68" t="str">
            <v>VARIEDAD</v>
          </cell>
          <cell r="E68" t="str">
            <v>PARA ESO ESTAMOS</v>
          </cell>
          <cell r="F68">
            <v>7.2</v>
          </cell>
          <cell r="G68">
            <v>103416</v>
          </cell>
          <cell r="J68">
            <v>7.2</v>
          </cell>
          <cell r="O68" t="str">
            <v>22:45</v>
          </cell>
          <cell r="P68" t="str">
            <v>00:43</v>
          </cell>
          <cell r="Q68">
            <v>0</v>
          </cell>
          <cell r="R68">
            <v>0</v>
          </cell>
          <cell r="S68">
            <v>1</v>
          </cell>
        </row>
        <row r="69">
          <cell r="B69" t="str">
            <v>0</v>
          </cell>
          <cell r="C69" t="str">
            <v>13</v>
          </cell>
          <cell r="D69" t="str">
            <v>VARIEDAD</v>
          </cell>
          <cell r="E69" t="str">
            <v>VENGA CONMIGO (RECUENTO 1998)</v>
          </cell>
          <cell r="F69">
            <v>7</v>
          </cell>
          <cell r="G69">
            <v>100057</v>
          </cell>
          <cell r="L69">
            <v>7</v>
          </cell>
          <cell r="O69" t="str">
            <v>22:06</v>
          </cell>
          <cell r="P69" t="str">
            <v>00:13</v>
          </cell>
          <cell r="Q69">
            <v>0</v>
          </cell>
          <cell r="R69">
            <v>0</v>
          </cell>
          <cell r="S69">
            <v>1</v>
          </cell>
        </row>
        <row r="70">
          <cell r="B70" t="str">
            <v>0</v>
          </cell>
          <cell r="C70" t="str">
            <v>13</v>
          </cell>
          <cell r="D70" t="str">
            <v>INFORMATIVO</v>
          </cell>
          <cell r="E70" t="str">
            <v>EL TIEMPO</v>
          </cell>
          <cell r="F70">
            <v>6.8</v>
          </cell>
          <cell r="G70">
            <v>97871</v>
          </cell>
          <cell r="H70">
            <v>7</v>
          </cell>
          <cell r="I70">
            <v>8.5</v>
          </cell>
          <cell r="J70">
            <v>7</v>
          </cell>
          <cell r="K70">
            <v>6.2</v>
          </cell>
          <cell r="L70">
            <v>5.9</v>
          </cell>
          <cell r="M70">
            <v>6.1</v>
          </cell>
          <cell r="N70">
            <v>7.2</v>
          </cell>
          <cell r="O70" t="str">
            <v>21:48</v>
          </cell>
          <cell r="P70" t="str">
            <v>23:09</v>
          </cell>
          <cell r="Q70">
            <v>0</v>
          </cell>
          <cell r="R70">
            <v>0</v>
          </cell>
          <cell r="S70">
            <v>35</v>
          </cell>
        </row>
        <row r="71">
          <cell r="B71" t="str">
            <v>0</v>
          </cell>
          <cell r="C71" t="str">
            <v>13</v>
          </cell>
          <cell r="D71" t="str">
            <v>NOTICIERO</v>
          </cell>
          <cell r="E71" t="str">
            <v>TELETRECE</v>
          </cell>
          <cell r="F71">
            <v>6.8</v>
          </cell>
          <cell r="G71">
            <v>97062</v>
          </cell>
          <cell r="H71">
            <v>7.6</v>
          </cell>
          <cell r="I71">
            <v>8.5</v>
          </cell>
          <cell r="J71">
            <v>6.9</v>
          </cell>
          <cell r="K71">
            <v>6.3</v>
          </cell>
          <cell r="L71">
            <v>5.6</v>
          </cell>
          <cell r="M71">
            <v>5.9</v>
          </cell>
          <cell r="N71">
            <v>6.7</v>
          </cell>
          <cell r="O71" t="str">
            <v>20:59</v>
          </cell>
          <cell r="P71" t="str">
            <v>23:04</v>
          </cell>
          <cell r="Q71">
            <v>0</v>
          </cell>
          <cell r="R71">
            <v>0</v>
          </cell>
          <cell r="S71">
            <v>35</v>
          </cell>
        </row>
        <row r="72">
          <cell r="B72" t="str">
            <v>0</v>
          </cell>
          <cell r="C72" t="str">
            <v>13</v>
          </cell>
          <cell r="D72" t="str">
            <v>CONCURSO</v>
          </cell>
          <cell r="E72" t="str">
            <v>JUGANDO A SABER</v>
          </cell>
          <cell r="F72">
            <v>6.2</v>
          </cell>
          <cell r="G72">
            <v>88339</v>
          </cell>
          <cell r="L72">
            <v>6.2</v>
          </cell>
          <cell r="O72" t="str">
            <v>22:01</v>
          </cell>
          <cell r="P72" t="str">
            <v>00:01</v>
          </cell>
          <cell r="Q72">
            <v>0</v>
          </cell>
          <cell r="R72">
            <v>0</v>
          </cell>
          <cell r="S72">
            <v>3</v>
          </cell>
        </row>
        <row r="73">
          <cell r="B73" t="str">
            <v>0</v>
          </cell>
          <cell r="C73" t="str">
            <v>13</v>
          </cell>
          <cell r="D73" t="str">
            <v>P_ESPECIAL</v>
          </cell>
          <cell r="E73" t="str">
            <v>VIVA EL 99</v>
          </cell>
          <cell r="F73">
            <v>6</v>
          </cell>
          <cell r="G73">
            <v>86009</v>
          </cell>
          <cell r="K73">
            <v>6</v>
          </cell>
          <cell r="O73" t="str">
            <v>22:04</v>
          </cell>
          <cell r="P73" t="str">
            <v>00:35</v>
          </cell>
          <cell r="Q73">
            <v>0</v>
          </cell>
          <cell r="R73">
            <v>0</v>
          </cell>
          <cell r="S73">
            <v>1</v>
          </cell>
        </row>
        <row r="74">
          <cell r="B74" t="str">
            <v>0</v>
          </cell>
          <cell r="C74" t="str">
            <v>13</v>
          </cell>
          <cell r="D74" t="str">
            <v>VARIEDAD</v>
          </cell>
          <cell r="E74" t="str">
            <v>SABADO GIGANTE INTERNACIONAL</v>
          </cell>
          <cell r="F74">
            <v>5.7</v>
          </cell>
          <cell r="G74">
            <v>81473</v>
          </cell>
          <cell r="M74">
            <v>5.7</v>
          </cell>
          <cell r="O74" t="str">
            <v>17:22</v>
          </cell>
          <cell r="P74" t="str">
            <v>00:36</v>
          </cell>
          <cell r="Q74">
            <v>0</v>
          </cell>
          <cell r="R74">
            <v>0</v>
          </cell>
          <cell r="S74">
            <v>5</v>
          </cell>
        </row>
        <row r="75">
          <cell r="B75" t="str">
            <v>0</v>
          </cell>
          <cell r="C75" t="str">
            <v>13</v>
          </cell>
          <cell r="D75" t="str">
            <v>PELICULA</v>
          </cell>
          <cell r="E75" t="str">
            <v>DOMINGO EN LA NOCHE</v>
          </cell>
          <cell r="F75">
            <v>5.6</v>
          </cell>
          <cell r="G75">
            <v>79422</v>
          </cell>
          <cell r="N75">
            <v>5.6</v>
          </cell>
          <cell r="O75" t="str">
            <v>22:03</v>
          </cell>
          <cell r="P75" t="str">
            <v>01:11</v>
          </cell>
          <cell r="Q75">
            <v>0</v>
          </cell>
          <cell r="R75">
            <v>0</v>
          </cell>
          <cell r="S75">
            <v>2</v>
          </cell>
        </row>
        <row r="76">
          <cell r="B76" t="str">
            <v>0</v>
          </cell>
          <cell r="C76" t="str">
            <v>13</v>
          </cell>
          <cell r="D76" t="str">
            <v>DEPORTIVO</v>
          </cell>
          <cell r="E76" t="str">
            <v>ESPECIAL DEL AREA DEPORTIVA</v>
          </cell>
          <cell r="F76">
            <v>5.5</v>
          </cell>
          <cell r="G76">
            <v>78028</v>
          </cell>
          <cell r="I76">
            <v>5.5</v>
          </cell>
          <cell r="O76" t="str">
            <v>19:56</v>
          </cell>
          <cell r="P76" t="str">
            <v>20:58</v>
          </cell>
          <cell r="Q76">
            <v>0</v>
          </cell>
          <cell r="R76">
            <v>0</v>
          </cell>
          <cell r="S76">
            <v>1</v>
          </cell>
        </row>
        <row r="77">
          <cell r="B77" t="str">
            <v>0</v>
          </cell>
          <cell r="C77" t="str">
            <v>13</v>
          </cell>
          <cell r="D77" t="str">
            <v>NOTICIERO</v>
          </cell>
          <cell r="E77" t="str">
            <v>TELENOCHE</v>
          </cell>
          <cell r="F77">
            <v>5.2</v>
          </cell>
          <cell r="G77">
            <v>74856</v>
          </cell>
          <cell r="H77">
            <v>5.8</v>
          </cell>
          <cell r="I77">
            <v>4.2</v>
          </cell>
          <cell r="J77">
            <v>5.0999999999999996</v>
          </cell>
          <cell r="K77">
            <v>5.5</v>
          </cell>
          <cell r="L77">
            <v>5.5</v>
          </cell>
          <cell r="O77" t="str">
            <v>23:59</v>
          </cell>
          <cell r="P77" t="str">
            <v>02:52</v>
          </cell>
          <cell r="Q77">
            <v>0</v>
          </cell>
          <cell r="R77">
            <v>0</v>
          </cell>
          <cell r="S77">
            <v>24</v>
          </cell>
        </row>
        <row r="78">
          <cell r="B78" t="str">
            <v>0</v>
          </cell>
          <cell r="C78" t="str">
            <v>13</v>
          </cell>
          <cell r="D78" t="str">
            <v>NOTICIERO</v>
          </cell>
          <cell r="E78" t="str">
            <v>TELETARDE</v>
          </cell>
          <cell r="F78">
            <v>4.5999999999999996</v>
          </cell>
          <cell r="G78">
            <v>65769</v>
          </cell>
          <cell r="H78">
            <v>4.5999999999999996</v>
          </cell>
          <cell r="I78">
            <v>4.7</v>
          </cell>
          <cell r="J78">
            <v>4.2</v>
          </cell>
          <cell r="K78">
            <v>5</v>
          </cell>
          <cell r="L78">
            <v>4.5</v>
          </cell>
          <cell r="O78" t="str">
            <v>13:59</v>
          </cell>
          <cell r="P78" t="str">
            <v>14:33</v>
          </cell>
          <cell r="Q78">
            <v>0</v>
          </cell>
          <cell r="R78">
            <v>0</v>
          </cell>
          <cell r="S78">
            <v>24</v>
          </cell>
        </row>
        <row r="79">
          <cell r="B79" t="str">
            <v>0</v>
          </cell>
          <cell r="C79" t="str">
            <v>13</v>
          </cell>
          <cell r="D79" t="str">
            <v>CULTURAL</v>
          </cell>
          <cell r="E79" t="str">
            <v>AL SUR DEL MUNDO</v>
          </cell>
          <cell r="F79">
            <v>4.0999999999999996</v>
          </cell>
          <cell r="G79">
            <v>58783</v>
          </cell>
          <cell r="I79">
            <v>4.0999999999999996</v>
          </cell>
          <cell r="O79" t="str">
            <v>22:04</v>
          </cell>
          <cell r="P79" t="str">
            <v>23:00</v>
          </cell>
          <cell r="Q79">
            <v>0</v>
          </cell>
          <cell r="R79">
            <v>0</v>
          </cell>
          <cell r="S79">
            <v>1</v>
          </cell>
        </row>
        <row r="80">
          <cell r="B80" t="str">
            <v>0</v>
          </cell>
          <cell r="C80" t="str">
            <v>13</v>
          </cell>
          <cell r="D80" t="str">
            <v>P_ESPECIAL</v>
          </cell>
          <cell r="E80" t="str">
            <v>19 JAMBOREE SCOUT MUNDIAL</v>
          </cell>
          <cell r="F80">
            <v>3.9</v>
          </cell>
          <cell r="G80">
            <v>55809</v>
          </cell>
          <cell r="I80">
            <v>6.3</v>
          </cell>
          <cell r="L80">
            <v>1.5</v>
          </cell>
          <cell r="O80" t="str">
            <v>18:36</v>
          </cell>
          <cell r="P80" t="str">
            <v>00:13</v>
          </cell>
          <cell r="Q80">
            <v>0</v>
          </cell>
          <cell r="R80">
            <v>0</v>
          </cell>
          <cell r="S80">
            <v>2</v>
          </cell>
        </row>
        <row r="81">
          <cell r="B81" t="str">
            <v>0</v>
          </cell>
          <cell r="C81" t="str">
            <v>13</v>
          </cell>
          <cell r="D81" t="str">
            <v>MISCELANEO</v>
          </cell>
          <cell r="E81" t="str">
            <v>LA MANANA DEL TRECE</v>
          </cell>
          <cell r="F81">
            <v>3.4</v>
          </cell>
          <cell r="G81">
            <v>48427</v>
          </cell>
          <cell r="H81">
            <v>4.2</v>
          </cell>
          <cell r="I81">
            <v>3.7</v>
          </cell>
          <cell r="J81">
            <v>3.1</v>
          </cell>
          <cell r="K81">
            <v>3</v>
          </cell>
          <cell r="L81">
            <v>2.9</v>
          </cell>
          <cell r="O81" t="str">
            <v>08:00</v>
          </cell>
          <cell r="P81" t="str">
            <v>11:25</v>
          </cell>
          <cell r="Q81">
            <v>0</v>
          </cell>
          <cell r="R81">
            <v>0</v>
          </cell>
          <cell r="S81">
            <v>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2"/>
      <sheetName val="Hoja1"/>
      <sheetName val="01_2000"/>
      <sheetName val="Programas Ene 2000"/>
      <sheetName val="Programas Feb 2000"/>
      <sheetName val="01_1999"/>
      <sheetName val="PLAN"/>
      <sheetName val="Programas_Ene_2000"/>
      <sheetName val="Programas_Feb_2000"/>
      <sheetName val="Programas_Ene_20001"/>
      <sheetName val="Programas_Feb_20001"/>
      <sheetName val="#G.O."/>
      <sheetName val="rat2"/>
      <sheetName val="Programas_Ene_20002"/>
      <sheetName val="Programas_Feb_20002"/>
      <sheetName val="#G_O_"/>
      <sheetName val="Programas_Ene_20003"/>
      <sheetName val="Programas_Feb_20003"/>
      <sheetName val="#G_O_1"/>
      <sheetName val="Programas_Ene_20004"/>
      <sheetName val="Programas_Feb_20004"/>
      <sheetName val="#G_O_2"/>
      <sheetName val="Programas_Ene_20005"/>
      <sheetName val="Programas_Feb_20005"/>
      <sheetName val="#G_O_3"/>
      <sheetName val=""/>
      <sheetName val="Anunciantes"/>
      <sheetName val="Marcas"/>
      <sheetName val="MarcasCli"/>
      <sheetName val="Rubros"/>
      <sheetName val="PLANGENERAL"/>
      <sheetName val="tapa"/>
      <sheetName val="Programas_Ene_20007"/>
      <sheetName val="Programas_Feb_20007"/>
      <sheetName val="#G_O_5"/>
      <sheetName val="Programas_Ene_20006"/>
      <sheetName val="Programas_Feb_20006"/>
      <sheetName val="#G_O_4"/>
      <sheetName val="module1"/>
      <sheetName val="A&amp;F MAN 2DO"/>
      <sheetName val="Programas_Ene_20008"/>
      <sheetName val="Programas_Feb_20008"/>
      <sheetName val="#G_O_6"/>
      <sheetName val="Variacion rating verano año 199"/>
      <sheetName val="CANAL 9"/>
      <sheetName val="Resumen SOI"/>
      <sheetName val="A&amp;F_MAN_2DO"/>
      <sheetName val="Programas_Ene_20009"/>
      <sheetName val="Programas_Feb_20009"/>
      <sheetName val="A&amp;F_MAN_2DO1"/>
      <sheetName val="Programas_Ene_200010"/>
      <sheetName val="Programas_Feb_200010"/>
      <sheetName val="#G_O_7"/>
      <sheetName val="A&amp;F_MAN_2DO2"/>
      <sheetName val="Channel Mix"/>
      <sheetName val="Variacion_rating_verano_año_199"/>
      <sheetName val="CANAL_9"/>
      <sheetName val="Resumen_SOI"/>
      <sheetName val="#G_O_8"/>
      <sheetName val="CANAL_91"/>
      <sheetName val="Variacion_rating_verano_año_191"/>
      <sheetName val="Resumen_SOI1"/>
      <sheetName val="Programas_Ene_200011"/>
      <sheetName val="Programas_Feb_200011"/>
      <sheetName val="#G_O_9"/>
      <sheetName val="A&amp;F_MAN_2DO3"/>
      <sheetName val="CANAL_92"/>
      <sheetName val="Variacion_rating_verano_año_192"/>
      <sheetName val="Resumen_SOI2"/>
      <sheetName val="Gráfico1"/>
      <sheetName val="Programas Ene 1999"/>
      <sheetName val="Programas Feb 1999"/>
      <sheetName val="Setup"/>
      <sheetName val="Programas_Ene_1999"/>
      <sheetName val="Programas_Feb_1999"/>
      <sheetName val="PLMM-R$"/>
      <sheetName val="Programas_Ene_200013"/>
      <sheetName val="Programas_Feb_200013"/>
      <sheetName val="#G_O_11"/>
      <sheetName val="A&amp;F_MAN_2DO5"/>
      <sheetName val="CANAL_94"/>
      <sheetName val="Variacion_rating_verano_año_194"/>
      <sheetName val="Resumen_SOI4"/>
      <sheetName val="Programas_Ene_200012"/>
      <sheetName val="Programas_Feb_200012"/>
      <sheetName val="#G_O_10"/>
      <sheetName val="A&amp;F_MAN_2DO4"/>
      <sheetName val="CANAL_93"/>
      <sheetName val="Variacion_rating_verano_año_193"/>
      <sheetName val="Resumen_SOI3"/>
    </sheetNames>
    <sheetDataSet>
      <sheetData sheetId="0" refreshError="1"/>
      <sheetData sheetId="1" refreshError="1"/>
      <sheetData sheetId="2" refreshError="1">
        <row r="1">
          <cell r="B1" t="str">
            <v>S</v>
          </cell>
          <cell r="C1" t="str">
            <v>Can</v>
          </cell>
          <cell r="D1" t="str">
            <v>Genero</v>
          </cell>
          <cell r="E1" t="str">
            <v>Programa</v>
          </cell>
          <cell r="F1" t="str">
            <v>Rat</v>
          </cell>
          <cell r="G1" t="str">
            <v>Personas</v>
          </cell>
          <cell r="H1" t="str">
            <v>Lun</v>
          </cell>
          <cell r="I1" t="str">
            <v>Mar</v>
          </cell>
          <cell r="J1" t="str">
            <v>Mie</v>
          </cell>
          <cell r="K1" t="str">
            <v>Jue</v>
          </cell>
          <cell r="L1" t="str">
            <v>Vie</v>
          </cell>
          <cell r="M1" t="str">
            <v>Sab</v>
          </cell>
          <cell r="N1" t="str">
            <v>Dom</v>
          </cell>
          <cell r="O1" t="str">
            <v>HoraI</v>
          </cell>
          <cell r="P1" t="str">
            <v>HoraF</v>
          </cell>
          <cell r="Q1" t="str">
            <v>Costo</v>
          </cell>
          <cell r="R1" t="str">
            <v>CtoPto</v>
          </cell>
          <cell r="S1" t="str">
            <v>TPE</v>
          </cell>
        </row>
        <row r="2">
          <cell r="B2" t="str">
            <v>0</v>
          </cell>
          <cell r="C2" t="str">
            <v>07</v>
          </cell>
          <cell r="D2" t="str">
            <v>TELENOVELA</v>
          </cell>
          <cell r="E2" t="str">
            <v>AQUELARRE</v>
          </cell>
          <cell r="F2">
            <v>14.5</v>
          </cell>
          <cell r="G2">
            <v>207653</v>
          </cell>
          <cell r="H2">
            <v>14.4</v>
          </cell>
          <cell r="I2">
            <v>14.9</v>
          </cell>
          <cell r="J2">
            <v>14.4</v>
          </cell>
          <cell r="O2" t="str">
            <v>19:51</v>
          </cell>
          <cell r="P2" t="str">
            <v>20:59</v>
          </cell>
          <cell r="Q2">
            <v>0</v>
          </cell>
          <cell r="R2">
            <v>0</v>
          </cell>
          <cell r="S2">
            <v>3</v>
          </cell>
        </row>
        <row r="3">
          <cell r="B3" t="str">
            <v>0</v>
          </cell>
          <cell r="C3" t="str">
            <v>07</v>
          </cell>
          <cell r="D3" t="str">
            <v>CONVERSACION</v>
          </cell>
          <cell r="E3" t="str">
            <v>DE PE A PA</v>
          </cell>
          <cell r="F3">
            <v>13.3</v>
          </cell>
          <cell r="G3">
            <v>189476</v>
          </cell>
          <cell r="J3">
            <v>13.3</v>
          </cell>
          <cell r="O3" t="str">
            <v>22:06</v>
          </cell>
          <cell r="P3" t="str">
            <v>00:31</v>
          </cell>
          <cell r="Q3">
            <v>0</v>
          </cell>
          <cell r="R3">
            <v>0</v>
          </cell>
          <cell r="S3">
            <v>1</v>
          </cell>
        </row>
        <row r="4">
          <cell r="B4" t="str">
            <v>0</v>
          </cell>
          <cell r="C4" t="str">
            <v>07</v>
          </cell>
          <cell r="D4" t="str">
            <v>MISCELANEO</v>
          </cell>
          <cell r="E4" t="str">
            <v>CORAZON PARTIO</v>
          </cell>
          <cell r="F4">
            <v>10.3</v>
          </cell>
          <cell r="G4">
            <v>146832</v>
          </cell>
          <cell r="H4">
            <v>12.6</v>
          </cell>
          <cell r="N4">
            <v>8</v>
          </cell>
          <cell r="O4" t="str">
            <v>22:00</v>
          </cell>
          <cell r="P4" t="str">
            <v>01:20</v>
          </cell>
          <cell r="Q4">
            <v>0</v>
          </cell>
          <cell r="R4">
            <v>0</v>
          </cell>
          <cell r="S4">
            <v>4</v>
          </cell>
        </row>
        <row r="5">
          <cell r="B5" t="str">
            <v>0</v>
          </cell>
          <cell r="C5" t="str">
            <v>07</v>
          </cell>
          <cell r="D5" t="str">
            <v>PELICULA</v>
          </cell>
          <cell r="E5" t="str">
            <v>BEST SELLER</v>
          </cell>
          <cell r="F5">
            <v>7.9</v>
          </cell>
          <cell r="G5">
            <v>113421</v>
          </cell>
          <cell r="H5">
            <v>7.9</v>
          </cell>
          <cell r="O5" t="str">
            <v>22:05</v>
          </cell>
          <cell r="P5" t="str">
            <v>23:50</v>
          </cell>
          <cell r="Q5">
            <v>0</v>
          </cell>
          <cell r="R5">
            <v>0</v>
          </cell>
          <cell r="S5">
            <v>1</v>
          </cell>
        </row>
        <row r="6">
          <cell r="B6" t="str">
            <v>0</v>
          </cell>
          <cell r="C6" t="str">
            <v>07</v>
          </cell>
          <cell r="D6" t="str">
            <v>FUTBOL</v>
          </cell>
          <cell r="E6" t="str">
            <v>FUTBOL INTERNACIONAL</v>
          </cell>
          <cell r="F6">
            <v>7.8</v>
          </cell>
          <cell r="G6">
            <v>112104</v>
          </cell>
          <cell r="J6">
            <v>9.8000000000000007</v>
          </cell>
          <cell r="M6">
            <v>5.9</v>
          </cell>
          <cell r="O6" t="str">
            <v>21:57</v>
          </cell>
          <cell r="P6" t="str">
            <v>01:06</v>
          </cell>
          <cell r="Q6">
            <v>0</v>
          </cell>
          <cell r="R6">
            <v>0</v>
          </cell>
          <cell r="S6">
            <v>2</v>
          </cell>
        </row>
        <row r="7">
          <cell r="B7" t="str">
            <v>0</v>
          </cell>
          <cell r="C7" t="str">
            <v>07</v>
          </cell>
          <cell r="D7" t="str">
            <v>REALITY SHOW</v>
          </cell>
          <cell r="E7" t="str">
            <v>MEA CULPA</v>
          </cell>
          <cell r="F7">
            <v>7.8</v>
          </cell>
          <cell r="G7">
            <v>110805</v>
          </cell>
          <cell r="K7">
            <v>7.8</v>
          </cell>
          <cell r="O7" t="str">
            <v>22:08</v>
          </cell>
          <cell r="P7" t="str">
            <v>23:36</v>
          </cell>
          <cell r="Q7">
            <v>0</v>
          </cell>
          <cell r="R7">
            <v>0</v>
          </cell>
          <cell r="S7">
            <v>3</v>
          </cell>
        </row>
        <row r="8">
          <cell r="B8" t="str">
            <v>0</v>
          </cell>
          <cell r="C8" t="str">
            <v>07</v>
          </cell>
          <cell r="D8" t="str">
            <v>TELENOVELA</v>
          </cell>
          <cell r="E8" t="str">
            <v>AQUELARRE (R)</v>
          </cell>
          <cell r="F8">
            <v>7</v>
          </cell>
          <cell r="G8">
            <v>99515</v>
          </cell>
          <cell r="K8">
            <v>7</v>
          </cell>
          <cell r="O8" t="str">
            <v>19:40</v>
          </cell>
          <cell r="P8" t="str">
            <v>20:49</v>
          </cell>
          <cell r="Q8">
            <v>0</v>
          </cell>
          <cell r="R8">
            <v>0</v>
          </cell>
          <cell r="S8">
            <v>1</v>
          </cell>
        </row>
        <row r="9">
          <cell r="B9" t="str">
            <v>0</v>
          </cell>
          <cell r="C9" t="str">
            <v>07</v>
          </cell>
          <cell r="D9" t="str">
            <v>TELENOVELA</v>
          </cell>
          <cell r="E9" t="str">
            <v>AQUELARRE (RESUMEN)</v>
          </cell>
          <cell r="F9">
            <v>6.8</v>
          </cell>
          <cell r="G9">
            <v>97834</v>
          </cell>
          <cell r="H9">
            <v>9.1</v>
          </cell>
          <cell r="I9">
            <v>6.1</v>
          </cell>
          <cell r="J9">
            <v>6.3</v>
          </cell>
          <cell r="K9">
            <v>5.9</v>
          </cell>
          <cell r="O9" t="str">
            <v>19:37</v>
          </cell>
          <cell r="P9" t="str">
            <v>00:48</v>
          </cell>
          <cell r="Q9">
            <v>0</v>
          </cell>
          <cell r="R9">
            <v>0</v>
          </cell>
          <cell r="S9">
            <v>5</v>
          </cell>
        </row>
        <row r="10">
          <cell r="B10" t="str">
            <v>0</v>
          </cell>
          <cell r="C10" t="str">
            <v>07</v>
          </cell>
          <cell r="D10" t="str">
            <v>P_ESPECIAL</v>
          </cell>
          <cell r="E10" t="str">
            <v>PASE LO QUE PASE 2000 HOY</v>
          </cell>
          <cell r="F10">
            <v>6.5</v>
          </cell>
          <cell r="G10">
            <v>92493</v>
          </cell>
          <cell r="L10">
            <v>6.5</v>
          </cell>
          <cell r="O10" t="str">
            <v>14:35</v>
          </cell>
          <cell r="P10" t="str">
            <v>21:00</v>
          </cell>
          <cell r="Q10">
            <v>0</v>
          </cell>
          <cell r="R10">
            <v>0</v>
          </cell>
          <cell r="S10">
            <v>1</v>
          </cell>
        </row>
        <row r="11">
          <cell r="B11" t="str">
            <v>0</v>
          </cell>
          <cell r="C11" t="str">
            <v>07</v>
          </cell>
          <cell r="D11" t="str">
            <v>P_ESPECIAL</v>
          </cell>
          <cell r="E11" t="str">
            <v>ESPECIAL ELECCIONES</v>
          </cell>
          <cell r="F11">
            <v>6.4</v>
          </cell>
          <cell r="G11">
            <v>91244</v>
          </cell>
          <cell r="N11">
            <v>6.4</v>
          </cell>
          <cell r="O11" t="str">
            <v>14:56</v>
          </cell>
          <cell r="P11" t="str">
            <v>16:05</v>
          </cell>
          <cell r="Q11">
            <v>0</v>
          </cell>
          <cell r="R11">
            <v>0</v>
          </cell>
          <cell r="S11">
            <v>1</v>
          </cell>
        </row>
        <row r="12">
          <cell r="B12" t="str">
            <v>0</v>
          </cell>
          <cell r="C12" t="str">
            <v>07</v>
          </cell>
          <cell r="D12" t="str">
            <v>INFORMATIVO</v>
          </cell>
          <cell r="E12" t="str">
            <v>TV TIEMPO</v>
          </cell>
          <cell r="F12">
            <v>6.1</v>
          </cell>
          <cell r="G12">
            <v>87560</v>
          </cell>
          <cell r="H12">
            <v>8.5</v>
          </cell>
          <cell r="I12">
            <v>6.5</v>
          </cell>
          <cell r="J12">
            <v>7.4</v>
          </cell>
          <cell r="K12">
            <v>6</v>
          </cell>
          <cell r="L12">
            <v>5.4</v>
          </cell>
          <cell r="M12">
            <v>4</v>
          </cell>
          <cell r="N12">
            <v>5</v>
          </cell>
          <cell r="O12" t="str">
            <v>21:42</v>
          </cell>
          <cell r="P12" t="str">
            <v>22:42</v>
          </cell>
          <cell r="Q12">
            <v>0</v>
          </cell>
          <cell r="R12">
            <v>0</v>
          </cell>
          <cell r="S12">
            <v>42</v>
          </cell>
        </row>
        <row r="13">
          <cell r="B13" t="str">
            <v>0</v>
          </cell>
          <cell r="C13" t="str">
            <v>07</v>
          </cell>
          <cell r="D13" t="str">
            <v>PELICULA</v>
          </cell>
          <cell r="E13" t="str">
            <v>CINE DEL DOMINGO</v>
          </cell>
          <cell r="F13">
            <v>6.1</v>
          </cell>
          <cell r="G13">
            <v>87183</v>
          </cell>
          <cell r="N13">
            <v>6.1</v>
          </cell>
          <cell r="O13" t="str">
            <v>22:02</v>
          </cell>
          <cell r="P13" t="str">
            <v>23:46</v>
          </cell>
          <cell r="Q13">
            <v>0</v>
          </cell>
          <cell r="R13">
            <v>0</v>
          </cell>
          <cell r="S13">
            <v>1</v>
          </cell>
        </row>
        <row r="14">
          <cell r="B14" t="str">
            <v>0</v>
          </cell>
          <cell r="C14" t="str">
            <v>07</v>
          </cell>
          <cell r="D14" t="str">
            <v>ENTREVISTA</v>
          </cell>
          <cell r="E14" t="str">
            <v>LA ENTREVISTA DEL DOMINGO</v>
          </cell>
          <cell r="F14">
            <v>5.9</v>
          </cell>
          <cell r="G14">
            <v>84330</v>
          </cell>
          <cell r="I14">
            <v>7.4</v>
          </cell>
          <cell r="N14">
            <v>4.4000000000000004</v>
          </cell>
          <cell r="O14" t="str">
            <v>21:30</v>
          </cell>
          <cell r="P14" t="str">
            <v>22:11</v>
          </cell>
          <cell r="Q14">
            <v>0</v>
          </cell>
          <cell r="R14">
            <v>0</v>
          </cell>
          <cell r="S14">
            <v>5</v>
          </cell>
        </row>
        <row r="15">
          <cell r="B15" t="str">
            <v>0</v>
          </cell>
          <cell r="C15" t="str">
            <v>07</v>
          </cell>
          <cell r="D15" t="str">
            <v>FUTBOL</v>
          </cell>
          <cell r="E15" t="str">
            <v>FUTBOL NACIONAL</v>
          </cell>
          <cell r="F15">
            <v>5.9</v>
          </cell>
          <cell r="G15">
            <v>83773</v>
          </cell>
          <cell r="L15">
            <v>5.9</v>
          </cell>
          <cell r="O15" t="str">
            <v>22:02</v>
          </cell>
          <cell r="P15" t="str">
            <v>00:05</v>
          </cell>
          <cell r="Q15">
            <v>0</v>
          </cell>
          <cell r="R15">
            <v>0</v>
          </cell>
          <cell r="S15">
            <v>1</v>
          </cell>
        </row>
        <row r="16">
          <cell r="B16" t="str">
            <v>0</v>
          </cell>
          <cell r="C16" t="str">
            <v>07</v>
          </cell>
          <cell r="D16" t="str">
            <v>INFORMATIVO</v>
          </cell>
          <cell r="E16" t="str">
            <v>MEDIA NOCHE</v>
          </cell>
          <cell r="F16">
            <v>5.8</v>
          </cell>
          <cell r="G16">
            <v>82456</v>
          </cell>
          <cell r="H16">
            <v>5.5</v>
          </cell>
          <cell r="I16">
            <v>6.2</v>
          </cell>
          <cell r="J16">
            <v>5.9</v>
          </cell>
          <cell r="K16">
            <v>5.5</v>
          </cell>
          <cell r="L16">
            <v>4.3</v>
          </cell>
          <cell r="M16">
            <v>3.3</v>
          </cell>
          <cell r="N16">
            <v>9.6999999999999993</v>
          </cell>
          <cell r="O16" t="str">
            <v>23:51</v>
          </cell>
          <cell r="P16" t="str">
            <v>01:47</v>
          </cell>
          <cell r="Q16">
            <v>0</v>
          </cell>
          <cell r="R16">
            <v>0</v>
          </cell>
          <cell r="S16">
            <v>31</v>
          </cell>
        </row>
        <row r="17">
          <cell r="B17" t="str">
            <v>0</v>
          </cell>
          <cell r="C17" t="str">
            <v>07</v>
          </cell>
          <cell r="D17" t="str">
            <v>NOTICIERO</v>
          </cell>
          <cell r="E17" t="str">
            <v>24 HORAS</v>
          </cell>
          <cell r="F17">
            <v>5.8</v>
          </cell>
          <cell r="G17">
            <v>83596</v>
          </cell>
          <cell r="H17">
            <v>7.2</v>
          </cell>
          <cell r="I17">
            <v>7</v>
          </cell>
          <cell r="J17">
            <v>6.7</v>
          </cell>
          <cell r="K17">
            <v>6</v>
          </cell>
          <cell r="L17">
            <v>5.4</v>
          </cell>
          <cell r="M17">
            <v>3.6</v>
          </cell>
          <cell r="N17">
            <v>5.0999999999999996</v>
          </cell>
          <cell r="O17" t="str">
            <v>20:59</v>
          </cell>
          <cell r="P17" t="str">
            <v>22:37</v>
          </cell>
          <cell r="Q17">
            <v>0</v>
          </cell>
          <cell r="R17">
            <v>0</v>
          </cell>
          <cell r="S17">
            <v>42</v>
          </cell>
        </row>
        <row r="18">
          <cell r="B18" t="str">
            <v>0</v>
          </cell>
          <cell r="C18" t="str">
            <v>07</v>
          </cell>
          <cell r="D18" t="str">
            <v>INFORMATIVO</v>
          </cell>
          <cell r="E18" t="str">
            <v>RED NACIONAL</v>
          </cell>
          <cell r="F18">
            <v>5.6</v>
          </cell>
          <cell r="G18">
            <v>79832</v>
          </cell>
          <cell r="K18">
            <v>5.6</v>
          </cell>
          <cell r="O18" t="str">
            <v>20:50</v>
          </cell>
          <cell r="P18" t="str">
            <v>21:17</v>
          </cell>
          <cell r="Q18">
            <v>0</v>
          </cell>
          <cell r="R18">
            <v>0</v>
          </cell>
          <cell r="S18">
            <v>1</v>
          </cell>
        </row>
        <row r="19">
          <cell r="B19" t="str">
            <v>0</v>
          </cell>
          <cell r="C19" t="str">
            <v>07</v>
          </cell>
          <cell r="D19" t="str">
            <v>P_ESPECIAL</v>
          </cell>
          <cell r="E19" t="str">
            <v>BUENOS DIAS 2000 HOY</v>
          </cell>
          <cell r="F19">
            <v>5.5</v>
          </cell>
          <cell r="G19">
            <v>78872</v>
          </cell>
          <cell r="L19">
            <v>5.5</v>
          </cell>
          <cell r="O19" t="str">
            <v>08:00</v>
          </cell>
          <cell r="P19" t="str">
            <v>14:00</v>
          </cell>
          <cell r="Q19">
            <v>0</v>
          </cell>
          <cell r="R19">
            <v>0</v>
          </cell>
          <cell r="S19">
            <v>1</v>
          </cell>
        </row>
        <row r="20">
          <cell r="B20" t="str">
            <v>0</v>
          </cell>
          <cell r="C20" t="str">
            <v>07</v>
          </cell>
          <cell r="D20" t="str">
            <v>FUTBOL</v>
          </cell>
          <cell r="E20" t="str">
            <v>FUTBOL DE VERANO</v>
          </cell>
          <cell r="F20">
            <v>5.2</v>
          </cell>
          <cell r="G20">
            <v>74919</v>
          </cell>
          <cell r="H20">
            <v>8.5</v>
          </cell>
          <cell r="J20">
            <v>2.4</v>
          </cell>
          <cell r="K20">
            <v>5.3</v>
          </cell>
          <cell r="L20">
            <v>4.7</v>
          </cell>
          <cell r="O20" t="str">
            <v>22:00</v>
          </cell>
          <cell r="P20" t="str">
            <v>00:20</v>
          </cell>
          <cell r="Q20">
            <v>0</v>
          </cell>
          <cell r="R20">
            <v>0</v>
          </cell>
          <cell r="S20">
            <v>5</v>
          </cell>
        </row>
        <row r="21">
          <cell r="B21" t="str">
            <v>0</v>
          </cell>
          <cell r="C21" t="str">
            <v>07</v>
          </cell>
          <cell r="D21" t="str">
            <v>P_ESPECIAL</v>
          </cell>
          <cell r="E21" t="str">
            <v>ELECCIONES 2000</v>
          </cell>
          <cell r="F21">
            <v>5.0999999999999996</v>
          </cell>
          <cell r="G21">
            <v>73256</v>
          </cell>
          <cell r="N21">
            <v>5.0999999999999996</v>
          </cell>
          <cell r="O21" t="str">
            <v>08:05</v>
          </cell>
          <cell r="P21" t="str">
            <v>23:55</v>
          </cell>
          <cell r="Q21">
            <v>0</v>
          </cell>
          <cell r="R21">
            <v>0</v>
          </cell>
          <cell r="S21">
            <v>3</v>
          </cell>
        </row>
        <row r="22">
          <cell r="B22" t="str">
            <v>0</v>
          </cell>
          <cell r="C22" t="str">
            <v>09</v>
          </cell>
          <cell r="D22" t="str">
            <v>ENTREVISTA</v>
          </cell>
          <cell r="E22" t="str">
            <v>HUMANAMENTE HABLANDO</v>
          </cell>
          <cell r="F22">
            <v>5.2</v>
          </cell>
          <cell r="G22">
            <v>73748</v>
          </cell>
          <cell r="K22">
            <v>5.2</v>
          </cell>
          <cell r="O22" t="str">
            <v>23:31</v>
          </cell>
          <cell r="P22" t="str">
            <v>00:25</v>
          </cell>
          <cell r="Q22">
            <v>0</v>
          </cell>
          <cell r="R22">
            <v>0</v>
          </cell>
          <cell r="S22">
            <v>3</v>
          </cell>
        </row>
        <row r="23">
          <cell r="B23" t="str">
            <v>0</v>
          </cell>
          <cell r="C23" t="str">
            <v>09</v>
          </cell>
          <cell r="D23" t="str">
            <v>INFORMATIVO</v>
          </cell>
          <cell r="E23" t="str">
            <v>AQUI EN VIVO</v>
          </cell>
          <cell r="F23">
            <v>4.9000000000000004</v>
          </cell>
          <cell r="G23">
            <v>69943</v>
          </cell>
          <cell r="K23">
            <v>4.9000000000000004</v>
          </cell>
          <cell r="O23" t="str">
            <v>22:06</v>
          </cell>
          <cell r="P23" t="str">
            <v>23:38</v>
          </cell>
          <cell r="Q23">
            <v>0</v>
          </cell>
          <cell r="R23">
            <v>0</v>
          </cell>
          <cell r="S23">
            <v>3</v>
          </cell>
        </row>
        <row r="24">
          <cell r="B24" t="str">
            <v>0</v>
          </cell>
          <cell r="C24" t="str">
            <v>09</v>
          </cell>
          <cell r="D24" t="str">
            <v>HUMOR</v>
          </cell>
          <cell r="E24" t="str">
            <v>CHILE TU DAY</v>
          </cell>
          <cell r="F24">
            <v>4.7</v>
          </cell>
          <cell r="G24">
            <v>67654</v>
          </cell>
          <cell r="I24">
            <v>4.7</v>
          </cell>
          <cell r="O24" t="str">
            <v>22:00</v>
          </cell>
          <cell r="P24" t="str">
            <v>23:57</v>
          </cell>
          <cell r="Q24">
            <v>0</v>
          </cell>
          <cell r="R24">
            <v>0</v>
          </cell>
          <cell r="S24">
            <v>6</v>
          </cell>
        </row>
        <row r="25">
          <cell r="B25" t="str">
            <v>0</v>
          </cell>
          <cell r="C25" t="str">
            <v>09</v>
          </cell>
          <cell r="D25" t="str">
            <v>PELICULA</v>
          </cell>
          <cell r="E25" t="str">
            <v>EL SHOW DEL TERROR</v>
          </cell>
          <cell r="F25">
            <v>4.3</v>
          </cell>
          <cell r="G25">
            <v>61299</v>
          </cell>
          <cell r="J25">
            <v>4.3</v>
          </cell>
          <cell r="O25" t="str">
            <v>22:07</v>
          </cell>
          <cell r="P25" t="str">
            <v>00:50</v>
          </cell>
          <cell r="Q25">
            <v>0</v>
          </cell>
          <cell r="R25">
            <v>0</v>
          </cell>
          <cell r="S25">
            <v>3</v>
          </cell>
        </row>
        <row r="26">
          <cell r="B26" t="str">
            <v>0</v>
          </cell>
          <cell r="C26" t="str">
            <v>09</v>
          </cell>
          <cell r="D26" t="str">
            <v>NOTICIERO</v>
          </cell>
          <cell r="E26" t="str">
            <v>CERO HORAS</v>
          </cell>
          <cell r="F26">
            <v>3.5</v>
          </cell>
          <cell r="G26">
            <v>49997</v>
          </cell>
          <cell r="H26">
            <v>3.1</v>
          </cell>
          <cell r="I26">
            <v>4.3</v>
          </cell>
          <cell r="J26">
            <v>4</v>
          </cell>
          <cell r="K26">
            <v>3.5</v>
          </cell>
          <cell r="L26">
            <v>2.6</v>
          </cell>
          <cell r="O26" t="str">
            <v>23:58</v>
          </cell>
          <cell r="P26" t="str">
            <v>00:34</v>
          </cell>
          <cell r="Q26">
            <v>0</v>
          </cell>
          <cell r="R26">
            <v>0</v>
          </cell>
          <cell r="S26">
            <v>29</v>
          </cell>
        </row>
        <row r="27">
          <cell r="B27" t="str">
            <v>0</v>
          </cell>
          <cell r="C27" t="str">
            <v>09</v>
          </cell>
          <cell r="D27" t="str">
            <v>TELENOVELA</v>
          </cell>
          <cell r="E27" t="str">
            <v>POR TU AMOR</v>
          </cell>
          <cell r="F27">
            <v>3.5</v>
          </cell>
          <cell r="G27">
            <v>49347</v>
          </cell>
          <cell r="H27">
            <v>3.6</v>
          </cell>
          <cell r="I27">
            <v>3.6</v>
          </cell>
          <cell r="J27">
            <v>3.5</v>
          </cell>
          <cell r="K27">
            <v>3</v>
          </cell>
          <cell r="L27">
            <v>3.6</v>
          </cell>
          <cell r="O27" t="str">
            <v>14:36</v>
          </cell>
          <cell r="P27" t="str">
            <v>16:09</v>
          </cell>
          <cell r="Q27">
            <v>0</v>
          </cell>
          <cell r="R27">
            <v>0</v>
          </cell>
          <cell r="S27">
            <v>30</v>
          </cell>
        </row>
        <row r="28">
          <cell r="B28" t="str">
            <v>0</v>
          </cell>
          <cell r="C28" t="str">
            <v>09</v>
          </cell>
          <cell r="D28" t="str">
            <v>PELICULA</v>
          </cell>
          <cell r="E28" t="str">
            <v>HECHOS DE LA VIDA REAL</v>
          </cell>
          <cell r="F28">
            <v>3.3</v>
          </cell>
          <cell r="G28">
            <v>47150</v>
          </cell>
          <cell r="H28">
            <v>3.3</v>
          </cell>
          <cell r="O28" t="str">
            <v>22:01</v>
          </cell>
          <cell r="P28" t="str">
            <v>23:56</v>
          </cell>
          <cell r="Q28">
            <v>0</v>
          </cell>
          <cell r="R28">
            <v>0</v>
          </cell>
          <cell r="S28">
            <v>6</v>
          </cell>
        </row>
        <row r="29">
          <cell r="B29" t="str">
            <v>0</v>
          </cell>
          <cell r="C29" t="str">
            <v>09</v>
          </cell>
          <cell r="D29" t="str">
            <v>TELENOVELA</v>
          </cell>
          <cell r="E29" t="str">
            <v>EL PRIVILEGIO DE AMAR</v>
          </cell>
          <cell r="F29">
            <v>3.3</v>
          </cell>
          <cell r="G29">
            <v>46711</v>
          </cell>
          <cell r="H29">
            <v>3.2</v>
          </cell>
          <cell r="I29">
            <v>3</v>
          </cell>
          <cell r="J29">
            <v>3.8</v>
          </cell>
          <cell r="K29">
            <v>3.3</v>
          </cell>
          <cell r="L29">
            <v>3</v>
          </cell>
          <cell r="O29" t="str">
            <v>14:00</v>
          </cell>
          <cell r="P29" t="str">
            <v>15:05</v>
          </cell>
          <cell r="Q29">
            <v>0</v>
          </cell>
          <cell r="R29">
            <v>0</v>
          </cell>
          <cell r="S29">
            <v>30</v>
          </cell>
        </row>
        <row r="30">
          <cell r="B30" t="str">
            <v>0</v>
          </cell>
          <cell r="C30" t="str">
            <v>09</v>
          </cell>
          <cell r="D30" t="str">
            <v>REPORTAJE</v>
          </cell>
          <cell r="E30" t="str">
            <v>A CORAZON ABIERTO</v>
          </cell>
          <cell r="F30">
            <v>3.2</v>
          </cell>
          <cell r="G30">
            <v>45320</v>
          </cell>
          <cell r="J30">
            <v>3.2</v>
          </cell>
          <cell r="O30" t="str">
            <v>22:03</v>
          </cell>
          <cell r="P30" t="str">
            <v>23:03</v>
          </cell>
          <cell r="Q30">
            <v>0</v>
          </cell>
          <cell r="R30">
            <v>0</v>
          </cell>
          <cell r="S30">
            <v>2</v>
          </cell>
        </row>
        <row r="31">
          <cell r="B31" t="str">
            <v>0</v>
          </cell>
          <cell r="C31" t="str">
            <v>09</v>
          </cell>
          <cell r="D31" t="str">
            <v>MISCELANEO</v>
          </cell>
          <cell r="E31" t="str">
            <v>BUENAS TARDES ELI</v>
          </cell>
          <cell r="F31">
            <v>3</v>
          </cell>
          <cell r="G31">
            <v>43141</v>
          </cell>
          <cell r="H31">
            <v>4.3</v>
          </cell>
          <cell r="I31">
            <v>4.0999999999999996</v>
          </cell>
          <cell r="J31">
            <v>3</v>
          </cell>
          <cell r="K31">
            <v>2.7</v>
          </cell>
          <cell r="L31">
            <v>1.1000000000000001</v>
          </cell>
          <cell r="O31" t="str">
            <v>15:44</v>
          </cell>
          <cell r="P31" t="str">
            <v>17:36</v>
          </cell>
          <cell r="Q31">
            <v>0</v>
          </cell>
          <cell r="R31">
            <v>0</v>
          </cell>
          <cell r="S31">
            <v>5</v>
          </cell>
        </row>
        <row r="32">
          <cell r="B32" t="str">
            <v>0</v>
          </cell>
          <cell r="C32" t="str">
            <v>09</v>
          </cell>
          <cell r="D32" t="str">
            <v>FUTBOL</v>
          </cell>
          <cell r="E32" t="str">
            <v>COPA CIUDAD DE SANTIAGO</v>
          </cell>
          <cell r="F32">
            <v>3</v>
          </cell>
          <cell r="G32">
            <v>42503</v>
          </cell>
          <cell r="H32">
            <v>2.4</v>
          </cell>
          <cell r="J32">
            <v>4.0999999999999996</v>
          </cell>
          <cell r="K32">
            <v>2.8</v>
          </cell>
          <cell r="N32">
            <v>2.7</v>
          </cell>
          <cell r="O32" t="str">
            <v>18:37</v>
          </cell>
          <cell r="P32" t="str">
            <v>00:21</v>
          </cell>
          <cell r="Q32">
            <v>0</v>
          </cell>
          <cell r="R32">
            <v>0</v>
          </cell>
          <cell r="S32">
            <v>6</v>
          </cell>
        </row>
        <row r="33">
          <cell r="B33" t="str">
            <v>0</v>
          </cell>
          <cell r="C33" t="str">
            <v>09</v>
          </cell>
          <cell r="D33" t="str">
            <v>SERIE</v>
          </cell>
          <cell r="E33" t="str">
            <v>SUNSET BEAT</v>
          </cell>
          <cell r="F33">
            <v>3</v>
          </cell>
          <cell r="G33">
            <v>42287</v>
          </cell>
          <cell r="H33">
            <v>2.4</v>
          </cell>
          <cell r="I33">
            <v>4.4000000000000004</v>
          </cell>
          <cell r="J33">
            <v>2.2000000000000002</v>
          </cell>
          <cell r="K33">
            <v>2.9</v>
          </cell>
          <cell r="L33">
            <v>2.8</v>
          </cell>
          <cell r="O33" t="str">
            <v>23:44</v>
          </cell>
          <cell r="P33" t="str">
            <v>01:46</v>
          </cell>
          <cell r="Q33">
            <v>0</v>
          </cell>
          <cell r="R33">
            <v>0</v>
          </cell>
          <cell r="S33">
            <v>13</v>
          </cell>
        </row>
        <row r="34">
          <cell r="B34" t="str">
            <v>0</v>
          </cell>
          <cell r="C34" t="str">
            <v>09</v>
          </cell>
          <cell r="D34" t="str">
            <v>PELICULA</v>
          </cell>
          <cell r="E34" t="str">
            <v>AVANT PREMIER</v>
          </cell>
          <cell r="F34">
            <v>2.8</v>
          </cell>
          <cell r="G34">
            <v>39984</v>
          </cell>
          <cell r="L34">
            <v>2.8</v>
          </cell>
          <cell r="O34" t="str">
            <v>21:59</v>
          </cell>
          <cell r="P34" t="str">
            <v>23:56</v>
          </cell>
          <cell r="Q34">
            <v>0</v>
          </cell>
          <cell r="R34">
            <v>0</v>
          </cell>
          <cell r="S34">
            <v>5</v>
          </cell>
        </row>
        <row r="35">
          <cell r="B35" t="str">
            <v>0</v>
          </cell>
          <cell r="C35" t="str">
            <v>09</v>
          </cell>
          <cell r="D35" t="str">
            <v>NOTICIERO</v>
          </cell>
          <cell r="E35" t="str">
            <v>MEGANOTICIAS</v>
          </cell>
          <cell r="F35">
            <v>2.7</v>
          </cell>
          <cell r="G35">
            <v>39266</v>
          </cell>
          <cell r="H35">
            <v>2.5</v>
          </cell>
          <cell r="I35">
            <v>3.2</v>
          </cell>
          <cell r="J35">
            <v>3.3</v>
          </cell>
          <cell r="K35">
            <v>2.8</v>
          </cell>
          <cell r="L35">
            <v>1.9</v>
          </cell>
          <cell r="O35" t="str">
            <v>20:59</v>
          </cell>
          <cell r="P35" t="str">
            <v>22:09</v>
          </cell>
          <cell r="Q35">
            <v>0</v>
          </cell>
          <cell r="R35">
            <v>0</v>
          </cell>
          <cell r="S35">
            <v>30</v>
          </cell>
        </row>
        <row r="36">
          <cell r="B36" t="str">
            <v>0</v>
          </cell>
          <cell r="C36" t="str">
            <v>09</v>
          </cell>
          <cell r="D36" t="str">
            <v>REPORTAJE</v>
          </cell>
          <cell r="E36" t="str">
            <v>IN SITU</v>
          </cell>
          <cell r="F36">
            <v>2.7</v>
          </cell>
          <cell r="G36">
            <v>38730</v>
          </cell>
          <cell r="J36">
            <v>2.7</v>
          </cell>
          <cell r="O36" t="str">
            <v>22:03</v>
          </cell>
          <cell r="P36" t="str">
            <v>23:14</v>
          </cell>
          <cell r="Q36">
            <v>0</v>
          </cell>
          <cell r="R36">
            <v>0</v>
          </cell>
          <cell r="S36">
            <v>1</v>
          </cell>
        </row>
        <row r="37">
          <cell r="B37" t="str">
            <v>0</v>
          </cell>
          <cell r="C37" t="str">
            <v>09</v>
          </cell>
          <cell r="D37" t="str">
            <v>TELENOVELA</v>
          </cell>
          <cell r="E37" t="str">
            <v>NUNCA TE OLVIDARE</v>
          </cell>
          <cell r="F37">
            <v>2.6</v>
          </cell>
          <cell r="G37">
            <v>37140</v>
          </cell>
          <cell r="H37">
            <v>2.9</v>
          </cell>
          <cell r="I37">
            <v>2.6</v>
          </cell>
          <cell r="J37">
            <v>2.6</v>
          </cell>
          <cell r="K37">
            <v>2.6</v>
          </cell>
          <cell r="L37">
            <v>2.2999999999999998</v>
          </cell>
          <cell r="O37" t="str">
            <v>19:39</v>
          </cell>
          <cell r="P37" t="str">
            <v>20:59</v>
          </cell>
          <cell r="Q37">
            <v>0</v>
          </cell>
          <cell r="R37">
            <v>0</v>
          </cell>
          <cell r="S37">
            <v>24</v>
          </cell>
        </row>
        <row r="38">
          <cell r="B38" t="str">
            <v>0</v>
          </cell>
          <cell r="C38" t="str">
            <v>09</v>
          </cell>
          <cell r="D38" t="str">
            <v>NOTICIERO</v>
          </cell>
          <cell r="E38" t="str">
            <v>MEGANOTICIAS EDICION TARDE</v>
          </cell>
          <cell r="F38">
            <v>2.5</v>
          </cell>
          <cell r="G38">
            <v>35066</v>
          </cell>
          <cell r="H38">
            <v>2.8</v>
          </cell>
          <cell r="I38">
            <v>2.4</v>
          </cell>
          <cell r="J38">
            <v>3.2</v>
          </cell>
          <cell r="K38">
            <v>3</v>
          </cell>
          <cell r="L38">
            <v>2.4</v>
          </cell>
          <cell r="N38">
            <v>0.8</v>
          </cell>
          <cell r="O38" t="str">
            <v>13:03</v>
          </cell>
          <cell r="P38" t="str">
            <v>14:03</v>
          </cell>
          <cell r="Q38">
            <v>0</v>
          </cell>
          <cell r="R38">
            <v>0</v>
          </cell>
          <cell r="S38">
            <v>30</v>
          </cell>
        </row>
        <row r="39">
          <cell r="B39" t="str">
            <v>0</v>
          </cell>
          <cell r="C39" t="str">
            <v>09</v>
          </cell>
          <cell r="D39" t="str">
            <v>NOTICIERO</v>
          </cell>
          <cell r="E39" t="str">
            <v>MEGANOTICIAS SINTESIS DOMINGO</v>
          </cell>
          <cell r="F39">
            <v>2.4</v>
          </cell>
          <cell r="G39">
            <v>34744</v>
          </cell>
          <cell r="N39">
            <v>2.4</v>
          </cell>
          <cell r="O39" t="str">
            <v>20:58</v>
          </cell>
          <cell r="P39" t="str">
            <v>22:28</v>
          </cell>
          <cell r="Q39">
            <v>0</v>
          </cell>
          <cell r="R39">
            <v>0</v>
          </cell>
          <cell r="S39">
            <v>6</v>
          </cell>
        </row>
        <row r="40">
          <cell r="B40" t="str">
            <v>0</v>
          </cell>
          <cell r="C40" t="str">
            <v>09</v>
          </cell>
          <cell r="D40" t="str">
            <v>POLITICO</v>
          </cell>
          <cell r="E40" t="str">
            <v>FRANJA POLITICA 2</v>
          </cell>
          <cell r="F40">
            <v>2.4</v>
          </cell>
          <cell r="G40">
            <v>33919</v>
          </cell>
          <cell r="H40">
            <v>3.8</v>
          </cell>
          <cell r="I40">
            <v>2.7</v>
          </cell>
          <cell r="J40">
            <v>3.1</v>
          </cell>
          <cell r="K40">
            <v>2.2999999999999998</v>
          </cell>
          <cell r="L40">
            <v>2.2000000000000002</v>
          </cell>
          <cell r="M40">
            <v>1.7</v>
          </cell>
          <cell r="N40">
            <v>0.9</v>
          </cell>
          <cell r="O40" t="str">
            <v>20:54</v>
          </cell>
          <cell r="P40" t="str">
            <v>21:00</v>
          </cell>
          <cell r="Q40">
            <v>0</v>
          </cell>
          <cell r="R40">
            <v>0</v>
          </cell>
          <cell r="S40">
            <v>11</v>
          </cell>
        </row>
        <row r="41">
          <cell r="B41" t="str">
            <v>0</v>
          </cell>
          <cell r="C41" t="str">
            <v>09</v>
          </cell>
          <cell r="D41" t="str">
            <v>TELENOVELA</v>
          </cell>
          <cell r="E41" t="str">
            <v>GOTITA DE AMOR</v>
          </cell>
          <cell r="F41">
            <v>2.2999999999999998</v>
          </cell>
          <cell r="G41">
            <v>32560</v>
          </cell>
          <cell r="I41">
            <v>2.2000000000000002</v>
          </cell>
          <cell r="J41">
            <v>2.5</v>
          </cell>
          <cell r="K41">
            <v>2.5</v>
          </cell>
          <cell r="L41">
            <v>2</v>
          </cell>
          <cell r="O41" t="str">
            <v>20:08</v>
          </cell>
          <cell r="P41" t="str">
            <v>20:59</v>
          </cell>
          <cell r="Q41">
            <v>0</v>
          </cell>
          <cell r="R41">
            <v>0</v>
          </cell>
          <cell r="S41">
            <v>4</v>
          </cell>
        </row>
        <row r="42">
          <cell r="B42" t="str">
            <v>0</v>
          </cell>
          <cell r="C42" t="str">
            <v>11</v>
          </cell>
          <cell r="D42" t="str">
            <v>CONVERSACION</v>
          </cell>
          <cell r="E42" t="str">
            <v>DE AQUI NO SALE</v>
          </cell>
          <cell r="F42">
            <v>6.2</v>
          </cell>
          <cell r="G42">
            <v>89056</v>
          </cell>
          <cell r="J42">
            <v>6.2</v>
          </cell>
          <cell r="O42" t="str">
            <v>22:00</v>
          </cell>
          <cell r="P42" t="str">
            <v>00:15</v>
          </cell>
          <cell r="Q42">
            <v>0</v>
          </cell>
          <cell r="R42">
            <v>0</v>
          </cell>
          <cell r="S42">
            <v>5</v>
          </cell>
        </row>
        <row r="43">
          <cell r="B43" t="str">
            <v>0</v>
          </cell>
          <cell r="C43" t="str">
            <v>11</v>
          </cell>
          <cell r="D43" t="str">
            <v>PELICULA</v>
          </cell>
          <cell r="E43" t="str">
            <v>PREMIUM</v>
          </cell>
          <cell r="F43">
            <v>5.0999999999999996</v>
          </cell>
          <cell r="G43">
            <v>72390</v>
          </cell>
          <cell r="I43">
            <v>5.4</v>
          </cell>
          <cell r="J43">
            <v>4.7</v>
          </cell>
          <cell r="O43" t="str">
            <v>22:00</v>
          </cell>
          <cell r="P43" t="str">
            <v>00:05</v>
          </cell>
          <cell r="Q43">
            <v>0</v>
          </cell>
          <cell r="R43">
            <v>0</v>
          </cell>
          <cell r="S43">
            <v>7</v>
          </cell>
        </row>
        <row r="44">
          <cell r="B44" t="str">
            <v>0</v>
          </cell>
          <cell r="C44" t="str">
            <v>11</v>
          </cell>
          <cell r="D44" t="str">
            <v>MUSICAL</v>
          </cell>
          <cell r="E44" t="str">
            <v>ABBA Y A-TEENS</v>
          </cell>
          <cell r="F44">
            <v>3.1</v>
          </cell>
          <cell r="G44">
            <v>44764</v>
          </cell>
          <cell r="L44">
            <v>3.1</v>
          </cell>
          <cell r="O44" t="str">
            <v>23:12</v>
          </cell>
          <cell r="P44" t="str">
            <v>00:02</v>
          </cell>
          <cell r="Q44">
            <v>0</v>
          </cell>
          <cell r="R44">
            <v>0</v>
          </cell>
          <cell r="S44">
            <v>1</v>
          </cell>
        </row>
        <row r="45">
          <cell r="B45" t="str">
            <v>0</v>
          </cell>
          <cell r="C45" t="str">
            <v>11</v>
          </cell>
          <cell r="D45" t="str">
            <v>JUVENIL</v>
          </cell>
          <cell r="E45" t="str">
            <v>LUNATICOS</v>
          </cell>
          <cell r="F45">
            <v>2.9</v>
          </cell>
          <cell r="G45">
            <v>41184</v>
          </cell>
          <cell r="M45">
            <v>2.9</v>
          </cell>
          <cell r="O45" t="str">
            <v>23:51</v>
          </cell>
          <cell r="P45" t="str">
            <v>01:50</v>
          </cell>
          <cell r="Q45">
            <v>0</v>
          </cell>
          <cell r="R45">
            <v>0</v>
          </cell>
          <cell r="S45">
            <v>5</v>
          </cell>
        </row>
        <row r="46">
          <cell r="B46" t="str">
            <v>0</v>
          </cell>
          <cell r="C46" t="str">
            <v>11</v>
          </cell>
          <cell r="D46" t="str">
            <v>PELICULA</v>
          </cell>
          <cell r="E46" t="str">
            <v>NOCHE DE CINE</v>
          </cell>
          <cell r="F46">
            <v>2.8</v>
          </cell>
          <cell r="G46">
            <v>39900</v>
          </cell>
          <cell r="M46">
            <v>2.8</v>
          </cell>
          <cell r="O46" t="str">
            <v>21:56</v>
          </cell>
          <cell r="P46" t="str">
            <v>00:01</v>
          </cell>
          <cell r="Q46">
            <v>0</v>
          </cell>
          <cell r="R46">
            <v>0</v>
          </cell>
          <cell r="S46">
            <v>3</v>
          </cell>
        </row>
        <row r="47">
          <cell r="B47" t="str">
            <v>0</v>
          </cell>
          <cell r="C47" t="str">
            <v>11</v>
          </cell>
          <cell r="D47" t="str">
            <v>FUTBOL</v>
          </cell>
          <cell r="E47" t="str">
            <v>FUTBOL INTERNACIONAL</v>
          </cell>
          <cell r="F47">
            <v>2.7</v>
          </cell>
          <cell r="G47">
            <v>38732</v>
          </cell>
          <cell r="L47">
            <v>2.7</v>
          </cell>
          <cell r="O47" t="str">
            <v>22:01</v>
          </cell>
          <cell r="P47" t="str">
            <v>00:17</v>
          </cell>
          <cell r="Q47">
            <v>0</v>
          </cell>
          <cell r="R47">
            <v>0</v>
          </cell>
          <cell r="S47">
            <v>1</v>
          </cell>
        </row>
        <row r="48">
          <cell r="B48" t="str">
            <v>0</v>
          </cell>
          <cell r="C48" t="str">
            <v>11</v>
          </cell>
          <cell r="D48" t="str">
            <v>NOTICIERO</v>
          </cell>
          <cell r="E48" t="str">
            <v>CHV NOTICIAS NOCHE</v>
          </cell>
          <cell r="F48">
            <v>2.5</v>
          </cell>
          <cell r="G48">
            <v>35486</v>
          </cell>
          <cell r="H48">
            <v>2.2000000000000002</v>
          </cell>
          <cell r="I48">
            <v>3.7</v>
          </cell>
          <cell r="J48">
            <v>3.3</v>
          </cell>
          <cell r="K48">
            <v>2.1</v>
          </cell>
          <cell r="L48">
            <v>1.7</v>
          </cell>
          <cell r="N48">
            <v>1.9</v>
          </cell>
          <cell r="O48" t="str">
            <v>23:45</v>
          </cell>
          <cell r="P48" t="str">
            <v>00:53</v>
          </cell>
          <cell r="Q48">
            <v>0</v>
          </cell>
          <cell r="R48">
            <v>0</v>
          </cell>
          <cell r="S48">
            <v>30</v>
          </cell>
        </row>
        <row r="49">
          <cell r="B49" t="str">
            <v>0</v>
          </cell>
          <cell r="C49" t="str">
            <v>11</v>
          </cell>
          <cell r="D49" t="str">
            <v>CONVERSACION</v>
          </cell>
          <cell r="E49" t="str">
            <v>CELEDON VILLEGAS Y CIA</v>
          </cell>
          <cell r="F49">
            <v>2.5</v>
          </cell>
          <cell r="G49">
            <v>35422</v>
          </cell>
          <cell r="H49">
            <v>2.5</v>
          </cell>
          <cell r="O49" t="str">
            <v>22:03</v>
          </cell>
          <cell r="P49" t="str">
            <v>23:17</v>
          </cell>
          <cell r="Q49">
            <v>0</v>
          </cell>
          <cell r="R49">
            <v>0</v>
          </cell>
          <cell r="S49">
            <v>1</v>
          </cell>
        </row>
        <row r="50">
          <cell r="B50" t="str">
            <v>0</v>
          </cell>
          <cell r="C50" t="str">
            <v>11</v>
          </cell>
          <cell r="D50" t="str">
            <v>MISCELANEO</v>
          </cell>
          <cell r="E50" t="str">
            <v>DE VEZ EN CUANDO LA VIDA</v>
          </cell>
          <cell r="F50">
            <v>2.2999999999999998</v>
          </cell>
          <cell r="G50">
            <v>32893</v>
          </cell>
          <cell r="H50">
            <v>2.2999999999999998</v>
          </cell>
          <cell r="O50" t="str">
            <v>21:59</v>
          </cell>
          <cell r="P50" t="str">
            <v>23:18</v>
          </cell>
          <cell r="Q50">
            <v>0</v>
          </cell>
          <cell r="R50">
            <v>0</v>
          </cell>
          <cell r="S50">
            <v>5</v>
          </cell>
        </row>
        <row r="51">
          <cell r="B51" t="str">
            <v>0</v>
          </cell>
          <cell r="C51" t="str">
            <v>11</v>
          </cell>
          <cell r="D51" t="str">
            <v>PELICULA</v>
          </cell>
          <cell r="E51" t="str">
            <v>DOMINGO DE PELICULA</v>
          </cell>
          <cell r="F51">
            <v>2.2999999999999998</v>
          </cell>
          <cell r="G51">
            <v>32717</v>
          </cell>
          <cell r="N51">
            <v>2.2999999999999998</v>
          </cell>
          <cell r="O51" t="str">
            <v>21:59</v>
          </cell>
          <cell r="P51" t="str">
            <v>00:45</v>
          </cell>
          <cell r="Q51">
            <v>0</v>
          </cell>
          <cell r="R51">
            <v>0</v>
          </cell>
          <cell r="S51">
            <v>6</v>
          </cell>
        </row>
        <row r="52">
          <cell r="B52" t="str">
            <v>0</v>
          </cell>
          <cell r="C52" t="str">
            <v>11</v>
          </cell>
          <cell r="D52" t="str">
            <v>SE_INFANTIL</v>
          </cell>
          <cell r="E52" t="str">
            <v>CONAN</v>
          </cell>
          <cell r="F52">
            <v>2.2000000000000002</v>
          </cell>
          <cell r="G52">
            <v>31729</v>
          </cell>
          <cell r="N52">
            <v>2.2000000000000002</v>
          </cell>
          <cell r="O52" t="str">
            <v>14:38</v>
          </cell>
          <cell r="P52" t="str">
            <v>15:31</v>
          </cell>
          <cell r="Q52">
            <v>0</v>
          </cell>
          <cell r="R52">
            <v>0</v>
          </cell>
          <cell r="S52">
            <v>1</v>
          </cell>
        </row>
        <row r="53">
          <cell r="B53" t="str">
            <v>0</v>
          </cell>
          <cell r="C53" t="str">
            <v>11</v>
          </cell>
          <cell r="D53" t="str">
            <v>MUSICAL</v>
          </cell>
          <cell r="E53" t="str">
            <v>EL SABOR DE LA NOCHE</v>
          </cell>
          <cell r="F53">
            <v>2.2000000000000002</v>
          </cell>
          <cell r="G53">
            <v>30743</v>
          </cell>
          <cell r="M53">
            <v>2.2000000000000002</v>
          </cell>
          <cell r="O53" t="str">
            <v>21:58</v>
          </cell>
          <cell r="P53" t="str">
            <v>00:00</v>
          </cell>
          <cell r="Q53">
            <v>0</v>
          </cell>
          <cell r="R53">
            <v>0</v>
          </cell>
          <cell r="S53">
            <v>3</v>
          </cell>
        </row>
        <row r="54">
          <cell r="B54" t="str">
            <v>0</v>
          </cell>
          <cell r="C54" t="str">
            <v>11</v>
          </cell>
          <cell r="D54" t="str">
            <v>MISCELANEO</v>
          </cell>
          <cell r="E54" t="str">
            <v>CRONICAS DE LO PARANORMAL</v>
          </cell>
          <cell r="F54">
            <v>2.1</v>
          </cell>
          <cell r="G54">
            <v>30302</v>
          </cell>
          <cell r="H54">
            <v>2.1</v>
          </cell>
          <cell r="O54" t="str">
            <v>23:11</v>
          </cell>
          <cell r="P54" t="str">
            <v>00:08</v>
          </cell>
          <cell r="Q54">
            <v>0</v>
          </cell>
          <cell r="R54">
            <v>0</v>
          </cell>
          <cell r="S54">
            <v>5</v>
          </cell>
        </row>
        <row r="55">
          <cell r="B55" t="str">
            <v>0</v>
          </cell>
          <cell r="C55" t="str">
            <v>11</v>
          </cell>
          <cell r="D55" t="str">
            <v>PELICULA</v>
          </cell>
          <cell r="E55" t="str">
            <v>GRAN PREMIER</v>
          </cell>
          <cell r="F55">
            <v>2.1</v>
          </cell>
          <cell r="G55">
            <v>30234</v>
          </cell>
          <cell r="K55">
            <v>2.1</v>
          </cell>
          <cell r="O55" t="str">
            <v>22:02</v>
          </cell>
          <cell r="P55" t="str">
            <v>00:09</v>
          </cell>
          <cell r="Q55">
            <v>0</v>
          </cell>
          <cell r="R55">
            <v>0</v>
          </cell>
          <cell r="S55">
            <v>5</v>
          </cell>
        </row>
        <row r="56">
          <cell r="B56" t="str">
            <v>0</v>
          </cell>
          <cell r="C56" t="str">
            <v>11</v>
          </cell>
          <cell r="D56" t="str">
            <v>SERIE</v>
          </cell>
          <cell r="E56" t="str">
            <v>NASH BRIDGES</v>
          </cell>
          <cell r="F56">
            <v>1.9</v>
          </cell>
          <cell r="G56">
            <v>27246</v>
          </cell>
          <cell r="N56">
            <v>1.9</v>
          </cell>
          <cell r="O56" t="str">
            <v>17:53</v>
          </cell>
          <cell r="P56" t="str">
            <v>19:14</v>
          </cell>
          <cell r="Q56">
            <v>0</v>
          </cell>
          <cell r="R56">
            <v>0</v>
          </cell>
          <cell r="S56">
            <v>5</v>
          </cell>
        </row>
        <row r="57">
          <cell r="B57" t="str">
            <v>0</v>
          </cell>
          <cell r="C57" t="str">
            <v>11</v>
          </cell>
          <cell r="D57" t="str">
            <v>MISCELANEO</v>
          </cell>
          <cell r="E57" t="str">
            <v>DR. SPOT</v>
          </cell>
          <cell r="F57">
            <v>1.9</v>
          </cell>
          <cell r="G57">
            <v>26541</v>
          </cell>
          <cell r="L57">
            <v>1.9</v>
          </cell>
          <cell r="O57" t="str">
            <v>21:58</v>
          </cell>
          <cell r="P57" t="str">
            <v>23:11</v>
          </cell>
          <cell r="Q57">
            <v>0</v>
          </cell>
          <cell r="R57">
            <v>0</v>
          </cell>
          <cell r="S57">
            <v>4</v>
          </cell>
        </row>
        <row r="58">
          <cell r="B58" t="str">
            <v>0</v>
          </cell>
          <cell r="C58" t="str">
            <v>11</v>
          </cell>
          <cell r="D58" t="str">
            <v>MISCELANEO</v>
          </cell>
          <cell r="E58" t="str">
            <v>BOHEMIA</v>
          </cell>
          <cell r="F58">
            <v>1.9</v>
          </cell>
          <cell r="G58">
            <v>27255</v>
          </cell>
          <cell r="H58">
            <v>1.8</v>
          </cell>
          <cell r="I58">
            <v>1.8</v>
          </cell>
          <cell r="J58">
            <v>2.4</v>
          </cell>
          <cell r="K58">
            <v>2.1</v>
          </cell>
          <cell r="L58">
            <v>1.4</v>
          </cell>
          <cell r="O58" t="str">
            <v>00:27</v>
          </cell>
          <cell r="P58" t="str">
            <v>02:06</v>
          </cell>
          <cell r="Q58">
            <v>0</v>
          </cell>
          <cell r="R58">
            <v>0</v>
          </cell>
          <cell r="S58">
            <v>25</v>
          </cell>
        </row>
        <row r="59">
          <cell r="B59" t="str">
            <v>0</v>
          </cell>
          <cell r="C59" t="str">
            <v>11</v>
          </cell>
          <cell r="D59" t="str">
            <v>EV_MUSICAL</v>
          </cell>
          <cell r="E59" t="str">
            <v>ESPECIALES MUSICALES</v>
          </cell>
          <cell r="F59">
            <v>1.8</v>
          </cell>
          <cell r="G59">
            <v>26266</v>
          </cell>
          <cell r="L59">
            <v>1.8</v>
          </cell>
          <cell r="O59" t="str">
            <v>22:58</v>
          </cell>
          <cell r="P59" t="str">
            <v>00:06</v>
          </cell>
          <cell r="Q59">
            <v>0</v>
          </cell>
          <cell r="R59">
            <v>0</v>
          </cell>
          <cell r="S59">
            <v>3</v>
          </cell>
        </row>
        <row r="60">
          <cell r="B60" t="str">
            <v>0</v>
          </cell>
          <cell r="C60" t="str">
            <v>11</v>
          </cell>
          <cell r="D60" t="str">
            <v>DEPORTIVO</v>
          </cell>
          <cell r="E60" t="str">
            <v>FUERA DE JUEGO</v>
          </cell>
          <cell r="F60">
            <v>1.8</v>
          </cell>
          <cell r="G60">
            <v>26185</v>
          </cell>
          <cell r="H60">
            <v>1.8</v>
          </cell>
          <cell r="O60" t="str">
            <v>23:18</v>
          </cell>
          <cell r="P60" t="str">
            <v>00:24</v>
          </cell>
          <cell r="Q60">
            <v>0</v>
          </cell>
          <cell r="R60">
            <v>0</v>
          </cell>
          <cell r="S60">
            <v>1</v>
          </cell>
        </row>
        <row r="61">
          <cell r="B61" t="str">
            <v>0</v>
          </cell>
          <cell r="C61" t="str">
            <v>11</v>
          </cell>
          <cell r="D61" t="str">
            <v>INFORMATIVO</v>
          </cell>
          <cell r="E61" t="str">
            <v>EL TIEMPO EN CHV (N)</v>
          </cell>
          <cell r="F61">
            <v>1.8</v>
          </cell>
          <cell r="G61">
            <v>26149</v>
          </cell>
          <cell r="H61">
            <v>1.4</v>
          </cell>
          <cell r="I61">
            <v>2.2000000000000002</v>
          </cell>
          <cell r="J61">
            <v>2.4</v>
          </cell>
          <cell r="K61">
            <v>1.5</v>
          </cell>
          <cell r="L61">
            <v>1.2</v>
          </cell>
          <cell r="N61">
            <v>2.2999999999999998</v>
          </cell>
          <cell r="O61" t="str">
            <v>00:25</v>
          </cell>
          <cell r="P61" t="str">
            <v>00:55</v>
          </cell>
          <cell r="Q61">
            <v>0</v>
          </cell>
          <cell r="R61">
            <v>0</v>
          </cell>
          <cell r="S61">
            <v>30</v>
          </cell>
        </row>
        <row r="62">
          <cell r="B62" t="str">
            <v>0</v>
          </cell>
          <cell r="C62" t="str">
            <v>13</v>
          </cell>
          <cell r="D62" t="str">
            <v>CONVERSACION</v>
          </cell>
          <cell r="E62" t="str">
            <v>VIVA EL LUNES</v>
          </cell>
          <cell r="F62">
            <v>17.399999999999999</v>
          </cell>
          <cell r="G62">
            <v>248972</v>
          </cell>
          <cell r="H62">
            <v>17.399999999999999</v>
          </cell>
          <cell r="O62" t="str">
            <v>22:02</v>
          </cell>
          <cell r="P62" t="str">
            <v>00:19</v>
          </cell>
          <cell r="Q62">
            <v>0</v>
          </cell>
          <cell r="R62">
            <v>0</v>
          </cell>
          <cell r="S62">
            <v>1</v>
          </cell>
        </row>
        <row r="63">
          <cell r="B63" t="str">
            <v>0</v>
          </cell>
          <cell r="C63" t="str">
            <v>13</v>
          </cell>
          <cell r="D63" t="str">
            <v>VARIEDAD</v>
          </cell>
          <cell r="E63" t="str">
            <v>VENGA CONMIGO (LO MEJOR)</v>
          </cell>
          <cell r="F63">
            <v>10.8</v>
          </cell>
          <cell r="G63">
            <v>154920</v>
          </cell>
          <cell r="N63">
            <v>10.8</v>
          </cell>
          <cell r="O63" t="str">
            <v>22:07</v>
          </cell>
          <cell r="P63" t="str">
            <v>00:49</v>
          </cell>
          <cell r="Q63">
            <v>0</v>
          </cell>
          <cell r="R63">
            <v>0</v>
          </cell>
          <cell r="S63">
            <v>1</v>
          </cell>
        </row>
        <row r="64">
          <cell r="B64" t="str">
            <v>0</v>
          </cell>
          <cell r="C64" t="str">
            <v>13</v>
          </cell>
          <cell r="D64" t="str">
            <v>P_ESPECIAL</v>
          </cell>
          <cell r="E64" t="str">
            <v>PROGRAMA ESPECIAL</v>
          </cell>
          <cell r="F64">
            <v>10.8</v>
          </cell>
          <cell r="G64">
            <v>154073</v>
          </cell>
          <cell r="H64">
            <v>10.8</v>
          </cell>
          <cell r="O64" t="str">
            <v>22:04</v>
          </cell>
          <cell r="P64" t="str">
            <v>22:42</v>
          </cell>
          <cell r="Q64">
            <v>0</v>
          </cell>
          <cell r="R64">
            <v>0</v>
          </cell>
          <cell r="S64">
            <v>1</v>
          </cell>
        </row>
        <row r="65">
          <cell r="B65" t="str">
            <v>0</v>
          </cell>
          <cell r="C65" t="str">
            <v>13</v>
          </cell>
          <cell r="D65" t="str">
            <v>VARIEDAD</v>
          </cell>
          <cell r="E65" t="str">
            <v>VENGA CONMIGO</v>
          </cell>
          <cell r="F65">
            <v>10.3</v>
          </cell>
          <cell r="G65">
            <v>147672</v>
          </cell>
          <cell r="K65">
            <v>10.3</v>
          </cell>
          <cell r="O65" t="str">
            <v>22:04</v>
          </cell>
          <cell r="P65" t="str">
            <v>00:53</v>
          </cell>
          <cell r="Q65">
            <v>0</v>
          </cell>
          <cell r="R65">
            <v>0</v>
          </cell>
          <cell r="S65">
            <v>5</v>
          </cell>
        </row>
        <row r="66">
          <cell r="B66" t="str">
            <v>0</v>
          </cell>
          <cell r="C66" t="str">
            <v>13</v>
          </cell>
          <cell r="D66" t="str">
            <v>MUSICAL</v>
          </cell>
          <cell r="E66" t="str">
            <v>FESTIVAL DEL HUASO OLMUE 2000</v>
          </cell>
          <cell r="F66">
            <v>9.9</v>
          </cell>
          <cell r="G66">
            <v>141572</v>
          </cell>
          <cell r="L66">
            <v>9.8000000000000007</v>
          </cell>
          <cell r="M66">
            <v>8.3000000000000007</v>
          </cell>
          <cell r="N66">
            <v>11.6</v>
          </cell>
          <cell r="O66" t="str">
            <v>21:58</v>
          </cell>
          <cell r="P66" t="str">
            <v>02:05</v>
          </cell>
          <cell r="Q66">
            <v>0</v>
          </cell>
          <cell r="R66">
            <v>0</v>
          </cell>
          <cell r="S66">
            <v>3</v>
          </cell>
        </row>
        <row r="67">
          <cell r="B67" t="str">
            <v>0</v>
          </cell>
          <cell r="C67" t="str">
            <v>13</v>
          </cell>
          <cell r="D67" t="str">
            <v>P_ESPECIAL</v>
          </cell>
          <cell r="E67" t="str">
            <v>PRESIDENTE 2000,LA DEFINICION2</v>
          </cell>
          <cell r="F67">
            <v>9.6999999999999993</v>
          </cell>
          <cell r="G67">
            <v>139148</v>
          </cell>
          <cell r="N67">
            <v>9.6999999999999993</v>
          </cell>
          <cell r="O67" t="str">
            <v>19:12</v>
          </cell>
          <cell r="P67" t="str">
            <v>20:59</v>
          </cell>
          <cell r="Q67">
            <v>0</v>
          </cell>
          <cell r="R67">
            <v>0</v>
          </cell>
          <cell r="S67">
            <v>1</v>
          </cell>
        </row>
        <row r="68">
          <cell r="B68" t="str">
            <v>0</v>
          </cell>
          <cell r="C68" t="str">
            <v>13</v>
          </cell>
          <cell r="D68" t="str">
            <v>PELICULA</v>
          </cell>
          <cell r="E68" t="str">
            <v>GRANDES EVENTOS</v>
          </cell>
          <cell r="F68">
            <v>9.4</v>
          </cell>
          <cell r="G68">
            <v>133789</v>
          </cell>
          <cell r="N68">
            <v>9.4</v>
          </cell>
          <cell r="O68" t="str">
            <v>22:04</v>
          </cell>
          <cell r="P68" t="str">
            <v>00:24</v>
          </cell>
          <cell r="Q68">
            <v>0</v>
          </cell>
          <cell r="R68">
            <v>0</v>
          </cell>
          <cell r="S68">
            <v>3</v>
          </cell>
        </row>
        <row r="69">
          <cell r="B69" t="str">
            <v>0</v>
          </cell>
          <cell r="C69" t="str">
            <v>13</v>
          </cell>
          <cell r="D69" t="str">
            <v>P_ESPECIAL</v>
          </cell>
          <cell r="E69" t="str">
            <v>PRESIDENTE 2000,LA DEFINICION3</v>
          </cell>
          <cell r="F69">
            <v>8.6999999999999993</v>
          </cell>
          <cell r="G69">
            <v>124203</v>
          </cell>
          <cell r="N69">
            <v>8.6999999999999993</v>
          </cell>
          <cell r="O69" t="str">
            <v>23:16</v>
          </cell>
          <cell r="P69" t="str">
            <v>23:39</v>
          </cell>
          <cell r="Q69">
            <v>0</v>
          </cell>
          <cell r="R69">
            <v>0</v>
          </cell>
          <cell r="S69">
            <v>1</v>
          </cell>
        </row>
        <row r="70">
          <cell r="B70" t="str">
            <v>0</v>
          </cell>
          <cell r="C70" t="str">
            <v>13</v>
          </cell>
          <cell r="D70" t="str">
            <v>MISCELANEO</v>
          </cell>
          <cell r="E70" t="str">
            <v>DESDE LA TERRAZA</v>
          </cell>
          <cell r="F70">
            <v>8.5</v>
          </cell>
          <cell r="G70">
            <v>122115</v>
          </cell>
          <cell r="L70">
            <v>8.5</v>
          </cell>
          <cell r="O70" t="str">
            <v>22:08</v>
          </cell>
          <cell r="P70" t="str">
            <v>00:07</v>
          </cell>
          <cell r="Q70">
            <v>0</v>
          </cell>
          <cell r="R70">
            <v>0</v>
          </cell>
          <cell r="S70">
            <v>3</v>
          </cell>
        </row>
        <row r="71">
          <cell r="B71" t="str">
            <v>0</v>
          </cell>
          <cell r="C71" t="str">
            <v>13</v>
          </cell>
          <cell r="D71" t="str">
            <v>P_ESPECIAL</v>
          </cell>
          <cell r="E71" t="str">
            <v>ANO 2000 72 HORAS</v>
          </cell>
          <cell r="F71">
            <v>7.9</v>
          </cell>
          <cell r="G71">
            <v>112838</v>
          </cell>
          <cell r="I71">
            <v>7.9</v>
          </cell>
          <cell r="O71" t="str">
            <v>22:08</v>
          </cell>
          <cell r="P71" t="str">
            <v>23:15</v>
          </cell>
          <cell r="Q71">
            <v>0</v>
          </cell>
          <cell r="R71">
            <v>0</v>
          </cell>
          <cell r="S71">
            <v>1</v>
          </cell>
        </row>
        <row r="72">
          <cell r="B72" t="str">
            <v>0</v>
          </cell>
          <cell r="C72" t="str">
            <v>13</v>
          </cell>
          <cell r="D72" t="str">
            <v>P_ESPECIAL</v>
          </cell>
          <cell r="E72" t="str">
            <v>PRESIDENTE 2000,LA DEFINICION1</v>
          </cell>
          <cell r="F72">
            <v>7.7</v>
          </cell>
          <cell r="G72">
            <v>110761</v>
          </cell>
          <cell r="N72">
            <v>7.7</v>
          </cell>
          <cell r="O72" t="str">
            <v>16:08</v>
          </cell>
          <cell r="P72" t="str">
            <v>19:08</v>
          </cell>
          <cell r="Q72">
            <v>0</v>
          </cell>
          <cell r="R72">
            <v>0</v>
          </cell>
          <cell r="S72">
            <v>1</v>
          </cell>
        </row>
        <row r="73">
          <cell r="B73" t="str">
            <v>0</v>
          </cell>
          <cell r="C73" t="str">
            <v>13</v>
          </cell>
          <cell r="D73" t="str">
            <v>INFORMATIVO</v>
          </cell>
          <cell r="E73" t="str">
            <v>EL TIEMPO</v>
          </cell>
          <cell r="F73">
            <v>7.5</v>
          </cell>
          <cell r="G73">
            <v>107373</v>
          </cell>
          <cell r="H73">
            <v>9</v>
          </cell>
          <cell r="I73">
            <v>7.5</v>
          </cell>
          <cell r="J73">
            <v>7</v>
          </cell>
          <cell r="K73">
            <v>7.7</v>
          </cell>
          <cell r="L73">
            <v>5.9</v>
          </cell>
          <cell r="M73">
            <v>6.4</v>
          </cell>
          <cell r="N73">
            <v>9.1</v>
          </cell>
          <cell r="O73" t="str">
            <v>21:48</v>
          </cell>
          <cell r="P73" t="str">
            <v>23:50</v>
          </cell>
          <cell r="Q73">
            <v>0</v>
          </cell>
          <cell r="R73">
            <v>0</v>
          </cell>
          <cell r="S73">
            <v>42</v>
          </cell>
        </row>
        <row r="74">
          <cell r="B74" t="str">
            <v>0</v>
          </cell>
          <cell r="C74" t="str">
            <v>13</v>
          </cell>
          <cell r="D74" t="str">
            <v>NOTICIERO</v>
          </cell>
          <cell r="E74" t="str">
            <v>TELETRECE</v>
          </cell>
          <cell r="F74">
            <v>7.3</v>
          </cell>
          <cell r="G74">
            <v>104251</v>
          </cell>
          <cell r="H74">
            <v>7.8</v>
          </cell>
          <cell r="I74">
            <v>6.9</v>
          </cell>
          <cell r="J74">
            <v>7.5</v>
          </cell>
          <cell r="K74">
            <v>7</v>
          </cell>
          <cell r="L74">
            <v>7.3</v>
          </cell>
          <cell r="M74">
            <v>6.3</v>
          </cell>
          <cell r="N74">
            <v>8.1999999999999993</v>
          </cell>
          <cell r="O74" t="str">
            <v>20:59</v>
          </cell>
          <cell r="P74" t="str">
            <v>23:45</v>
          </cell>
          <cell r="Q74">
            <v>0</v>
          </cell>
          <cell r="R74">
            <v>0</v>
          </cell>
          <cell r="S74">
            <v>42</v>
          </cell>
        </row>
        <row r="75">
          <cell r="B75" t="str">
            <v>0</v>
          </cell>
          <cell r="C75" t="str">
            <v>13</v>
          </cell>
          <cell r="D75" t="str">
            <v>HUMOR</v>
          </cell>
          <cell r="E75" t="str">
            <v>TEATRO EN CANAL 13</v>
          </cell>
          <cell r="F75">
            <v>7.1</v>
          </cell>
          <cell r="G75">
            <v>101124</v>
          </cell>
          <cell r="I75">
            <v>7.1</v>
          </cell>
          <cell r="O75" t="str">
            <v>22:08</v>
          </cell>
          <cell r="P75" t="str">
            <v>23:41</v>
          </cell>
          <cell r="Q75">
            <v>0</v>
          </cell>
          <cell r="R75">
            <v>0</v>
          </cell>
          <cell r="S75">
            <v>3</v>
          </cell>
        </row>
        <row r="76">
          <cell r="B76" t="str">
            <v>0</v>
          </cell>
          <cell r="C76" t="str">
            <v>13</v>
          </cell>
          <cell r="D76" t="str">
            <v>CONCURSO</v>
          </cell>
          <cell r="E76" t="str">
            <v>JUGANDO A SABER</v>
          </cell>
          <cell r="F76">
            <v>7</v>
          </cell>
          <cell r="G76">
            <v>99943</v>
          </cell>
          <cell r="H76">
            <v>7</v>
          </cell>
          <cell r="O76" t="str">
            <v>22:06</v>
          </cell>
          <cell r="P76" t="str">
            <v>00:37</v>
          </cell>
          <cell r="Q76">
            <v>0</v>
          </cell>
          <cell r="R76">
            <v>0</v>
          </cell>
          <cell r="S76">
            <v>5</v>
          </cell>
        </row>
        <row r="77">
          <cell r="B77" t="str">
            <v>0</v>
          </cell>
          <cell r="C77" t="str">
            <v>13</v>
          </cell>
          <cell r="D77" t="str">
            <v>P_ESPECIAL</v>
          </cell>
          <cell r="E77" t="str">
            <v>MESA 13</v>
          </cell>
          <cell r="F77">
            <v>6.7</v>
          </cell>
          <cell r="G77">
            <v>95300</v>
          </cell>
          <cell r="N77">
            <v>6.7</v>
          </cell>
          <cell r="O77" t="str">
            <v>14:20</v>
          </cell>
          <cell r="P77" t="str">
            <v>16:07</v>
          </cell>
          <cell r="Q77">
            <v>0</v>
          </cell>
          <cell r="R77">
            <v>0</v>
          </cell>
          <cell r="S77">
            <v>1</v>
          </cell>
        </row>
        <row r="78">
          <cell r="B78" t="str">
            <v>0</v>
          </cell>
          <cell r="C78" t="str">
            <v>13</v>
          </cell>
          <cell r="D78" t="str">
            <v>P_ESPECIAL</v>
          </cell>
          <cell r="E78" t="str">
            <v>PRESIDENTE 2000, EL RESUMEN</v>
          </cell>
          <cell r="F78">
            <v>6.1</v>
          </cell>
          <cell r="G78">
            <v>87502</v>
          </cell>
          <cell r="N78">
            <v>6.1</v>
          </cell>
          <cell r="O78" t="str">
            <v>23:42</v>
          </cell>
          <cell r="P78" t="str">
            <v>23:58</v>
          </cell>
          <cell r="Q78">
            <v>0</v>
          </cell>
          <cell r="R78">
            <v>0</v>
          </cell>
          <cell r="S78">
            <v>1</v>
          </cell>
        </row>
        <row r="79">
          <cell r="B79" t="str">
            <v>0</v>
          </cell>
          <cell r="C79" t="str">
            <v>13</v>
          </cell>
          <cell r="D79" t="str">
            <v>MUSICAL</v>
          </cell>
          <cell r="E79" t="str">
            <v>LO MEJOR DE OLMUE 2000</v>
          </cell>
          <cell r="F79">
            <v>6.1</v>
          </cell>
          <cell r="G79">
            <v>87325</v>
          </cell>
          <cell r="J79">
            <v>6.1</v>
          </cell>
          <cell r="O79" t="str">
            <v>22:07</v>
          </cell>
          <cell r="P79" t="str">
            <v>23:36</v>
          </cell>
          <cell r="Q79">
            <v>0</v>
          </cell>
          <cell r="R79">
            <v>0</v>
          </cell>
          <cell r="S79">
            <v>1</v>
          </cell>
        </row>
        <row r="80">
          <cell r="B80" t="str">
            <v>0</v>
          </cell>
          <cell r="C80" t="str">
            <v>13</v>
          </cell>
          <cell r="D80" t="str">
            <v>DEPORTIVO</v>
          </cell>
          <cell r="E80" t="str">
            <v>CAMINO A SIDNEY 2000</v>
          </cell>
          <cell r="F80">
            <v>5.7</v>
          </cell>
          <cell r="G80">
            <v>81120</v>
          </cell>
          <cell r="L80">
            <v>5.7</v>
          </cell>
          <cell r="O80" t="str">
            <v>20:29</v>
          </cell>
          <cell r="P80" t="str">
            <v>20:59</v>
          </cell>
          <cell r="Q80">
            <v>0</v>
          </cell>
          <cell r="R80">
            <v>0</v>
          </cell>
          <cell r="S80">
            <v>1</v>
          </cell>
        </row>
        <row r="81">
          <cell r="B81" t="str">
            <v>0</v>
          </cell>
          <cell r="C81" t="str">
            <v>13</v>
          </cell>
          <cell r="D81" t="str">
            <v>P_ESPECIAL</v>
          </cell>
          <cell r="E81" t="str">
            <v>ANO NUEVO 2000</v>
          </cell>
          <cell r="F81">
            <v>5.4</v>
          </cell>
          <cell r="G81">
            <v>76751</v>
          </cell>
          <cell r="L81">
            <v>5.4</v>
          </cell>
          <cell r="O81" t="str">
            <v>22:01</v>
          </cell>
          <cell r="P81" t="str">
            <v>02:28</v>
          </cell>
          <cell r="Q81">
            <v>0</v>
          </cell>
          <cell r="R81">
            <v>0</v>
          </cell>
          <cell r="S81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referencial"/>
      <sheetName val="Pref Marzo 2016"/>
      <sheetName val="Niveles ABRIL"/>
      <sheetName val="TP ABRIL"/>
      <sheetName val="Tarifas Canal 24H"/>
      <sheetName val="Pauta TVN"/>
      <sheetName val="Rating TVN"/>
      <sheetName val="Pautas 24 horas"/>
      <sheetName val="rating 24 horas"/>
      <sheetName val="bases"/>
      <sheetName val="COL"/>
      <sheetName val="Hoja1"/>
      <sheetName val="Hoja3"/>
      <sheetName val="Cuantificador_RM"/>
      <sheetName val="Cuantificador_TP"/>
      <sheetName val="Tarifa_Preferencial"/>
      <sheetName val="Pref_Marzo_2016"/>
      <sheetName val="Niveles_ABRIL"/>
      <sheetName val="TP_ABRIL"/>
      <sheetName val="Tarifas_Canal_24H"/>
      <sheetName val="Pauta_TVN"/>
      <sheetName val="Rating_TVN"/>
      <sheetName val="Pautas_24_horas"/>
      <sheetName val="rating_24_horas"/>
      <sheetName val="Cuantificador_RM2"/>
      <sheetName val="Cuantificador_TP2"/>
      <sheetName val="Tarifa_Preferencial2"/>
      <sheetName val="Pref_Marzo_20162"/>
      <sheetName val="Niveles_ABRIL2"/>
      <sheetName val="TP_ABRIL2"/>
      <sheetName val="Tarifas_Canal_24H2"/>
      <sheetName val="Pauta_TVN2"/>
      <sheetName val="Rating_TVN2"/>
      <sheetName val="Pautas_24_horas2"/>
      <sheetName val="rating_24_horas2"/>
      <sheetName val="Cuantificador_RM1"/>
      <sheetName val="Cuantificador_TP1"/>
      <sheetName val="Tarifa_Preferencial1"/>
      <sheetName val="Pref_Marzo_20161"/>
      <sheetName val="Niveles_ABRIL1"/>
      <sheetName val="TP_ABRIL1"/>
      <sheetName val="Tarifas_Canal_24H1"/>
      <sheetName val="Pauta_TVN1"/>
      <sheetName val="Rating_TVN1"/>
      <sheetName val="Pautas_24_horas1"/>
      <sheetName val="rating_24_horas1"/>
      <sheetName val="Cuantificador_RM3"/>
      <sheetName val="Cuantificador_TP3"/>
      <sheetName val="Tarifa_Preferencial3"/>
      <sheetName val="Pref_Marzo_20163"/>
      <sheetName val="Niveles_ABRIL3"/>
      <sheetName val="TP_ABRIL3"/>
      <sheetName val="Tarifas_Canal_24H3"/>
      <sheetName val="Pauta_TVN3"/>
      <sheetName val="Rating_TVN3"/>
      <sheetName val="Pautas_24_horas3"/>
      <sheetName val="rating_24_horas3"/>
      <sheetName val="Cuantificador_RM4"/>
      <sheetName val="Cuantificador_TP4"/>
      <sheetName val="Tarifa_Preferencial4"/>
      <sheetName val="Pref_Marzo_20164"/>
      <sheetName val="Niveles_ABRIL4"/>
      <sheetName val="TP_ABRIL4"/>
      <sheetName val="Tarifas_Canal_24H4"/>
      <sheetName val="Pauta_TVN4"/>
      <sheetName val="Rating_TVN4"/>
      <sheetName val="Pautas_24_horas4"/>
      <sheetName val="rating_24_horas4"/>
      <sheetName val="Cuantificador_RM5"/>
      <sheetName val="Cuantificador_TP5"/>
      <sheetName val="Tarifa_Preferencial5"/>
      <sheetName val="Pref_Marzo_20165"/>
      <sheetName val="Niveles_ABRIL5"/>
      <sheetName val="TP_ABRIL5"/>
      <sheetName val="Tarifas_Canal_24H5"/>
      <sheetName val="Pauta_TVN5"/>
      <sheetName val="Rating_TVN5"/>
      <sheetName val="Pautas_24_horas5"/>
      <sheetName val="rating_24_horas5"/>
      <sheetName val="Cuantificador_RM6"/>
      <sheetName val="Cuantificador_TP6"/>
      <sheetName val="Tarifa_Preferencial6"/>
      <sheetName val="Pref_Marzo_20166"/>
      <sheetName val="Niveles_ABRIL6"/>
      <sheetName val="TP_ABRIL6"/>
      <sheetName val="Tarifas_Canal_24H6"/>
      <sheetName val="Pauta_TVN6"/>
      <sheetName val="Rating_TVN6"/>
      <sheetName val="Pautas_24_horas6"/>
      <sheetName val="rating_24_horas6"/>
      <sheetName val="Cuantificador_RM8"/>
      <sheetName val="Cuantificador_TP8"/>
      <sheetName val="Tarifa_Preferencial8"/>
      <sheetName val="Pref_Marzo_20168"/>
      <sheetName val="Niveles_ABRIL8"/>
      <sheetName val="TP_ABRIL8"/>
      <sheetName val="Tarifas_Canal_24H8"/>
      <sheetName val="Pauta_TVN8"/>
      <sheetName val="Rating_TVN8"/>
      <sheetName val="Pautas_24_horas8"/>
      <sheetName val="rating_24_horas8"/>
      <sheetName val="Cuantificador_RM7"/>
      <sheetName val="Cuantificador_TP7"/>
      <sheetName val="Tarifa_Preferencial7"/>
      <sheetName val="Pref_Marzo_20167"/>
      <sheetName val="Niveles_ABRIL7"/>
      <sheetName val="TP_ABRIL7"/>
      <sheetName val="Tarifas_Canal_24H7"/>
      <sheetName val="Pauta_TVN7"/>
      <sheetName val="Rating_TVN7"/>
      <sheetName val="Pautas_24_horas7"/>
      <sheetName val="rating_24_horas7"/>
      <sheetName val="Cuantificador_RM9"/>
      <sheetName val="Cuantificador_TP9"/>
      <sheetName val="Tarifa_Preferencial9"/>
      <sheetName val="Pref_Marzo_20169"/>
      <sheetName val="Niveles_ABRIL9"/>
      <sheetName val="TP_ABRIL9"/>
      <sheetName val="Tarifas_Canal_24H9"/>
      <sheetName val="Pauta_TVN9"/>
      <sheetName val="Rating_TVN9"/>
      <sheetName val="Pautas_24_horas9"/>
      <sheetName val="rating_24_horas9"/>
      <sheetName val="Cuantificador_RM10"/>
      <sheetName val="Cuantificador_TP10"/>
      <sheetName val="Tarifa_Preferencial10"/>
      <sheetName val="Pref_Marzo_201610"/>
      <sheetName val="Niveles_ABRIL10"/>
      <sheetName val="TP_ABRIL10"/>
      <sheetName val="Tarifas_Canal_24H10"/>
      <sheetName val="Pauta_TVN10"/>
      <sheetName val="Rating_TVN10"/>
      <sheetName val="Pautas_24_horas10"/>
      <sheetName val="rating_24_horas10"/>
    </sheetNames>
    <sheetDataSet>
      <sheetData sheetId="0">
        <row r="4">
          <cell r="C4" t="str">
            <v>Zona</v>
          </cell>
        </row>
      </sheetData>
      <sheetData sheetId="1">
        <row r="26">
          <cell r="F26">
            <v>1772512.1496339198</v>
          </cell>
        </row>
      </sheetData>
      <sheetData sheetId="2">
        <row r="4">
          <cell r="C4" t="str">
            <v>Zona</v>
          </cell>
        </row>
      </sheetData>
      <sheetData sheetId="3">
        <row r="26">
          <cell r="F26">
            <v>3611696.9636797803</v>
          </cell>
        </row>
      </sheetData>
      <sheetData sheetId="4"/>
      <sheetData sheetId="5"/>
      <sheetData sheetId="6">
        <row r="7">
          <cell r="A7" t="str">
            <v>Once Comida</v>
          </cell>
          <cell r="B7">
            <v>78366</v>
          </cell>
        </row>
        <row r="8">
          <cell r="A8" t="str">
            <v/>
          </cell>
          <cell r="B8" t="str">
            <v/>
          </cell>
        </row>
        <row r="9">
          <cell r="A9" t="str">
            <v>24 Horas Central Lu-Vi</v>
          </cell>
          <cell r="B9">
            <v>70960</v>
          </cell>
        </row>
        <row r="10">
          <cell r="A10" t="str">
            <v>24 Horas Central Lu-Vi Plus</v>
          </cell>
          <cell r="B10">
            <v>0</v>
          </cell>
        </row>
        <row r="11">
          <cell r="A11" t="str">
            <v>24 Horas Sábado</v>
          </cell>
          <cell r="B11">
            <v>65780</v>
          </cell>
        </row>
        <row r="12">
          <cell r="A12" t="str">
            <v>24 Horas Sábado Plus</v>
          </cell>
          <cell r="B12">
            <v>0</v>
          </cell>
        </row>
        <row r="13">
          <cell r="A13" t="str">
            <v>24 Horas Domingo</v>
          </cell>
          <cell r="B13">
            <v>65781</v>
          </cell>
        </row>
        <row r="14">
          <cell r="A14" t="str">
            <v>24 Horas Domingo Plus</v>
          </cell>
          <cell r="B14">
            <v>0</v>
          </cell>
        </row>
        <row r="15">
          <cell r="A15" t="str">
            <v/>
          </cell>
          <cell r="B15" t="str">
            <v/>
          </cell>
        </row>
        <row r="16">
          <cell r="A16" t="str">
            <v>Moisés, Los Diez Mandamientos</v>
          </cell>
          <cell r="B16">
            <v>78012</v>
          </cell>
        </row>
        <row r="17">
          <cell r="A17" t="str">
            <v/>
          </cell>
          <cell r="B17" t="str">
            <v/>
          </cell>
        </row>
        <row r="18">
          <cell r="A18" t="str">
            <v>Por Fin Solos</v>
          </cell>
          <cell r="B18">
            <v>78249</v>
          </cell>
        </row>
        <row r="19">
          <cell r="A19" t="str">
            <v>Viral</v>
          </cell>
          <cell r="B19">
            <v>78252</v>
          </cell>
        </row>
        <row r="20">
          <cell r="A20" t="str">
            <v>IV Medio</v>
          </cell>
          <cell r="B20">
            <v>76194</v>
          </cell>
        </row>
        <row r="21">
          <cell r="A21" t="str">
            <v>Humor</v>
          </cell>
          <cell r="B21">
            <v>76639</v>
          </cell>
        </row>
        <row r="22">
          <cell r="A22" t="str">
            <v>Best Seller viernes</v>
          </cell>
          <cell r="B22">
            <v>76630</v>
          </cell>
        </row>
        <row r="23">
          <cell r="A23" t="str">
            <v>Best Seller sabado</v>
          </cell>
          <cell r="B23">
            <v>76631</v>
          </cell>
        </row>
        <row r="24">
          <cell r="A24" t="str">
            <v>Cultura Prime / Lleve de lo Bueno</v>
          </cell>
          <cell r="B24">
            <v>78250</v>
          </cell>
        </row>
        <row r="25">
          <cell r="A25" t="str">
            <v/>
          </cell>
          <cell r="B25" t="str">
            <v/>
          </cell>
        </row>
        <row r="26">
          <cell r="A26" t="str">
            <v>Medianoche</v>
          </cell>
          <cell r="B26">
            <v>70981</v>
          </cell>
        </row>
        <row r="27">
          <cell r="A27" t="str">
            <v>Doctor House</v>
          </cell>
          <cell r="B27">
            <v>71041</v>
          </cell>
        </row>
        <row r="28">
          <cell r="A28" t="str">
            <v>Tv Tiempo Final</v>
          </cell>
          <cell r="B28">
            <v>70982</v>
          </cell>
        </row>
        <row r="29">
          <cell r="A29" t="str">
            <v>Grandes Peliculas</v>
          </cell>
          <cell r="B29">
            <v>74509</v>
          </cell>
        </row>
        <row r="30">
          <cell r="A30" t="str">
            <v>Doctor House A</v>
          </cell>
          <cell r="B30">
            <v>78205</v>
          </cell>
        </row>
        <row r="31">
          <cell r="A31" t="str">
            <v>Doctor House B</v>
          </cell>
          <cell r="B31">
            <v>78204</v>
          </cell>
        </row>
        <row r="32">
          <cell r="A32" t="str">
            <v/>
          </cell>
          <cell r="B32" t="str">
            <v/>
          </cell>
        </row>
        <row r="33">
          <cell r="A33" t="str">
            <v>5:50</v>
          </cell>
          <cell r="B33">
            <v>75832</v>
          </cell>
        </row>
        <row r="34">
          <cell r="A34" t="str">
            <v>Tu Mañana A</v>
          </cell>
          <cell r="B34">
            <v>76305</v>
          </cell>
        </row>
        <row r="35">
          <cell r="A35" t="str">
            <v>Tu Mañana Plus A</v>
          </cell>
          <cell r="B35">
            <v>0</v>
          </cell>
        </row>
        <row r="36">
          <cell r="A36" t="str">
            <v>Tu Mañana B</v>
          </cell>
          <cell r="B36">
            <v>76306</v>
          </cell>
        </row>
        <row r="37">
          <cell r="A37" t="str">
            <v>Tu Mañana Plus B</v>
          </cell>
          <cell r="B37">
            <v>0</v>
          </cell>
        </row>
        <row r="38">
          <cell r="A38" t="str">
            <v>Buenos Días a Todos A</v>
          </cell>
          <cell r="B38">
            <v>70967</v>
          </cell>
        </row>
        <row r="39">
          <cell r="A39" t="str">
            <v>Buenos Días a Todos B</v>
          </cell>
          <cell r="B39">
            <v>70968</v>
          </cell>
        </row>
        <row r="40">
          <cell r="A40" t="str">
            <v>Romané</v>
          </cell>
          <cell r="B40">
            <v>63726</v>
          </cell>
        </row>
        <row r="41">
          <cell r="A41" t="str">
            <v>La Fiera</v>
          </cell>
          <cell r="B41">
            <v>62928</v>
          </cell>
        </row>
        <row r="42">
          <cell r="A42" t="str">
            <v/>
          </cell>
          <cell r="B42" t="str">
            <v/>
          </cell>
        </row>
        <row r="43">
          <cell r="A43" t="str">
            <v>24 Horas al día</v>
          </cell>
          <cell r="B43">
            <v>70955</v>
          </cell>
        </row>
        <row r="44">
          <cell r="A44" t="str">
            <v>24 Horas al día Plus</v>
          </cell>
          <cell r="B44">
            <v>0</v>
          </cell>
        </row>
        <row r="45">
          <cell r="A45" t="str">
            <v>Esa No Soy Yo</v>
          </cell>
          <cell r="B45">
            <v>77338</v>
          </cell>
        </row>
        <row r="46">
          <cell r="A46" t="str">
            <v>Brusko</v>
          </cell>
          <cell r="B46">
            <v>78367</v>
          </cell>
        </row>
        <row r="47">
          <cell r="A47" t="str">
            <v>Destilando Amor</v>
          </cell>
          <cell r="B47">
            <v>78203</v>
          </cell>
        </row>
        <row r="48">
          <cell r="A48" t="str">
            <v>El Secreto de Puente Viejo</v>
          </cell>
          <cell r="B48">
            <v>76495</v>
          </cell>
        </row>
        <row r="49">
          <cell r="A49" t="str">
            <v/>
          </cell>
          <cell r="B49" t="str">
            <v/>
          </cell>
        </row>
        <row r="50">
          <cell r="A50" t="str">
            <v>Horacio y los Plasticines</v>
          </cell>
          <cell r="B50">
            <v>76173</v>
          </cell>
        </row>
        <row r="51">
          <cell r="A51" t="str">
            <v>Peppa Pig</v>
          </cell>
          <cell r="B51">
            <v>77273</v>
          </cell>
        </row>
        <row r="52">
          <cell r="A52" t="str">
            <v>Película Infantil</v>
          </cell>
          <cell r="B52">
            <v>78251</v>
          </cell>
        </row>
        <row r="53">
          <cell r="A53" t="str">
            <v>Noticreo</v>
          </cell>
          <cell r="B53">
            <v>77737</v>
          </cell>
        </row>
        <row r="54">
          <cell r="A54" t="str">
            <v>Super Cine Mañana</v>
          </cell>
          <cell r="B54">
            <v>75234</v>
          </cell>
        </row>
        <row r="55">
          <cell r="A55" t="str">
            <v>24 horas Día Sá</v>
          </cell>
          <cell r="B55">
            <v>72883</v>
          </cell>
        </row>
        <row r="56">
          <cell r="A56" t="str">
            <v>24 horas Día Sá Plus</v>
          </cell>
          <cell r="B56">
            <v>0</v>
          </cell>
        </row>
        <row r="57">
          <cell r="A57" t="str">
            <v>Nuestro Siglo</v>
          </cell>
          <cell r="B57">
            <v>78346</v>
          </cell>
        </row>
        <row r="58">
          <cell r="A58" t="str">
            <v>Tu Historia es Mi Historia</v>
          </cell>
          <cell r="B58">
            <v>74149</v>
          </cell>
        </row>
        <row r="59">
          <cell r="A59" t="str">
            <v>Los Tesoros de la Ruta</v>
          </cell>
          <cell r="B59">
            <v>77623</v>
          </cell>
        </row>
        <row r="60">
          <cell r="A60" t="str">
            <v>Camioneros</v>
          </cell>
          <cell r="B60">
            <v>71781</v>
          </cell>
        </row>
        <row r="61">
          <cell r="A61" t="str">
            <v>La Sangre Tira</v>
          </cell>
          <cell r="B61">
            <v>76578</v>
          </cell>
        </row>
        <row r="62">
          <cell r="A62" t="str">
            <v>Los Telas</v>
          </cell>
          <cell r="B62">
            <v>78394</v>
          </cell>
        </row>
        <row r="63">
          <cell r="A63" t="str">
            <v>Ce-Hache-i</v>
          </cell>
          <cell r="B63">
            <v>78396</v>
          </cell>
        </row>
        <row r="64">
          <cell r="A64" t="str">
            <v>Moisés Resumen Sab.</v>
          </cell>
          <cell r="B64">
            <v>78016</v>
          </cell>
        </row>
        <row r="65">
          <cell r="A65" t="str">
            <v/>
          </cell>
          <cell r="B65" t="str">
            <v/>
          </cell>
        </row>
        <row r="66">
          <cell r="A66" t="str">
            <v>Sesiones 24</v>
          </cell>
          <cell r="B66">
            <v>77518</v>
          </cell>
        </row>
        <row r="67">
          <cell r="A67" t="str">
            <v>Mirada Economica</v>
          </cell>
          <cell r="B67">
            <v>77517</v>
          </cell>
        </row>
        <row r="68">
          <cell r="A68" t="str">
            <v>24 Horas a la Hora</v>
          </cell>
          <cell r="B68">
            <v>76107</v>
          </cell>
        </row>
        <row r="69">
          <cell r="A69" t="str">
            <v>Estado Nacional</v>
          </cell>
          <cell r="B69">
            <v>69474</v>
          </cell>
        </row>
        <row r="70">
          <cell r="A70" t="str">
            <v>Podio</v>
          </cell>
          <cell r="B70">
            <v>78169</v>
          </cell>
        </row>
        <row r="71">
          <cell r="A71" t="str">
            <v>24 horas Día Do</v>
          </cell>
          <cell r="B71">
            <v>72582</v>
          </cell>
        </row>
        <row r="72">
          <cell r="A72" t="str">
            <v>24 horas Día Do Plus</v>
          </cell>
          <cell r="B72">
            <v>0</v>
          </cell>
        </row>
        <row r="73">
          <cell r="A73" t="str">
            <v>Chile Conectado</v>
          </cell>
          <cell r="B73">
            <v>72199</v>
          </cell>
        </row>
        <row r="74">
          <cell r="A74" t="str">
            <v>Frutos del País</v>
          </cell>
          <cell r="B74">
            <v>67312</v>
          </cell>
        </row>
        <row r="75">
          <cell r="A75" t="str">
            <v>Cultura Entretenida: Diarios de Tricicleta</v>
          </cell>
          <cell r="B75">
            <v>78395</v>
          </cell>
        </row>
        <row r="76">
          <cell r="A76" t="str">
            <v>Cultura Entretenida: Habitantes del Pacífico</v>
          </cell>
          <cell r="B76">
            <v>78351</v>
          </cell>
        </row>
      </sheetData>
      <sheetData sheetId="7">
        <row r="8">
          <cell r="A8" t="str">
            <v>Once Comida</v>
          </cell>
          <cell r="B8">
            <v>78366</v>
          </cell>
          <cell r="C8">
            <v>443000</v>
          </cell>
          <cell r="D8">
            <v>887000</v>
          </cell>
          <cell r="E8">
            <v>1015000</v>
          </cell>
          <cell r="F8">
            <v>1213000</v>
          </cell>
          <cell r="G8">
            <v>1307000</v>
          </cell>
          <cell r="H8">
            <v>1400000</v>
          </cell>
          <cell r="I8">
            <v>1633000</v>
          </cell>
          <cell r="J8">
            <v>1867000</v>
          </cell>
          <cell r="K8">
            <v>2100000</v>
          </cell>
          <cell r="L8">
            <v>2450000</v>
          </cell>
          <cell r="M8">
            <v>2823000</v>
          </cell>
          <cell r="N8">
            <v>3220000</v>
          </cell>
          <cell r="O8">
            <v>3488000</v>
          </cell>
        </row>
        <row r="9">
          <cell r="A9">
            <v>0</v>
          </cell>
          <cell r="B9" t="str">
            <v/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24 Horas Central Lu-Vi</v>
          </cell>
          <cell r="B10">
            <v>70960</v>
          </cell>
          <cell r="C10">
            <v>633000</v>
          </cell>
          <cell r="D10">
            <v>1267000</v>
          </cell>
          <cell r="E10">
            <v>1450000</v>
          </cell>
          <cell r="F10">
            <v>1733000</v>
          </cell>
          <cell r="G10">
            <v>1867000</v>
          </cell>
          <cell r="H10">
            <v>2000000</v>
          </cell>
          <cell r="I10">
            <v>2333000</v>
          </cell>
          <cell r="J10">
            <v>2667000</v>
          </cell>
          <cell r="K10">
            <v>3000000</v>
          </cell>
          <cell r="L10">
            <v>3500000</v>
          </cell>
          <cell r="M10">
            <v>4033000</v>
          </cell>
          <cell r="N10">
            <v>4600000</v>
          </cell>
          <cell r="O10">
            <v>4983000</v>
          </cell>
        </row>
        <row r="11">
          <cell r="A11" t="str">
            <v>24 Horas Central Lu-Vi Plus</v>
          </cell>
          <cell r="B11">
            <v>0</v>
          </cell>
          <cell r="C11">
            <v>646000</v>
          </cell>
          <cell r="D11">
            <v>1292000</v>
          </cell>
          <cell r="E11">
            <v>1479000</v>
          </cell>
          <cell r="F11">
            <v>1768000</v>
          </cell>
          <cell r="G11">
            <v>1904000</v>
          </cell>
          <cell r="H11">
            <v>2040000</v>
          </cell>
          <cell r="I11">
            <v>2380000</v>
          </cell>
          <cell r="J11">
            <v>2720000</v>
          </cell>
          <cell r="K11">
            <v>3060000</v>
          </cell>
          <cell r="L11">
            <v>3570000</v>
          </cell>
          <cell r="M11">
            <v>4114000</v>
          </cell>
          <cell r="N11">
            <v>4692000</v>
          </cell>
          <cell r="O11">
            <v>5083000</v>
          </cell>
        </row>
        <row r="12">
          <cell r="A12" t="str">
            <v>24 Horas Sábado</v>
          </cell>
          <cell r="B12">
            <v>65780</v>
          </cell>
          <cell r="C12">
            <v>412000</v>
          </cell>
          <cell r="D12">
            <v>823000</v>
          </cell>
          <cell r="E12">
            <v>943000</v>
          </cell>
          <cell r="F12">
            <v>1127000</v>
          </cell>
          <cell r="G12">
            <v>1213000</v>
          </cell>
          <cell r="H12">
            <v>1300000</v>
          </cell>
          <cell r="I12">
            <v>1517000</v>
          </cell>
          <cell r="J12">
            <v>1733000</v>
          </cell>
          <cell r="K12">
            <v>1950000</v>
          </cell>
          <cell r="L12">
            <v>2275000</v>
          </cell>
          <cell r="M12">
            <v>2622000</v>
          </cell>
          <cell r="N12">
            <v>2990000</v>
          </cell>
          <cell r="O12">
            <v>3239000</v>
          </cell>
        </row>
        <row r="13">
          <cell r="A13" t="str">
            <v>24 Horas Sábado Plus</v>
          </cell>
          <cell r="B13">
            <v>0</v>
          </cell>
          <cell r="C13">
            <v>424000</v>
          </cell>
          <cell r="D13">
            <v>849000</v>
          </cell>
          <cell r="E13">
            <v>972000</v>
          </cell>
          <cell r="F13">
            <v>1161000</v>
          </cell>
          <cell r="G13">
            <v>1251000</v>
          </cell>
          <cell r="H13">
            <v>1340000</v>
          </cell>
          <cell r="I13">
            <v>1563000</v>
          </cell>
          <cell r="J13">
            <v>1787000</v>
          </cell>
          <cell r="K13">
            <v>2010000</v>
          </cell>
          <cell r="L13">
            <v>2345000</v>
          </cell>
          <cell r="M13">
            <v>2702000</v>
          </cell>
          <cell r="N13">
            <v>3082000</v>
          </cell>
          <cell r="O13">
            <v>3339000</v>
          </cell>
        </row>
        <row r="14">
          <cell r="A14" t="str">
            <v>24 Horas Domingo</v>
          </cell>
          <cell r="B14">
            <v>65781</v>
          </cell>
          <cell r="C14">
            <v>633000</v>
          </cell>
          <cell r="D14">
            <v>1267000</v>
          </cell>
          <cell r="E14">
            <v>1450000</v>
          </cell>
          <cell r="F14">
            <v>1733000</v>
          </cell>
          <cell r="G14">
            <v>1867000</v>
          </cell>
          <cell r="H14">
            <v>2000000</v>
          </cell>
          <cell r="I14">
            <v>2333000</v>
          </cell>
          <cell r="J14">
            <v>2667000</v>
          </cell>
          <cell r="K14">
            <v>3000000</v>
          </cell>
          <cell r="L14">
            <v>3500000</v>
          </cell>
          <cell r="M14">
            <v>4033000</v>
          </cell>
          <cell r="N14">
            <v>4600000</v>
          </cell>
          <cell r="O14">
            <v>4983000</v>
          </cell>
        </row>
        <row r="15">
          <cell r="A15" t="str">
            <v>24 Horas Domingo Plus</v>
          </cell>
          <cell r="B15">
            <v>0</v>
          </cell>
          <cell r="C15">
            <v>646000</v>
          </cell>
          <cell r="D15">
            <v>1292000</v>
          </cell>
          <cell r="E15">
            <v>1479000</v>
          </cell>
          <cell r="F15">
            <v>1768000</v>
          </cell>
          <cell r="G15">
            <v>1904000</v>
          </cell>
          <cell r="H15">
            <v>2040000</v>
          </cell>
          <cell r="I15">
            <v>2380000</v>
          </cell>
          <cell r="J15">
            <v>2720000</v>
          </cell>
          <cell r="K15">
            <v>3060000</v>
          </cell>
          <cell r="L15">
            <v>3570000</v>
          </cell>
          <cell r="M15">
            <v>4114000</v>
          </cell>
          <cell r="N15">
            <v>4692000</v>
          </cell>
          <cell r="O15">
            <v>5083000</v>
          </cell>
        </row>
        <row r="16">
          <cell r="A16">
            <v>0</v>
          </cell>
          <cell r="B16" t="str">
            <v/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Moisés, Los Diez Mandamientos</v>
          </cell>
          <cell r="B17">
            <v>78012</v>
          </cell>
          <cell r="C17">
            <v>1172000</v>
          </cell>
          <cell r="D17">
            <v>2343000</v>
          </cell>
          <cell r="E17">
            <v>2683000</v>
          </cell>
          <cell r="F17">
            <v>3207000</v>
          </cell>
          <cell r="G17">
            <v>3453000</v>
          </cell>
          <cell r="H17">
            <v>3700000</v>
          </cell>
          <cell r="I17">
            <v>4317000</v>
          </cell>
          <cell r="J17">
            <v>4933000</v>
          </cell>
          <cell r="K17">
            <v>5550000</v>
          </cell>
          <cell r="L17">
            <v>6475000</v>
          </cell>
          <cell r="M17">
            <v>7462000</v>
          </cell>
          <cell r="N17">
            <v>8510000</v>
          </cell>
          <cell r="O17">
            <v>9219000</v>
          </cell>
        </row>
        <row r="18">
          <cell r="A18">
            <v>0</v>
          </cell>
          <cell r="B18" t="str">
            <v/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Por Fin Solos</v>
          </cell>
          <cell r="B19">
            <v>78249</v>
          </cell>
          <cell r="C19">
            <v>507000</v>
          </cell>
          <cell r="D19">
            <v>1013000</v>
          </cell>
          <cell r="E19">
            <v>1160000</v>
          </cell>
          <cell r="F19">
            <v>1387000</v>
          </cell>
          <cell r="G19">
            <v>1493000</v>
          </cell>
          <cell r="H19">
            <v>1600000</v>
          </cell>
          <cell r="I19">
            <v>1867000</v>
          </cell>
          <cell r="J19">
            <v>2133000</v>
          </cell>
          <cell r="K19">
            <v>2400000</v>
          </cell>
          <cell r="L19">
            <v>2800000</v>
          </cell>
          <cell r="M19">
            <v>3227000</v>
          </cell>
          <cell r="N19">
            <v>3680000</v>
          </cell>
          <cell r="O19">
            <v>3987000</v>
          </cell>
        </row>
        <row r="20">
          <cell r="A20" t="str">
            <v>Viral</v>
          </cell>
          <cell r="B20">
            <v>78252</v>
          </cell>
          <cell r="C20">
            <v>633000</v>
          </cell>
          <cell r="D20">
            <v>1267000</v>
          </cell>
          <cell r="E20">
            <v>1450000</v>
          </cell>
          <cell r="F20">
            <v>1733000</v>
          </cell>
          <cell r="G20">
            <v>1867000</v>
          </cell>
          <cell r="H20">
            <v>2000000</v>
          </cell>
          <cell r="I20">
            <v>2333000</v>
          </cell>
          <cell r="J20">
            <v>2667000</v>
          </cell>
          <cell r="K20">
            <v>3000000</v>
          </cell>
          <cell r="L20">
            <v>3500000</v>
          </cell>
          <cell r="M20">
            <v>4033000</v>
          </cell>
          <cell r="N20">
            <v>4600000</v>
          </cell>
          <cell r="O20">
            <v>4983000</v>
          </cell>
        </row>
        <row r="21">
          <cell r="A21" t="str">
            <v>IV Medio</v>
          </cell>
          <cell r="B21">
            <v>76194</v>
          </cell>
          <cell r="C21">
            <v>443000</v>
          </cell>
          <cell r="D21">
            <v>887000</v>
          </cell>
          <cell r="E21">
            <v>1015000</v>
          </cell>
          <cell r="F21">
            <v>1213000</v>
          </cell>
          <cell r="G21">
            <v>1307000</v>
          </cell>
          <cell r="H21">
            <v>1400000</v>
          </cell>
          <cell r="I21">
            <v>1633000</v>
          </cell>
          <cell r="J21">
            <v>1867000</v>
          </cell>
          <cell r="K21">
            <v>2100000</v>
          </cell>
          <cell r="L21">
            <v>2450000</v>
          </cell>
          <cell r="M21">
            <v>2823000</v>
          </cell>
          <cell r="N21">
            <v>3220000</v>
          </cell>
          <cell r="O21">
            <v>3488000</v>
          </cell>
        </row>
        <row r="22">
          <cell r="A22" t="str">
            <v>Humor</v>
          </cell>
          <cell r="B22">
            <v>76639</v>
          </cell>
          <cell r="C22">
            <v>633000</v>
          </cell>
          <cell r="D22">
            <v>1267000</v>
          </cell>
          <cell r="E22">
            <v>1450000</v>
          </cell>
          <cell r="F22">
            <v>1733000</v>
          </cell>
          <cell r="G22">
            <v>1867000</v>
          </cell>
          <cell r="H22">
            <v>2000000</v>
          </cell>
          <cell r="I22">
            <v>2333000</v>
          </cell>
          <cell r="J22">
            <v>2667000</v>
          </cell>
          <cell r="K22">
            <v>3000000</v>
          </cell>
          <cell r="L22">
            <v>3500000</v>
          </cell>
          <cell r="M22">
            <v>4033000</v>
          </cell>
          <cell r="N22">
            <v>4600000</v>
          </cell>
          <cell r="O22">
            <v>4983000</v>
          </cell>
        </row>
        <row r="23">
          <cell r="A23" t="str">
            <v>Best Seller viernes</v>
          </cell>
          <cell r="B23">
            <v>76630</v>
          </cell>
          <cell r="C23">
            <v>443000</v>
          </cell>
          <cell r="D23">
            <v>887000</v>
          </cell>
          <cell r="E23">
            <v>1015000</v>
          </cell>
          <cell r="F23">
            <v>1213000</v>
          </cell>
          <cell r="G23">
            <v>1307000</v>
          </cell>
          <cell r="H23">
            <v>1400000</v>
          </cell>
          <cell r="I23">
            <v>1633000</v>
          </cell>
          <cell r="J23">
            <v>1867000</v>
          </cell>
          <cell r="K23">
            <v>2100000</v>
          </cell>
          <cell r="L23">
            <v>2450000</v>
          </cell>
          <cell r="M23">
            <v>2823000</v>
          </cell>
          <cell r="N23">
            <v>3220000</v>
          </cell>
          <cell r="O23">
            <v>3488000</v>
          </cell>
        </row>
        <row r="24">
          <cell r="A24" t="str">
            <v>Best Seller sabado</v>
          </cell>
          <cell r="B24">
            <v>76631</v>
          </cell>
          <cell r="C24">
            <v>475000</v>
          </cell>
          <cell r="D24">
            <v>950000</v>
          </cell>
          <cell r="E24">
            <v>1088000</v>
          </cell>
          <cell r="F24">
            <v>1300000</v>
          </cell>
          <cell r="G24">
            <v>1400000</v>
          </cell>
          <cell r="H24">
            <v>1500000</v>
          </cell>
          <cell r="I24">
            <v>1750000</v>
          </cell>
          <cell r="J24">
            <v>2000000</v>
          </cell>
          <cell r="K24">
            <v>2250000</v>
          </cell>
          <cell r="L24">
            <v>2625000</v>
          </cell>
          <cell r="M24">
            <v>3025000</v>
          </cell>
          <cell r="N24">
            <v>3450000</v>
          </cell>
          <cell r="O24">
            <v>3738000</v>
          </cell>
        </row>
        <row r="25">
          <cell r="A25" t="str">
            <v>Cultura Prime / Lleve de lo Bueno</v>
          </cell>
          <cell r="B25">
            <v>78250</v>
          </cell>
          <cell r="C25">
            <v>475000</v>
          </cell>
          <cell r="D25">
            <v>950000</v>
          </cell>
          <cell r="E25">
            <v>1088000</v>
          </cell>
          <cell r="F25">
            <v>1300000</v>
          </cell>
          <cell r="G25">
            <v>1400000</v>
          </cell>
          <cell r="H25">
            <v>1500000</v>
          </cell>
          <cell r="I25">
            <v>1750000</v>
          </cell>
          <cell r="J25">
            <v>2000000</v>
          </cell>
          <cell r="K25">
            <v>2250000</v>
          </cell>
          <cell r="L25">
            <v>2625000</v>
          </cell>
          <cell r="M25">
            <v>3025000</v>
          </cell>
          <cell r="N25">
            <v>3450000</v>
          </cell>
          <cell r="O25">
            <v>3738000</v>
          </cell>
        </row>
        <row r="26">
          <cell r="A26">
            <v>0</v>
          </cell>
          <cell r="B26" t="str">
            <v/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Medianoche</v>
          </cell>
          <cell r="B27">
            <v>70981</v>
          </cell>
          <cell r="C27">
            <v>222000</v>
          </cell>
          <cell r="D27">
            <v>443000</v>
          </cell>
          <cell r="E27">
            <v>508000</v>
          </cell>
          <cell r="F27">
            <v>607000</v>
          </cell>
          <cell r="G27">
            <v>653000</v>
          </cell>
          <cell r="H27">
            <v>700000</v>
          </cell>
          <cell r="I27">
            <v>817000</v>
          </cell>
          <cell r="J27">
            <v>933000</v>
          </cell>
          <cell r="K27">
            <v>1050000</v>
          </cell>
          <cell r="L27">
            <v>1225000</v>
          </cell>
          <cell r="M27">
            <v>1412000</v>
          </cell>
          <cell r="N27">
            <v>1610000</v>
          </cell>
          <cell r="O27">
            <v>1744000</v>
          </cell>
        </row>
        <row r="28">
          <cell r="A28" t="str">
            <v>Doctor House</v>
          </cell>
          <cell r="B28">
            <v>71041</v>
          </cell>
          <cell r="C28">
            <v>143000</v>
          </cell>
          <cell r="D28">
            <v>285000</v>
          </cell>
          <cell r="E28">
            <v>326000</v>
          </cell>
          <cell r="F28">
            <v>390000</v>
          </cell>
          <cell r="G28">
            <v>420000</v>
          </cell>
          <cell r="H28">
            <v>450000</v>
          </cell>
          <cell r="I28">
            <v>525000</v>
          </cell>
          <cell r="J28">
            <v>600000</v>
          </cell>
          <cell r="K28">
            <v>675000</v>
          </cell>
          <cell r="L28">
            <v>788000</v>
          </cell>
          <cell r="M28">
            <v>908000</v>
          </cell>
          <cell r="N28">
            <v>1035000</v>
          </cell>
          <cell r="O28">
            <v>1121000</v>
          </cell>
        </row>
        <row r="29">
          <cell r="A29" t="str">
            <v>Tv Tiempo Final</v>
          </cell>
          <cell r="B29">
            <v>70982</v>
          </cell>
          <cell r="C29">
            <v>79000</v>
          </cell>
          <cell r="D29">
            <v>158000</v>
          </cell>
          <cell r="E29">
            <v>181000</v>
          </cell>
          <cell r="F29">
            <v>217000</v>
          </cell>
          <cell r="G29">
            <v>233000</v>
          </cell>
          <cell r="H29">
            <v>250000</v>
          </cell>
          <cell r="I29">
            <v>292000</v>
          </cell>
          <cell r="J29">
            <v>333000</v>
          </cell>
          <cell r="K29">
            <v>375000</v>
          </cell>
          <cell r="L29">
            <v>438000</v>
          </cell>
          <cell r="M29">
            <v>504000</v>
          </cell>
          <cell r="N29">
            <v>575000</v>
          </cell>
          <cell r="O29">
            <v>623000</v>
          </cell>
        </row>
        <row r="30">
          <cell r="A30" t="str">
            <v>Grandes Peliculas</v>
          </cell>
          <cell r="B30">
            <v>74509</v>
          </cell>
          <cell r="C30">
            <v>158000</v>
          </cell>
          <cell r="D30">
            <v>317000</v>
          </cell>
          <cell r="E30">
            <v>363000</v>
          </cell>
          <cell r="F30">
            <v>433000</v>
          </cell>
          <cell r="G30">
            <v>467000</v>
          </cell>
          <cell r="H30">
            <v>500000</v>
          </cell>
          <cell r="I30">
            <v>583000</v>
          </cell>
          <cell r="J30">
            <v>667000</v>
          </cell>
          <cell r="K30">
            <v>750000</v>
          </cell>
          <cell r="L30">
            <v>875000</v>
          </cell>
          <cell r="M30">
            <v>1008000</v>
          </cell>
          <cell r="N30">
            <v>1150000</v>
          </cell>
          <cell r="O30">
            <v>1246000</v>
          </cell>
        </row>
        <row r="31">
          <cell r="A31" t="str">
            <v>Doctor House A</v>
          </cell>
          <cell r="B31">
            <v>78205</v>
          </cell>
          <cell r="C31">
            <v>222000</v>
          </cell>
          <cell r="D31">
            <v>443000</v>
          </cell>
          <cell r="E31">
            <v>508000</v>
          </cell>
          <cell r="F31">
            <v>607000</v>
          </cell>
          <cell r="G31">
            <v>653000</v>
          </cell>
          <cell r="H31">
            <v>700000</v>
          </cell>
          <cell r="I31">
            <v>817000</v>
          </cell>
          <cell r="J31">
            <v>933000</v>
          </cell>
          <cell r="K31">
            <v>1050000</v>
          </cell>
          <cell r="L31">
            <v>1225000</v>
          </cell>
          <cell r="M31">
            <v>1412000</v>
          </cell>
          <cell r="N31">
            <v>1610000</v>
          </cell>
          <cell r="O31">
            <v>1744000</v>
          </cell>
        </row>
        <row r="32">
          <cell r="A32" t="str">
            <v>Doctor House B</v>
          </cell>
          <cell r="B32">
            <v>78204</v>
          </cell>
          <cell r="C32">
            <v>190000</v>
          </cell>
          <cell r="D32">
            <v>380000</v>
          </cell>
          <cell r="E32">
            <v>435000</v>
          </cell>
          <cell r="F32">
            <v>520000</v>
          </cell>
          <cell r="G32">
            <v>560000</v>
          </cell>
          <cell r="H32">
            <v>600000</v>
          </cell>
          <cell r="I32">
            <v>700000</v>
          </cell>
          <cell r="J32">
            <v>800000</v>
          </cell>
          <cell r="K32">
            <v>900000</v>
          </cell>
          <cell r="L32">
            <v>1050000</v>
          </cell>
          <cell r="M32">
            <v>1210000</v>
          </cell>
          <cell r="N32">
            <v>1380000</v>
          </cell>
          <cell r="O32">
            <v>1495000</v>
          </cell>
        </row>
        <row r="33">
          <cell r="A33">
            <v>0</v>
          </cell>
          <cell r="B33" t="str">
            <v/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5:50</v>
          </cell>
          <cell r="B34">
            <v>75832</v>
          </cell>
          <cell r="C34">
            <v>63000</v>
          </cell>
          <cell r="D34">
            <v>127000</v>
          </cell>
          <cell r="E34">
            <v>145000</v>
          </cell>
          <cell r="F34">
            <v>173000</v>
          </cell>
          <cell r="G34">
            <v>187000</v>
          </cell>
          <cell r="H34">
            <v>200000</v>
          </cell>
          <cell r="I34">
            <v>233000</v>
          </cell>
          <cell r="J34">
            <v>267000</v>
          </cell>
          <cell r="K34">
            <v>300000</v>
          </cell>
          <cell r="L34">
            <v>350000</v>
          </cell>
          <cell r="M34">
            <v>403000</v>
          </cell>
          <cell r="N34">
            <v>460000</v>
          </cell>
          <cell r="O34">
            <v>498000</v>
          </cell>
        </row>
        <row r="35">
          <cell r="A35" t="str">
            <v>Tu Mañana A</v>
          </cell>
          <cell r="B35">
            <v>76305</v>
          </cell>
          <cell r="C35">
            <v>190000</v>
          </cell>
          <cell r="D35">
            <v>380000</v>
          </cell>
          <cell r="E35">
            <v>435000</v>
          </cell>
          <cell r="F35">
            <v>520000</v>
          </cell>
          <cell r="G35">
            <v>560000</v>
          </cell>
          <cell r="H35">
            <v>600000</v>
          </cell>
          <cell r="I35">
            <v>700000</v>
          </cell>
          <cell r="J35">
            <v>800000</v>
          </cell>
          <cell r="K35">
            <v>900000</v>
          </cell>
          <cell r="L35">
            <v>1050000</v>
          </cell>
          <cell r="M35">
            <v>1210000</v>
          </cell>
          <cell r="N35">
            <v>1380000</v>
          </cell>
          <cell r="O35">
            <v>1495000</v>
          </cell>
        </row>
        <row r="36">
          <cell r="A36" t="str">
            <v>TU MAÑANA PLUS A</v>
          </cell>
          <cell r="B36">
            <v>0</v>
          </cell>
          <cell r="C36">
            <v>196000</v>
          </cell>
          <cell r="D36">
            <v>393000</v>
          </cell>
          <cell r="E36">
            <v>450000</v>
          </cell>
          <cell r="F36">
            <v>537000</v>
          </cell>
          <cell r="G36">
            <v>579000</v>
          </cell>
          <cell r="H36">
            <v>620000</v>
          </cell>
          <cell r="I36">
            <v>723000</v>
          </cell>
          <cell r="J36">
            <v>827000</v>
          </cell>
          <cell r="K36">
            <v>930000</v>
          </cell>
          <cell r="L36">
            <v>1085000</v>
          </cell>
          <cell r="M36">
            <v>1250000</v>
          </cell>
          <cell r="N36">
            <v>1426000</v>
          </cell>
          <cell r="O36">
            <v>1545000</v>
          </cell>
        </row>
        <row r="37">
          <cell r="A37" t="str">
            <v>Tu Mañana B</v>
          </cell>
          <cell r="B37">
            <v>76306</v>
          </cell>
          <cell r="C37">
            <v>206000</v>
          </cell>
          <cell r="D37">
            <v>412000</v>
          </cell>
          <cell r="E37">
            <v>471000</v>
          </cell>
          <cell r="F37">
            <v>563000</v>
          </cell>
          <cell r="G37">
            <v>607000</v>
          </cell>
          <cell r="H37">
            <v>650000</v>
          </cell>
          <cell r="I37">
            <v>758000</v>
          </cell>
          <cell r="J37">
            <v>867000</v>
          </cell>
          <cell r="K37">
            <v>975000</v>
          </cell>
          <cell r="L37">
            <v>1138000</v>
          </cell>
          <cell r="M37">
            <v>1311000</v>
          </cell>
          <cell r="N37">
            <v>1495000</v>
          </cell>
          <cell r="O37">
            <v>1620000</v>
          </cell>
        </row>
        <row r="38">
          <cell r="A38" t="str">
            <v>Tu Mañana Plus B</v>
          </cell>
          <cell r="B38">
            <v>0</v>
          </cell>
          <cell r="C38">
            <v>212000</v>
          </cell>
          <cell r="D38">
            <v>424000</v>
          </cell>
          <cell r="E38">
            <v>486000</v>
          </cell>
          <cell r="F38">
            <v>581000</v>
          </cell>
          <cell r="G38">
            <v>625000</v>
          </cell>
          <cell r="H38">
            <v>670000</v>
          </cell>
          <cell r="I38">
            <v>782000</v>
          </cell>
          <cell r="J38">
            <v>893000</v>
          </cell>
          <cell r="K38">
            <v>1005000</v>
          </cell>
          <cell r="L38">
            <v>1173000</v>
          </cell>
          <cell r="M38">
            <v>1351000</v>
          </cell>
          <cell r="N38">
            <v>1541000</v>
          </cell>
          <cell r="O38">
            <v>1669000</v>
          </cell>
        </row>
        <row r="39">
          <cell r="A39" t="str">
            <v>Buenos Días a Todos A</v>
          </cell>
          <cell r="B39">
            <v>70967</v>
          </cell>
          <cell r="C39">
            <v>143000</v>
          </cell>
          <cell r="D39">
            <v>285000</v>
          </cell>
          <cell r="E39">
            <v>326000</v>
          </cell>
          <cell r="F39">
            <v>390000</v>
          </cell>
          <cell r="G39">
            <v>420000</v>
          </cell>
          <cell r="H39">
            <v>450000</v>
          </cell>
          <cell r="I39">
            <v>525000</v>
          </cell>
          <cell r="J39">
            <v>600000</v>
          </cell>
          <cell r="K39">
            <v>675000</v>
          </cell>
          <cell r="L39">
            <v>788000</v>
          </cell>
          <cell r="M39">
            <v>908000</v>
          </cell>
          <cell r="N39">
            <v>1035000</v>
          </cell>
          <cell r="O39">
            <v>1121000</v>
          </cell>
        </row>
        <row r="40">
          <cell r="A40" t="str">
            <v>Buenos Días a Todos B</v>
          </cell>
          <cell r="B40">
            <v>70968</v>
          </cell>
          <cell r="C40">
            <v>111000</v>
          </cell>
          <cell r="D40">
            <v>222000</v>
          </cell>
          <cell r="E40">
            <v>254000</v>
          </cell>
          <cell r="F40">
            <v>303000</v>
          </cell>
          <cell r="G40">
            <v>327000</v>
          </cell>
          <cell r="H40">
            <v>350000</v>
          </cell>
          <cell r="I40">
            <v>408000</v>
          </cell>
          <cell r="J40">
            <v>467000</v>
          </cell>
          <cell r="K40">
            <v>525000</v>
          </cell>
          <cell r="L40">
            <v>613000</v>
          </cell>
          <cell r="M40">
            <v>706000</v>
          </cell>
          <cell r="N40">
            <v>805000</v>
          </cell>
          <cell r="O40">
            <v>872000</v>
          </cell>
        </row>
        <row r="41">
          <cell r="A41" t="str">
            <v>Romané</v>
          </cell>
          <cell r="B41">
            <v>63726</v>
          </cell>
          <cell r="C41">
            <v>143000</v>
          </cell>
          <cell r="D41">
            <v>285000</v>
          </cell>
          <cell r="E41">
            <v>326000</v>
          </cell>
          <cell r="F41">
            <v>390000</v>
          </cell>
          <cell r="G41">
            <v>420000</v>
          </cell>
          <cell r="H41">
            <v>450000</v>
          </cell>
          <cell r="I41">
            <v>525000</v>
          </cell>
          <cell r="J41">
            <v>600000</v>
          </cell>
          <cell r="K41">
            <v>675000</v>
          </cell>
          <cell r="L41">
            <v>788000</v>
          </cell>
          <cell r="M41">
            <v>908000</v>
          </cell>
          <cell r="N41">
            <v>1035000</v>
          </cell>
          <cell r="O41">
            <v>1121000</v>
          </cell>
        </row>
        <row r="42">
          <cell r="A42" t="str">
            <v>La Fiera</v>
          </cell>
          <cell r="B42">
            <v>62928</v>
          </cell>
          <cell r="C42">
            <v>143000</v>
          </cell>
          <cell r="D42">
            <v>285000</v>
          </cell>
          <cell r="E42">
            <v>326000</v>
          </cell>
          <cell r="F42">
            <v>390000</v>
          </cell>
          <cell r="G42">
            <v>420000</v>
          </cell>
          <cell r="H42">
            <v>450000</v>
          </cell>
          <cell r="I42">
            <v>525000</v>
          </cell>
          <cell r="J42">
            <v>600000</v>
          </cell>
          <cell r="K42">
            <v>675000</v>
          </cell>
          <cell r="L42">
            <v>788000</v>
          </cell>
          <cell r="M42">
            <v>908000</v>
          </cell>
          <cell r="N42">
            <v>1035000</v>
          </cell>
          <cell r="O42">
            <v>1121000</v>
          </cell>
        </row>
        <row r="43">
          <cell r="A43">
            <v>0</v>
          </cell>
          <cell r="B43" t="str">
            <v/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24 Horas al día</v>
          </cell>
          <cell r="B44">
            <v>70955</v>
          </cell>
          <cell r="C44">
            <v>222000</v>
          </cell>
          <cell r="D44">
            <v>443000</v>
          </cell>
          <cell r="E44">
            <v>508000</v>
          </cell>
          <cell r="F44">
            <v>607000</v>
          </cell>
          <cell r="G44">
            <v>653000</v>
          </cell>
          <cell r="H44">
            <v>700000</v>
          </cell>
          <cell r="I44">
            <v>817000</v>
          </cell>
          <cell r="J44">
            <v>933000</v>
          </cell>
          <cell r="K44">
            <v>1050000</v>
          </cell>
          <cell r="L44">
            <v>1225000</v>
          </cell>
          <cell r="M44">
            <v>1412000</v>
          </cell>
          <cell r="N44">
            <v>1610000</v>
          </cell>
          <cell r="O44">
            <v>1744000</v>
          </cell>
        </row>
        <row r="45">
          <cell r="A45" t="str">
            <v>24 Horas al día Plus</v>
          </cell>
          <cell r="B45">
            <v>0</v>
          </cell>
          <cell r="C45">
            <v>247000</v>
          </cell>
          <cell r="D45">
            <v>494000</v>
          </cell>
          <cell r="E45">
            <v>566000</v>
          </cell>
          <cell r="F45">
            <v>676000</v>
          </cell>
          <cell r="G45">
            <v>728000</v>
          </cell>
          <cell r="H45">
            <v>780000</v>
          </cell>
          <cell r="I45">
            <v>910000</v>
          </cell>
          <cell r="J45">
            <v>1040000</v>
          </cell>
          <cell r="K45">
            <v>1170000</v>
          </cell>
          <cell r="L45">
            <v>1365000</v>
          </cell>
          <cell r="M45">
            <v>1573000</v>
          </cell>
          <cell r="N45">
            <v>1794000</v>
          </cell>
          <cell r="O45">
            <v>1944000</v>
          </cell>
        </row>
        <row r="46">
          <cell r="A46" t="str">
            <v>Esa No Soy Yo</v>
          </cell>
          <cell r="B46">
            <v>77338</v>
          </cell>
          <cell r="C46">
            <v>222000</v>
          </cell>
          <cell r="D46">
            <v>443000</v>
          </cell>
          <cell r="E46">
            <v>508000</v>
          </cell>
          <cell r="F46">
            <v>607000</v>
          </cell>
          <cell r="G46">
            <v>653000</v>
          </cell>
          <cell r="H46">
            <v>700000</v>
          </cell>
          <cell r="I46">
            <v>817000</v>
          </cell>
          <cell r="J46">
            <v>933000</v>
          </cell>
          <cell r="K46">
            <v>1050000</v>
          </cell>
          <cell r="L46">
            <v>1225000</v>
          </cell>
          <cell r="M46">
            <v>1412000</v>
          </cell>
          <cell r="N46">
            <v>1610000</v>
          </cell>
          <cell r="O46">
            <v>1744000</v>
          </cell>
        </row>
        <row r="47">
          <cell r="A47" t="str">
            <v>Brusko</v>
          </cell>
          <cell r="B47">
            <v>78367</v>
          </cell>
          <cell r="C47">
            <v>253000</v>
          </cell>
          <cell r="D47">
            <v>507000</v>
          </cell>
          <cell r="E47">
            <v>580000</v>
          </cell>
          <cell r="F47">
            <v>693000</v>
          </cell>
          <cell r="G47">
            <v>747000</v>
          </cell>
          <cell r="H47">
            <v>800000</v>
          </cell>
          <cell r="I47">
            <v>933000</v>
          </cell>
          <cell r="J47">
            <v>1067000</v>
          </cell>
          <cell r="K47">
            <v>1200000</v>
          </cell>
          <cell r="L47">
            <v>1400000</v>
          </cell>
          <cell r="M47">
            <v>1613000</v>
          </cell>
          <cell r="N47">
            <v>1840000</v>
          </cell>
          <cell r="O47">
            <v>1993000</v>
          </cell>
        </row>
        <row r="48">
          <cell r="A48" t="str">
            <v>Destilando Amor</v>
          </cell>
          <cell r="B48">
            <v>78203</v>
          </cell>
          <cell r="C48">
            <v>174000</v>
          </cell>
          <cell r="D48">
            <v>348000</v>
          </cell>
          <cell r="E48">
            <v>399000</v>
          </cell>
          <cell r="F48">
            <v>477000</v>
          </cell>
          <cell r="G48">
            <v>513000</v>
          </cell>
          <cell r="H48">
            <v>550000</v>
          </cell>
          <cell r="I48">
            <v>642000</v>
          </cell>
          <cell r="J48">
            <v>733000</v>
          </cell>
          <cell r="K48">
            <v>825000</v>
          </cell>
          <cell r="L48">
            <v>963000</v>
          </cell>
          <cell r="M48">
            <v>1109000</v>
          </cell>
          <cell r="N48">
            <v>1265000</v>
          </cell>
          <cell r="O48">
            <v>1370000</v>
          </cell>
        </row>
        <row r="49">
          <cell r="A49" t="str">
            <v>El Secreto de Puente Viejo</v>
          </cell>
          <cell r="B49">
            <v>76495</v>
          </cell>
          <cell r="C49">
            <v>174000</v>
          </cell>
          <cell r="D49">
            <v>348000</v>
          </cell>
          <cell r="E49">
            <v>399000</v>
          </cell>
          <cell r="F49">
            <v>477000</v>
          </cell>
          <cell r="G49">
            <v>513000</v>
          </cell>
          <cell r="H49">
            <v>550000</v>
          </cell>
          <cell r="I49">
            <v>642000</v>
          </cell>
          <cell r="J49">
            <v>733000</v>
          </cell>
          <cell r="K49">
            <v>825000</v>
          </cell>
          <cell r="L49">
            <v>963000</v>
          </cell>
          <cell r="M49">
            <v>1109000</v>
          </cell>
          <cell r="N49">
            <v>1265000</v>
          </cell>
          <cell r="O49">
            <v>1370000</v>
          </cell>
        </row>
        <row r="50">
          <cell r="A50">
            <v>0</v>
          </cell>
          <cell r="B50" t="str">
            <v/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>Horacio y los Plasticines</v>
          </cell>
          <cell r="B51">
            <v>76173</v>
          </cell>
          <cell r="C51">
            <v>32000</v>
          </cell>
          <cell r="D51">
            <v>63000</v>
          </cell>
          <cell r="E51">
            <v>73000</v>
          </cell>
          <cell r="F51">
            <v>87000</v>
          </cell>
          <cell r="G51">
            <v>93000</v>
          </cell>
          <cell r="H51">
            <v>100000</v>
          </cell>
          <cell r="I51">
            <v>117000</v>
          </cell>
          <cell r="J51">
            <v>133000</v>
          </cell>
          <cell r="K51">
            <v>150000</v>
          </cell>
          <cell r="L51">
            <v>175000</v>
          </cell>
          <cell r="M51">
            <v>202000</v>
          </cell>
          <cell r="N51">
            <v>230000</v>
          </cell>
          <cell r="O51">
            <v>249000</v>
          </cell>
        </row>
        <row r="52">
          <cell r="A52" t="str">
            <v>Peppa Pig</v>
          </cell>
          <cell r="B52">
            <v>77273</v>
          </cell>
          <cell r="C52">
            <v>32000</v>
          </cell>
          <cell r="D52">
            <v>63000</v>
          </cell>
          <cell r="E52">
            <v>73000</v>
          </cell>
          <cell r="F52">
            <v>87000</v>
          </cell>
          <cell r="G52">
            <v>93000</v>
          </cell>
          <cell r="H52">
            <v>100000</v>
          </cell>
          <cell r="I52">
            <v>117000</v>
          </cell>
          <cell r="J52">
            <v>133000</v>
          </cell>
          <cell r="K52">
            <v>150000</v>
          </cell>
          <cell r="L52">
            <v>175000</v>
          </cell>
          <cell r="M52">
            <v>202000</v>
          </cell>
          <cell r="N52">
            <v>230000</v>
          </cell>
          <cell r="O52">
            <v>249000</v>
          </cell>
        </row>
        <row r="53">
          <cell r="A53" t="str">
            <v>Película Infantil</v>
          </cell>
          <cell r="B53">
            <v>78251</v>
          </cell>
          <cell r="C53">
            <v>48000</v>
          </cell>
          <cell r="D53">
            <v>95000</v>
          </cell>
          <cell r="E53">
            <v>109000</v>
          </cell>
          <cell r="F53">
            <v>130000</v>
          </cell>
          <cell r="G53">
            <v>140000</v>
          </cell>
          <cell r="H53">
            <v>150000</v>
          </cell>
          <cell r="I53">
            <v>175000</v>
          </cell>
          <cell r="J53">
            <v>200000</v>
          </cell>
          <cell r="K53">
            <v>225000</v>
          </cell>
          <cell r="L53">
            <v>263000</v>
          </cell>
          <cell r="M53">
            <v>303000</v>
          </cell>
          <cell r="N53">
            <v>345000</v>
          </cell>
          <cell r="O53">
            <v>374000</v>
          </cell>
        </row>
        <row r="54">
          <cell r="A54" t="str">
            <v>Noticreo</v>
          </cell>
          <cell r="B54">
            <v>77737</v>
          </cell>
          <cell r="C54">
            <v>63000</v>
          </cell>
          <cell r="D54">
            <v>127000</v>
          </cell>
          <cell r="E54">
            <v>145000</v>
          </cell>
          <cell r="F54">
            <v>173000</v>
          </cell>
          <cell r="G54">
            <v>187000</v>
          </cell>
          <cell r="H54">
            <v>200000</v>
          </cell>
          <cell r="I54">
            <v>233000</v>
          </cell>
          <cell r="J54">
            <v>267000</v>
          </cell>
          <cell r="K54">
            <v>300000</v>
          </cell>
          <cell r="L54">
            <v>350000</v>
          </cell>
          <cell r="M54">
            <v>403000</v>
          </cell>
          <cell r="N54">
            <v>460000</v>
          </cell>
          <cell r="O54">
            <v>498000</v>
          </cell>
        </row>
        <row r="55">
          <cell r="A55" t="str">
            <v>Super Cine Mañana</v>
          </cell>
          <cell r="B55">
            <v>75234</v>
          </cell>
          <cell r="C55">
            <v>111000</v>
          </cell>
          <cell r="D55">
            <v>222000</v>
          </cell>
          <cell r="E55">
            <v>254000</v>
          </cell>
          <cell r="F55">
            <v>303000</v>
          </cell>
          <cell r="G55">
            <v>327000</v>
          </cell>
          <cell r="H55">
            <v>350000</v>
          </cell>
          <cell r="I55">
            <v>408000</v>
          </cell>
          <cell r="J55">
            <v>467000</v>
          </cell>
          <cell r="K55">
            <v>525000</v>
          </cell>
          <cell r="L55">
            <v>613000</v>
          </cell>
          <cell r="M55">
            <v>706000</v>
          </cell>
          <cell r="N55">
            <v>805000</v>
          </cell>
          <cell r="O55">
            <v>872000</v>
          </cell>
        </row>
        <row r="56">
          <cell r="A56" t="str">
            <v>24 horas Día Sá</v>
          </cell>
          <cell r="B56">
            <v>72883</v>
          </cell>
          <cell r="C56">
            <v>174000</v>
          </cell>
          <cell r="D56">
            <v>348000</v>
          </cell>
          <cell r="E56">
            <v>399000</v>
          </cell>
          <cell r="F56">
            <v>477000</v>
          </cell>
          <cell r="G56">
            <v>513000</v>
          </cell>
          <cell r="H56">
            <v>550000</v>
          </cell>
          <cell r="I56">
            <v>642000</v>
          </cell>
          <cell r="J56">
            <v>733000</v>
          </cell>
          <cell r="K56">
            <v>825000</v>
          </cell>
          <cell r="L56">
            <v>963000</v>
          </cell>
          <cell r="M56">
            <v>1109000</v>
          </cell>
          <cell r="N56">
            <v>1265000</v>
          </cell>
          <cell r="O56">
            <v>1370000</v>
          </cell>
        </row>
        <row r="57">
          <cell r="A57" t="str">
            <v>24 horas Día Sá Plus</v>
          </cell>
          <cell r="B57">
            <v>0</v>
          </cell>
          <cell r="C57">
            <v>184000</v>
          </cell>
          <cell r="D57">
            <v>367000</v>
          </cell>
          <cell r="E57">
            <v>421000</v>
          </cell>
          <cell r="F57">
            <v>503000</v>
          </cell>
          <cell r="G57">
            <v>541000</v>
          </cell>
          <cell r="H57">
            <v>580000</v>
          </cell>
          <cell r="I57">
            <v>677000</v>
          </cell>
          <cell r="J57">
            <v>773000</v>
          </cell>
          <cell r="K57">
            <v>870000</v>
          </cell>
          <cell r="L57">
            <v>1015000</v>
          </cell>
          <cell r="M57">
            <v>1170000</v>
          </cell>
          <cell r="N57">
            <v>1334000</v>
          </cell>
          <cell r="O57">
            <v>1445000</v>
          </cell>
        </row>
        <row r="58">
          <cell r="A58" t="str">
            <v>Nuestro Siglo</v>
          </cell>
          <cell r="B58">
            <v>78346</v>
          </cell>
          <cell r="C58">
            <v>174000</v>
          </cell>
          <cell r="D58">
            <v>348000</v>
          </cell>
          <cell r="E58">
            <v>399000</v>
          </cell>
          <cell r="F58">
            <v>477000</v>
          </cell>
          <cell r="G58">
            <v>513000</v>
          </cell>
          <cell r="H58">
            <v>550000</v>
          </cell>
          <cell r="I58">
            <v>642000</v>
          </cell>
          <cell r="J58">
            <v>733000</v>
          </cell>
          <cell r="K58">
            <v>825000</v>
          </cell>
          <cell r="L58">
            <v>963000</v>
          </cell>
          <cell r="M58">
            <v>1109000</v>
          </cell>
          <cell r="N58">
            <v>1265000</v>
          </cell>
          <cell r="O58">
            <v>1370000</v>
          </cell>
        </row>
        <row r="59">
          <cell r="A59" t="str">
            <v>Tu Historia es Mi Historia</v>
          </cell>
          <cell r="B59">
            <v>74149</v>
          </cell>
          <cell r="C59">
            <v>174000</v>
          </cell>
          <cell r="D59">
            <v>348000</v>
          </cell>
          <cell r="E59">
            <v>399000</v>
          </cell>
          <cell r="F59">
            <v>477000</v>
          </cell>
          <cell r="G59">
            <v>513000</v>
          </cell>
          <cell r="H59">
            <v>550000</v>
          </cell>
          <cell r="I59">
            <v>642000</v>
          </cell>
          <cell r="J59">
            <v>733000</v>
          </cell>
          <cell r="K59">
            <v>825000</v>
          </cell>
          <cell r="L59">
            <v>963000</v>
          </cell>
          <cell r="M59">
            <v>1109000</v>
          </cell>
          <cell r="N59">
            <v>1265000</v>
          </cell>
          <cell r="O59">
            <v>1370000</v>
          </cell>
        </row>
        <row r="60">
          <cell r="A60" t="str">
            <v>Los Tesoros de la Ruta</v>
          </cell>
          <cell r="B60">
            <v>77623</v>
          </cell>
          <cell r="C60">
            <v>174000</v>
          </cell>
          <cell r="D60">
            <v>348000</v>
          </cell>
          <cell r="E60">
            <v>399000</v>
          </cell>
          <cell r="F60">
            <v>477000</v>
          </cell>
          <cell r="G60">
            <v>513000</v>
          </cell>
          <cell r="H60">
            <v>550000</v>
          </cell>
          <cell r="I60">
            <v>642000</v>
          </cell>
          <cell r="J60">
            <v>733000</v>
          </cell>
          <cell r="K60">
            <v>825000</v>
          </cell>
          <cell r="L60">
            <v>963000</v>
          </cell>
          <cell r="M60">
            <v>1109000</v>
          </cell>
          <cell r="N60">
            <v>1265000</v>
          </cell>
          <cell r="O60">
            <v>1370000</v>
          </cell>
        </row>
        <row r="61">
          <cell r="A61" t="str">
            <v>Camioneros</v>
          </cell>
          <cell r="B61">
            <v>71781</v>
          </cell>
          <cell r="C61">
            <v>174000</v>
          </cell>
          <cell r="D61">
            <v>348000</v>
          </cell>
          <cell r="E61">
            <v>399000</v>
          </cell>
          <cell r="F61">
            <v>477000</v>
          </cell>
          <cell r="G61">
            <v>513000</v>
          </cell>
          <cell r="H61">
            <v>550000</v>
          </cell>
          <cell r="I61">
            <v>642000</v>
          </cell>
          <cell r="J61">
            <v>733000</v>
          </cell>
          <cell r="K61">
            <v>825000</v>
          </cell>
          <cell r="L61">
            <v>963000</v>
          </cell>
          <cell r="M61">
            <v>1109000</v>
          </cell>
          <cell r="N61">
            <v>1265000</v>
          </cell>
          <cell r="O61">
            <v>1370000</v>
          </cell>
        </row>
        <row r="62">
          <cell r="A62" t="str">
            <v>La Sangre Tira</v>
          </cell>
          <cell r="B62">
            <v>76578</v>
          </cell>
          <cell r="C62">
            <v>174000</v>
          </cell>
          <cell r="D62">
            <v>348000</v>
          </cell>
          <cell r="E62">
            <v>399000</v>
          </cell>
          <cell r="F62">
            <v>477000</v>
          </cell>
          <cell r="G62">
            <v>513000</v>
          </cell>
          <cell r="H62">
            <v>550000</v>
          </cell>
          <cell r="I62">
            <v>642000</v>
          </cell>
          <cell r="J62">
            <v>733000</v>
          </cell>
          <cell r="K62">
            <v>825000</v>
          </cell>
          <cell r="L62">
            <v>963000</v>
          </cell>
          <cell r="M62">
            <v>1109000</v>
          </cell>
          <cell r="N62">
            <v>1265000</v>
          </cell>
          <cell r="O62">
            <v>1370000</v>
          </cell>
        </row>
        <row r="63">
          <cell r="A63" t="str">
            <v>Los Telas</v>
          </cell>
          <cell r="B63">
            <v>78394</v>
          </cell>
          <cell r="C63">
            <v>174000</v>
          </cell>
          <cell r="D63">
            <v>348000</v>
          </cell>
          <cell r="E63">
            <v>399000</v>
          </cell>
          <cell r="F63">
            <v>477000</v>
          </cell>
          <cell r="G63">
            <v>513000</v>
          </cell>
          <cell r="H63">
            <v>550000</v>
          </cell>
          <cell r="I63">
            <v>642000</v>
          </cell>
          <cell r="J63">
            <v>733000</v>
          </cell>
          <cell r="K63">
            <v>825000</v>
          </cell>
          <cell r="L63">
            <v>963000</v>
          </cell>
          <cell r="M63">
            <v>1109000</v>
          </cell>
          <cell r="N63">
            <v>1265000</v>
          </cell>
          <cell r="O63">
            <v>1370000</v>
          </cell>
        </row>
        <row r="64">
          <cell r="A64" t="str">
            <v>Ce-Hache-i</v>
          </cell>
          <cell r="B64">
            <v>78396</v>
          </cell>
          <cell r="C64">
            <v>174000</v>
          </cell>
          <cell r="D64">
            <v>348000</v>
          </cell>
          <cell r="E64">
            <v>399000</v>
          </cell>
          <cell r="F64">
            <v>477000</v>
          </cell>
          <cell r="G64">
            <v>513000</v>
          </cell>
          <cell r="H64">
            <v>550000</v>
          </cell>
          <cell r="I64">
            <v>642000</v>
          </cell>
          <cell r="J64">
            <v>733000</v>
          </cell>
          <cell r="K64">
            <v>825000</v>
          </cell>
          <cell r="L64">
            <v>963000</v>
          </cell>
          <cell r="M64">
            <v>1109000</v>
          </cell>
          <cell r="N64">
            <v>1265000</v>
          </cell>
          <cell r="O64">
            <v>1370000</v>
          </cell>
        </row>
        <row r="65">
          <cell r="A65" t="str">
            <v>Moisés Resumen Sab.</v>
          </cell>
          <cell r="B65">
            <v>78016</v>
          </cell>
          <cell r="C65">
            <v>158000</v>
          </cell>
          <cell r="D65">
            <v>317000</v>
          </cell>
          <cell r="E65">
            <v>363000</v>
          </cell>
          <cell r="F65">
            <v>433000</v>
          </cell>
          <cell r="G65">
            <v>467000</v>
          </cell>
          <cell r="H65">
            <v>500000</v>
          </cell>
          <cell r="I65">
            <v>583000</v>
          </cell>
          <cell r="J65">
            <v>667000</v>
          </cell>
          <cell r="K65">
            <v>750000</v>
          </cell>
          <cell r="L65">
            <v>875000</v>
          </cell>
          <cell r="M65">
            <v>1008000</v>
          </cell>
          <cell r="N65">
            <v>1150000</v>
          </cell>
          <cell r="O65">
            <v>1246000</v>
          </cell>
        </row>
        <row r="66">
          <cell r="A66">
            <v>0</v>
          </cell>
          <cell r="B66" t="str">
            <v/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Sesiones 24</v>
          </cell>
          <cell r="B67">
            <v>77518</v>
          </cell>
          <cell r="C67">
            <v>79000</v>
          </cell>
          <cell r="D67">
            <v>158000</v>
          </cell>
          <cell r="E67">
            <v>181000</v>
          </cell>
          <cell r="F67">
            <v>217000</v>
          </cell>
          <cell r="G67">
            <v>233000</v>
          </cell>
          <cell r="H67">
            <v>250000</v>
          </cell>
          <cell r="I67">
            <v>292000</v>
          </cell>
          <cell r="J67">
            <v>333000</v>
          </cell>
          <cell r="K67">
            <v>375000</v>
          </cell>
          <cell r="L67">
            <v>438000</v>
          </cell>
          <cell r="M67">
            <v>504000</v>
          </cell>
          <cell r="N67">
            <v>575000</v>
          </cell>
          <cell r="O67">
            <v>623000</v>
          </cell>
        </row>
        <row r="68">
          <cell r="A68" t="str">
            <v>Mirada Economica</v>
          </cell>
          <cell r="B68">
            <v>77517</v>
          </cell>
          <cell r="C68">
            <v>79000</v>
          </cell>
          <cell r="D68">
            <v>158000</v>
          </cell>
          <cell r="E68">
            <v>181000</v>
          </cell>
          <cell r="F68">
            <v>217000</v>
          </cell>
          <cell r="G68">
            <v>233000</v>
          </cell>
          <cell r="H68">
            <v>250000</v>
          </cell>
          <cell r="I68">
            <v>292000</v>
          </cell>
          <cell r="J68">
            <v>333000</v>
          </cell>
          <cell r="K68">
            <v>375000</v>
          </cell>
          <cell r="L68">
            <v>438000</v>
          </cell>
          <cell r="M68">
            <v>504000</v>
          </cell>
          <cell r="N68">
            <v>575000</v>
          </cell>
          <cell r="O68">
            <v>623000</v>
          </cell>
        </row>
        <row r="69">
          <cell r="A69" t="str">
            <v>24 Horas a la Hora</v>
          </cell>
          <cell r="B69">
            <v>76107</v>
          </cell>
          <cell r="C69">
            <v>111000</v>
          </cell>
          <cell r="D69">
            <v>222000</v>
          </cell>
          <cell r="E69">
            <v>254000</v>
          </cell>
          <cell r="F69">
            <v>303000</v>
          </cell>
          <cell r="G69">
            <v>327000</v>
          </cell>
          <cell r="H69">
            <v>350000</v>
          </cell>
          <cell r="I69">
            <v>408000</v>
          </cell>
          <cell r="J69">
            <v>467000</v>
          </cell>
          <cell r="K69">
            <v>525000</v>
          </cell>
          <cell r="L69">
            <v>613000</v>
          </cell>
          <cell r="M69">
            <v>706000</v>
          </cell>
          <cell r="N69">
            <v>805000</v>
          </cell>
          <cell r="O69">
            <v>872000</v>
          </cell>
        </row>
        <row r="70">
          <cell r="A70" t="str">
            <v>Estado Nacional</v>
          </cell>
          <cell r="B70">
            <v>69474</v>
          </cell>
          <cell r="C70">
            <v>143000</v>
          </cell>
          <cell r="D70">
            <v>285000</v>
          </cell>
          <cell r="E70">
            <v>326000</v>
          </cell>
          <cell r="F70">
            <v>390000</v>
          </cell>
          <cell r="G70">
            <v>420000</v>
          </cell>
          <cell r="H70">
            <v>450000</v>
          </cell>
          <cell r="I70">
            <v>525000</v>
          </cell>
          <cell r="J70">
            <v>600000</v>
          </cell>
          <cell r="K70">
            <v>675000</v>
          </cell>
          <cell r="L70">
            <v>788000</v>
          </cell>
          <cell r="M70">
            <v>908000</v>
          </cell>
          <cell r="N70">
            <v>1035000</v>
          </cell>
          <cell r="O70">
            <v>1121000</v>
          </cell>
        </row>
        <row r="71">
          <cell r="A71" t="str">
            <v>Podio</v>
          </cell>
          <cell r="B71">
            <v>78169</v>
          </cell>
          <cell r="C71">
            <v>127000</v>
          </cell>
          <cell r="D71">
            <v>253000</v>
          </cell>
          <cell r="E71">
            <v>290000</v>
          </cell>
          <cell r="F71">
            <v>347000</v>
          </cell>
          <cell r="G71">
            <v>373000</v>
          </cell>
          <cell r="H71">
            <v>400000</v>
          </cell>
          <cell r="I71">
            <v>467000</v>
          </cell>
          <cell r="J71">
            <v>533000</v>
          </cell>
          <cell r="K71">
            <v>600000</v>
          </cell>
          <cell r="L71">
            <v>700000</v>
          </cell>
          <cell r="M71">
            <v>807000</v>
          </cell>
          <cell r="N71">
            <v>920000</v>
          </cell>
          <cell r="O71">
            <v>997000</v>
          </cell>
        </row>
        <row r="72">
          <cell r="A72" t="str">
            <v>24 horas Día Do</v>
          </cell>
          <cell r="B72">
            <v>72582</v>
          </cell>
          <cell r="C72">
            <v>206000</v>
          </cell>
          <cell r="D72">
            <v>412000</v>
          </cell>
          <cell r="E72">
            <v>471000</v>
          </cell>
          <cell r="F72">
            <v>563000</v>
          </cell>
          <cell r="G72">
            <v>607000</v>
          </cell>
          <cell r="H72">
            <v>650000</v>
          </cell>
          <cell r="I72">
            <v>758000</v>
          </cell>
          <cell r="J72">
            <v>867000</v>
          </cell>
          <cell r="K72">
            <v>975000</v>
          </cell>
          <cell r="L72">
            <v>1138000</v>
          </cell>
          <cell r="M72">
            <v>1311000</v>
          </cell>
          <cell r="N72">
            <v>1495000</v>
          </cell>
          <cell r="O72">
            <v>1620000</v>
          </cell>
        </row>
        <row r="73">
          <cell r="A73" t="str">
            <v>24 horas Día Do Plus</v>
          </cell>
          <cell r="B73">
            <v>0</v>
          </cell>
          <cell r="C73">
            <v>215000</v>
          </cell>
          <cell r="D73">
            <v>431000</v>
          </cell>
          <cell r="E73">
            <v>493000</v>
          </cell>
          <cell r="F73">
            <v>589000</v>
          </cell>
          <cell r="G73">
            <v>635000</v>
          </cell>
          <cell r="H73">
            <v>680000</v>
          </cell>
          <cell r="I73">
            <v>793000</v>
          </cell>
          <cell r="J73">
            <v>907000</v>
          </cell>
          <cell r="K73">
            <v>1020000</v>
          </cell>
          <cell r="L73">
            <v>1190000</v>
          </cell>
          <cell r="M73">
            <v>1371000</v>
          </cell>
          <cell r="N73">
            <v>1564000</v>
          </cell>
          <cell r="O73">
            <v>1694000</v>
          </cell>
        </row>
        <row r="74">
          <cell r="A74" t="str">
            <v>Chile Conectado</v>
          </cell>
          <cell r="B74">
            <v>72199</v>
          </cell>
          <cell r="C74">
            <v>206000</v>
          </cell>
          <cell r="D74">
            <v>412000</v>
          </cell>
          <cell r="E74">
            <v>471000</v>
          </cell>
          <cell r="F74">
            <v>563000</v>
          </cell>
          <cell r="G74">
            <v>607000</v>
          </cell>
          <cell r="H74">
            <v>650000</v>
          </cell>
          <cell r="I74">
            <v>758000</v>
          </cell>
          <cell r="J74">
            <v>867000</v>
          </cell>
          <cell r="K74">
            <v>975000</v>
          </cell>
          <cell r="L74">
            <v>1138000</v>
          </cell>
          <cell r="M74">
            <v>1311000</v>
          </cell>
          <cell r="N74">
            <v>1495000</v>
          </cell>
          <cell r="O74">
            <v>1620000</v>
          </cell>
        </row>
        <row r="75">
          <cell r="A75" t="str">
            <v>Frutos del País</v>
          </cell>
          <cell r="B75">
            <v>67312</v>
          </cell>
          <cell r="C75">
            <v>222000</v>
          </cell>
          <cell r="D75">
            <v>443000</v>
          </cell>
          <cell r="E75">
            <v>508000</v>
          </cell>
          <cell r="F75">
            <v>607000</v>
          </cell>
          <cell r="G75">
            <v>653000</v>
          </cell>
          <cell r="H75">
            <v>700000</v>
          </cell>
          <cell r="I75">
            <v>817000</v>
          </cell>
          <cell r="J75">
            <v>933000</v>
          </cell>
          <cell r="K75">
            <v>1050000</v>
          </cell>
          <cell r="L75">
            <v>1225000</v>
          </cell>
          <cell r="M75">
            <v>1412000</v>
          </cell>
          <cell r="N75">
            <v>1610000</v>
          </cell>
          <cell r="O75">
            <v>1744000</v>
          </cell>
        </row>
        <row r="76">
          <cell r="A76" t="str">
            <v>Cultura Entretenida: Diarios de Tricicleta</v>
          </cell>
          <cell r="B76">
            <v>78395</v>
          </cell>
          <cell r="C76">
            <v>206000</v>
          </cell>
          <cell r="D76">
            <v>412000</v>
          </cell>
          <cell r="E76">
            <v>471000</v>
          </cell>
          <cell r="F76">
            <v>563000</v>
          </cell>
          <cell r="G76">
            <v>607000</v>
          </cell>
          <cell r="H76">
            <v>650000</v>
          </cell>
          <cell r="I76">
            <v>758000</v>
          </cell>
          <cell r="J76">
            <v>867000</v>
          </cell>
          <cell r="K76">
            <v>975000</v>
          </cell>
          <cell r="L76">
            <v>1138000</v>
          </cell>
          <cell r="M76">
            <v>1311000</v>
          </cell>
          <cell r="N76">
            <v>1495000</v>
          </cell>
          <cell r="O76">
            <v>1620000</v>
          </cell>
        </row>
        <row r="77">
          <cell r="A77" t="str">
            <v>Cultura Entretenida: Habitantes del Pacífico</v>
          </cell>
          <cell r="B77">
            <v>78351</v>
          </cell>
          <cell r="C77">
            <v>206000</v>
          </cell>
          <cell r="D77">
            <v>412000</v>
          </cell>
          <cell r="E77">
            <v>471000</v>
          </cell>
          <cell r="F77">
            <v>563000</v>
          </cell>
          <cell r="G77">
            <v>607000</v>
          </cell>
          <cell r="H77">
            <v>650000</v>
          </cell>
          <cell r="I77">
            <v>758000</v>
          </cell>
          <cell r="J77">
            <v>867000</v>
          </cell>
          <cell r="K77">
            <v>975000</v>
          </cell>
          <cell r="L77">
            <v>1138000</v>
          </cell>
          <cell r="M77">
            <v>1311000</v>
          </cell>
          <cell r="N77">
            <v>1495000</v>
          </cell>
          <cell r="O77">
            <v>1620000</v>
          </cell>
        </row>
        <row r="78">
          <cell r="A78">
            <v>0</v>
          </cell>
          <cell r="B78" t="str">
            <v/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</sheetData>
      <sheetData sheetId="8">
        <row r="8">
          <cell r="B8" t="str">
            <v>Prime</v>
          </cell>
          <cell r="C8">
            <v>57000</v>
          </cell>
          <cell r="D8">
            <v>65000</v>
          </cell>
          <cell r="E8">
            <v>78000</v>
          </cell>
          <cell r="F8">
            <v>84000</v>
          </cell>
          <cell r="G8">
            <v>90000</v>
          </cell>
          <cell r="H8">
            <v>105000</v>
          </cell>
          <cell r="I8">
            <v>120000</v>
          </cell>
          <cell r="J8">
            <v>135000</v>
          </cell>
          <cell r="K8">
            <v>158000</v>
          </cell>
          <cell r="L8">
            <v>182000</v>
          </cell>
          <cell r="M8">
            <v>207000</v>
          </cell>
        </row>
        <row r="9">
          <cell r="B9" t="str">
            <v>Off Prime</v>
          </cell>
          <cell r="C9">
            <v>25000</v>
          </cell>
          <cell r="D9">
            <v>29000</v>
          </cell>
          <cell r="E9">
            <v>35000</v>
          </cell>
          <cell r="F9">
            <v>37000</v>
          </cell>
          <cell r="G9">
            <v>40000</v>
          </cell>
          <cell r="H9">
            <v>47000</v>
          </cell>
          <cell r="I9">
            <v>53000</v>
          </cell>
          <cell r="J9">
            <v>60000</v>
          </cell>
          <cell r="K9">
            <v>70000</v>
          </cell>
          <cell r="L9">
            <v>81000</v>
          </cell>
          <cell r="M9">
            <v>92000</v>
          </cell>
        </row>
      </sheetData>
      <sheetData sheetId="9"/>
      <sheetData sheetId="10">
        <row r="3">
          <cell r="H3" t="str">
            <v>0,243055555555556LMWJD</v>
          </cell>
        </row>
      </sheetData>
      <sheetData sheetId="11">
        <row r="13">
          <cell r="R13" t="str">
            <v>CANAL 24 / PAUTA MIX</v>
          </cell>
          <cell r="T13">
            <v>11.02</v>
          </cell>
          <cell r="V13">
            <v>11.108333333333336</v>
          </cell>
          <cell r="X13">
            <v>8.7866666666666671</v>
          </cell>
          <cell r="Z13">
            <v>6.9174999999999995</v>
          </cell>
          <cell r="AB13">
            <v>8.7550000000000008</v>
          </cell>
          <cell r="AD13">
            <v>6.67</v>
          </cell>
          <cell r="AF13">
            <v>9.3333333333333321</v>
          </cell>
          <cell r="AH13">
            <v>9.43</v>
          </cell>
          <cell r="AJ13">
            <v>14.121666666666664</v>
          </cell>
          <cell r="AL13">
            <v>10.509166666666665</v>
          </cell>
          <cell r="AN13">
            <v>2.6191666666666666</v>
          </cell>
          <cell r="AP13">
            <v>8.1016666666666666</v>
          </cell>
          <cell r="AR13">
            <v>9.0258333333333312</v>
          </cell>
          <cell r="AT13">
            <v>7.865000000000002</v>
          </cell>
          <cell r="AV13">
            <v>5.4975000000000005</v>
          </cell>
          <cell r="AX13">
            <v>7.4658333333333333</v>
          </cell>
          <cell r="AZ13">
            <v>5.7141666666666673</v>
          </cell>
          <cell r="BB13">
            <v>4.8675000000000015</v>
          </cell>
          <cell r="BD13">
            <v>14.06</v>
          </cell>
          <cell r="BF13">
            <v>10.808333333333334</v>
          </cell>
        </row>
        <row r="14">
          <cell r="T14">
            <v>2.8899999999999997</v>
          </cell>
          <cell r="V14">
            <v>2.8333333333333335</v>
          </cell>
          <cell r="X14">
            <v>2.5066666666666659</v>
          </cell>
          <cell r="Z14">
            <v>1.8800000000000003</v>
          </cell>
          <cell r="AB14">
            <v>2.36</v>
          </cell>
          <cell r="AD14">
            <v>2.1100000000000003</v>
          </cell>
          <cell r="AF14">
            <v>2.4533333333333331</v>
          </cell>
          <cell r="AH14">
            <v>2.0499999999999998</v>
          </cell>
          <cell r="AJ14">
            <v>2.6466666666666665</v>
          </cell>
          <cell r="AL14">
            <v>1.9266666666666667</v>
          </cell>
          <cell r="AN14">
            <v>1.3166666666666664</v>
          </cell>
          <cell r="AP14">
            <v>1.5566666666666666</v>
          </cell>
          <cell r="AR14">
            <v>1.5933333333333333</v>
          </cell>
          <cell r="AT14">
            <v>3.16</v>
          </cell>
          <cell r="AV14">
            <v>2.2600000000000007</v>
          </cell>
          <cell r="AX14">
            <v>2.2133333333333329</v>
          </cell>
          <cell r="AZ14">
            <v>2.496666666666667</v>
          </cell>
          <cell r="BB14">
            <v>2.1500000000000004</v>
          </cell>
          <cell r="BD14">
            <v>2.4900000000000002</v>
          </cell>
          <cell r="BF14">
            <v>2.2933333333333334</v>
          </cell>
        </row>
        <row r="15">
          <cell r="R15" t="str">
            <v>% prime</v>
          </cell>
          <cell r="T15">
            <v>0.26225045372050815</v>
          </cell>
          <cell r="V15">
            <v>0.25506376594148533</v>
          </cell>
          <cell r="X15">
            <v>0.28528072837632767</v>
          </cell>
          <cell r="Z15">
            <v>0.27177448500180706</v>
          </cell>
          <cell r="AB15">
            <v>0.26956025128497996</v>
          </cell>
          <cell r="AD15">
            <v>0.31634182908545733</v>
          </cell>
          <cell r="AF15">
            <v>0.26285714285714284</v>
          </cell>
          <cell r="AH15">
            <v>0.21739130434782608</v>
          </cell>
          <cell r="AJ15">
            <v>0.18741885990794291</v>
          </cell>
          <cell r="AL15">
            <v>0.18333201173578625</v>
          </cell>
          <cell r="AN15">
            <v>0.5027044225262487</v>
          </cell>
          <cell r="AP15">
            <v>0.19214153466364944</v>
          </cell>
          <cell r="AR15">
            <v>0.17653032960945439</v>
          </cell>
          <cell r="AT15">
            <v>0.40178003814367441</v>
          </cell>
          <cell r="AV15">
            <v>0.41109595270577542</v>
          </cell>
          <cell r="AX15">
            <v>0.29646165866726193</v>
          </cell>
          <cell r="AZ15">
            <v>0.43692576928686017</v>
          </cell>
          <cell r="BB15">
            <v>0.44170518746789927</v>
          </cell>
          <cell r="BD15">
            <v>0.17709815078236132</v>
          </cell>
          <cell r="BF15">
            <v>0.21218195836545875</v>
          </cell>
        </row>
        <row r="17">
          <cell r="S17" t="str">
            <v>HM 25-64 ABC</v>
          </cell>
          <cell r="U17" t="str">
            <v>HM 25-64 ABC1C2</v>
          </cell>
          <cell r="W17" t="str">
            <v>HM 25-99 ABCD</v>
          </cell>
          <cell r="Y17" t="str">
            <v>HM 25-49 ABC1C2</v>
          </cell>
          <cell r="AA17" t="str">
            <v>HM 13-64 ABC</v>
          </cell>
          <cell r="AC17" t="str">
            <v>HM 18-49 ABC</v>
          </cell>
          <cell r="AE17" t="str">
            <v>HM 18-64 ABC</v>
          </cell>
          <cell r="AG17" t="str">
            <v>M 25-49 ABC</v>
          </cell>
          <cell r="AI17" t="str">
            <v>M 25-64 ABC</v>
          </cell>
          <cell r="AK17" t="str">
            <v>M 25-64 ABCD</v>
          </cell>
          <cell r="AM17" t="str">
            <v>M 25-34 ABC</v>
          </cell>
          <cell r="AO17" t="str">
            <v>M 25-99 C3D</v>
          </cell>
          <cell r="AQ17" t="str">
            <v>M 18-64 C2C3D</v>
          </cell>
          <cell r="AS17" t="str">
            <v>H 25-64 ABC</v>
          </cell>
          <cell r="AU17" t="str">
            <v>H 25-64 ABCD</v>
          </cell>
          <cell r="AW17" t="str">
            <v>H 25-64 ABC1C2</v>
          </cell>
          <cell r="AY17" t="str">
            <v>H 18-49 ABC</v>
          </cell>
          <cell r="BA17" t="str">
            <v>H 25-64 C2C3D</v>
          </cell>
          <cell r="BC17" t="str">
            <v>DDC ABC</v>
          </cell>
          <cell r="BE17" t="str">
            <v>DDC ABCD</v>
          </cell>
        </row>
        <row r="18">
          <cell r="S18" t="str">
            <v>Rat</v>
          </cell>
          <cell r="T18" t="str">
            <v>GRP's</v>
          </cell>
          <cell r="U18" t="str">
            <v>Rat</v>
          </cell>
          <cell r="V18" t="str">
            <v>GRP's</v>
          </cell>
          <cell r="W18" t="str">
            <v>Rat</v>
          </cell>
          <cell r="X18" t="str">
            <v>GRP's</v>
          </cell>
          <cell r="Y18" t="str">
            <v>Rat</v>
          </cell>
          <cell r="Z18" t="str">
            <v>GRP's</v>
          </cell>
          <cell r="AA18" t="str">
            <v>Rat</v>
          </cell>
          <cell r="AB18" t="str">
            <v>GRP's</v>
          </cell>
          <cell r="AC18" t="str">
            <v>Rat</v>
          </cell>
          <cell r="AD18" t="str">
            <v>GRP's</v>
          </cell>
          <cell r="AE18" t="str">
            <v>Rat</v>
          </cell>
          <cell r="AF18" t="str">
            <v>GRP's</v>
          </cell>
          <cell r="AG18" t="str">
            <v>Rat</v>
          </cell>
          <cell r="AH18" t="str">
            <v>GRP's</v>
          </cell>
          <cell r="AI18" t="str">
            <v>Rat</v>
          </cell>
          <cell r="AJ18" t="str">
            <v>GRP's</v>
          </cell>
          <cell r="AK18" t="str">
            <v>Rat</v>
          </cell>
          <cell r="AL18" t="str">
            <v>GRP's</v>
          </cell>
          <cell r="AM18" t="str">
            <v>Rat</v>
          </cell>
          <cell r="AN18" t="str">
            <v>GRP's</v>
          </cell>
          <cell r="AO18" t="str">
            <v>Rat</v>
          </cell>
          <cell r="AP18" t="str">
            <v>GRP's</v>
          </cell>
          <cell r="AQ18" t="str">
            <v>Rat</v>
          </cell>
          <cell r="AR18" t="str">
            <v>GRP's</v>
          </cell>
          <cell r="AS18" t="str">
            <v>Rat</v>
          </cell>
          <cell r="AT18" t="str">
            <v>GRP's</v>
          </cell>
          <cell r="AU18" t="str">
            <v>Rat</v>
          </cell>
          <cell r="AV18" t="str">
            <v>GRP's</v>
          </cell>
          <cell r="AW18" t="str">
            <v>Rat</v>
          </cell>
          <cell r="AX18" t="str">
            <v>GRP's</v>
          </cell>
          <cell r="AY18" t="str">
            <v>Rat</v>
          </cell>
          <cell r="AZ18" t="str">
            <v>GRP's</v>
          </cell>
          <cell r="BA18" t="str">
            <v>Rat</v>
          </cell>
          <cell r="BB18" t="str">
            <v>GRP's</v>
          </cell>
          <cell r="BC18" t="str">
            <v>Rat</v>
          </cell>
          <cell r="BD18" t="str">
            <v>GRP's</v>
          </cell>
          <cell r="BE18" t="str">
            <v>Rat</v>
          </cell>
          <cell r="BF18" t="str">
            <v>GRP's</v>
          </cell>
        </row>
        <row r="20">
          <cell r="S20">
            <v>0.20800000000000002</v>
          </cell>
          <cell r="T20">
            <v>3.3280000000000003</v>
          </cell>
          <cell r="U20">
            <v>0.21900000000000003</v>
          </cell>
          <cell r="V20">
            <v>3.5040000000000004</v>
          </cell>
          <cell r="W20">
            <v>0.151</v>
          </cell>
          <cell r="X20">
            <v>2.4159999999999999</v>
          </cell>
          <cell r="Y20">
            <v>0.10800000000000001</v>
          </cell>
          <cell r="Z20">
            <v>1.7280000000000002</v>
          </cell>
          <cell r="AA20">
            <v>0.16999999999999998</v>
          </cell>
          <cell r="AB20">
            <v>2.7199999999999998</v>
          </cell>
          <cell r="AC20">
            <v>0.14150000000000001</v>
          </cell>
          <cell r="AD20">
            <v>2.2640000000000002</v>
          </cell>
          <cell r="AE20">
            <v>0.17749999999999996</v>
          </cell>
          <cell r="AF20">
            <v>2.8399999999999994</v>
          </cell>
          <cell r="AG20">
            <v>0.26000000000000006</v>
          </cell>
          <cell r="AH20">
            <v>4.160000000000001</v>
          </cell>
          <cell r="AI20">
            <v>0.31599999999999995</v>
          </cell>
          <cell r="AJ20">
            <v>5.0559999999999992</v>
          </cell>
          <cell r="AK20">
            <v>0.2475</v>
          </cell>
          <cell r="AL20">
            <v>3.96</v>
          </cell>
          <cell r="AM20">
            <v>3.5000000000000003E-2</v>
          </cell>
          <cell r="AN20">
            <v>0.56000000000000005</v>
          </cell>
          <cell r="AO20">
            <v>0</v>
          </cell>
          <cell r="AP20">
            <v>0</v>
          </cell>
          <cell r="AQ20">
            <v>0.21399999999999997</v>
          </cell>
          <cell r="AR20">
            <v>3.4239999999999995</v>
          </cell>
          <cell r="AS20">
            <v>9.9500000000000019E-2</v>
          </cell>
          <cell r="AT20">
            <v>1.5920000000000003</v>
          </cell>
          <cell r="AU20">
            <v>6.5000000000000002E-2</v>
          </cell>
          <cell r="AV20">
            <v>1.04</v>
          </cell>
          <cell r="AW20">
            <v>7.8500000000000014E-2</v>
          </cell>
          <cell r="AX20">
            <v>1.2560000000000002</v>
          </cell>
          <cell r="AY20">
            <v>7.2500000000000009E-2</v>
          </cell>
          <cell r="AZ20">
            <v>1.1600000000000001</v>
          </cell>
          <cell r="BA20">
            <v>5.7000000000000016E-2</v>
          </cell>
          <cell r="BB20">
            <v>0.91200000000000025</v>
          </cell>
          <cell r="BC20">
            <v>0.316</v>
          </cell>
          <cell r="BD20">
            <v>5.056</v>
          </cell>
          <cell r="BE20">
            <v>0.23549999999999999</v>
          </cell>
          <cell r="BF20">
            <v>3.7679999999999998</v>
          </cell>
        </row>
        <row r="21">
          <cell r="S21">
            <v>0.20399999999999996</v>
          </cell>
          <cell r="T21">
            <v>2.4479999999999995</v>
          </cell>
          <cell r="U21">
            <v>0.19600000000000004</v>
          </cell>
          <cell r="V21">
            <v>2.3520000000000003</v>
          </cell>
          <cell r="W21">
            <v>0.19</v>
          </cell>
          <cell r="X21">
            <v>2.2800000000000002</v>
          </cell>
          <cell r="Y21">
            <v>0.185</v>
          </cell>
          <cell r="Z21">
            <v>2.2199999999999998</v>
          </cell>
          <cell r="AA21">
            <v>0.15650000000000003</v>
          </cell>
          <cell r="AB21">
            <v>1.8780000000000003</v>
          </cell>
          <cell r="AC21">
            <v>0.11849999999999998</v>
          </cell>
          <cell r="AD21">
            <v>1.4219999999999997</v>
          </cell>
          <cell r="AE21">
            <v>0.17349999999999999</v>
          </cell>
          <cell r="AF21">
            <v>2.0819999999999999</v>
          </cell>
          <cell r="AG21">
            <v>0.13950000000000001</v>
          </cell>
          <cell r="AH21">
            <v>1.6740000000000002</v>
          </cell>
          <cell r="AI21">
            <v>0.24899999999999997</v>
          </cell>
          <cell r="AJ21">
            <v>2.9879999999999995</v>
          </cell>
          <cell r="AK21">
            <v>0.17950000000000002</v>
          </cell>
          <cell r="AL21">
            <v>2.1540000000000004</v>
          </cell>
          <cell r="AM21">
            <v>4.7E-2</v>
          </cell>
          <cell r="AN21">
            <v>0.56400000000000006</v>
          </cell>
          <cell r="AO21">
            <v>0</v>
          </cell>
          <cell r="AP21">
            <v>0</v>
          </cell>
          <cell r="AQ21">
            <v>0.1545</v>
          </cell>
          <cell r="AR21">
            <v>1.8540000000000001</v>
          </cell>
          <cell r="AS21">
            <v>0.15550000000000005</v>
          </cell>
          <cell r="AT21">
            <v>1.8660000000000005</v>
          </cell>
          <cell r="AU21">
            <v>0.1145</v>
          </cell>
          <cell r="AV21">
            <v>1.3740000000000001</v>
          </cell>
          <cell r="AW21">
            <v>0.17650000000000002</v>
          </cell>
          <cell r="AX21">
            <v>2.1180000000000003</v>
          </cell>
          <cell r="AY21">
            <v>0.12600000000000003</v>
          </cell>
          <cell r="AZ21">
            <v>1.5120000000000005</v>
          </cell>
          <cell r="BA21">
            <v>0.10450000000000001</v>
          </cell>
          <cell r="BB21">
            <v>1.254</v>
          </cell>
          <cell r="BC21">
            <v>0.30500000000000005</v>
          </cell>
          <cell r="BD21">
            <v>3.6600000000000006</v>
          </cell>
          <cell r="BE21">
            <v>0.22750000000000004</v>
          </cell>
          <cell r="BF21">
            <v>2.7300000000000004</v>
          </cell>
        </row>
        <row r="22">
          <cell r="S22">
            <v>0.495</v>
          </cell>
          <cell r="T22">
            <v>3.96</v>
          </cell>
          <cell r="U22">
            <v>0.505</v>
          </cell>
          <cell r="V22">
            <v>4.04</v>
          </cell>
          <cell r="W22">
            <v>0.35250000000000004</v>
          </cell>
          <cell r="X22">
            <v>2.8200000000000003</v>
          </cell>
          <cell r="Y22">
            <v>0.26124999999999998</v>
          </cell>
          <cell r="Z22">
            <v>2.09</v>
          </cell>
          <cell r="AA22">
            <v>0.38000000000000006</v>
          </cell>
          <cell r="AB22">
            <v>3.0400000000000005</v>
          </cell>
          <cell r="AC22">
            <v>0.20875000000000002</v>
          </cell>
          <cell r="AD22">
            <v>1.6700000000000002</v>
          </cell>
          <cell r="AE22">
            <v>0.41374999999999995</v>
          </cell>
          <cell r="AF22">
            <v>3.3099999999999996</v>
          </cell>
          <cell r="AG22">
            <v>0.34750000000000003</v>
          </cell>
          <cell r="AH22">
            <v>2.7800000000000002</v>
          </cell>
          <cell r="AI22">
            <v>0.70750000000000002</v>
          </cell>
          <cell r="AJ22">
            <v>5.66</v>
          </cell>
          <cell r="AK22">
            <v>0.51250000000000007</v>
          </cell>
          <cell r="AL22">
            <v>4.1000000000000005</v>
          </cell>
          <cell r="AM22">
            <v>5.1250000000000004E-2</v>
          </cell>
          <cell r="AN22">
            <v>0.41000000000000003</v>
          </cell>
          <cell r="AO22">
            <v>0</v>
          </cell>
          <cell r="AP22">
            <v>0</v>
          </cell>
          <cell r="AQ22">
            <v>0.44624999999999998</v>
          </cell>
          <cell r="AR22">
            <v>3.57</v>
          </cell>
          <cell r="AS22">
            <v>0.27625</v>
          </cell>
          <cell r="AT22">
            <v>2.21</v>
          </cell>
          <cell r="AU22">
            <v>0.18625</v>
          </cell>
          <cell r="AV22">
            <v>1.49</v>
          </cell>
          <cell r="AW22">
            <v>0.38500000000000001</v>
          </cell>
          <cell r="AX22">
            <v>3.08</v>
          </cell>
          <cell r="AY22">
            <v>0.14500000000000002</v>
          </cell>
          <cell r="AZ22">
            <v>1.1600000000000001</v>
          </cell>
          <cell r="BA22">
            <v>0.13625000000000004</v>
          </cell>
          <cell r="BB22">
            <v>1.0900000000000003</v>
          </cell>
          <cell r="BC22">
            <v>0.63</v>
          </cell>
          <cell r="BD22">
            <v>5.04</v>
          </cell>
          <cell r="BE22">
            <v>0.45124999999999998</v>
          </cell>
          <cell r="BF22">
            <v>3.61</v>
          </cell>
        </row>
        <row r="23">
          <cell r="R23" t="str">
            <v>CANAL 24 / PAUTA OFF PRIME</v>
          </cell>
          <cell r="T23">
            <v>9.7360000000000007</v>
          </cell>
          <cell r="V23">
            <v>9.8960000000000008</v>
          </cell>
          <cell r="X23">
            <v>7.516</v>
          </cell>
          <cell r="Z23">
            <v>6.0380000000000003</v>
          </cell>
          <cell r="AB23">
            <v>7.6379999999999999</v>
          </cell>
          <cell r="AD23">
            <v>5.3559999999999999</v>
          </cell>
          <cell r="AF23">
            <v>8.2319999999999993</v>
          </cell>
          <cell r="AH23">
            <v>8.6140000000000008</v>
          </cell>
          <cell r="AJ23">
            <v>13.703999999999999</v>
          </cell>
          <cell r="AL23">
            <v>10.214000000000002</v>
          </cell>
          <cell r="AN23">
            <v>1.5340000000000003</v>
          </cell>
          <cell r="AP23">
            <v>0</v>
          </cell>
          <cell r="AR23">
            <v>8.847999999999999</v>
          </cell>
          <cell r="AT23">
            <v>5.668000000000001</v>
          </cell>
          <cell r="AV23">
            <v>3.9039999999999999</v>
          </cell>
          <cell r="AX23">
            <v>6.4540000000000006</v>
          </cell>
          <cell r="AZ23">
            <v>3.8320000000000007</v>
          </cell>
          <cell r="BB23">
            <v>3.2560000000000007</v>
          </cell>
          <cell r="BD23">
            <v>13.756</v>
          </cell>
          <cell r="BF23">
            <v>10.108000000000001</v>
          </cell>
        </row>
        <row r="27">
          <cell r="S27" t="str">
            <v>HM 25-64 ABC</v>
          </cell>
          <cell r="U27" t="str">
            <v>HM 25-64 ABC1C2</v>
          </cell>
          <cell r="W27" t="str">
            <v>HM 25-99 ABCD</v>
          </cell>
          <cell r="Y27" t="str">
            <v>HM 25-49 ABC1C2</v>
          </cell>
          <cell r="AA27" t="str">
            <v>HM 13-64 ABC</v>
          </cell>
          <cell r="AC27" t="str">
            <v>HM 18-49 ABC</v>
          </cell>
          <cell r="AE27" t="str">
            <v>HM 18-64 ABC</v>
          </cell>
          <cell r="AG27" t="str">
            <v>M 25-49 ABC</v>
          </cell>
          <cell r="AI27" t="str">
            <v>M 25-64 ABC</v>
          </cell>
          <cell r="AK27" t="str">
            <v>M 25-64 ABCD</v>
          </cell>
          <cell r="AM27" t="str">
            <v>M 25-34 ABC</v>
          </cell>
          <cell r="AO27" t="str">
            <v>M 25-99 C3D</v>
          </cell>
          <cell r="AQ27" t="str">
            <v>M 18-64 C2C3D</v>
          </cell>
          <cell r="AS27" t="str">
            <v>H 25-64 ABC</v>
          </cell>
          <cell r="AU27" t="str">
            <v>H 25-64 ABCD</v>
          </cell>
          <cell r="AW27" t="str">
            <v>H 25-64 ABC1C2</v>
          </cell>
          <cell r="AY27" t="str">
            <v>H 18-49 ABC</v>
          </cell>
          <cell r="BA27" t="str">
            <v>H 25-64 C2C3D</v>
          </cell>
          <cell r="BC27" t="str">
            <v>DDC ABC</v>
          </cell>
          <cell r="BE27" t="str">
            <v>DDC ABCD</v>
          </cell>
        </row>
        <row r="28">
          <cell r="S28" t="str">
            <v>Rat</v>
          </cell>
          <cell r="T28" t="str">
            <v>GRP's</v>
          </cell>
          <cell r="U28" t="str">
            <v>Rat</v>
          </cell>
          <cell r="V28" t="str">
            <v>GRP's</v>
          </cell>
          <cell r="W28" t="str">
            <v>Rat</v>
          </cell>
          <cell r="X28" t="str">
            <v>GRP's</v>
          </cell>
          <cell r="Y28" t="str">
            <v>Rat</v>
          </cell>
          <cell r="Z28" t="str">
            <v>GRP's</v>
          </cell>
          <cell r="AA28" t="str">
            <v>Rat</v>
          </cell>
          <cell r="AB28" t="str">
            <v>GRP's</v>
          </cell>
          <cell r="AC28" t="str">
            <v>Rat</v>
          </cell>
          <cell r="AD28" t="str">
            <v>GRP's</v>
          </cell>
          <cell r="AE28" t="str">
            <v>Rat</v>
          </cell>
          <cell r="AF28" t="str">
            <v>GRP's</v>
          </cell>
          <cell r="AG28" t="str">
            <v>Rat</v>
          </cell>
          <cell r="AH28" t="str">
            <v>GRP's</v>
          </cell>
          <cell r="AI28" t="str">
            <v>Rat</v>
          </cell>
          <cell r="AJ28" t="str">
            <v>GRP's</v>
          </cell>
          <cell r="AK28" t="str">
            <v>Rat</v>
          </cell>
          <cell r="AL28" t="str">
            <v>GRP's</v>
          </cell>
          <cell r="AM28" t="str">
            <v>Rat</v>
          </cell>
          <cell r="AN28" t="str">
            <v>GRP's</v>
          </cell>
          <cell r="AO28" t="str">
            <v>Rat</v>
          </cell>
          <cell r="AP28" t="str">
            <v>GRP's</v>
          </cell>
          <cell r="AQ28" t="str">
            <v>Rat</v>
          </cell>
          <cell r="AR28" t="str">
            <v>GRP's</v>
          </cell>
          <cell r="AS28" t="str">
            <v>Rat</v>
          </cell>
          <cell r="AT28" t="str">
            <v>GRP's</v>
          </cell>
          <cell r="AU28" t="str">
            <v>Rat</v>
          </cell>
          <cell r="AV28" t="str">
            <v>GRP's</v>
          </cell>
          <cell r="AW28" t="str">
            <v>Rat</v>
          </cell>
          <cell r="AX28" t="str">
            <v>GRP's</v>
          </cell>
          <cell r="AY28" t="str">
            <v>Rat</v>
          </cell>
          <cell r="AZ28" t="str">
            <v>GRP's</v>
          </cell>
          <cell r="BA28" t="str">
            <v>Rat</v>
          </cell>
          <cell r="BB28" t="str">
            <v>GRP's</v>
          </cell>
          <cell r="BC28" t="str">
            <v>Rat</v>
          </cell>
          <cell r="BD28" t="str">
            <v>GRP's</v>
          </cell>
          <cell r="BE28" t="str">
            <v>Rat</v>
          </cell>
          <cell r="BF28" t="str">
            <v>GRP's</v>
          </cell>
        </row>
        <row r="30">
          <cell r="S30">
            <v>0.32333333333333331</v>
          </cell>
          <cell r="T30">
            <v>2.5866666666666664</v>
          </cell>
          <cell r="U30">
            <v>0.28999999999999998</v>
          </cell>
          <cell r="V30">
            <v>2.3199999999999998</v>
          </cell>
          <cell r="W30">
            <v>0.24</v>
          </cell>
          <cell r="X30">
            <v>1.92</v>
          </cell>
          <cell r="Y30">
            <v>0.17</v>
          </cell>
          <cell r="Z30">
            <v>1.36</v>
          </cell>
          <cell r="AA30">
            <v>0.26666666666666666</v>
          </cell>
          <cell r="AB30">
            <v>2.1333333333333333</v>
          </cell>
          <cell r="AC30">
            <v>0.25666666666666665</v>
          </cell>
          <cell r="AD30">
            <v>2.0533333333333332</v>
          </cell>
          <cell r="AE30">
            <v>0.26999999999999996</v>
          </cell>
          <cell r="AF30">
            <v>2.1599999999999997</v>
          </cell>
          <cell r="AG30">
            <v>0.26666666666666666</v>
          </cell>
          <cell r="AH30">
            <v>2.1333333333333333</v>
          </cell>
          <cell r="AI30">
            <v>0.27333333333333337</v>
          </cell>
          <cell r="AJ30">
            <v>2.186666666666667</v>
          </cell>
          <cell r="AK30">
            <v>0.18666666666666668</v>
          </cell>
          <cell r="AL30">
            <v>1.4933333333333334</v>
          </cell>
          <cell r="AM30">
            <v>0.01</v>
          </cell>
          <cell r="AN30">
            <v>0.08</v>
          </cell>
          <cell r="AO30">
            <v>0.10999999999999999</v>
          </cell>
          <cell r="AP30">
            <v>0.87999999999999989</v>
          </cell>
          <cell r="AQ30">
            <v>0.14666666666666667</v>
          </cell>
          <cell r="AR30">
            <v>1.1733333333333333</v>
          </cell>
          <cell r="AS30">
            <v>0.38000000000000006</v>
          </cell>
          <cell r="AT30">
            <v>3.0400000000000005</v>
          </cell>
          <cell r="AU30">
            <v>0.29000000000000004</v>
          </cell>
          <cell r="AV30">
            <v>2.3200000000000003</v>
          </cell>
          <cell r="AW30">
            <v>0.21999999999999997</v>
          </cell>
          <cell r="AX30">
            <v>1.7599999999999998</v>
          </cell>
          <cell r="AY30">
            <v>0.3066666666666667</v>
          </cell>
          <cell r="AZ30">
            <v>2.4533333333333336</v>
          </cell>
          <cell r="BA30">
            <v>0.28666666666666668</v>
          </cell>
          <cell r="BB30">
            <v>2.2933333333333334</v>
          </cell>
          <cell r="BC30">
            <v>0.21</v>
          </cell>
          <cell r="BD30">
            <v>1.68</v>
          </cell>
          <cell r="BE30">
            <v>0.13999999999999999</v>
          </cell>
          <cell r="BF30">
            <v>1.1199999999999999</v>
          </cell>
        </row>
        <row r="31">
          <cell r="S31">
            <v>0.31933333333333336</v>
          </cell>
          <cell r="T31">
            <v>6.3866666666666667</v>
          </cell>
          <cell r="U31">
            <v>0.33466666666666672</v>
          </cell>
          <cell r="V31">
            <v>6.6933333333333342</v>
          </cell>
          <cell r="W31">
            <v>0.30933333333333324</v>
          </cell>
          <cell r="X31">
            <v>6.1866666666666648</v>
          </cell>
          <cell r="Y31">
            <v>0.24000000000000002</v>
          </cell>
          <cell r="Z31">
            <v>4.8000000000000007</v>
          </cell>
          <cell r="AA31">
            <v>0.25866666666666666</v>
          </cell>
          <cell r="AB31">
            <v>5.1733333333333329</v>
          </cell>
          <cell r="AC31">
            <v>0.2166666666666667</v>
          </cell>
          <cell r="AD31">
            <v>4.3333333333333339</v>
          </cell>
          <cell r="AE31">
            <v>0.27466666666666661</v>
          </cell>
          <cell r="AF31">
            <v>5.4933333333333323</v>
          </cell>
          <cell r="AG31">
            <v>0.19666666666666666</v>
          </cell>
          <cell r="AH31">
            <v>3.9333333333333331</v>
          </cell>
          <cell r="AI31">
            <v>0.31066666666666659</v>
          </cell>
          <cell r="AJ31">
            <v>6.213333333333332</v>
          </cell>
          <cell r="AK31">
            <v>0.23600000000000002</v>
          </cell>
          <cell r="AL31">
            <v>4.7200000000000006</v>
          </cell>
          <cell r="AM31">
            <v>0.2553333333333333</v>
          </cell>
          <cell r="AN31">
            <v>5.1066666666666656</v>
          </cell>
          <cell r="AO31">
            <v>0.22333333333333333</v>
          </cell>
          <cell r="AP31">
            <v>4.4666666666666668</v>
          </cell>
          <cell r="AQ31">
            <v>0.20133333333333331</v>
          </cell>
          <cell r="AR31">
            <v>4.0266666666666664</v>
          </cell>
          <cell r="AS31">
            <v>0.32800000000000001</v>
          </cell>
          <cell r="AT31">
            <v>6.5600000000000005</v>
          </cell>
          <cell r="AU31">
            <v>0.22000000000000006</v>
          </cell>
          <cell r="AV31">
            <v>4.4000000000000012</v>
          </cell>
          <cell r="AW31">
            <v>0.26666666666666666</v>
          </cell>
          <cell r="AX31">
            <v>5.333333333333333</v>
          </cell>
          <cell r="AY31">
            <v>0.25400000000000006</v>
          </cell>
          <cell r="AZ31">
            <v>5.080000000000001</v>
          </cell>
          <cell r="BA31">
            <v>0.20066666666666672</v>
          </cell>
          <cell r="BB31">
            <v>4.0133333333333345</v>
          </cell>
          <cell r="BC31">
            <v>0.33</v>
          </cell>
          <cell r="BD31">
            <v>6.6000000000000005</v>
          </cell>
          <cell r="BE31">
            <v>0.34666666666666668</v>
          </cell>
          <cell r="BF31">
            <v>6.9333333333333336</v>
          </cell>
        </row>
        <row r="32">
          <cell r="R32" t="str">
            <v>CANAL 24 / PAUTA PRIME</v>
          </cell>
          <cell r="T32">
            <v>8.9733333333333327</v>
          </cell>
          <cell r="V32">
            <v>9.0133333333333336</v>
          </cell>
          <cell r="X32">
            <v>8.1066666666666656</v>
          </cell>
          <cell r="Z32">
            <v>6.160000000000001</v>
          </cell>
          <cell r="AB32">
            <v>7.3066666666666666</v>
          </cell>
          <cell r="AD32">
            <v>6.3866666666666667</v>
          </cell>
          <cell r="AF32">
            <v>7.6533333333333324</v>
          </cell>
          <cell r="AH32">
            <v>6.0666666666666664</v>
          </cell>
          <cell r="AJ32">
            <v>8.3999999999999986</v>
          </cell>
          <cell r="AL32">
            <v>6.2133333333333338</v>
          </cell>
          <cell r="AN32">
            <v>5.1866666666666656</v>
          </cell>
          <cell r="AP32">
            <v>5.3466666666666667</v>
          </cell>
          <cell r="AR32">
            <v>5.1999999999999993</v>
          </cell>
          <cell r="AT32">
            <v>9.6000000000000014</v>
          </cell>
          <cell r="AV32">
            <v>6.7200000000000015</v>
          </cell>
          <cell r="AX32">
            <v>7.0933333333333328</v>
          </cell>
          <cell r="AZ32">
            <v>7.533333333333335</v>
          </cell>
          <cell r="BB32">
            <v>6.3066666666666684</v>
          </cell>
          <cell r="BD32">
            <v>8.2800000000000011</v>
          </cell>
          <cell r="BF32">
            <v>8.0533333333333328</v>
          </cell>
        </row>
      </sheetData>
      <sheetData sheetId="12"/>
      <sheetData sheetId="13">
        <row r="9">
          <cell r="E9" t="str">
            <v>HM 25-64 ABC</v>
          </cell>
          <cell r="F9">
            <v>3</v>
          </cell>
          <cell r="G9">
            <v>0.26225045372050815</v>
          </cell>
        </row>
        <row r="10">
          <cell r="E10" t="str">
            <v>HM 25-64 ABC1C2</v>
          </cell>
          <cell r="F10">
            <v>5</v>
          </cell>
          <cell r="G10">
            <v>0.25506376594148533</v>
          </cell>
        </row>
        <row r="11">
          <cell r="E11" t="str">
            <v>HM 25-99 ABCD</v>
          </cell>
          <cell r="F11">
            <v>7</v>
          </cell>
          <cell r="G11">
            <v>0.28528072837632767</v>
          </cell>
        </row>
        <row r="12">
          <cell r="E12" t="str">
            <v>HM 25-49 ABC1C2</v>
          </cell>
          <cell r="F12">
            <v>9</v>
          </cell>
          <cell r="G12">
            <v>0.27177448500180706</v>
          </cell>
        </row>
        <row r="13">
          <cell r="E13" t="str">
            <v>HM 13-64 ABC</v>
          </cell>
          <cell r="F13">
            <v>11</v>
          </cell>
          <cell r="G13">
            <v>0.26956025128497996</v>
          </cell>
        </row>
        <row r="14">
          <cell r="E14" t="str">
            <v>HM 18-49 ABC</v>
          </cell>
          <cell r="F14">
            <v>13</v>
          </cell>
          <cell r="G14">
            <v>0.31634182908545733</v>
          </cell>
        </row>
        <row r="15">
          <cell r="E15" t="str">
            <v>HM 18-64 ABC</v>
          </cell>
          <cell r="F15">
            <v>15</v>
          </cell>
          <cell r="G15">
            <v>0.26285714285714284</v>
          </cell>
        </row>
        <row r="16">
          <cell r="E16" t="str">
            <v>M 25-49 ABC</v>
          </cell>
          <cell r="F16">
            <v>17</v>
          </cell>
          <cell r="G16">
            <v>0.21739130434782608</v>
          </cell>
        </row>
        <row r="17">
          <cell r="E17" t="str">
            <v>M 25-64 ABC</v>
          </cell>
          <cell r="F17">
            <v>19</v>
          </cell>
          <cell r="G17">
            <v>0.18741885990794291</v>
          </cell>
        </row>
        <row r="18">
          <cell r="E18" t="str">
            <v>M 25-64 ABCD</v>
          </cell>
          <cell r="F18">
            <v>21</v>
          </cell>
          <cell r="G18">
            <v>0.18333201173578625</v>
          </cell>
        </row>
        <row r="19">
          <cell r="E19" t="str">
            <v>M 25-34 ABC</v>
          </cell>
          <cell r="F19">
            <v>23</v>
          </cell>
          <cell r="G19">
            <v>0.5027044225262487</v>
          </cell>
        </row>
        <row r="20">
          <cell r="E20" t="str">
            <v>M 25-99 C3D</v>
          </cell>
          <cell r="F20">
            <v>25</v>
          </cell>
          <cell r="G20">
            <v>0.19214153466364944</v>
          </cell>
        </row>
        <row r="21">
          <cell r="E21" t="str">
            <v>M 18-64 C2C3D</v>
          </cell>
          <cell r="F21">
            <v>27</v>
          </cell>
          <cell r="G21">
            <v>0.17653032960945439</v>
          </cell>
        </row>
        <row r="22">
          <cell r="E22" t="str">
            <v>H 25-64 ABC</v>
          </cell>
          <cell r="F22">
            <v>29</v>
          </cell>
          <cell r="G22">
            <v>0.40178003814367441</v>
          </cell>
        </row>
        <row r="23">
          <cell r="E23" t="str">
            <v>H 25-64 ABCD</v>
          </cell>
          <cell r="F23">
            <v>31</v>
          </cell>
          <cell r="G23">
            <v>0.41109595270577542</v>
          </cell>
        </row>
        <row r="24">
          <cell r="E24" t="str">
            <v>H 25-64 ABC1C2</v>
          </cell>
          <cell r="F24">
            <v>33</v>
          </cell>
          <cell r="G24">
            <v>0.29646165866726193</v>
          </cell>
        </row>
        <row r="25">
          <cell r="E25" t="str">
            <v>H 18-49 ABC</v>
          </cell>
          <cell r="F25">
            <v>35</v>
          </cell>
          <cell r="G25">
            <v>0.43692576928686017</v>
          </cell>
        </row>
        <row r="26">
          <cell r="E26" t="str">
            <v>H 25-64 C2C3D</v>
          </cell>
          <cell r="F26">
            <v>37</v>
          </cell>
          <cell r="G26">
            <v>0.44170518746789927</v>
          </cell>
        </row>
        <row r="27">
          <cell r="E27" t="str">
            <v>DDC ABC</v>
          </cell>
          <cell r="F27">
            <v>39</v>
          </cell>
          <cell r="G27">
            <v>0.17709815078236132</v>
          </cell>
        </row>
        <row r="28">
          <cell r="E28" t="str">
            <v>DDC ABCD</v>
          </cell>
          <cell r="F28">
            <v>41</v>
          </cell>
          <cell r="G28">
            <v>0.21218195836545875</v>
          </cell>
        </row>
        <row r="29">
          <cell r="E29" t="str">
            <v>-</v>
          </cell>
        </row>
        <row r="37">
          <cell r="C37" t="str">
            <v>Programas</v>
          </cell>
          <cell r="D37" t="str">
            <v>10"</v>
          </cell>
          <cell r="E37" t="str">
            <v>15"</v>
          </cell>
          <cell r="F37" t="str">
            <v>20"</v>
          </cell>
          <cell r="G37" t="str">
            <v>25"</v>
          </cell>
          <cell r="H37" t="str">
            <v>30"</v>
          </cell>
          <cell r="I37" t="str">
            <v>35"</v>
          </cell>
          <cell r="J37" t="str">
            <v>40"</v>
          </cell>
          <cell r="K37" t="str">
            <v>45"</v>
          </cell>
          <cell r="L37" t="str">
            <v>50"</v>
          </cell>
          <cell r="M37" t="str">
            <v>55"</v>
          </cell>
          <cell r="N37" t="str">
            <v>60"</v>
          </cell>
        </row>
        <row r="38">
          <cell r="C38" t="str">
            <v>Prime</v>
          </cell>
          <cell r="D38">
            <v>57000</v>
          </cell>
          <cell r="E38">
            <v>65000</v>
          </cell>
          <cell r="F38">
            <v>78000</v>
          </cell>
          <cell r="G38">
            <v>84000</v>
          </cell>
          <cell r="H38">
            <v>90000</v>
          </cell>
          <cell r="I38">
            <v>105000</v>
          </cell>
          <cell r="J38">
            <v>120000</v>
          </cell>
          <cell r="K38">
            <v>135000</v>
          </cell>
          <cell r="L38">
            <v>158000</v>
          </cell>
          <cell r="M38">
            <v>182000</v>
          </cell>
          <cell r="N38">
            <v>207000</v>
          </cell>
        </row>
        <row r="39">
          <cell r="C39" t="str">
            <v>Off Prime</v>
          </cell>
          <cell r="D39">
            <v>25000</v>
          </cell>
          <cell r="E39">
            <v>29000</v>
          </cell>
          <cell r="F39">
            <v>35000</v>
          </cell>
          <cell r="G39">
            <v>37000</v>
          </cell>
          <cell r="H39">
            <v>40000</v>
          </cell>
          <cell r="I39">
            <v>47000</v>
          </cell>
          <cell r="J39">
            <v>53000</v>
          </cell>
          <cell r="K39">
            <v>60000</v>
          </cell>
          <cell r="L39">
            <v>70000</v>
          </cell>
          <cell r="M39">
            <v>81000</v>
          </cell>
          <cell r="N39">
            <v>92000</v>
          </cell>
        </row>
      </sheetData>
      <sheetData sheetId="14">
        <row r="5">
          <cell r="C5">
            <v>5</v>
          </cell>
          <cell r="F5">
            <v>5</v>
          </cell>
          <cell r="G5">
            <v>3</v>
          </cell>
        </row>
        <row r="6">
          <cell r="F6">
            <v>10</v>
          </cell>
          <cell r="G6">
            <v>4</v>
          </cell>
        </row>
        <row r="7">
          <cell r="F7">
            <v>15</v>
          </cell>
          <cell r="G7">
            <v>5</v>
          </cell>
        </row>
        <row r="8">
          <cell r="F8">
            <v>20</v>
          </cell>
          <cell r="G8">
            <v>6</v>
          </cell>
        </row>
        <row r="9">
          <cell r="F9">
            <v>25</v>
          </cell>
          <cell r="G9">
            <v>7</v>
          </cell>
        </row>
        <row r="10">
          <cell r="F10">
            <v>30</v>
          </cell>
          <cell r="G10">
            <v>8</v>
          </cell>
        </row>
        <row r="11">
          <cell r="F11">
            <v>35</v>
          </cell>
          <cell r="G11">
            <v>9</v>
          </cell>
        </row>
        <row r="12">
          <cell r="F12">
            <v>40</v>
          </cell>
          <cell r="G12">
            <v>10</v>
          </cell>
        </row>
        <row r="13">
          <cell r="F13">
            <v>45</v>
          </cell>
          <cell r="G13">
            <v>11</v>
          </cell>
        </row>
        <row r="14">
          <cell r="F14">
            <v>50</v>
          </cell>
          <cell r="G14">
            <v>12</v>
          </cell>
        </row>
        <row r="15">
          <cell r="F15">
            <v>55</v>
          </cell>
          <cell r="G15">
            <v>13</v>
          </cell>
        </row>
        <row r="16">
          <cell r="F16">
            <v>60</v>
          </cell>
          <cell r="G16">
            <v>14</v>
          </cell>
        </row>
      </sheetData>
      <sheetData sheetId="15"/>
      <sheetData sheetId="16"/>
      <sheetData sheetId="17">
        <row r="26">
          <cell r="F26">
            <v>1772512.1496339198</v>
          </cell>
        </row>
      </sheetData>
      <sheetData sheetId="18">
        <row r="26">
          <cell r="F26">
            <v>3611696.9636797803</v>
          </cell>
        </row>
      </sheetData>
      <sheetData sheetId="19"/>
      <sheetData sheetId="20"/>
      <sheetData sheetId="21">
        <row r="7">
          <cell r="A7" t="str">
            <v>Once Comida</v>
          </cell>
        </row>
      </sheetData>
      <sheetData sheetId="22">
        <row r="8">
          <cell r="A8" t="str">
            <v>Once Comida</v>
          </cell>
        </row>
      </sheetData>
      <sheetData sheetId="23">
        <row r="8">
          <cell r="B8" t="str">
            <v>Prime</v>
          </cell>
        </row>
      </sheetData>
      <sheetData sheetId="24"/>
      <sheetData sheetId="25">
        <row r="3">
          <cell r="H3" t="str">
            <v>0,243055555555556LMWJD</v>
          </cell>
        </row>
      </sheetData>
      <sheetData sheetId="26">
        <row r="13">
          <cell r="R13" t="str">
            <v>CANAL 24 / PAUTA MIX</v>
          </cell>
        </row>
      </sheetData>
      <sheetData sheetId="27"/>
      <sheetData sheetId="28">
        <row r="26">
          <cell r="F26">
            <v>1772512.1496339198</v>
          </cell>
        </row>
      </sheetData>
      <sheetData sheetId="29">
        <row r="26">
          <cell r="F26">
            <v>3611696.9636797803</v>
          </cell>
        </row>
      </sheetData>
      <sheetData sheetId="30"/>
      <sheetData sheetId="31"/>
      <sheetData sheetId="32">
        <row r="7">
          <cell r="A7" t="str">
            <v>Once Comida</v>
          </cell>
        </row>
      </sheetData>
      <sheetData sheetId="33">
        <row r="8">
          <cell r="A8" t="str">
            <v>Once Comida</v>
          </cell>
        </row>
      </sheetData>
      <sheetData sheetId="34">
        <row r="8">
          <cell r="B8" t="str">
            <v>Prime</v>
          </cell>
        </row>
      </sheetData>
      <sheetData sheetId="35"/>
      <sheetData sheetId="36">
        <row r="3">
          <cell r="H3" t="str">
            <v>0,243055555555556LMWJD</v>
          </cell>
        </row>
      </sheetData>
      <sheetData sheetId="37">
        <row r="13">
          <cell r="R13" t="str">
            <v>CANAL 24 / PAUTA MIX</v>
          </cell>
        </row>
      </sheetData>
      <sheetData sheetId="38"/>
      <sheetData sheetId="39">
        <row r="26">
          <cell r="F26">
            <v>1772512.1496339198</v>
          </cell>
        </row>
      </sheetData>
      <sheetData sheetId="40">
        <row r="26">
          <cell r="F26">
            <v>3611696.9636797803</v>
          </cell>
        </row>
      </sheetData>
      <sheetData sheetId="41"/>
      <sheetData sheetId="42"/>
      <sheetData sheetId="43">
        <row r="7">
          <cell r="A7" t="str">
            <v>Once Comida</v>
          </cell>
        </row>
      </sheetData>
      <sheetData sheetId="44">
        <row r="8">
          <cell r="A8" t="str">
            <v>Once Comida</v>
          </cell>
        </row>
      </sheetData>
      <sheetData sheetId="45">
        <row r="8">
          <cell r="B8" t="str">
            <v>Prime</v>
          </cell>
        </row>
      </sheetData>
      <sheetData sheetId="46"/>
      <sheetData sheetId="47">
        <row r="3">
          <cell r="H3" t="str">
            <v>0,243055555555556LMWJD</v>
          </cell>
        </row>
      </sheetData>
      <sheetData sheetId="48">
        <row r="13">
          <cell r="R13" t="str">
            <v>CANAL 24 / PAUTA MIX</v>
          </cell>
        </row>
      </sheetData>
      <sheetData sheetId="49"/>
      <sheetData sheetId="50">
        <row r="26">
          <cell r="F26">
            <v>1772512.1496339198</v>
          </cell>
        </row>
      </sheetData>
      <sheetData sheetId="51">
        <row r="26">
          <cell r="F26">
            <v>3611696.9636797803</v>
          </cell>
        </row>
      </sheetData>
      <sheetData sheetId="52"/>
      <sheetData sheetId="53"/>
      <sheetData sheetId="54">
        <row r="7">
          <cell r="A7" t="str">
            <v>Once Comida</v>
          </cell>
        </row>
      </sheetData>
      <sheetData sheetId="55">
        <row r="8">
          <cell r="A8" t="str">
            <v>Once Comida</v>
          </cell>
        </row>
      </sheetData>
      <sheetData sheetId="56">
        <row r="8">
          <cell r="B8" t="str">
            <v>Prime</v>
          </cell>
        </row>
      </sheetData>
      <sheetData sheetId="57"/>
      <sheetData sheetId="58">
        <row r="3">
          <cell r="H3" t="str">
            <v>0,243055555555556LMWJD</v>
          </cell>
        </row>
      </sheetData>
      <sheetData sheetId="59">
        <row r="13">
          <cell r="R13" t="str">
            <v>CANAL 24 / PAUTA MIX</v>
          </cell>
        </row>
      </sheetData>
      <sheetData sheetId="60"/>
      <sheetData sheetId="61">
        <row r="26">
          <cell r="F26">
            <v>1772512.1496339198</v>
          </cell>
        </row>
      </sheetData>
      <sheetData sheetId="62">
        <row r="26">
          <cell r="F26">
            <v>3611696.9636797803</v>
          </cell>
        </row>
      </sheetData>
      <sheetData sheetId="63"/>
      <sheetData sheetId="64"/>
      <sheetData sheetId="65">
        <row r="7">
          <cell r="A7" t="str">
            <v>Once Comida</v>
          </cell>
        </row>
      </sheetData>
      <sheetData sheetId="66">
        <row r="8">
          <cell r="A8" t="str">
            <v>Once Comida</v>
          </cell>
        </row>
      </sheetData>
      <sheetData sheetId="67">
        <row r="8">
          <cell r="B8" t="str">
            <v>Prime</v>
          </cell>
        </row>
      </sheetData>
      <sheetData sheetId="68"/>
      <sheetData sheetId="69">
        <row r="3">
          <cell r="H3" t="str">
            <v>0,243055555555556LMWJD</v>
          </cell>
        </row>
      </sheetData>
      <sheetData sheetId="70">
        <row r="13">
          <cell r="R13" t="str">
            <v>CANAL 24 / PAUTA MIX</v>
          </cell>
        </row>
      </sheetData>
      <sheetData sheetId="71"/>
      <sheetData sheetId="72">
        <row r="26">
          <cell r="F26">
            <v>1772512.1496339198</v>
          </cell>
        </row>
      </sheetData>
      <sheetData sheetId="73">
        <row r="26">
          <cell r="F26">
            <v>3611696.9636797803</v>
          </cell>
        </row>
      </sheetData>
      <sheetData sheetId="74"/>
      <sheetData sheetId="75"/>
      <sheetData sheetId="76">
        <row r="7">
          <cell r="A7" t="str">
            <v>Once Comida</v>
          </cell>
        </row>
      </sheetData>
      <sheetData sheetId="77">
        <row r="8">
          <cell r="A8" t="str">
            <v>Once Comida</v>
          </cell>
        </row>
      </sheetData>
      <sheetData sheetId="78">
        <row r="8">
          <cell r="B8" t="str">
            <v>Prime</v>
          </cell>
        </row>
      </sheetData>
      <sheetData sheetId="79"/>
      <sheetData sheetId="80">
        <row r="3">
          <cell r="H3" t="str">
            <v>0,243055555555556LMWJD</v>
          </cell>
        </row>
      </sheetData>
      <sheetData sheetId="81">
        <row r="13">
          <cell r="R13" t="str">
            <v>CANAL 24 / PAUTA MIX</v>
          </cell>
        </row>
      </sheetData>
      <sheetData sheetId="82"/>
      <sheetData sheetId="83">
        <row r="26">
          <cell r="F26">
            <v>1772512.1496339198</v>
          </cell>
        </row>
      </sheetData>
      <sheetData sheetId="84">
        <row r="26">
          <cell r="F26">
            <v>3611696.9636797803</v>
          </cell>
        </row>
      </sheetData>
      <sheetData sheetId="85"/>
      <sheetData sheetId="86"/>
      <sheetData sheetId="87">
        <row r="7">
          <cell r="A7" t="str">
            <v>Once Comida</v>
          </cell>
        </row>
      </sheetData>
      <sheetData sheetId="88">
        <row r="8">
          <cell r="A8" t="str">
            <v>Once Comida</v>
          </cell>
        </row>
      </sheetData>
      <sheetData sheetId="89">
        <row r="8">
          <cell r="B8" t="str">
            <v>Prime</v>
          </cell>
        </row>
      </sheetData>
      <sheetData sheetId="90"/>
      <sheetData sheetId="91">
        <row r="3">
          <cell r="H3" t="str">
            <v>0,243055555555556LMWJD</v>
          </cell>
        </row>
      </sheetData>
      <sheetData sheetId="92">
        <row r="13">
          <cell r="R13" t="str">
            <v>CANAL 24 / PAUTA MIX</v>
          </cell>
        </row>
      </sheetData>
      <sheetData sheetId="93"/>
      <sheetData sheetId="94">
        <row r="26">
          <cell r="F26">
            <v>1772512.1496339198</v>
          </cell>
        </row>
      </sheetData>
      <sheetData sheetId="95">
        <row r="26">
          <cell r="F26">
            <v>3611696.9636797803</v>
          </cell>
        </row>
      </sheetData>
      <sheetData sheetId="96"/>
      <sheetData sheetId="97"/>
      <sheetData sheetId="98">
        <row r="7">
          <cell r="A7" t="str">
            <v>Once Comida</v>
          </cell>
        </row>
      </sheetData>
      <sheetData sheetId="99">
        <row r="8">
          <cell r="A8" t="str">
            <v>Once Comida</v>
          </cell>
        </row>
      </sheetData>
      <sheetData sheetId="100">
        <row r="8">
          <cell r="B8" t="str">
            <v>Prime</v>
          </cell>
        </row>
      </sheetData>
      <sheetData sheetId="101"/>
      <sheetData sheetId="102">
        <row r="3">
          <cell r="H3" t="str">
            <v>0,243055555555556LMWJD</v>
          </cell>
        </row>
      </sheetData>
      <sheetData sheetId="103">
        <row r="13">
          <cell r="R13" t="str">
            <v>CANAL 24 / PAUTA MIX</v>
          </cell>
        </row>
      </sheetData>
      <sheetData sheetId="104"/>
      <sheetData sheetId="105">
        <row r="26">
          <cell r="F26">
            <v>1772512.1496339198</v>
          </cell>
        </row>
      </sheetData>
      <sheetData sheetId="106">
        <row r="26">
          <cell r="F26">
            <v>3611696.9636797803</v>
          </cell>
        </row>
      </sheetData>
      <sheetData sheetId="107"/>
      <sheetData sheetId="108"/>
      <sheetData sheetId="109">
        <row r="7">
          <cell r="A7" t="str">
            <v>Once Comida</v>
          </cell>
        </row>
      </sheetData>
      <sheetData sheetId="110">
        <row r="8">
          <cell r="A8" t="str">
            <v>Once Comida</v>
          </cell>
        </row>
      </sheetData>
      <sheetData sheetId="111">
        <row r="8">
          <cell r="B8" t="str">
            <v>Prime</v>
          </cell>
        </row>
      </sheetData>
      <sheetData sheetId="112"/>
      <sheetData sheetId="113">
        <row r="3">
          <cell r="H3" t="str">
            <v>0,243055555555556LMWJD</v>
          </cell>
        </row>
      </sheetData>
      <sheetData sheetId="114">
        <row r="13">
          <cell r="R13" t="str">
            <v>CANAL 24 / PAUTA MIX</v>
          </cell>
        </row>
      </sheetData>
      <sheetData sheetId="115"/>
      <sheetData sheetId="116">
        <row r="26">
          <cell r="F26">
            <v>1772512.1496339198</v>
          </cell>
        </row>
      </sheetData>
      <sheetData sheetId="117">
        <row r="26">
          <cell r="F26">
            <v>3611696.9636797803</v>
          </cell>
        </row>
      </sheetData>
      <sheetData sheetId="118"/>
      <sheetData sheetId="119"/>
      <sheetData sheetId="120">
        <row r="7">
          <cell r="A7" t="str">
            <v>Once Comida</v>
          </cell>
        </row>
      </sheetData>
      <sheetData sheetId="121">
        <row r="8">
          <cell r="A8" t="str">
            <v>Once Comida</v>
          </cell>
        </row>
      </sheetData>
      <sheetData sheetId="122">
        <row r="8">
          <cell r="B8" t="str">
            <v>Prime</v>
          </cell>
        </row>
      </sheetData>
      <sheetData sheetId="123"/>
      <sheetData sheetId="124">
        <row r="3">
          <cell r="H3" t="str">
            <v>0,243055555555556LMWJD</v>
          </cell>
        </row>
      </sheetData>
      <sheetData sheetId="125">
        <row r="13">
          <cell r="R13" t="str">
            <v>CANAL 24 / PAUTA MIX</v>
          </cell>
        </row>
      </sheetData>
      <sheetData sheetId="126"/>
      <sheetData sheetId="127">
        <row r="26">
          <cell r="F26">
            <v>1772512.1496339198</v>
          </cell>
        </row>
      </sheetData>
      <sheetData sheetId="128">
        <row r="26">
          <cell r="F26">
            <v>3611696.9636797803</v>
          </cell>
        </row>
      </sheetData>
      <sheetData sheetId="129"/>
      <sheetData sheetId="130"/>
      <sheetData sheetId="131">
        <row r="7">
          <cell r="A7" t="str">
            <v>Once Comida</v>
          </cell>
        </row>
      </sheetData>
      <sheetData sheetId="132">
        <row r="8">
          <cell r="A8" t="str">
            <v>Once Comida</v>
          </cell>
        </row>
      </sheetData>
      <sheetData sheetId="133">
        <row r="8">
          <cell r="B8" t="str">
            <v>Prime</v>
          </cell>
        </row>
      </sheetData>
      <sheetData sheetId="134"/>
      <sheetData sheetId="135">
        <row r="3">
          <cell r="H3" t="str">
            <v>0,243055555555556LMWJD</v>
          </cell>
        </row>
      </sheetData>
      <sheetData sheetId="136">
        <row r="13">
          <cell r="R13" t="str">
            <v>CANAL 24 / PAUTA MIX</v>
          </cell>
        </row>
      </sheetData>
      <sheetData sheetId="13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a-"/>
      <sheetName val="lun-Dom"/>
      <sheetName val="lun-vie"/>
      <sheetName val="aut. lun-vie"/>
      <sheetName val="Noticias"/>
      <sheetName val="Deportes"/>
      <sheetName val="aguasc"/>
      <sheetName val="cancun"/>
      <sheetName val="celaya"/>
      <sheetName val="cd obregon"/>
      <sheetName val="cdvictor"/>
      <sheetName val="coatza"/>
      <sheetName val="colima"/>
      <sheetName val="cordo"/>
      <sheetName val="chih"/>
      <sheetName val="culiacan"/>
      <sheetName val="cuer"/>
      <sheetName val="durango"/>
      <sheetName val="ensen"/>
      <sheetName val="fresn"/>
      <sheetName val="guad"/>
      <sheetName val="herm"/>
      <sheetName val="irap"/>
      <sheetName val="jalapa"/>
      <sheetName val="juarez"/>
      <sheetName val="leon"/>
      <sheetName val="matam"/>
      <sheetName val="maz"/>
      <sheetName val="mer"/>
      <sheetName val="mexb"/>
      <sheetName val="mochis"/>
      <sheetName val="mont"/>
      <sheetName val="morel"/>
      <sheetName val="nlare"/>
      <sheetName val="oaxaca"/>
      <sheetName val="pue"/>
      <sheetName val="quere"/>
      <sheetName val="reynosa"/>
      <sheetName val="saltillo"/>
      <sheetName val="slp"/>
      <sheetName val="tamp"/>
      <sheetName val="Hoja4"/>
      <sheetName val="toluca"/>
      <sheetName val="torreon"/>
      <sheetName val="uruap"/>
      <sheetName val="ver"/>
      <sheetName val="vhe"/>
      <sheetName val="Hoja1"/>
      <sheetName val="Hoja2"/>
      <sheetName val="Hoja3"/>
      <sheetName val="AUT-HOG"/>
      <sheetName val="01_2000"/>
      <sheetName val="expertisse"/>
      <sheetName val="Tapa"/>
      <sheetName val="Nov 01"/>
      <sheetName val="Auxiliar"/>
      <sheetName val="aut__lun-vie"/>
      <sheetName val="cd_obregon"/>
      <sheetName val="Nov_01"/>
      <sheetName val="aut__lun-vie1"/>
      <sheetName val="cd_obregon1"/>
      <sheetName val="Nov_011"/>
      <sheetName val="aut__lun-vie2"/>
      <sheetName val="cd_obregon2"/>
      <sheetName val="Nov_012"/>
      <sheetName val="PESOS"/>
      <sheetName val="HMAMB"/>
      <sheetName val="Resumo"/>
      <sheetName val="LISTA"/>
      <sheetName val="VOL DP"/>
      <sheetName val="DATOS"/>
      <sheetName val="SumR"/>
      <sheetName val="Pub1 L"/>
      <sheetName val="Rental"/>
      <sheetName val="VENTAS04"/>
      <sheetName val="Bases"/>
      <sheetName val="VOL_DP"/>
      <sheetName val="Promedio"/>
      <sheetName val="B&amp;P"/>
      <sheetName val="Ind. PC"/>
      <sheetName val="ME"/>
      <sheetName val="MP"/>
      <sheetName val="Supp Supp"/>
      <sheetName val="GAFA"/>
      <sheetName val="A&amp;P"/>
      <sheetName val="Prev Yrs"/>
      <sheetName val="Master"/>
      <sheetName val="VOL_DP1"/>
      <sheetName val="Ind__PC"/>
      <sheetName val="Supp_Supp"/>
      <sheetName val="Prev_Yrs"/>
      <sheetName val="RATING03"/>
      <sheetName val="RATING03.xls"/>
      <sheetName val="#G.O."/>
      <sheetName val="Rk"/>
      <sheetName val="plan"/>
      <sheetName val="IMSTRAT"/>
      <sheetName val="aut__lun-vie3"/>
      <sheetName val="cd_obregon3"/>
      <sheetName val="Nov_013"/>
      <sheetName val="#G_O_"/>
      <sheetName val="aut__lun-vie5"/>
      <sheetName val="cd_obregon5"/>
      <sheetName val="Nov_015"/>
      <sheetName val="#G_O_2"/>
      <sheetName val="aut__lun-vie4"/>
      <sheetName val="cd_obregon4"/>
      <sheetName val="Nov_014"/>
      <sheetName val="#G_O_1"/>
      <sheetName val="aut__lun-vie7"/>
      <sheetName val="cd_obregon7"/>
      <sheetName val="Nov_017"/>
      <sheetName val="#G_O_4"/>
      <sheetName val="aut__lun-vie6"/>
      <sheetName val="cd_obregon6"/>
      <sheetName val="Nov_016"/>
      <sheetName val="#G_O_3"/>
      <sheetName val="Taxonomy"/>
      <sheetName val="negociaciones1"/>
      <sheetName val="analisis"/>
      <sheetName val="Detailed Plan"/>
      <sheetName val="Data Validation"/>
      <sheetName val="Category"/>
      <sheetName val="Country"/>
      <sheetName val="Language"/>
      <sheetName val="Site"/>
      <sheetName val="Diccionario"/>
      <sheetName val="RANKING02"/>
      <sheetName val="RAKINGTV"/>
      <sheetName val="RAKINGTV01"/>
      <sheetName val="TarTV"/>
      <sheetName val="[RATING03.xls]\WINDOWS\DESKTOP\"/>
      <sheetName val="Tablas"/>
      <sheetName val="flow. pren P.F."/>
      <sheetName val="Base SKU"/>
      <sheetName val="Base_SKU"/>
      <sheetName val="Assumptions"/>
      <sheetName val="Sahara NA Model"/>
      <sheetName val="Calculos PL"/>
      <sheetName val="Reales x PL"/>
      <sheetName val="Base Adj BFPP"/>
      <sheetName val="Reales x Sku"/>
      <sheetName val="charge"/>
      <sheetName val="VOL_DP2"/>
      <sheetName val="Ind__PC1"/>
      <sheetName val="Supp_Supp1"/>
      <sheetName val="Prev_Yrs1"/>
      <sheetName val="Pub1_L"/>
      <sheetName val="\WINDOWS\DESKTOP\RATING03_xls"/>
      <sheetName val="RATING03_xls"/>
      <sheetName val="VOL_DP3"/>
      <sheetName val="Ind__PC2"/>
      <sheetName val="Supp_Supp2"/>
      <sheetName val="Prev_Yrs2"/>
      <sheetName val="Pub1_L1"/>
      <sheetName val="\WINDOWS\DESKTOP\RATING03_xls1"/>
      <sheetName val="RATING03_xls1"/>
      <sheetName val="VPR"/>
      <sheetName val="[RATING03.xls][RATING03.xls]\WI"/>
      <sheetName val="[RATING03.xls][RATING03.xls][RA"/>
      <sheetName val="Interpolar"/>
      <sheetName val="CampaignData"/>
      <sheetName val="PlanData"/>
      <sheetName val="ExchangeRates"/>
      <sheetName val="ManualDiscounts"/>
      <sheetName val="NetPrices"/>
      <sheetName val="PlanSheet"/>
      <sheetName val="Sheet1"/>
      <sheetName val="1er Bloque"/>
      <sheetName val="Base"/>
      <sheetName val="Data"/>
      <sheetName val="Full Year"/>
      <sheetName val="Control"/>
      <sheetName val="Participacion Septiembre"/>
      <sheetName val="[RATING03.xls]_WINDOWS_DESKTO_2"/>
      <sheetName val="Data_Validation"/>
      <sheetName val="Confi Digital"/>
      <sheetName val="Configuración"/>
      <sheetName val="CPR"/>
      <sheetName val="Digital"/>
      <sheetName val="BRIEF ESTRATÉGICO"/>
      <sheetName val="TV Nacional"/>
      <sheetName val="BASE DE DATOS"/>
      <sheetName val="aut__lun-vie8"/>
      <sheetName val="cd_obregon8"/>
      <sheetName val="Nov_018"/>
      <sheetName val="#G_O_5"/>
      <sheetName val="aut__lun-vie9"/>
      <sheetName val="cd_obregon9"/>
      <sheetName val="Nov_019"/>
      <sheetName val="#G_O_6"/>
      <sheetName val="JORGE"/>
      <sheetName val="Tabla"/>
      <sheetName val="aut__lun-vie10"/>
      <sheetName val="cd_obregon10"/>
      <sheetName val="Nov_0110"/>
      <sheetName val="#G_O_7"/>
      <sheetName val="VOL_DP4"/>
      <sheetName val="Pub1_L2"/>
      <sheetName val="Ind__PC3"/>
      <sheetName val="Supp_Supp3"/>
      <sheetName val="Prev_Yrs3"/>
      <sheetName val="RATING03_xls2"/>
      <sheetName val="aut__lun-vie11"/>
      <sheetName val="cd_obregon11"/>
      <sheetName val="Nov_0111"/>
      <sheetName val="#G_O_8"/>
      <sheetName val="VOL_DP5"/>
      <sheetName val="Pub1_L3"/>
      <sheetName val="Ind__PC4"/>
      <sheetName val="Supp_Supp4"/>
      <sheetName val="Prev_Yrs4"/>
      <sheetName val="RATING03_xls3"/>
      <sheetName val="[RATING03.xls]_WINDOWS_DESKTO_6"/>
      <sheetName val="[RATING03.xls]_WINDOWS_DESKTO_3"/>
      <sheetName val="[RATING03.xls]_WINDOWS_DESKTO_4"/>
      <sheetName val="[RATING03.xls]_WINDOWS_DESKTO_5"/>
      <sheetName val="[RATING03.xls]_WINDOWS_DESKTO_9"/>
      <sheetName val="[RATING03.xls]_WINDOWS_DESKTO_7"/>
      <sheetName val="[RATING03.xls]_WINDOWS_DESKTO_8"/>
      <sheetName val="[RATING03.xls]_WINDOWS_DESKT_17"/>
      <sheetName val="[RATING03.xls]_WINDOWS_DESKT_10"/>
      <sheetName val="[RATING03.xls]_WINDOWS_DESKT_13"/>
      <sheetName val="[RATING03.xls]_WINDOWS_DESKT_11"/>
      <sheetName val="[RATING03.xls]_WINDOWS_DESKT_12"/>
      <sheetName val="[RATING03.xls]_WINDOWS_DESKT_16"/>
      <sheetName val="[RATING03.xls]_WINDOWS_DESKT_15"/>
      <sheetName val="[RATING03.xls]_WINDOWS_DESKT_14"/>
      <sheetName val="[RATING03.xls]_WINDOWS_DESKT_18"/>
      <sheetName val="[RATING03.xls]_WINDOWS_DESKT_19"/>
      <sheetName val="[RATING03.xls]_WINDOWS_DESKT_20"/>
      <sheetName val="[RATING03.xls]_WINDOWS_DESKT_28"/>
      <sheetName val="[RATING03.xls]_WINDOWS_DESKT_21"/>
      <sheetName val="[RATING03.xls]_WINDOWS_DESKT_22"/>
      <sheetName val="[RATING03.xls]_WINDOWS_DESKT_23"/>
      <sheetName val="[RATING03.xls]_WINDOWS_DESKT_24"/>
      <sheetName val="[RATING03.xls]_WINDOWS_DESKT_25"/>
      <sheetName val="[RATING03.xls]_WINDOWS_DESKT_26"/>
      <sheetName val="[RATING03.xls]_WINDOWS_DESKT_27"/>
      <sheetName val="[RATING03.xls]_WINDOWS_DESKT_33"/>
      <sheetName val="[RATING03.xls]_WINDOWS_DESKT_32"/>
      <sheetName val="[RATING03.xls]_WINDOWS_DESKT_31"/>
      <sheetName val="[RATING03.xls]_WINDOWS_DESKT_30"/>
      <sheetName val="[RATING03.xls]_WINDOWS_DESKT_29"/>
      <sheetName val="[RATING03.xls]_WINDOWS_DESKT_34"/>
      <sheetName val="[RATING03.xls]_WINDOWS_DESKT_35"/>
      <sheetName val="TARIFAS"/>
      <sheetName val="ADS"/>
      <sheetName val="XLR_NoRangeSheet"/>
      <sheetName val="Listas"/>
      <sheetName val="DIGITAL Adserver "/>
      <sheetName val="CALENDARIO"/>
      <sheetName val="Vallas."/>
      <sheetName val="[RATING03.xls]_WINDOWS_DESKT_36"/>
      <sheetName val="[RATING03.xls]_WINDOWS_DESKT_37"/>
      <sheetName val="[RATING03.xls]_WINDOWS_DESKT_38"/>
      <sheetName val="[RATING03.xls]_WINDOWS_DESKT_39"/>
      <sheetName val="Bahia Blanca"/>
      <sheetName val="ePromotions Roll-Up"/>
      <sheetName val="Resumen"/>
      <sheetName val="J&amp;J Cons. Hungary Q1"/>
      <sheetName val="Pauta"/>
      <sheetName val="Pauta con 24 x seg"/>
      <sheetName val="[RATING03.xls]_WINDOWS_DESKT_46"/>
      <sheetName val="[RATING03.xls]_WINDOWS_DESKT_41"/>
      <sheetName val="[RATING03.xls]_WINDOWS_DESKT_40"/>
      <sheetName val="[RATING03.xls]_WINDOWS_DESKT_42"/>
      <sheetName val="[RATING03.xls]_WINDOWS_DESKT_43"/>
      <sheetName val="[RATING03.xls]_WINDOWS_DESKT_44"/>
      <sheetName val="[RATING03.xls]_WINDOWS_DESKT_45"/>
      <sheetName val="[RATING03.xls]_WINDOWS_DESKT_49"/>
      <sheetName val="[RATING03.xls]_WINDOWS_DESKT_47"/>
      <sheetName val="[RATING03.xls]_WINDOWS_DESKT_48"/>
      <sheetName val="[RATING03.xls]_WINDOWS_DESKT_53"/>
      <sheetName val="[RATING03.xls]_WINDOWS_DESKT_52"/>
      <sheetName val="[RATING03.xls]_WINDOWS_DESKT_51"/>
      <sheetName val="[RATING03.xls]_WINDOWS_DESKT_50"/>
      <sheetName val="[RATING03.xls]_WINDOWS_DESKT_54"/>
      <sheetName val="[RATING03.xls]_WINDOWS_DESKT_55"/>
      <sheetName val="[RATING03.xls]_WINDOWS_DESKT_56"/>
      <sheetName val="[RATING03.xls]_WINDOWS_DESKT_57"/>
      <sheetName val="[RATING03.xls]_WINDOWS_DESKT_58"/>
      <sheetName val="Data_Validation1"/>
      <sheetName val="[RATING03.xls]\D\WINDOWS\DESKTO"/>
      <sheetName val="Data_Validation2"/>
      <sheetName val="ePromotions_Roll-Up"/>
      <sheetName val="Data_Validation4"/>
      <sheetName val="RATING03_xls4"/>
      <sheetName val="[RATING03_xls]_WINDOWS_DESKTO_1"/>
      <sheetName val="[RATING03_xls]_WINDOWS_DESKTO_2"/>
      <sheetName val="ePromotions_Roll-Up1"/>
      <sheetName val="Data_Validation3"/>
      <sheetName val="Data_Validation5"/>
      <sheetName val="RATING03_xls5"/>
      <sheetName val="ePromotions_Roll-Up2"/>
      <sheetName val="Data_Validation6"/>
      <sheetName val="RATING03_xls6"/>
      <sheetName val="VOL_DP6"/>
      <sheetName val="Pub1_L4"/>
      <sheetName val="[RATING03_xls]_WINDOWS_DESKTO_3"/>
      <sheetName val="ePromotions_Roll-Up3"/>
      <sheetName val="Ind__PC5"/>
      <sheetName val="Supp_Supp5"/>
      <sheetName val="Prev_Yrs5"/>
      <sheetName val="Operating Profit"/>
      <sheetName val="[RATING03.xls]_WINDOWS_DESKT_59"/>
      <sheetName val="[RATING03.xls]_WINDOWS_DESKT_60"/>
      <sheetName val="[RATING03.xls]_WINDOWS_DESKT_61"/>
      <sheetName val="[RATING03.xls]_WINDOWS_DESKT_63"/>
      <sheetName val="[RATING03.xls]_WINDOWS_DESKT_62"/>
      <sheetName val="[RATING03.xls]_WINDOWS_DESKT_64"/>
      <sheetName val="[RATING03.xls]_WINDOWS_DESKT_65"/>
      <sheetName val="[RATING03.xls]_WINDOWS_DESKT_66"/>
      <sheetName val="[RATING03.xls]_WINDOWS_DESKT_67"/>
      <sheetName val="aut__lun-vie12"/>
      <sheetName val="cd_obregon12"/>
      <sheetName val="Nov_0112"/>
      <sheetName val="#G_O_9"/>
      <sheetName val="VOL_DP7"/>
      <sheetName val="Pub1_L5"/>
      <sheetName val="Ind__PC6"/>
      <sheetName val="Supp_Supp6"/>
      <sheetName val="Prev_Yrs6"/>
      <sheetName val="RATING03_xls7"/>
      <sheetName val="Confi_Digital"/>
      <sheetName val="BRIEF_ESTRATÉGICO"/>
      <sheetName val="TV_Nacional"/>
      <sheetName val="BASE_DE_DATOS"/>
      <sheetName val="[RATING03_xls]\WINDOWS\DESKTOP\"/>
      <sheetName val="flow__pren_P_F_"/>
      <sheetName val="Base_SKU1"/>
      <sheetName val="Sahara_NA_Model"/>
      <sheetName val="Calculos_PL"/>
      <sheetName val="Reales_x_PL"/>
      <sheetName val="Base_Adj_BFPP"/>
      <sheetName val="Reales_x_Sku"/>
      <sheetName val="[RATING03_xls][RATING03_xls]\WI"/>
      <sheetName val="[RATING03_xls][RATING03_xls][RA"/>
      <sheetName val="1er_Bloque"/>
      <sheetName val="Full_Year"/>
      <sheetName val="Participacion_Septiembre"/>
      <sheetName val="[RATING03_xls]_WINDOWS_DESKTO_4"/>
      <sheetName val="Data_Validation7"/>
      <sheetName val="Detailed_Plan"/>
      <sheetName val="[RATING03_xls]_WINDOWS_DESKTO_6"/>
      <sheetName val="[RATING03_xls]_WINDOWS_DESKTO_5"/>
      <sheetName val="[RATING03_xls]_WINDOWS_DESKTO_7"/>
      <sheetName val="[RATING03_xls]_WINDOWS_DESKTO_8"/>
      <sheetName val="[RATING03_xls]_WINDOWS_DESKTO_9"/>
      <sheetName val="[RATING03_xls]_WINDOWS_DESKTO10"/>
      <sheetName val="[RATING03_xls]_WINDOWS_DESKT_11"/>
      <sheetName val="[RATING03_xls]_WINDOWS_DESKTO11"/>
      <sheetName val="[RATING03_xls]_WINDOWS_DESKT_10"/>
      <sheetName val="[RATING03_xls]_WINDOWS_DESKT_18"/>
      <sheetName val="[RATING03_xls]_WINDOWS_DESKT_17"/>
      <sheetName val="[RATING03_xls]_WINDOWS_DESKT_13"/>
      <sheetName val="[RATING03_xls]_WINDOWS_DESKT_12"/>
      <sheetName val="[RATING03_xls]_WINDOWS_DESKT_16"/>
      <sheetName val="[RATING03_xls]_WINDOWS_DESKT_15"/>
      <sheetName val="[RATING03_xls]_WINDOWS_DESKT_14"/>
      <sheetName val="[RATING03_xls]_WINDOWS_DESKT_19"/>
      <sheetName val="[RATING03_xls]_WINDOWS_DESKT_20"/>
      <sheetName val="[RATING03_xls]_WINDOWS_DESKT_28"/>
      <sheetName val="[RATING03_xls]_WINDOWS_DESKT_21"/>
      <sheetName val="[RATING03_xls]_WINDOWS_DESKT_22"/>
      <sheetName val="[RATING03_xls]_WINDOWS_DESKT_23"/>
      <sheetName val="[RATING03_xls]_WINDOWS_DESKT_24"/>
      <sheetName val="[RATING03_xls]_WINDOWS_DESKT_25"/>
      <sheetName val="[RATING03_xls]_WINDOWS_DESKT_26"/>
      <sheetName val="[RATING03_xls]_WINDOWS_DESKT_27"/>
      <sheetName val="[RATING03_xls]_WINDOWS_DESKT_33"/>
      <sheetName val="[RATING03_xls]_WINDOWS_DESKT_32"/>
      <sheetName val="[RATING03_xls]_WINDOWS_DESKT_31"/>
      <sheetName val="[RATING03_xls]_WINDOWS_DESKT_30"/>
      <sheetName val="[RATING03_xls]_WINDOWS_DESKT_29"/>
      <sheetName val="[RATING03_xls]_WINDOWS_DESKT_34"/>
      <sheetName val="[RATING03_xls]_WINDOWS_DESKT_35"/>
      <sheetName val="[RATING03_xls]_WINDOWS_DESKT_36"/>
      <sheetName val="[RATING03_xls]_WINDOWS_DESKT_37"/>
      <sheetName val="[RATING03_xls]_WINDOWS_DESKT_38"/>
      <sheetName val="[RATING03_xls]_WINDOWS_DESKT_39"/>
      <sheetName val="DIGITAL_Adserver_"/>
      <sheetName val="Vallas_"/>
      <sheetName val="Bahia_Blanca"/>
      <sheetName val="[RATING03_xls]_WINDOWS_DESKT_46"/>
      <sheetName val="[RATING03_xls]_WINDOWS_DESKT_41"/>
      <sheetName val="[RATING03_xls]_WINDOWS_DESKT_40"/>
      <sheetName val="[RATING03_xls]_WINDOWS_DESKT_42"/>
      <sheetName val="[RATING03_xls]_WINDOWS_DESKT_43"/>
      <sheetName val="[RATING03_xls]_WINDOWS_DESKT_44"/>
      <sheetName val="[RATING03_xls]_WINDOWS_DESKT_45"/>
      <sheetName val="[RATING03_xls]_WINDOWS_DESKT_49"/>
      <sheetName val="[RATING03_xls]_WINDOWS_DESKT_47"/>
      <sheetName val="[RATING03_xls]_WINDOWS_DESKT_48"/>
      <sheetName val="[RATING03_xls]_WINDOWS_DESKT_53"/>
      <sheetName val="[RATING03_xls]_WINDOWS_DESKT_52"/>
      <sheetName val="[RATING03_xls]_WINDOWS_DESKT_51"/>
      <sheetName val="[RATING03_xls]_WINDOWS_DESKT_50"/>
      <sheetName val="[RATING03_xls]_WINDOWS_DESKT_54"/>
      <sheetName val="[RATING03_xls]_WINDOWS_DESKT_55"/>
      <sheetName val="[RATING03_xls]_WINDOWS_DESKT_56"/>
      <sheetName val="[RATING03_xls]_WINDOWS_DESKT_57"/>
      <sheetName val="[RATING03_xls]_WINDOWS_DESKT_58"/>
      <sheetName val="ePromotions_Roll-Up4"/>
      <sheetName val="J&amp;J_Cons__Hungary_Q1"/>
      <sheetName val="Pauta_con_24_x_seg"/>
      <sheetName val="[RATING03_xls]\D\WINDOWS\DESKTO"/>
      <sheetName val="Operating_Profit"/>
      <sheetName val="Dropdown_Lists"/>
      <sheetName val="AssetHstAct"/>
      <sheetName val="CurRatesAct"/>
      <sheetName val="AGUAS"/>
      <sheetName val="Original 4.24"/>
      <sheetName val="datos universos"/>
      <sheetName val="rating "/>
      <sheetName val="PI May 04"/>
      <sheetName val="aut__lun-vie13"/>
      <sheetName val="cd_obregon13"/>
      <sheetName val="Nov_0113"/>
      <sheetName val="#G_O_10"/>
      <sheetName val="VOL_DP8"/>
      <sheetName val="Pub1_L6"/>
      <sheetName val="Ind__PC7"/>
      <sheetName val="Supp_Supp7"/>
      <sheetName val="Prev_Yrs7"/>
      <sheetName val="RATING03_xls8"/>
      <sheetName val="Confi_Digital1"/>
      <sheetName val="BRIEF_ESTRATÉGICO1"/>
      <sheetName val="TV_Nacional1"/>
      <sheetName val="BASE_DE_DATOS1"/>
      <sheetName val="[RATING03_xls]\WINDOWS\DESKTOP1"/>
      <sheetName val="flow__pren_P_F_1"/>
      <sheetName val="Base_SKU2"/>
      <sheetName val="Sahara_NA_Model1"/>
      <sheetName val="Calculos_PL1"/>
      <sheetName val="Reales_x_PL1"/>
      <sheetName val="Base_Adj_BFPP1"/>
      <sheetName val="Reales_x_Sku1"/>
      <sheetName val="[RATING03_xls][RATING03_xls]\W1"/>
      <sheetName val="[RATING03_xls][RATING03_xls][R1"/>
      <sheetName val="1er_Bloque1"/>
      <sheetName val="Full_Year1"/>
      <sheetName val="Participacion_Septiembre1"/>
      <sheetName val="[RATING03_xls]_WINDOWS_DESKTO12"/>
      <sheetName val="Data_Validation8"/>
      <sheetName val="Detailed_Plan1"/>
      <sheetName val="[RATING03_xls]_WINDOWS_DESKTO13"/>
      <sheetName val="[RATING03_xls]_WINDOWS_DESKTO14"/>
      <sheetName val="[RATING03_xls]_WINDOWS_DESKTO15"/>
      <sheetName val="[RATING03_xls]_WINDOWS_DESKTO16"/>
      <sheetName val="[RATING03_xls]_WINDOWS_DESKTO17"/>
      <sheetName val="[RATING03_xls]_WINDOWS_DESKTO18"/>
      <sheetName val="[RATING03_xls]_WINDOWS_DESKTO19"/>
      <sheetName val="[RATING03_xls]_WINDOWS_DESKT_59"/>
      <sheetName val="[RATING03_xls]_WINDOWS_DESKT_60"/>
      <sheetName val="[RATING03_xls]_WINDOWS_DESKT_61"/>
      <sheetName val="[RATING03_xls]_WINDOWS_DESKT_62"/>
      <sheetName val="[RATING03_xls]_WINDOWS_DESKT_63"/>
      <sheetName val="[RATING03_xls]_WINDOWS_DESKT_64"/>
      <sheetName val="[RATING03_xls]_WINDOWS_DESKT_65"/>
      <sheetName val="[RATING03_xls]_WINDOWS_DESKT_66"/>
      <sheetName val="[RATING03_xls]_WINDOWS_DESKT_67"/>
      <sheetName val="[RATING03_xls]_WINDOWS_DESKT_68"/>
      <sheetName val="[RATING03_xls]_WINDOWS_DESKT_69"/>
      <sheetName val="[RATING03_xls]_WINDOWS_DESKT_70"/>
      <sheetName val="[RATING03_xls]_WINDOWS_DESKT_71"/>
      <sheetName val="[RATING03_xls]_WINDOWS_DESKT_72"/>
      <sheetName val="[RATING03_xls]_WINDOWS_DESKT_73"/>
      <sheetName val="[RATING03_xls]_WINDOWS_DESKT_74"/>
      <sheetName val="[RATING03_xls]_WINDOWS_DESKT_75"/>
      <sheetName val="[RATING03_xls]_WINDOWS_DESKT_76"/>
      <sheetName val="[RATING03_xls]_WINDOWS_DESKT_77"/>
      <sheetName val="[RATING03_xls]_WINDOWS_DESKT_78"/>
      <sheetName val="[RATING03_xls]_WINDOWS_DESKT_79"/>
      <sheetName val="[RATING03_xls]_WINDOWS_DESKT_80"/>
      <sheetName val="[RATING03_xls]_WINDOWS_DESKT_81"/>
      <sheetName val="[RATING03_xls]_WINDOWS_DESKT_82"/>
      <sheetName val="[RATING03_xls]_WINDOWS_DESKT_83"/>
      <sheetName val="[RATING03_xls]_WINDOWS_DESKT_84"/>
      <sheetName val="DIGITAL_Adserver_1"/>
      <sheetName val="Vallas_1"/>
      <sheetName val="[RATING03_xls]_WINDOWS_DESKT_85"/>
      <sheetName val="[RATING03_xls]_WINDOWS_DESKT_86"/>
      <sheetName val="[RATING03_xls]_WINDOWS_DESKT_87"/>
      <sheetName val="[RATING03_xls]_WINDOWS_DESKT_88"/>
      <sheetName val="Bahia_Blanca1"/>
      <sheetName val="[RATING03_xls]_WINDOWS_DESKT_89"/>
      <sheetName val="[RATING03_xls]_WINDOWS_DESKT_90"/>
      <sheetName val="[RATING03_xls]_WINDOWS_DESKT_91"/>
      <sheetName val="[RATING03_xls]_WINDOWS_DESKT_92"/>
      <sheetName val="[RATING03_xls]_WINDOWS_DESKT_93"/>
      <sheetName val="[RATING03_xls]_WINDOWS_DESKT_94"/>
      <sheetName val="[RATING03_xls]_WINDOWS_DESKT_95"/>
      <sheetName val="[RATING03_xls]_WINDOWS_DESKT_96"/>
      <sheetName val="[RATING03_xls]_WINDOWS_DESKT_97"/>
      <sheetName val="[RATING03_xls]_WINDOWS_DESKT_98"/>
      <sheetName val="[RATING03_xls]_WINDOWS_DESKT_99"/>
      <sheetName val="[RATING03_xls]_WINDOWS_DESKT100"/>
      <sheetName val="[RATING03_xls]_WINDOWS_DESKT101"/>
      <sheetName val="[RATING03_xls]_WINDOWS_DESKT102"/>
      <sheetName val="[RATING03_xls]_WINDOWS_DESKT103"/>
      <sheetName val="[RATING03_xls]_WINDOWS_DESKT104"/>
      <sheetName val="[RATING03_xls]_WINDOWS_DESKT105"/>
      <sheetName val="[RATING03_xls]_WINDOWS_DESKT106"/>
      <sheetName val="[RATING03_xls]_WINDOWS_DESKT107"/>
      <sheetName val="ePromotions_Roll-Up5"/>
      <sheetName val="J&amp;J_Cons__Hungary_Q11"/>
      <sheetName val="Pauta_con_24_x_seg1"/>
      <sheetName val="[RATING03_xls]\D\WINDOWS\DESKT1"/>
      <sheetName val="Operating_Profit1"/>
      <sheetName val="[RATING03_xls]_WINDOWS_DESKT108"/>
      <sheetName val="[RATING03_xls]_WINDOWS_DESKT109"/>
      <sheetName val="[RATING03_xls]_WINDOWS_DESKT110"/>
      <sheetName val="[RATING03_xls]_WINDOWS_DESKT111"/>
      <sheetName val="[RATING03_xls]_WINDOWS_DESKT112"/>
      <sheetName val="[RATING03_xls]_WINDOWS_DESKT113"/>
      <sheetName val="[RATING03_xls]_WINDOWS_DESKT114"/>
      <sheetName val="[RATING03_xls]_WINDOWS_DESKT115"/>
      <sheetName val="[RATING03_xls]_WINDOWS_DESKT116"/>
      <sheetName val="MUJ2637"/>
      <sheetName val="A&amp;F MAN 2DO"/>
      <sheetName val="A&amp;F MAN 1ER"/>
      <sheetName val="[RATING03_xls]\WINDOWS\DESKTOP2"/>
      <sheetName val="[RATING03_xls]_WINDOWS_DESKTO20"/>
      <sheetName val="[RATING03_xls]_WINDOWS_DESKTO21"/>
      <sheetName val="[RATING03_xls]_WINDOWS_DESKTO22"/>
      <sheetName val="[RATING03_xls]_WINDOWS_DESKTO23"/>
      <sheetName val="[RATING03_xls]_WINDOWS_DESKTO24"/>
      <sheetName val="Original_4_24"/>
      <sheetName val="[RATING03_xls]\WINDOWS\DESKTOP3"/>
      <sheetName val="[RATING03_xls]_WINDOWS_DESKTO25"/>
      <sheetName val="[RATING03_xls]_WINDOWS_DESKTO26"/>
      <sheetName val="[RATING03_xls]_WINDOWS_DESKTO27"/>
      <sheetName val="[RATING03_xls]_WINDOWS_DESKTO28"/>
      <sheetName val="[RATING03_xls]_WINDOWS_DESKTO29"/>
      <sheetName val="[RATING03_xls]_WINDOWS_DESKTO30"/>
      <sheetName val="[RATING03_xls]_WINDOWS_DESKTO31"/>
      <sheetName val="[RATING03_xls]_WINDOWS_DESKTO3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ómo se ocupan estas listas"/>
      <sheetName val="Cuantificador"/>
      <sheetName val="datos universos"/>
      <sheetName val="ANEXOS"/>
      <sheetName val="Cómo se hace"/>
      <sheetName val="Tarifas Enero 2009"/>
      <sheetName val="tablas final 2°sem 2008"/>
      <sheetName val="Rating"/>
      <sheetName val="Resumen"/>
      <sheetName val="Arica_Iquique_Valdi_Osor_PMontt"/>
      <sheetName val="Antof_Calama_Atac_Coqui_Austral"/>
      <sheetName val="aca-"/>
      <sheetName val="Cómo_se_ocupan_estas_listas"/>
      <sheetName val="datos_universos"/>
      <sheetName val="Cómo_se_hace"/>
      <sheetName val="Tarifas_Enero_2009"/>
      <sheetName val="tablas_final_2°sem_2008"/>
      <sheetName val="Cómo_se_ocupan_estas_listas1"/>
      <sheetName val="datos_universos1"/>
      <sheetName val="Cómo_se_hace1"/>
      <sheetName val="Tarifas_Enero_20091"/>
      <sheetName val="tablas_final_2°sem_20081"/>
      <sheetName val="Cómo_se_ocupan_estas_listas2"/>
      <sheetName val="datos_universos2"/>
      <sheetName val="Cómo_se_hace2"/>
      <sheetName val="Tarifas_Enero_20092"/>
      <sheetName val="tablas_final_2°sem_20082"/>
      <sheetName val="Tarifas_Enero_20093"/>
      <sheetName val="tablas_final_2°sem_20083"/>
      <sheetName val="Cómo_se_ocupan_estas_listas4"/>
      <sheetName val="datos_universos4"/>
      <sheetName val="Cómo_se_hace4"/>
      <sheetName val="Tarifas_Enero_20095"/>
      <sheetName val="tablas_final_2°sem_20085"/>
      <sheetName val="Cómo_se_ocupan_estas_listas3"/>
      <sheetName val="datos_universos3"/>
      <sheetName val="Cómo_se_hace3"/>
      <sheetName val="Tarifas_Enero_20094"/>
      <sheetName val="tablas_final_2°sem_20084"/>
      <sheetName val="Cómo_se_ocupan_estas_listas5"/>
      <sheetName val="datos_universos5"/>
      <sheetName val="Cómo_se_hace5"/>
      <sheetName val="Tarifas_Enero_20096"/>
      <sheetName val="tablas_final_2°sem_20086"/>
      <sheetName val="Cómo_se_ocupan_estas_listas6"/>
      <sheetName val="datos_universos6"/>
      <sheetName val="Cómo_se_hace6"/>
      <sheetName val="Tarifas_Enero_20097"/>
      <sheetName val="tablas_final_2°sem_20087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R1" t="str">
            <v>CALAMA</v>
          </cell>
          <cell r="Z1" t="str">
            <v>ANTOFAGASTA</v>
          </cell>
          <cell r="AX1" t="str">
            <v>VALPARAISO</v>
          </cell>
        </row>
        <row r="2">
          <cell r="R2" t="str">
            <v>Bloque</v>
          </cell>
          <cell r="S2" t="str">
            <v>5"</v>
          </cell>
          <cell r="T2" t="str">
            <v>10"</v>
          </cell>
          <cell r="U2" t="str">
            <v>15"</v>
          </cell>
          <cell r="V2" t="str">
            <v>20"</v>
          </cell>
          <cell r="W2" t="str">
            <v>25"</v>
          </cell>
          <cell r="X2" t="str">
            <v>30"</v>
          </cell>
          <cell r="Z2" t="str">
            <v>Bloque</v>
          </cell>
          <cell r="AA2" t="str">
            <v>5"</v>
          </cell>
          <cell r="AB2" t="str">
            <v>10"</v>
          </cell>
          <cell r="AC2" t="str">
            <v>15"</v>
          </cell>
          <cell r="AD2" t="str">
            <v>20"</v>
          </cell>
          <cell r="AE2" t="str">
            <v>25"</v>
          </cell>
          <cell r="AF2" t="str">
            <v>30"</v>
          </cell>
          <cell r="AX2" t="str">
            <v>Bloque</v>
          </cell>
          <cell r="AY2" t="str">
            <v>5"</v>
          </cell>
          <cell r="AZ2" t="str">
            <v>10"</v>
          </cell>
          <cell r="BA2" t="str">
            <v>15"</v>
          </cell>
          <cell r="BB2" t="str">
            <v>20"</v>
          </cell>
          <cell r="BC2" t="str">
            <v>25"</v>
          </cell>
          <cell r="BD2" t="str">
            <v>30"</v>
          </cell>
        </row>
        <row r="3">
          <cell r="R3">
            <v>0</v>
          </cell>
          <cell r="S3">
            <v>800</v>
          </cell>
          <cell r="T3">
            <v>1400</v>
          </cell>
          <cell r="U3">
            <v>1600</v>
          </cell>
          <cell r="V3">
            <v>1800</v>
          </cell>
          <cell r="W3">
            <v>2000</v>
          </cell>
          <cell r="X3">
            <v>2100</v>
          </cell>
          <cell r="Z3">
            <v>0</v>
          </cell>
          <cell r="AA3">
            <v>1400</v>
          </cell>
          <cell r="AB3">
            <v>2500</v>
          </cell>
          <cell r="AC3">
            <v>3000</v>
          </cell>
          <cell r="AD3">
            <v>3300</v>
          </cell>
          <cell r="AE3">
            <v>3600</v>
          </cell>
          <cell r="AF3">
            <v>3800</v>
          </cell>
          <cell r="AX3">
            <v>0</v>
          </cell>
          <cell r="AY3">
            <v>3900</v>
          </cell>
          <cell r="AZ3">
            <v>7000</v>
          </cell>
          <cell r="BA3">
            <v>8200</v>
          </cell>
          <cell r="BB3">
            <v>9100</v>
          </cell>
          <cell r="BC3">
            <v>10000</v>
          </cell>
          <cell r="BD3">
            <v>10500</v>
          </cell>
        </row>
        <row r="4">
          <cell r="R4">
            <v>1</v>
          </cell>
          <cell r="S4">
            <v>1000</v>
          </cell>
          <cell r="T4">
            <v>1700</v>
          </cell>
          <cell r="U4">
            <v>1900</v>
          </cell>
          <cell r="V4">
            <v>2300</v>
          </cell>
          <cell r="W4">
            <v>2500</v>
          </cell>
          <cell r="X4">
            <v>2600</v>
          </cell>
          <cell r="Z4">
            <v>1</v>
          </cell>
          <cell r="AA4">
            <v>1800</v>
          </cell>
          <cell r="AB4">
            <v>3300</v>
          </cell>
          <cell r="AC4">
            <v>3800</v>
          </cell>
          <cell r="AD4">
            <v>4200</v>
          </cell>
          <cell r="AE4">
            <v>4700</v>
          </cell>
          <cell r="AF4">
            <v>4900</v>
          </cell>
          <cell r="AX4">
            <v>1</v>
          </cell>
          <cell r="AY4">
            <v>5000</v>
          </cell>
          <cell r="AZ4">
            <v>8900</v>
          </cell>
          <cell r="BA4">
            <v>10400</v>
          </cell>
          <cell r="BB4">
            <v>11500</v>
          </cell>
          <cell r="BC4">
            <v>12600</v>
          </cell>
          <cell r="BD4">
            <v>13300</v>
          </cell>
        </row>
        <row r="5">
          <cell r="R5">
            <v>2</v>
          </cell>
          <cell r="S5">
            <v>1200</v>
          </cell>
          <cell r="T5">
            <v>2200</v>
          </cell>
          <cell r="U5">
            <v>2600</v>
          </cell>
          <cell r="V5">
            <v>2900</v>
          </cell>
          <cell r="W5">
            <v>3100</v>
          </cell>
          <cell r="X5">
            <v>3300</v>
          </cell>
          <cell r="Z5">
            <v>2</v>
          </cell>
          <cell r="AA5">
            <v>2300</v>
          </cell>
          <cell r="AB5">
            <v>4100</v>
          </cell>
          <cell r="AC5">
            <v>4800</v>
          </cell>
          <cell r="AD5">
            <v>5300</v>
          </cell>
          <cell r="AE5">
            <v>5800</v>
          </cell>
          <cell r="AF5">
            <v>6100</v>
          </cell>
          <cell r="AX5">
            <v>2</v>
          </cell>
          <cell r="AY5">
            <v>6200</v>
          </cell>
          <cell r="AZ5">
            <v>11100</v>
          </cell>
          <cell r="BA5">
            <v>12900</v>
          </cell>
          <cell r="BB5">
            <v>14400</v>
          </cell>
          <cell r="BC5">
            <v>15800</v>
          </cell>
          <cell r="BD5">
            <v>16600</v>
          </cell>
        </row>
        <row r="6">
          <cell r="R6">
            <v>3</v>
          </cell>
          <cell r="S6">
            <v>1400</v>
          </cell>
          <cell r="T6">
            <v>2500</v>
          </cell>
          <cell r="U6">
            <v>3000</v>
          </cell>
          <cell r="V6">
            <v>3300</v>
          </cell>
          <cell r="W6">
            <v>3600</v>
          </cell>
          <cell r="X6">
            <v>3800</v>
          </cell>
          <cell r="Z6">
            <v>3</v>
          </cell>
          <cell r="AA6">
            <v>2700</v>
          </cell>
          <cell r="AB6">
            <v>4800</v>
          </cell>
          <cell r="AC6">
            <v>5600</v>
          </cell>
          <cell r="AD6">
            <v>6200</v>
          </cell>
          <cell r="AE6">
            <v>6800</v>
          </cell>
          <cell r="AF6">
            <v>7200</v>
          </cell>
          <cell r="AX6">
            <v>3</v>
          </cell>
          <cell r="AY6">
            <v>7400</v>
          </cell>
          <cell r="AZ6">
            <v>13100</v>
          </cell>
          <cell r="BA6">
            <v>15300</v>
          </cell>
          <cell r="BB6">
            <v>17000</v>
          </cell>
          <cell r="BC6">
            <v>18600</v>
          </cell>
          <cell r="BD6">
            <v>19600</v>
          </cell>
        </row>
        <row r="7">
          <cell r="R7">
            <v>4</v>
          </cell>
          <cell r="S7">
            <v>1600</v>
          </cell>
          <cell r="T7">
            <v>2800</v>
          </cell>
          <cell r="U7">
            <v>3300</v>
          </cell>
          <cell r="V7">
            <v>3600</v>
          </cell>
          <cell r="W7">
            <v>4000</v>
          </cell>
          <cell r="X7">
            <v>4200</v>
          </cell>
          <cell r="Z7">
            <v>4</v>
          </cell>
          <cell r="AA7">
            <v>3000</v>
          </cell>
          <cell r="AB7">
            <v>5300</v>
          </cell>
          <cell r="AC7">
            <v>6200</v>
          </cell>
          <cell r="AD7">
            <v>6800</v>
          </cell>
          <cell r="AE7">
            <v>7500</v>
          </cell>
          <cell r="AF7">
            <v>7900</v>
          </cell>
          <cell r="AX7">
            <v>4</v>
          </cell>
          <cell r="AY7">
            <v>8100</v>
          </cell>
          <cell r="AZ7">
            <v>14300</v>
          </cell>
          <cell r="BA7">
            <v>16800</v>
          </cell>
          <cell r="BB7">
            <v>18600</v>
          </cell>
          <cell r="BC7">
            <v>20400</v>
          </cell>
          <cell r="BD7">
            <v>21500</v>
          </cell>
        </row>
        <row r="8">
          <cell r="R8">
            <v>5</v>
          </cell>
          <cell r="S8">
            <v>1800</v>
          </cell>
          <cell r="T8">
            <v>3100</v>
          </cell>
          <cell r="U8">
            <v>3700</v>
          </cell>
          <cell r="V8">
            <v>4100</v>
          </cell>
          <cell r="W8">
            <v>4500</v>
          </cell>
          <cell r="X8">
            <v>4700</v>
          </cell>
          <cell r="Z8">
            <v>5</v>
          </cell>
          <cell r="AA8">
            <v>3300</v>
          </cell>
          <cell r="AB8">
            <v>5800</v>
          </cell>
          <cell r="AC8">
            <v>6800</v>
          </cell>
          <cell r="AD8">
            <v>7500</v>
          </cell>
          <cell r="AE8">
            <v>8300</v>
          </cell>
          <cell r="AF8">
            <v>8700</v>
          </cell>
          <cell r="AX8">
            <v>5</v>
          </cell>
          <cell r="AY8">
            <v>8900</v>
          </cell>
          <cell r="AZ8">
            <v>15800</v>
          </cell>
          <cell r="BA8">
            <v>18500</v>
          </cell>
          <cell r="BB8">
            <v>20500</v>
          </cell>
          <cell r="BC8">
            <v>22500</v>
          </cell>
          <cell r="BD8">
            <v>23700</v>
          </cell>
        </row>
        <row r="9">
          <cell r="R9">
            <v>6</v>
          </cell>
          <cell r="S9">
            <v>1900</v>
          </cell>
          <cell r="T9">
            <v>3400</v>
          </cell>
          <cell r="U9">
            <v>4000</v>
          </cell>
          <cell r="V9">
            <v>4400</v>
          </cell>
          <cell r="W9">
            <v>4800</v>
          </cell>
          <cell r="X9">
            <v>5100</v>
          </cell>
          <cell r="Z9">
            <v>6</v>
          </cell>
          <cell r="AA9">
            <v>3600</v>
          </cell>
          <cell r="AB9">
            <v>6300</v>
          </cell>
          <cell r="AC9">
            <v>7400</v>
          </cell>
          <cell r="AD9">
            <v>8200</v>
          </cell>
          <cell r="AE9">
            <v>9000</v>
          </cell>
          <cell r="AF9">
            <v>9500</v>
          </cell>
          <cell r="AX9">
            <v>6</v>
          </cell>
          <cell r="AY9">
            <v>9800</v>
          </cell>
          <cell r="AZ9">
            <v>17300</v>
          </cell>
          <cell r="BA9">
            <v>20300</v>
          </cell>
          <cell r="BB9">
            <v>22500</v>
          </cell>
          <cell r="BC9">
            <v>24700</v>
          </cell>
          <cell r="BD9">
            <v>26000</v>
          </cell>
        </row>
        <row r="10">
          <cell r="R10">
            <v>7</v>
          </cell>
          <cell r="S10">
            <v>2100</v>
          </cell>
          <cell r="T10">
            <v>3700</v>
          </cell>
          <cell r="U10">
            <v>4400</v>
          </cell>
          <cell r="V10">
            <v>4900</v>
          </cell>
          <cell r="W10">
            <v>5300</v>
          </cell>
          <cell r="X10">
            <v>5600</v>
          </cell>
          <cell r="Z10">
            <v>7</v>
          </cell>
          <cell r="AA10">
            <v>3900</v>
          </cell>
          <cell r="AB10">
            <v>6900</v>
          </cell>
          <cell r="AC10">
            <v>8100</v>
          </cell>
          <cell r="AD10">
            <v>9000</v>
          </cell>
          <cell r="AE10">
            <v>9900</v>
          </cell>
          <cell r="AF10">
            <v>10400</v>
          </cell>
          <cell r="AX10">
            <v>7</v>
          </cell>
          <cell r="AY10">
            <v>10700</v>
          </cell>
          <cell r="AZ10">
            <v>19000</v>
          </cell>
          <cell r="BA10">
            <v>22200</v>
          </cell>
          <cell r="BB10">
            <v>24700</v>
          </cell>
          <cell r="BC10">
            <v>27100</v>
          </cell>
          <cell r="BD10">
            <v>28500</v>
          </cell>
        </row>
        <row r="11">
          <cell r="R11">
            <v>8</v>
          </cell>
          <cell r="S11">
            <v>2300</v>
          </cell>
          <cell r="T11">
            <v>4100</v>
          </cell>
          <cell r="U11">
            <v>4800</v>
          </cell>
          <cell r="V11">
            <v>5400</v>
          </cell>
          <cell r="W11">
            <v>5900</v>
          </cell>
          <cell r="X11">
            <v>6200</v>
          </cell>
          <cell r="Z11">
            <v>8</v>
          </cell>
          <cell r="AA11">
            <v>4300</v>
          </cell>
          <cell r="AB11">
            <v>7700</v>
          </cell>
          <cell r="AC11">
            <v>9000</v>
          </cell>
          <cell r="AD11">
            <v>10000</v>
          </cell>
          <cell r="AE11">
            <v>10900</v>
          </cell>
          <cell r="AF11">
            <v>11500</v>
          </cell>
          <cell r="AX11">
            <v>8</v>
          </cell>
          <cell r="AY11">
            <v>11800</v>
          </cell>
          <cell r="AZ11">
            <v>21000</v>
          </cell>
          <cell r="BA11">
            <v>24600</v>
          </cell>
          <cell r="BB11">
            <v>27300</v>
          </cell>
          <cell r="BC11">
            <v>29900</v>
          </cell>
          <cell r="BD11">
            <v>31500</v>
          </cell>
        </row>
        <row r="12">
          <cell r="R12">
            <v>9</v>
          </cell>
          <cell r="S12">
            <v>2600</v>
          </cell>
          <cell r="T12">
            <v>4500</v>
          </cell>
          <cell r="U12">
            <v>5300</v>
          </cell>
          <cell r="V12">
            <v>5900</v>
          </cell>
          <cell r="W12">
            <v>6500</v>
          </cell>
          <cell r="X12">
            <v>6800</v>
          </cell>
          <cell r="Z12">
            <v>9</v>
          </cell>
          <cell r="AA12">
            <v>4700</v>
          </cell>
          <cell r="AB12">
            <v>8400</v>
          </cell>
          <cell r="AC12">
            <v>9800</v>
          </cell>
          <cell r="AD12">
            <v>10900</v>
          </cell>
          <cell r="AE12">
            <v>12000</v>
          </cell>
          <cell r="AF12">
            <v>12600</v>
          </cell>
          <cell r="AX12">
            <v>9</v>
          </cell>
          <cell r="AY12">
            <v>12900</v>
          </cell>
          <cell r="AZ12">
            <v>23000</v>
          </cell>
          <cell r="BA12">
            <v>26900</v>
          </cell>
          <cell r="BB12">
            <v>29900</v>
          </cell>
          <cell r="BC12">
            <v>32800</v>
          </cell>
          <cell r="BD12">
            <v>34500</v>
          </cell>
        </row>
        <row r="13">
          <cell r="R13">
            <v>10</v>
          </cell>
          <cell r="S13">
            <v>2800</v>
          </cell>
          <cell r="T13">
            <v>5000</v>
          </cell>
          <cell r="U13">
            <v>5900</v>
          </cell>
          <cell r="V13">
            <v>6500</v>
          </cell>
          <cell r="W13">
            <v>7100</v>
          </cell>
          <cell r="X13">
            <v>7500</v>
          </cell>
          <cell r="Z13">
            <v>10</v>
          </cell>
          <cell r="AA13">
            <v>5200</v>
          </cell>
          <cell r="AB13">
            <v>9300</v>
          </cell>
          <cell r="AC13">
            <v>10800</v>
          </cell>
          <cell r="AD13">
            <v>12000</v>
          </cell>
          <cell r="AE13">
            <v>13200</v>
          </cell>
          <cell r="AF13">
            <v>13900</v>
          </cell>
          <cell r="AX13">
            <v>10</v>
          </cell>
          <cell r="AY13">
            <v>14300</v>
          </cell>
          <cell r="AZ13">
            <v>25400</v>
          </cell>
          <cell r="BA13">
            <v>29700</v>
          </cell>
          <cell r="BB13">
            <v>33000</v>
          </cell>
          <cell r="BC13">
            <v>36200</v>
          </cell>
          <cell r="BD13">
            <v>38100</v>
          </cell>
        </row>
        <row r="14">
          <cell r="R14">
            <v>11</v>
          </cell>
          <cell r="S14">
            <v>3100</v>
          </cell>
          <cell r="T14">
            <v>5500</v>
          </cell>
          <cell r="U14">
            <v>6400</v>
          </cell>
          <cell r="V14">
            <v>7100</v>
          </cell>
          <cell r="W14">
            <v>7800</v>
          </cell>
          <cell r="X14">
            <v>8200</v>
          </cell>
          <cell r="Z14">
            <v>11</v>
          </cell>
          <cell r="AA14">
            <v>5700</v>
          </cell>
          <cell r="AB14">
            <v>10200</v>
          </cell>
          <cell r="AC14">
            <v>11900</v>
          </cell>
          <cell r="AD14">
            <v>13300</v>
          </cell>
          <cell r="AE14">
            <v>14500</v>
          </cell>
          <cell r="AF14">
            <v>15300</v>
          </cell>
          <cell r="AX14">
            <v>11</v>
          </cell>
          <cell r="AY14">
            <v>15700</v>
          </cell>
          <cell r="AZ14">
            <v>27900</v>
          </cell>
          <cell r="BA14">
            <v>32600</v>
          </cell>
          <cell r="BB14">
            <v>36200</v>
          </cell>
          <cell r="BC14">
            <v>39700</v>
          </cell>
          <cell r="BD14">
            <v>41800</v>
          </cell>
        </row>
        <row r="15">
          <cell r="R15">
            <v>12</v>
          </cell>
          <cell r="S15">
            <v>3400</v>
          </cell>
          <cell r="T15">
            <v>6100</v>
          </cell>
          <cell r="U15">
            <v>7100</v>
          </cell>
          <cell r="V15">
            <v>7900</v>
          </cell>
          <cell r="W15">
            <v>8600</v>
          </cell>
          <cell r="X15">
            <v>9100</v>
          </cell>
          <cell r="Z15">
            <v>12</v>
          </cell>
          <cell r="AA15">
            <v>6300</v>
          </cell>
          <cell r="AB15">
            <v>11300</v>
          </cell>
          <cell r="AC15">
            <v>13200</v>
          </cell>
          <cell r="AD15">
            <v>14600</v>
          </cell>
          <cell r="AE15">
            <v>16100</v>
          </cell>
          <cell r="AF15">
            <v>16900</v>
          </cell>
          <cell r="AX15">
            <v>12</v>
          </cell>
          <cell r="AY15">
            <v>17300</v>
          </cell>
          <cell r="AZ15">
            <v>30700</v>
          </cell>
          <cell r="BA15">
            <v>36000</v>
          </cell>
          <cell r="BB15">
            <v>40000</v>
          </cell>
          <cell r="BC15">
            <v>43800</v>
          </cell>
          <cell r="BD15">
            <v>46100</v>
          </cell>
        </row>
        <row r="16">
          <cell r="R16">
            <v>13</v>
          </cell>
          <cell r="S16">
            <v>3700</v>
          </cell>
          <cell r="T16">
            <v>6600</v>
          </cell>
          <cell r="U16">
            <v>7700</v>
          </cell>
          <cell r="V16">
            <v>8600</v>
          </cell>
          <cell r="W16">
            <v>9400</v>
          </cell>
          <cell r="X16">
            <v>9900</v>
          </cell>
          <cell r="Z16">
            <v>13</v>
          </cell>
          <cell r="AA16">
            <v>6900</v>
          </cell>
          <cell r="AB16">
            <v>12300</v>
          </cell>
          <cell r="AC16">
            <v>14400</v>
          </cell>
          <cell r="AD16">
            <v>16000</v>
          </cell>
          <cell r="AE16">
            <v>17600</v>
          </cell>
          <cell r="AF16">
            <v>18500</v>
          </cell>
          <cell r="AX16">
            <v>13</v>
          </cell>
          <cell r="AY16">
            <v>19000</v>
          </cell>
          <cell r="AZ16">
            <v>33700</v>
          </cell>
          <cell r="BA16">
            <v>39500</v>
          </cell>
          <cell r="BB16">
            <v>43900</v>
          </cell>
          <cell r="BC16">
            <v>48100</v>
          </cell>
          <cell r="BD16">
            <v>50600</v>
          </cell>
        </row>
        <row r="17">
          <cell r="R17">
            <v>14</v>
          </cell>
          <cell r="S17">
            <v>4100</v>
          </cell>
          <cell r="T17">
            <v>7300</v>
          </cell>
          <cell r="U17">
            <v>8500</v>
          </cell>
          <cell r="V17">
            <v>9400</v>
          </cell>
          <cell r="W17">
            <v>10400</v>
          </cell>
          <cell r="X17">
            <v>10900</v>
          </cell>
          <cell r="Z17">
            <v>14</v>
          </cell>
          <cell r="AA17">
            <v>7600</v>
          </cell>
          <cell r="AB17">
            <v>13500</v>
          </cell>
          <cell r="AC17">
            <v>15800</v>
          </cell>
          <cell r="AD17">
            <v>17600</v>
          </cell>
          <cell r="AE17">
            <v>19300</v>
          </cell>
          <cell r="AF17">
            <v>20300</v>
          </cell>
          <cell r="AX17">
            <v>14</v>
          </cell>
          <cell r="AY17">
            <v>20900</v>
          </cell>
          <cell r="AZ17">
            <v>37100</v>
          </cell>
          <cell r="BA17">
            <v>43400</v>
          </cell>
          <cell r="BB17">
            <v>48300</v>
          </cell>
          <cell r="BC17">
            <v>52900</v>
          </cell>
          <cell r="BD17">
            <v>55700</v>
          </cell>
        </row>
        <row r="18">
          <cell r="R18">
            <v>15</v>
          </cell>
          <cell r="S18">
            <v>4500</v>
          </cell>
          <cell r="T18">
            <v>8100</v>
          </cell>
          <cell r="U18">
            <v>9400</v>
          </cell>
          <cell r="V18">
            <v>10500</v>
          </cell>
          <cell r="W18">
            <v>11500</v>
          </cell>
          <cell r="X18">
            <v>12100</v>
          </cell>
          <cell r="Z18">
            <v>15</v>
          </cell>
          <cell r="AA18">
            <v>8400</v>
          </cell>
          <cell r="AB18">
            <v>14900</v>
          </cell>
          <cell r="AC18">
            <v>17500</v>
          </cell>
          <cell r="AD18">
            <v>19400</v>
          </cell>
          <cell r="AE18">
            <v>21300</v>
          </cell>
          <cell r="AF18">
            <v>22400</v>
          </cell>
          <cell r="AX18">
            <v>15</v>
          </cell>
          <cell r="AY18">
            <v>23000</v>
          </cell>
          <cell r="AZ18">
            <v>40900</v>
          </cell>
          <cell r="BA18">
            <v>47900</v>
          </cell>
          <cell r="BB18">
            <v>53200</v>
          </cell>
          <cell r="BC18">
            <v>58300</v>
          </cell>
          <cell r="BD18">
            <v>61400</v>
          </cell>
        </row>
        <row r="19">
          <cell r="R19">
            <v>16</v>
          </cell>
          <cell r="S19">
            <v>5000</v>
          </cell>
          <cell r="T19">
            <v>8800</v>
          </cell>
          <cell r="U19">
            <v>10300</v>
          </cell>
          <cell r="V19">
            <v>11400</v>
          </cell>
          <cell r="W19">
            <v>12500</v>
          </cell>
          <cell r="X19">
            <v>13200</v>
          </cell>
          <cell r="Z19">
            <v>16</v>
          </cell>
          <cell r="AA19">
            <v>9200</v>
          </cell>
          <cell r="AB19">
            <v>16400</v>
          </cell>
          <cell r="AC19">
            <v>19200</v>
          </cell>
          <cell r="AD19">
            <v>21300</v>
          </cell>
          <cell r="AE19">
            <v>23400</v>
          </cell>
          <cell r="AF19">
            <v>24600</v>
          </cell>
          <cell r="AX19">
            <v>16</v>
          </cell>
          <cell r="AY19">
            <v>25300</v>
          </cell>
          <cell r="AZ19">
            <v>44900</v>
          </cell>
          <cell r="BA19">
            <v>52600</v>
          </cell>
          <cell r="BB19">
            <v>58400</v>
          </cell>
          <cell r="BC19">
            <v>64000</v>
          </cell>
          <cell r="BD19">
            <v>67400</v>
          </cell>
        </row>
        <row r="20">
          <cell r="R20">
            <v>17</v>
          </cell>
          <cell r="S20">
            <v>5500</v>
          </cell>
          <cell r="T20">
            <v>9700</v>
          </cell>
          <cell r="U20">
            <v>11400</v>
          </cell>
          <cell r="V20">
            <v>12700</v>
          </cell>
          <cell r="W20">
            <v>13900</v>
          </cell>
          <cell r="X20">
            <v>14600</v>
          </cell>
          <cell r="Z20">
            <v>17</v>
          </cell>
          <cell r="AA20">
            <v>10200</v>
          </cell>
          <cell r="AB20">
            <v>18100</v>
          </cell>
          <cell r="AC20">
            <v>21100</v>
          </cell>
          <cell r="AD20">
            <v>23500</v>
          </cell>
          <cell r="AE20">
            <v>25700</v>
          </cell>
          <cell r="AF20">
            <v>27100</v>
          </cell>
          <cell r="AX20">
            <v>17</v>
          </cell>
          <cell r="AY20">
            <v>27900</v>
          </cell>
          <cell r="AZ20">
            <v>49500</v>
          </cell>
          <cell r="BA20">
            <v>58000</v>
          </cell>
          <cell r="BB20">
            <v>64400</v>
          </cell>
          <cell r="BC20">
            <v>70600</v>
          </cell>
          <cell r="BD20">
            <v>74300</v>
          </cell>
        </row>
        <row r="21">
          <cell r="R21">
            <v>18</v>
          </cell>
          <cell r="S21">
            <v>6000</v>
          </cell>
          <cell r="T21">
            <v>10700</v>
          </cell>
          <cell r="U21">
            <v>12600</v>
          </cell>
          <cell r="V21">
            <v>14000</v>
          </cell>
          <cell r="W21">
            <v>15300</v>
          </cell>
          <cell r="X21">
            <v>16100</v>
          </cell>
          <cell r="Z21">
            <v>18</v>
          </cell>
          <cell r="AA21">
            <v>11200</v>
          </cell>
          <cell r="AB21">
            <v>19900</v>
          </cell>
          <cell r="AC21">
            <v>23300</v>
          </cell>
          <cell r="AD21">
            <v>25900</v>
          </cell>
          <cell r="AE21">
            <v>28400</v>
          </cell>
          <cell r="AF21">
            <v>29900</v>
          </cell>
          <cell r="AX21">
            <v>18</v>
          </cell>
          <cell r="AY21">
            <v>30600</v>
          </cell>
          <cell r="AZ21">
            <v>54500</v>
          </cell>
          <cell r="BA21">
            <v>63700</v>
          </cell>
          <cell r="BB21">
            <v>70800</v>
          </cell>
          <cell r="BC21">
            <v>77600</v>
          </cell>
          <cell r="BD21">
            <v>81700</v>
          </cell>
        </row>
        <row r="22">
          <cell r="R22">
            <v>19</v>
          </cell>
          <cell r="S22">
            <v>6600</v>
          </cell>
          <cell r="T22">
            <v>11800</v>
          </cell>
          <cell r="U22">
            <v>13800</v>
          </cell>
          <cell r="V22">
            <v>15300</v>
          </cell>
          <cell r="W22">
            <v>16800</v>
          </cell>
          <cell r="X22">
            <v>17700</v>
          </cell>
          <cell r="Z22">
            <v>19</v>
          </cell>
          <cell r="AA22">
            <v>12300</v>
          </cell>
          <cell r="AB22">
            <v>21900</v>
          </cell>
          <cell r="AC22">
            <v>25600</v>
          </cell>
          <cell r="AD22">
            <v>28400</v>
          </cell>
          <cell r="AE22">
            <v>31200</v>
          </cell>
          <cell r="AF22">
            <v>32800</v>
          </cell>
          <cell r="AX22">
            <v>19</v>
          </cell>
          <cell r="AY22">
            <v>33700</v>
          </cell>
          <cell r="AZ22">
            <v>59900</v>
          </cell>
          <cell r="BA22">
            <v>70000</v>
          </cell>
          <cell r="BB22">
            <v>77800</v>
          </cell>
          <cell r="BC22">
            <v>85300</v>
          </cell>
          <cell r="BD22">
            <v>89800</v>
          </cell>
        </row>
        <row r="23">
          <cell r="R23">
            <v>20</v>
          </cell>
          <cell r="S23">
            <v>7300</v>
          </cell>
          <cell r="T23">
            <v>12900</v>
          </cell>
          <cell r="U23">
            <v>15100</v>
          </cell>
          <cell r="V23">
            <v>16800</v>
          </cell>
          <cell r="W23">
            <v>18400</v>
          </cell>
          <cell r="X23">
            <v>19400</v>
          </cell>
          <cell r="Z23">
            <v>20</v>
          </cell>
          <cell r="AA23">
            <v>13500</v>
          </cell>
          <cell r="AB23">
            <v>24100</v>
          </cell>
          <cell r="AC23">
            <v>28200</v>
          </cell>
          <cell r="AD23">
            <v>31300</v>
          </cell>
          <cell r="AE23">
            <v>34300</v>
          </cell>
          <cell r="AF23">
            <v>36100</v>
          </cell>
          <cell r="AX23">
            <v>20</v>
          </cell>
          <cell r="AY23">
            <v>37100</v>
          </cell>
          <cell r="AZ23">
            <v>65900</v>
          </cell>
          <cell r="BA23">
            <v>77100</v>
          </cell>
          <cell r="BB23">
            <v>85600</v>
          </cell>
          <cell r="BC23">
            <v>93900</v>
          </cell>
          <cell r="BD23">
            <v>98800</v>
          </cell>
        </row>
        <row r="24">
          <cell r="R24">
            <v>21</v>
          </cell>
          <cell r="S24">
            <v>8000</v>
          </cell>
          <cell r="T24">
            <v>14300</v>
          </cell>
          <cell r="U24">
            <v>16700</v>
          </cell>
          <cell r="V24">
            <v>18500</v>
          </cell>
          <cell r="W24">
            <v>20300</v>
          </cell>
          <cell r="X24">
            <v>21400</v>
          </cell>
          <cell r="Z24">
            <v>21</v>
          </cell>
          <cell r="AA24">
            <v>14900</v>
          </cell>
          <cell r="AB24">
            <v>26500</v>
          </cell>
          <cell r="AC24">
            <v>31000</v>
          </cell>
          <cell r="AD24">
            <v>34400</v>
          </cell>
          <cell r="AE24">
            <v>37700</v>
          </cell>
          <cell r="AF24">
            <v>39700</v>
          </cell>
          <cell r="AX24">
            <v>21</v>
          </cell>
          <cell r="AY24">
            <v>40800</v>
          </cell>
          <cell r="AZ24">
            <v>72500</v>
          </cell>
          <cell r="BA24">
            <v>84800</v>
          </cell>
          <cell r="BB24">
            <v>94200</v>
          </cell>
          <cell r="BC24">
            <v>103300</v>
          </cell>
          <cell r="BD24">
            <v>108700</v>
          </cell>
        </row>
        <row r="25">
          <cell r="R25">
            <v>22</v>
          </cell>
          <cell r="S25">
            <v>8800</v>
          </cell>
          <cell r="T25">
            <v>15700</v>
          </cell>
          <cell r="U25">
            <v>18300</v>
          </cell>
          <cell r="V25">
            <v>20400</v>
          </cell>
          <cell r="W25">
            <v>22300</v>
          </cell>
          <cell r="X25">
            <v>23500</v>
          </cell>
          <cell r="Z25">
            <v>22</v>
          </cell>
          <cell r="AA25">
            <v>16400</v>
          </cell>
          <cell r="AB25">
            <v>29100</v>
          </cell>
          <cell r="AC25">
            <v>34100</v>
          </cell>
          <cell r="AD25">
            <v>37900</v>
          </cell>
          <cell r="AE25">
            <v>41500</v>
          </cell>
          <cell r="AF25">
            <v>43700</v>
          </cell>
          <cell r="AX25">
            <v>22</v>
          </cell>
          <cell r="AY25">
            <v>44800</v>
          </cell>
          <cell r="AZ25">
            <v>79700</v>
          </cell>
          <cell r="BA25">
            <v>93200</v>
          </cell>
          <cell r="BB25">
            <v>103600</v>
          </cell>
          <cell r="BC25">
            <v>113500</v>
          </cell>
          <cell r="BD25">
            <v>119500</v>
          </cell>
        </row>
        <row r="26">
          <cell r="R26">
            <v>23</v>
          </cell>
          <cell r="S26">
            <v>9700</v>
          </cell>
          <cell r="T26">
            <v>17200</v>
          </cell>
          <cell r="U26">
            <v>20100</v>
          </cell>
          <cell r="V26">
            <v>22400</v>
          </cell>
          <cell r="W26">
            <v>24500</v>
          </cell>
          <cell r="X26">
            <v>25800</v>
          </cell>
          <cell r="Z26">
            <v>23</v>
          </cell>
          <cell r="AA26">
            <v>18000</v>
          </cell>
          <cell r="AB26">
            <v>32000</v>
          </cell>
          <cell r="AC26">
            <v>37400</v>
          </cell>
          <cell r="AD26">
            <v>41600</v>
          </cell>
          <cell r="AE26">
            <v>45600</v>
          </cell>
          <cell r="AF26">
            <v>48000</v>
          </cell>
          <cell r="AX26">
            <v>23</v>
          </cell>
          <cell r="AY26">
            <v>49300</v>
          </cell>
          <cell r="AZ26">
            <v>87600</v>
          </cell>
          <cell r="BA26">
            <v>102500</v>
          </cell>
          <cell r="BB26">
            <v>113900</v>
          </cell>
          <cell r="BC26">
            <v>124800</v>
          </cell>
          <cell r="BD26">
            <v>131400</v>
          </cell>
        </row>
        <row r="27">
          <cell r="R27">
            <v>24</v>
          </cell>
          <cell r="S27">
            <v>10700</v>
          </cell>
          <cell r="T27">
            <v>18900</v>
          </cell>
          <cell r="U27">
            <v>22200</v>
          </cell>
          <cell r="V27">
            <v>24600</v>
          </cell>
          <cell r="W27">
            <v>27000</v>
          </cell>
          <cell r="X27">
            <v>28400</v>
          </cell>
          <cell r="Z27">
            <v>24</v>
          </cell>
          <cell r="AA27">
            <v>19800</v>
          </cell>
          <cell r="AB27">
            <v>35200</v>
          </cell>
          <cell r="AC27">
            <v>41200</v>
          </cell>
          <cell r="AD27">
            <v>45800</v>
          </cell>
          <cell r="AE27">
            <v>50200</v>
          </cell>
          <cell r="AF27">
            <v>52800</v>
          </cell>
          <cell r="AX27">
            <v>24</v>
          </cell>
          <cell r="AY27">
            <v>54200</v>
          </cell>
          <cell r="AZ27">
            <v>96400</v>
          </cell>
          <cell r="BA27">
            <v>112800</v>
          </cell>
          <cell r="BB27">
            <v>125300</v>
          </cell>
          <cell r="BC27">
            <v>137400</v>
          </cell>
          <cell r="BD27">
            <v>144600</v>
          </cell>
        </row>
        <row r="28">
          <cell r="R28">
            <v>25</v>
          </cell>
          <cell r="S28">
            <v>11700</v>
          </cell>
          <cell r="T28">
            <v>20900</v>
          </cell>
          <cell r="U28">
            <v>24400</v>
          </cell>
          <cell r="V28">
            <v>27100</v>
          </cell>
          <cell r="W28">
            <v>29700</v>
          </cell>
          <cell r="X28">
            <v>31300</v>
          </cell>
          <cell r="Z28">
            <v>25</v>
          </cell>
          <cell r="AA28">
            <v>21800</v>
          </cell>
          <cell r="AB28">
            <v>38700</v>
          </cell>
          <cell r="AC28">
            <v>45300</v>
          </cell>
          <cell r="AD28">
            <v>50400</v>
          </cell>
          <cell r="AE28">
            <v>55200</v>
          </cell>
          <cell r="AF28">
            <v>58100</v>
          </cell>
          <cell r="AX28">
            <v>25</v>
          </cell>
          <cell r="AY28">
            <v>59700</v>
          </cell>
          <cell r="AZ28">
            <v>106100</v>
          </cell>
          <cell r="BA28">
            <v>124100</v>
          </cell>
          <cell r="BB28">
            <v>137900</v>
          </cell>
          <cell r="BC28">
            <v>151100</v>
          </cell>
          <cell r="BD28">
            <v>159100</v>
          </cell>
        </row>
        <row r="29">
          <cell r="R29">
            <v>26</v>
          </cell>
          <cell r="S29">
            <v>12900</v>
          </cell>
          <cell r="T29">
            <v>22900</v>
          </cell>
          <cell r="U29">
            <v>26800</v>
          </cell>
          <cell r="V29">
            <v>29800</v>
          </cell>
          <cell r="W29">
            <v>32700</v>
          </cell>
          <cell r="X29">
            <v>34400</v>
          </cell>
          <cell r="Z29">
            <v>26</v>
          </cell>
          <cell r="AA29">
            <v>24000</v>
          </cell>
          <cell r="AB29">
            <v>42700</v>
          </cell>
          <cell r="AC29">
            <v>49900</v>
          </cell>
          <cell r="AD29">
            <v>55500</v>
          </cell>
          <cell r="AE29">
            <v>60800</v>
          </cell>
          <cell r="AF29">
            <v>64000</v>
          </cell>
          <cell r="AX29">
            <v>26</v>
          </cell>
          <cell r="AY29">
            <v>65700</v>
          </cell>
          <cell r="AZ29">
            <v>116700</v>
          </cell>
          <cell r="BA29">
            <v>136600</v>
          </cell>
          <cell r="BB29">
            <v>151800</v>
          </cell>
          <cell r="BC29">
            <v>166300</v>
          </cell>
          <cell r="BD29">
            <v>175100</v>
          </cell>
        </row>
        <row r="30">
          <cell r="R30">
            <v>27</v>
          </cell>
          <cell r="S30">
            <v>14200</v>
          </cell>
          <cell r="T30">
            <v>25200</v>
          </cell>
          <cell r="U30">
            <v>29500</v>
          </cell>
          <cell r="V30">
            <v>32800</v>
          </cell>
          <cell r="W30">
            <v>35900</v>
          </cell>
          <cell r="X30">
            <v>37800</v>
          </cell>
          <cell r="Z30">
            <v>27</v>
          </cell>
          <cell r="AA30">
            <v>26400</v>
          </cell>
          <cell r="AB30">
            <v>46900</v>
          </cell>
          <cell r="AC30">
            <v>54800</v>
          </cell>
          <cell r="AD30">
            <v>60900</v>
          </cell>
          <cell r="AE30">
            <v>66800</v>
          </cell>
          <cell r="AF30">
            <v>70300</v>
          </cell>
          <cell r="AX30">
            <v>27</v>
          </cell>
          <cell r="AY30">
            <v>72200</v>
          </cell>
          <cell r="AZ30">
            <v>128300</v>
          </cell>
          <cell r="BA30">
            <v>150200</v>
          </cell>
          <cell r="BB30">
            <v>166800</v>
          </cell>
          <cell r="BC30">
            <v>182900</v>
          </cell>
          <cell r="BD30">
            <v>192500</v>
          </cell>
        </row>
        <row r="31">
          <cell r="R31">
            <v>28</v>
          </cell>
          <cell r="S31">
            <v>15600</v>
          </cell>
          <cell r="T31">
            <v>27700</v>
          </cell>
          <cell r="U31">
            <v>32400</v>
          </cell>
          <cell r="V31">
            <v>36100</v>
          </cell>
          <cell r="W31">
            <v>39500</v>
          </cell>
          <cell r="X31">
            <v>41600</v>
          </cell>
          <cell r="Z31">
            <v>28</v>
          </cell>
          <cell r="AA31">
            <v>29000</v>
          </cell>
          <cell r="AB31">
            <v>51500</v>
          </cell>
          <cell r="AC31">
            <v>60300</v>
          </cell>
          <cell r="AD31">
            <v>67000</v>
          </cell>
          <cell r="AE31">
            <v>73400</v>
          </cell>
          <cell r="AF31">
            <v>77300</v>
          </cell>
          <cell r="AX31">
            <v>28</v>
          </cell>
          <cell r="AY31">
            <v>79400</v>
          </cell>
          <cell r="AZ31">
            <v>141100</v>
          </cell>
          <cell r="BA31">
            <v>165100</v>
          </cell>
          <cell r="BB31">
            <v>183500</v>
          </cell>
          <cell r="BC31">
            <v>201100</v>
          </cell>
          <cell r="BD31">
            <v>211700</v>
          </cell>
        </row>
        <row r="32">
          <cell r="R32">
            <v>29</v>
          </cell>
          <cell r="S32">
            <v>17200</v>
          </cell>
          <cell r="T32">
            <v>30500</v>
          </cell>
          <cell r="U32">
            <v>35700</v>
          </cell>
          <cell r="V32">
            <v>39700</v>
          </cell>
          <cell r="W32">
            <v>43500</v>
          </cell>
          <cell r="X32">
            <v>45800</v>
          </cell>
          <cell r="Z32">
            <v>29</v>
          </cell>
          <cell r="AA32">
            <v>31900</v>
          </cell>
          <cell r="AB32">
            <v>56700</v>
          </cell>
          <cell r="AC32">
            <v>66400</v>
          </cell>
          <cell r="AD32">
            <v>73800</v>
          </cell>
          <cell r="AE32">
            <v>80800</v>
          </cell>
          <cell r="AF32">
            <v>85100</v>
          </cell>
          <cell r="AX32">
            <v>29</v>
          </cell>
          <cell r="AY32">
            <v>87300</v>
          </cell>
          <cell r="AZ32">
            <v>155300</v>
          </cell>
          <cell r="BA32">
            <v>181700</v>
          </cell>
          <cell r="BB32">
            <v>201800</v>
          </cell>
          <cell r="BC32">
            <v>221300</v>
          </cell>
          <cell r="BD32">
            <v>232900</v>
          </cell>
        </row>
        <row r="33">
          <cell r="R33">
            <v>30</v>
          </cell>
          <cell r="S33">
            <v>18900</v>
          </cell>
          <cell r="T33">
            <v>33500</v>
          </cell>
          <cell r="U33">
            <v>39200</v>
          </cell>
          <cell r="V33">
            <v>43600</v>
          </cell>
          <cell r="W33">
            <v>47800</v>
          </cell>
          <cell r="X33">
            <v>50300</v>
          </cell>
          <cell r="Z33">
            <v>30</v>
          </cell>
          <cell r="AA33">
            <v>35100</v>
          </cell>
          <cell r="AB33">
            <v>62400</v>
          </cell>
          <cell r="AC33">
            <v>73000</v>
          </cell>
          <cell r="AD33">
            <v>81100</v>
          </cell>
          <cell r="AE33">
            <v>88900</v>
          </cell>
          <cell r="AF33">
            <v>93600</v>
          </cell>
          <cell r="AX33">
            <v>30</v>
          </cell>
          <cell r="AY33">
            <v>96100</v>
          </cell>
          <cell r="AZ33">
            <v>170800</v>
          </cell>
          <cell r="BA33">
            <v>199800</v>
          </cell>
          <cell r="BB33">
            <v>222000</v>
          </cell>
          <cell r="BC33">
            <v>243400</v>
          </cell>
          <cell r="BD33">
            <v>256200</v>
          </cell>
        </row>
        <row r="34">
          <cell r="R34">
            <v>31</v>
          </cell>
          <cell r="S34">
            <v>20800</v>
          </cell>
          <cell r="T34">
            <v>36900</v>
          </cell>
          <cell r="U34">
            <v>43200</v>
          </cell>
          <cell r="V34">
            <v>48000</v>
          </cell>
          <cell r="W34">
            <v>52600</v>
          </cell>
          <cell r="X34">
            <v>55400</v>
          </cell>
          <cell r="Z34">
            <v>31</v>
          </cell>
          <cell r="AA34">
            <v>38600</v>
          </cell>
          <cell r="AB34">
            <v>68700</v>
          </cell>
          <cell r="AC34">
            <v>80300</v>
          </cell>
          <cell r="AD34">
            <v>89300</v>
          </cell>
          <cell r="AE34">
            <v>97900</v>
          </cell>
          <cell r="AF34">
            <v>103000</v>
          </cell>
          <cell r="AX34">
            <v>31</v>
          </cell>
          <cell r="AY34">
            <v>105700</v>
          </cell>
          <cell r="AZ34">
            <v>187900</v>
          </cell>
          <cell r="BA34">
            <v>219800</v>
          </cell>
          <cell r="BB34">
            <v>244200</v>
          </cell>
          <cell r="BC34">
            <v>267700</v>
          </cell>
          <cell r="BD34">
            <v>281800</v>
          </cell>
        </row>
        <row r="35">
          <cell r="R35">
            <v>32</v>
          </cell>
          <cell r="S35">
            <v>22800</v>
          </cell>
          <cell r="T35">
            <v>40600</v>
          </cell>
          <cell r="U35">
            <v>47500</v>
          </cell>
          <cell r="V35">
            <v>52800</v>
          </cell>
          <cell r="W35">
            <v>57900</v>
          </cell>
          <cell r="X35">
            <v>60900</v>
          </cell>
          <cell r="Z35">
            <v>32</v>
          </cell>
          <cell r="AA35">
            <v>42500</v>
          </cell>
          <cell r="AB35">
            <v>75500</v>
          </cell>
          <cell r="AC35">
            <v>88400</v>
          </cell>
          <cell r="AD35">
            <v>98200</v>
          </cell>
          <cell r="AE35">
            <v>107600</v>
          </cell>
          <cell r="AF35">
            <v>113300</v>
          </cell>
          <cell r="AX35">
            <v>32</v>
          </cell>
          <cell r="AY35">
            <v>116300</v>
          </cell>
          <cell r="AZ35">
            <v>206700</v>
          </cell>
          <cell r="BA35">
            <v>241900</v>
          </cell>
          <cell r="BB35">
            <v>268800</v>
          </cell>
          <cell r="BC35">
            <v>294600</v>
          </cell>
          <cell r="BD35">
            <v>310100</v>
          </cell>
        </row>
        <row r="36">
          <cell r="R36">
            <v>33</v>
          </cell>
          <cell r="S36">
            <v>25100</v>
          </cell>
          <cell r="T36">
            <v>44700</v>
          </cell>
          <cell r="U36">
            <v>52300</v>
          </cell>
          <cell r="V36">
            <v>58100</v>
          </cell>
          <cell r="W36">
            <v>63700</v>
          </cell>
          <cell r="X36">
            <v>67000</v>
          </cell>
          <cell r="Z36">
            <v>33</v>
          </cell>
          <cell r="AA36">
            <v>46700</v>
          </cell>
          <cell r="AB36">
            <v>83100</v>
          </cell>
          <cell r="AC36">
            <v>97200</v>
          </cell>
          <cell r="AD36">
            <v>108000</v>
          </cell>
          <cell r="AE36">
            <v>118400</v>
          </cell>
          <cell r="AF36">
            <v>124600</v>
          </cell>
          <cell r="AX36">
            <v>33</v>
          </cell>
          <cell r="AY36">
            <v>127900</v>
          </cell>
          <cell r="AZ36">
            <v>227300</v>
          </cell>
          <cell r="BA36">
            <v>266000</v>
          </cell>
          <cell r="BB36">
            <v>295500</v>
          </cell>
          <cell r="BC36">
            <v>324000</v>
          </cell>
          <cell r="BD36">
            <v>341000</v>
          </cell>
        </row>
        <row r="37">
          <cell r="R37">
            <v>34</v>
          </cell>
          <cell r="S37">
            <v>27600</v>
          </cell>
          <cell r="T37">
            <v>49100</v>
          </cell>
          <cell r="U37">
            <v>57500</v>
          </cell>
          <cell r="V37">
            <v>63900</v>
          </cell>
          <cell r="W37">
            <v>70000</v>
          </cell>
          <cell r="X37">
            <v>73700</v>
          </cell>
          <cell r="Z37">
            <v>34</v>
          </cell>
          <cell r="AA37">
            <v>51400</v>
          </cell>
          <cell r="AB37">
            <v>91400</v>
          </cell>
          <cell r="AC37">
            <v>106900</v>
          </cell>
          <cell r="AD37">
            <v>118800</v>
          </cell>
          <cell r="AE37">
            <v>130200</v>
          </cell>
          <cell r="AF37">
            <v>137100</v>
          </cell>
          <cell r="AX37">
            <v>34</v>
          </cell>
          <cell r="AY37">
            <v>140700</v>
          </cell>
          <cell r="AZ37">
            <v>250100</v>
          </cell>
          <cell r="BA37">
            <v>292700</v>
          </cell>
          <cell r="BB37">
            <v>325200</v>
          </cell>
          <cell r="BC37">
            <v>356400</v>
          </cell>
          <cell r="BD37">
            <v>375200</v>
          </cell>
        </row>
        <row r="38">
          <cell r="R38">
            <v>35</v>
          </cell>
          <cell r="S38">
            <v>30400</v>
          </cell>
          <cell r="T38">
            <v>54100</v>
          </cell>
          <cell r="U38">
            <v>63300</v>
          </cell>
          <cell r="V38">
            <v>70300</v>
          </cell>
          <cell r="W38">
            <v>77000</v>
          </cell>
          <cell r="X38">
            <v>81100</v>
          </cell>
          <cell r="Z38">
            <v>35</v>
          </cell>
          <cell r="AA38">
            <v>56600</v>
          </cell>
          <cell r="AB38">
            <v>100500</v>
          </cell>
          <cell r="AC38">
            <v>117600</v>
          </cell>
          <cell r="AD38">
            <v>130700</v>
          </cell>
          <cell r="AE38">
            <v>143300</v>
          </cell>
          <cell r="AF38">
            <v>150800</v>
          </cell>
          <cell r="AX38">
            <v>35</v>
          </cell>
          <cell r="AY38">
            <v>154800</v>
          </cell>
          <cell r="AZ38">
            <v>275100</v>
          </cell>
          <cell r="BA38">
            <v>321900</v>
          </cell>
          <cell r="BB38">
            <v>357700</v>
          </cell>
          <cell r="BC38">
            <v>392100</v>
          </cell>
          <cell r="BD38">
            <v>412700</v>
          </cell>
        </row>
        <row r="39">
          <cell r="R39">
            <v>36</v>
          </cell>
          <cell r="S39">
            <v>33500</v>
          </cell>
          <cell r="T39">
            <v>59500</v>
          </cell>
          <cell r="U39">
            <v>69600</v>
          </cell>
          <cell r="V39">
            <v>77300</v>
          </cell>
          <cell r="W39">
            <v>84700</v>
          </cell>
          <cell r="X39">
            <v>89200</v>
          </cell>
          <cell r="Z39">
            <v>36</v>
          </cell>
          <cell r="AA39">
            <v>62200</v>
          </cell>
          <cell r="AB39">
            <v>110500</v>
          </cell>
          <cell r="AC39">
            <v>129300</v>
          </cell>
          <cell r="AD39">
            <v>143700</v>
          </cell>
          <cell r="AE39">
            <v>157500</v>
          </cell>
          <cell r="AF39">
            <v>165800</v>
          </cell>
          <cell r="AX39">
            <v>36</v>
          </cell>
          <cell r="AY39">
            <v>170300</v>
          </cell>
          <cell r="AZ39">
            <v>302700</v>
          </cell>
          <cell r="BA39">
            <v>354100</v>
          </cell>
          <cell r="BB39">
            <v>393500</v>
          </cell>
          <cell r="BC39">
            <v>431300</v>
          </cell>
          <cell r="BD39">
            <v>454000</v>
          </cell>
        </row>
        <row r="40">
          <cell r="R40">
            <v>37</v>
          </cell>
          <cell r="S40">
            <v>36800</v>
          </cell>
          <cell r="T40">
            <v>65400</v>
          </cell>
          <cell r="U40">
            <v>76500</v>
          </cell>
          <cell r="V40">
            <v>85000</v>
          </cell>
          <cell r="W40">
            <v>93200</v>
          </cell>
          <cell r="X40">
            <v>98100</v>
          </cell>
          <cell r="Z40">
            <v>37</v>
          </cell>
          <cell r="AA40">
            <v>68400</v>
          </cell>
          <cell r="AB40">
            <v>121600</v>
          </cell>
          <cell r="AC40">
            <v>142300</v>
          </cell>
          <cell r="AD40">
            <v>158100</v>
          </cell>
          <cell r="AE40">
            <v>173300</v>
          </cell>
          <cell r="AF40">
            <v>182400</v>
          </cell>
          <cell r="AX40">
            <v>37</v>
          </cell>
          <cell r="AY40">
            <v>187200</v>
          </cell>
          <cell r="AZ40">
            <v>332900</v>
          </cell>
          <cell r="BA40">
            <v>389500</v>
          </cell>
          <cell r="BB40">
            <v>432700</v>
          </cell>
          <cell r="BC40">
            <v>474300</v>
          </cell>
          <cell r="BD40">
            <v>499300</v>
          </cell>
        </row>
        <row r="41">
          <cell r="R41">
            <v>38</v>
          </cell>
          <cell r="S41">
            <v>40500</v>
          </cell>
          <cell r="T41">
            <v>72000</v>
          </cell>
          <cell r="U41">
            <v>84200</v>
          </cell>
          <cell r="V41">
            <v>93600</v>
          </cell>
          <cell r="W41">
            <v>102600</v>
          </cell>
          <cell r="X41">
            <v>108000</v>
          </cell>
          <cell r="Z41">
            <v>38</v>
          </cell>
          <cell r="AA41">
            <v>75300</v>
          </cell>
          <cell r="AB41">
            <v>133800</v>
          </cell>
          <cell r="AC41">
            <v>156500</v>
          </cell>
          <cell r="AD41">
            <v>173900</v>
          </cell>
          <cell r="AE41">
            <v>190700</v>
          </cell>
          <cell r="AF41">
            <v>200700</v>
          </cell>
          <cell r="AX41">
            <v>38</v>
          </cell>
          <cell r="AY41">
            <v>206000</v>
          </cell>
          <cell r="AZ41">
            <v>366200</v>
          </cell>
          <cell r="BA41">
            <v>428500</v>
          </cell>
          <cell r="BB41">
            <v>476100</v>
          </cell>
          <cell r="BC41">
            <v>521800</v>
          </cell>
          <cell r="BD41">
            <v>549300</v>
          </cell>
        </row>
        <row r="42">
          <cell r="R42">
            <v>39</v>
          </cell>
          <cell r="S42">
            <v>44600</v>
          </cell>
          <cell r="T42">
            <v>79200</v>
          </cell>
          <cell r="U42">
            <v>92700</v>
          </cell>
          <cell r="V42">
            <v>103000</v>
          </cell>
          <cell r="W42">
            <v>112900</v>
          </cell>
          <cell r="X42">
            <v>118800</v>
          </cell>
          <cell r="Z42">
            <v>39</v>
          </cell>
          <cell r="AA42">
            <v>82800</v>
          </cell>
          <cell r="AB42">
            <v>147100</v>
          </cell>
          <cell r="AC42">
            <v>172100</v>
          </cell>
          <cell r="AD42">
            <v>191300</v>
          </cell>
          <cell r="AE42">
            <v>209700</v>
          </cell>
          <cell r="AF42">
            <v>220700</v>
          </cell>
          <cell r="AX42">
            <v>39</v>
          </cell>
          <cell r="AY42">
            <v>226600</v>
          </cell>
          <cell r="AZ42">
            <v>402800</v>
          </cell>
          <cell r="BA42">
            <v>471300</v>
          </cell>
          <cell r="BB42">
            <v>523600</v>
          </cell>
          <cell r="BC42">
            <v>574000</v>
          </cell>
          <cell r="BD42">
            <v>604200</v>
          </cell>
        </row>
        <row r="43">
          <cell r="R43">
            <v>40</v>
          </cell>
          <cell r="S43">
            <v>49000</v>
          </cell>
          <cell r="T43">
            <v>87100</v>
          </cell>
          <cell r="U43">
            <v>101900</v>
          </cell>
          <cell r="V43">
            <v>113200</v>
          </cell>
          <cell r="W43">
            <v>124100</v>
          </cell>
          <cell r="X43">
            <v>130600</v>
          </cell>
          <cell r="Z43">
            <v>40</v>
          </cell>
          <cell r="AA43">
            <v>91100</v>
          </cell>
          <cell r="AB43">
            <v>161900</v>
          </cell>
          <cell r="AC43">
            <v>189400</v>
          </cell>
          <cell r="AD43">
            <v>210400</v>
          </cell>
          <cell r="AE43">
            <v>230700</v>
          </cell>
          <cell r="AF43">
            <v>242800</v>
          </cell>
          <cell r="AX43">
            <v>40</v>
          </cell>
          <cell r="AY43">
            <v>249300</v>
          </cell>
          <cell r="AZ43">
            <v>443100</v>
          </cell>
          <cell r="BA43">
            <v>518500</v>
          </cell>
          <cell r="BB43">
            <v>576100</v>
          </cell>
          <cell r="BC43">
            <v>631500</v>
          </cell>
          <cell r="BD43">
            <v>664700</v>
          </cell>
        </row>
        <row r="44">
          <cell r="R44">
            <v>41</v>
          </cell>
          <cell r="S44">
            <v>53900</v>
          </cell>
          <cell r="T44">
            <v>95800</v>
          </cell>
          <cell r="U44">
            <v>112100</v>
          </cell>
          <cell r="V44">
            <v>124500</v>
          </cell>
          <cell r="W44">
            <v>136500</v>
          </cell>
          <cell r="X44">
            <v>143700</v>
          </cell>
          <cell r="Z44">
            <v>41</v>
          </cell>
          <cell r="AA44">
            <v>100100</v>
          </cell>
          <cell r="AB44">
            <v>178000</v>
          </cell>
          <cell r="AC44">
            <v>208300</v>
          </cell>
          <cell r="AD44">
            <v>231400</v>
          </cell>
          <cell r="AE44">
            <v>253700</v>
          </cell>
          <cell r="AF44">
            <v>267000</v>
          </cell>
          <cell r="AX44">
            <v>41</v>
          </cell>
          <cell r="AY44">
            <v>274100</v>
          </cell>
          <cell r="AZ44">
            <v>487300</v>
          </cell>
          <cell r="BA44">
            <v>570200</v>
          </cell>
          <cell r="BB44">
            <v>633500</v>
          </cell>
          <cell r="BC44">
            <v>694500</v>
          </cell>
          <cell r="BD44">
            <v>731000</v>
          </cell>
        </row>
        <row r="45">
          <cell r="R45">
            <v>42</v>
          </cell>
          <cell r="S45">
            <v>59300</v>
          </cell>
          <cell r="T45">
            <v>105400</v>
          </cell>
          <cell r="U45">
            <v>123300</v>
          </cell>
          <cell r="V45">
            <v>137000</v>
          </cell>
          <cell r="W45">
            <v>150200</v>
          </cell>
          <cell r="X45">
            <v>158100</v>
          </cell>
          <cell r="Z45">
            <v>42</v>
          </cell>
          <cell r="AA45">
            <v>110200</v>
          </cell>
          <cell r="AB45">
            <v>195900</v>
          </cell>
          <cell r="AC45">
            <v>229200</v>
          </cell>
          <cell r="AD45">
            <v>254600</v>
          </cell>
          <cell r="AE45">
            <v>279100</v>
          </cell>
          <cell r="AF45">
            <v>293800</v>
          </cell>
          <cell r="AX45">
            <v>42</v>
          </cell>
          <cell r="AY45">
            <v>301600</v>
          </cell>
          <cell r="AZ45">
            <v>536100</v>
          </cell>
          <cell r="BA45">
            <v>627300</v>
          </cell>
          <cell r="BB45">
            <v>697000</v>
          </cell>
          <cell r="BC45">
            <v>764000</v>
          </cell>
          <cell r="BD45">
            <v>804200</v>
          </cell>
        </row>
        <row r="46">
          <cell r="R46">
            <v>43</v>
          </cell>
          <cell r="S46">
            <v>65200</v>
          </cell>
          <cell r="T46">
            <v>115900</v>
          </cell>
          <cell r="U46">
            <v>135600</v>
          </cell>
          <cell r="V46">
            <v>150700</v>
          </cell>
          <cell r="W46">
            <v>165200</v>
          </cell>
          <cell r="X46">
            <v>173900</v>
          </cell>
          <cell r="Z46">
            <v>43</v>
          </cell>
          <cell r="AA46">
            <v>121200</v>
          </cell>
          <cell r="AB46">
            <v>215500</v>
          </cell>
          <cell r="AC46">
            <v>252100</v>
          </cell>
          <cell r="AD46">
            <v>280100</v>
          </cell>
          <cell r="AE46">
            <v>307000</v>
          </cell>
          <cell r="AF46">
            <v>323200</v>
          </cell>
          <cell r="AX46">
            <v>43</v>
          </cell>
          <cell r="AY46">
            <v>331700</v>
          </cell>
          <cell r="AZ46">
            <v>589700</v>
          </cell>
          <cell r="BA46">
            <v>690000</v>
          </cell>
          <cell r="BB46">
            <v>766700</v>
          </cell>
          <cell r="BC46">
            <v>840400</v>
          </cell>
          <cell r="BD46">
            <v>884600</v>
          </cell>
        </row>
        <row r="47">
          <cell r="R47">
            <v>44</v>
          </cell>
          <cell r="S47">
            <v>71700</v>
          </cell>
          <cell r="T47">
            <v>127500</v>
          </cell>
          <cell r="U47">
            <v>149200</v>
          </cell>
          <cell r="V47">
            <v>165800</v>
          </cell>
          <cell r="W47">
            <v>181700</v>
          </cell>
          <cell r="X47">
            <v>191300</v>
          </cell>
          <cell r="Z47">
            <v>44</v>
          </cell>
          <cell r="AA47">
            <v>133300</v>
          </cell>
          <cell r="AB47">
            <v>237000</v>
          </cell>
          <cell r="AC47">
            <v>277300</v>
          </cell>
          <cell r="AD47">
            <v>308100</v>
          </cell>
          <cell r="AE47">
            <v>337700</v>
          </cell>
          <cell r="AF47">
            <v>355500</v>
          </cell>
          <cell r="AX47">
            <v>44</v>
          </cell>
          <cell r="AY47">
            <v>364900</v>
          </cell>
          <cell r="AZ47">
            <v>648700</v>
          </cell>
          <cell r="BA47">
            <v>759000</v>
          </cell>
          <cell r="BB47">
            <v>843400</v>
          </cell>
          <cell r="BC47">
            <v>924400</v>
          </cell>
          <cell r="BD47">
            <v>973100</v>
          </cell>
        </row>
        <row r="48">
          <cell r="R48">
            <v>45</v>
          </cell>
          <cell r="S48">
            <v>78900</v>
          </cell>
          <cell r="T48">
            <v>140300</v>
          </cell>
          <cell r="U48">
            <v>164100</v>
          </cell>
          <cell r="V48">
            <v>182300</v>
          </cell>
          <cell r="W48">
            <v>199900</v>
          </cell>
          <cell r="X48">
            <v>210400</v>
          </cell>
          <cell r="Z48">
            <v>45</v>
          </cell>
          <cell r="AA48">
            <v>146600</v>
          </cell>
          <cell r="AB48">
            <v>260700</v>
          </cell>
          <cell r="AC48">
            <v>305000</v>
          </cell>
          <cell r="AD48">
            <v>338900</v>
          </cell>
          <cell r="AE48">
            <v>371500</v>
          </cell>
          <cell r="AF48">
            <v>391000</v>
          </cell>
          <cell r="AX48">
            <v>45</v>
          </cell>
          <cell r="AY48">
            <v>401400</v>
          </cell>
          <cell r="AZ48">
            <v>713500</v>
          </cell>
          <cell r="BA48">
            <v>834800</v>
          </cell>
          <cell r="BB48">
            <v>927600</v>
          </cell>
          <cell r="BC48">
            <v>1016800</v>
          </cell>
          <cell r="BD48">
            <v>1070300</v>
          </cell>
        </row>
        <row r="49">
          <cell r="R49">
            <v>46</v>
          </cell>
          <cell r="S49">
            <v>86800</v>
          </cell>
          <cell r="T49">
            <v>154300</v>
          </cell>
          <cell r="U49">
            <v>180500</v>
          </cell>
          <cell r="V49">
            <v>200500</v>
          </cell>
          <cell r="W49">
            <v>219800</v>
          </cell>
          <cell r="X49">
            <v>231400</v>
          </cell>
          <cell r="Z49">
            <v>46</v>
          </cell>
          <cell r="AA49">
            <v>161300</v>
          </cell>
          <cell r="AB49">
            <v>286700</v>
          </cell>
          <cell r="AC49">
            <v>335500</v>
          </cell>
          <cell r="AD49">
            <v>372800</v>
          </cell>
          <cell r="AE49">
            <v>408600</v>
          </cell>
          <cell r="AF49">
            <v>430100</v>
          </cell>
          <cell r="AX49">
            <v>46</v>
          </cell>
          <cell r="AY49">
            <v>441500</v>
          </cell>
          <cell r="AZ49">
            <v>784900</v>
          </cell>
          <cell r="BA49">
            <v>918400</v>
          </cell>
          <cell r="BB49">
            <v>1020400</v>
          </cell>
          <cell r="BC49">
            <v>1118500</v>
          </cell>
          <cell r="BD49">
            <v>1177400</v>
          </cell>
        </row>
        <row r="50">
          <cell r="R50">
            <v>47</v>
          </cell>
          <cell r="S50">
            <v>95500</v>
          </cell>
          <cell r="T50">
            <v>169700</v>
          </cell>
          <cell r="U50">
            <v>198600</v>
          </cell>
          <cell r="V50">
            <v>220700</v>
          </cell>
          <cell r="W50">
            <v>241900</v>
          </cell>
          <cell r="X50">
            <v>254600</v>
          </cell>
          <cell r="Z50">
            <v>47</v>
          </cell>
          <cell r="AA50">
            <v>177400</v>
          </cell>
          <cell r="AB50">
            <v>315400</v>
          </cell>
          <cell r="AC50">
            <v>369000</v>
          </cell>
          <cell r="AD50">
            <v>410000</v>
          </cell>
          <cell r="AE50">
            <v>449400</v>
          </cell>
          <cell r="AF50">
            <v>473100</v>
          </cell>
          <cell r="AX50">
            <v>47</v>
          </cell>
          <cell r="AY50">
            <v>485700</v>
          </cell>
          <cell r="AZ50">
            <v>863400</v>
          </cell>
          <cell r="BA50">
            <v>1010200</v>
          </cell>
          <cell r="BB50">
            <v>1122400</v>
          </cell>
          <cell r="BC50">
            <v>1230300</v>
          </cell>
          <cell r="BD50">
            <v>1295100</v>
          </cell>
        </row>
        <row r="51">
          <cell r="R51">
            <v>48</v>
          </cell>
          <cell r="S51">
            <v>105000</v>
          </cell>
          <cell r="T51">
            <v>186700</v>
          </cell>
          <cell r="U51">
            <v>218400</v>
          </cell>
          <cell r="V51">
            <v>242700</v>
          </cell>
          <cell r="W51">
            <v>266000</v>
          </cell>
          <cell r="X51">
            <v>280000</v>
          </cell>
          <cell r="Z51">
            <v>48</v>
          </cell>
          <cell r="AA51">
            <v>195200</v>
          </cell>
          <cell r="AB51">
            <v>346900</v>
          </cell>
          <cell r="AC51">
            <v>405900</v>
          </cell>
          <cell r="AD51">
            <v>451000</v>
          </cell>
          <cell r="AE51">
            <v>494400</v>
          </cell>
          <cell r="AF51">
            <v>520400</v>
          </cell>
          <cell r="AX51">
            <v>48</v>
          </cell>
          <cell r="AY51">
            <v>534200</v>
          </cell>
          <cell r="AZ51">
            <v>949700</v>
          </cell>
          <cell r="BA51">
            <v>1111200</v>
          </cell>
          <cell r="BB51">
            <v>1234700</v>
          </cell>
          <cell r="BC51">
            <v>1353400</v>
          </cell>
          <cell r="BD51">
            <v>1424600</v>
          </cell>
        </row>
        <row r="52">
          <cell r="R52">
            <v>49</v>
          </cell>
          <cell r="S52">
            <v>115500</v>
          </cell>
          <cell r="T52">
            <v>205300</v>
          </cell>
          <cell r="U52">
            <v>240200</v>
          </cell>
          <cell r="V52">
            <v>266900</v>
          </cell>
          <cell r="W52">
            <v>292600</v>
          </cell>
          <cell r="X52">
            <v>308000</v>
          </cell>
          <cell r="Z52">
            <v>49</v>
          </cell>
          <cell r="AA52">
            <v>214700</v>
          </cell>
          <cell r="AB52">
            <v>381700</v>
          </cell>
          <cell r="AC52">
            <v>446600</v>
          </cell>
          <cell r="AD52">
            <v>496200</v>
          </cell>
          <cell r="AE52">
            <v>543900</v>
          </cell>
          <cell r="AF52">
            <v>572500</v>
          </cell>
          <cell r="AX52">
            <v>49</v>
          </cell>
          <cell r="AY52">
            <v>587700</v>
          </cell>
          <cell r="AZ52">
            <v>1044700</v>
          </cell>
          <cell r="BA52">
            <v>1222300</v>
          </cell>
          <cell r="BB52">
            <v>1358200</v>
          </cell>
          <cell r="BC52">
            <v>1488700</v>
          </cell>
          <cell r="BD52">
            <v>1567100</v>
          </cell>
        </row>
        <row r="53">
          <cell r="R53">
            <v>50</v>
          </cell>
          <cell r="S53">
            <v>127100</v>
          </cell>
          <cell r="T53">
            <v>225900</v>
          </cell>
          <cell r="U53">
            <v>264300</v>
          </cell>
          <cell r="V53">
            <v>293600</v>
          </cell>
          <cell r="W53">
            <v>321900</v>
          </cell>
          <cell r="X53">
            <v>338800</v>
          </cell>
          <cell r="Z53">
            <v>50</v>
          </cell>
          <cell r="AA53">
            <v>236100</v>
          </cell>
          <cell r="AB53">
            <v>419800</v>
          </cell>
          <cell r="AC53">
            <v>491200</v>
          </cell>
          <cell r="AD53">
            <v>545700</v>
          </cell>
          <cell r="AE53">
            <v>598200</v>
          </cell>
          <cell r="AF53">
            <v>629700</v>
          </cell>
          <cell r="AX53">
            <v>50</v>
          </cell>
          <cell r="AY53">
            <v>646400</v>
          </cell>
          <cell r="AZ53">
            <v>1149100</v>
          </cell>
          <cell r="BA53">
            <v>1344500</v>
          </cell>
          <cell r="BB53">
            <v>1493900</v>
          </cell>
          <cell r="BC53">
            <v>1637500</v>
          </cell>
          <cell r="BD53">
            <v>1723700</v>
          </cell>
        </row>
        <row r="54">
          <cell r="R54">
            <v>51</v>
          </cell>
          <cell r="S54">
            <v>139800</v>
          </cell>
          <cell r="T54">
            <v>248500</v>
          </cell>
          <cell r="U54">
            <v>290700</v>
          </cell>
          <cell r="V54">
            <v>323000</v>
          </cell>
          <cell r="W54">
            <v>354100</v>
          </cell>
          <cell r="X54">
            <v>372700</v>
          </cell>
          <cell r="Z54">
            <v>51</v>
          </cell>
          <cell r="AA54">
            <v>259800</v>
          </cell>
          <cell r="AB54">
            <v>461800</v>
          </cell>
          <cell r="AC54">
            <v>540300</v>
          </cell>
          <cell r="AD54">
            <v>600300</v>
          </cell>
          <cell r="AE54">
            <v>658100</v>
          </cell>
          <cell r="AF54">
            <v>692700</v>
          </cell>
          <cell r="AX54">
            <v>51</v>
          </cell>
          <cell r="AY54">
            <v>711000</v>
          </cell>
          <cell r="AZ54">
            <v>1264100</v>
          </cell>
          <cell r="BA54">
            <v>1479000</v>
          </cell>
          <cell r="BB54">
            <v>1643300</v>
          </cell>
          <cell r="BC54">
            <v>1801300</v>
          </cell>
          <cell r="BD54">
            <v>1896100</v>
          </cell>
        </row>
        <row r="55">
          <cell r="R55">
            <v>52</v>
          </cell>
          <cell r="S55">
            <v>153800</v>
          </cell>
          <cell r="T55">
            <v>273300</v>
          </cell>
          <cell r="U55">
            <v>319800</v>
          </cell>
          <cell r="V55">
            <v>355300</v>
          </cell>
          <cell r="W55">
            <v>389500</v>
          </cell>
          <cell r="X55">
            <v>410000</v>
          </cell>
          <cell r="Z55">
            <v>52</v>
          </cell>
          <cell r="AA55">
            <v>285700</v>
          </cell>
          <cell r="AB55">
            <v>507900</v>
          </cell>
          <cell r="AC55">
            <v>594300</v>
          </cell>
          <cell r="AD55">
            <v>660300</v>
          </cell>
          <cell r="AE55">
            <v>723800</v>
          </cell>
          <cell r="AF55">
            <v>761900</v>
          </cell>
          <cell r="AX55">
            <v>52</v>
          </cell>
          <cell r="AY55">
            <v>782100</v>
          </cell>
          <cell r="AZ55">
            <v>1390400</v>
          </cell>
          <cell r="BA55">
            <v>1626800</v>
          </cell>
          <cell r="BB55">
            <v>1807500</v>
          </cell>
          <cell r="BC55">
            <v>1981300</v>
          </cell>
          <cell r="BD55">
            <v>2085600</v>
          </cell>
        </row>
        <row r="56">
          <cell r="R56">
            <v>53</v>
          </cell>
          <cell r="S56">
            <v>169100</v>
          </cell>
          <cell r="T56">
            <v>300700</v>
          </cell>
          <cell r="U56">
            <v>351800</v>
          </cell>
          <cell r="V56">
            <v>390900</v>
          </cell>
          <cell r="W56">
            <v>428500</v>
          </cell>
          <cell r="X56">
            <v>451000</v>
          </cell>
          <cell r="Z56">
            <v>53</v>
          </cell>
          <cell r="AA56">
            <v>314300</v>
          </cell>
          <cell r="AB56">
            <v>558800</v>
          </cell>
          <cell r="AC56">
            <v>653800</v>
          </cell>
          <cell r="AD56">
            <v>726400</v>
          </cell>
          <cell r="AE56">
            <v>796300</v>
          </cell>
          <cell r="AF56">
            <v>838200</v>
          </cell>
          <cell r="AX56">
            <v>53</v>
          </cell>
          <cell r="AY56">
            <v>860400</v>
          </cell>
          <cell r="AZ56">
            <v>1529500</v>
          </cell>
          <cell r="BA56">
            <v>1789600</v>
          </cell>
          <cell r="BB56">
            <v>1988400</v>
          </cell>
          <cell r="BC56">
            <v>2179600</v>
          </cell>
          <cell r="BD56">
            <v>2294300</v>
          </cell>
        </row>
        <row r="57">
          <cell r="R57">
            <v>54</v>
          </cell>
          <cell r="S57">
            <v>186000</v>
          </cell>
          <cell r="T57">
            <v>330700</v>
          </cell>
          <cell r="U57">
            <v>387000</v>
          </cell>
          <cell r="V57">
            <v>430000</v>
          </cell>
          <cell r="W57">
            <v>471300</v>
          </cell>
          <cell r="X57">
            <v>496100</v>
          </cell>
          <cell r="Z57">
            <v>54</v>
          </cell>
          <cell r="AA57">
            <v>345800</v>
          </cell>
          <cell r="AB57">
            <v>614700</v>
          </cell>
          <cell r="AC57">
            <v>719200</v>
          </cell>
          <cell r="AD57">
            <v>799100</v>
          </cell>
          <cell r="AE57">
            <v>875900</v>
          </cell>
          <cell r="AF57">
            <v>922000</v>
          </cell>
          <cell r="AX57">
            <v>54</v>
          </cell>
          <cell r="AY57">
            <v>946400</v>
          </cell>
          <cell r="AZ57">
            <v>1682500</v>
          </cell>
          <cell r="BA57">
            <v>1968500</v>
          </cell>
          <cell r="BB57">
            <v>2187200</v>
          </cell>
          <cell r="BC57">
            <v>2397500</v>
          </cell>
          <cell r="BD57">
            <v>2523700</v>
          </cell>
        </row>
        <row r="58">
          <cell r="R58">
            <v>55</v>
          </cell>
          <cell r="S58">
            <v>204600</v>
          </cell>
          <cell r="T58">
            <v>363700</v>
          </cell>
          <cell r="U58">
            <v>425600</v>
          </cell>
          <cell r="V58">
            <v>472900</v>
          </cell>
          <cell r="W58">
            <v>518300</v>
          </cell>
          <cell r="X58">
            <v>545600</v>
          </cell>
          <cell r="Z58">
            <v>55</v>
          </cell>
          <cell r="AA58">
            <v>380300</v>
          </cell>
          <cell r="AB58">
            <v>676100</v>
          </cell>
          <cell r="AC58">
            <v>791000</v>
          </cell>
          <cell r="AD58">
            <v>878900</v>
          </cell>
          <cell r="AE58">
            <v>963400</v>
          </cell>
          <cell r="AF58">
            <v>1014100</v>
          </cell>
          <cell r="AX58">
            <v>55</v>
          </cell>
          <cell r="AY58">
            <v>1041000</v>
          </cell>
          <cell r="AZ58">
            <v>1850700</v>
          </cell>
          <cell r="BA58">
            <v>2165300</v>
          </cell>
          <cell r="BB58">
            <v>2405900</v>
          </cell>
          <cell r="BC58">
            <v>2637200</v>
          </cell>
          <cell r="BD58">
            <v>2776000</v>
          </cell>
        </row>
        <row r="69">
          <cell r="Z69" t="str">
            <v>ARAUCANIA</v>
          </cell>
        </row>
        <row r="70">
          <cell r="Z70" t="str">
            <v>Bloque</v>
          </cell>
          <cell r="AA70" t="str">
            <v>5"</v>
          </cell>
          <cell r="AB70" t="str">
            <v>10"</v>
          </cell>
          <cell r="AC70" t="str">
            <v>15"</v>
          </cell>
          <cell r="AD70" t="str">
            <v>20"</v>
          </cell>
          <cell r="AE70" t="str">
            <v>25"</v>
          </cell>
          <cell r="AF70" t="str">
            <v>30"</v>
          </cell>
        </row>
        <row r="71">
          <cell r="Z71">
            <v>0</v>
          </cell>
          <cell r="AA71">
            <v>2800</v>
          </cell>
          <cell r="AB71">
            <v>5000</v>
          </cell>
          <cell r="AC71">
            <v>5900</v>
          </cell>
          <cell r="AD71">
            <v>6500</v>
          </cell>
          <cell r="AE71">
            <v>7100</v>
          </cell>
          <cell r="AF71">
            <v>7500</v>
          </cell>
        </row>
        <row r="72">
          <cell r="Z72">
            <v>1</v>
          </cell>
          <cell r="AA72">
            <v>3500</v>
          </cell>
          <cell r="AB72">
            <v>6300</v>
          </cell>
          <cell r="AC72">
            <v>7300</v>
          </cell>
          <cell r="AD72">
            <v>8100</v>
          </cell>
          <cell r="AE72">
            <v>8900</v>
          </cell>
          <cell r="AF72">
            <v>9400</v>
          </cell>
        </row>
        <row r="73">
          <cell r="Z73">
            <v>2</v>
          </cell>
          <cell r="AA73">
            <v>4400</v>
          </cell>
          <cell r="AB73">
            <v>7900</v>
          </cell>
          <cell r="AC73">
            <v>9200</v>
          </cell>
          <cell r="AD73">
            <v>10200</v>
          </cell>
          <cell r="AE73">
            <v>11200</v>
          </cell>
          <cell r="AF73">
            <v>11800</v>
          </cell>
        </row>
        <row r="74">
          <cell r="Z74">
            <v>3</v>
          </cell>
          <cell r="AA74">
            <v>5200</v>
          </cell>
          <cell r="AB74">
            <v>9300</v>
          </cell>
          <cell r="AC74">
            <v>10800</v>
          </cell>
          <cell r="AD74">
            <v>12000</v>
          </cell>
          <cell r="AE74">
            <v>13200</v>
          </cell>
          <cell r="AF74">
            <v>13900</v>
          </cell>
        </row>
        <row r="75">
          <cell r="Z75">
            <v>4</v>
          </cell>
          <cell r="AA75">
            <v>5700</v>
          </cell>
          <cell r="AB75">
            <v>10200</v>
          </cell>
          <cell r="AC75">
            <v>11900</v>
          </cell>
          <cell r="AD75">
            <v>13300</v>
          </cell>
          <cell r="AE75">
            <v>14500</v>
          </cell>
          <cell r="AF75">
            <v>15300</v>
          </cell>
        </row>
        <row r="76">
          <cell r="Z76">
            <v>5</v>
          </cell>
          <cell r="AA76">
            <v>6300</v>
          </cell>
          <cell r="AB76">
            <v>11200</v>
          </cell>
          <cell r="AC76">
            <v>13100</v>
          </cell>
          <cell r="AD76">
            <v>14600</v>
          </cell>
          <cell r="AE76">
            <v>16000</v>
          </cell>
          <cell r="AF76">
            <v>16800</v>
          </cell>
        </row>
        <row r="77">
          <cell r="Z77">
            <v>6</v>
          </cell>
          <cell r="AA77">
            <v>6900</v>
          </cell>
          <cell r="AB77">
            <v>12300</v>
          </cell>
          <cell r="AC77">
            <v>14400</v>
          </cell>
          <cell r="AD77">
            <v>15900</v>
          </cell>
          <cell r="AE77">
            <v>17500</v>
          </cell>
          <cell r="AF77">
            <v>18400</v>
          </cell>
        </row>
        <row r="78">
          <cell r="Z78">
            <v>7</v>
          </cell>
          <cell r="AA78">
            <v>7600</v>
          </cell>
          <cell r="AB78">
            <v>13500</v>
          </cell>
          <cell r="AC78">
            <v>15800</v>
          </cell>
          <cell r="AD78">
            <v>17500</v>
          </cell>
          <cell r="AE78">
            <v>19200</v>
          </cell>
          <cell r="AF78">
            <v>20200</v>
          </cell>
        </row>
        <row r="79">
          <cell r="Z79">
            <v>8</v>
          </cell>
          <cell r="AA79">
            <v>8400</v>
          </cell>
          <cell r="AB79">
            <v>14900</v>
          </cell>
          <cell r="AC79">
            <v>17400</v>
          </cell>
          <cell r="AD79">
            <v>19300</v>
          </cell>
          <cell r="AE79">
            <v>21200</v>
          </cell>
          <cell r="AF79">
            <v>22300</v>
          </cell>
        </row>
        <row r="80">
          <cell r="Z80">
            <v>9</v>
          </cell>
          <cell r="AA80">
            <v>9200</v>
          </cell>
          <cell r="AB80">
            <v>16300</v>
          </cell>
          <cell r="AC80">
            <v>19000</v>
          </cell>
          <cell r="AD80">
            <v>21100</v>
          </cell>
          <cell r="AE80">
            <v>23200</v>
          </cell>
          <cell r="AF80">
            <v>24400</v>
          </cell>
        </row>
        <row r="81">
          <cell r="Z81">
            <v>10</v>
          </cell>
          <cell r="AA81">
            <v>10100</v>
          </cell>
          <cell r="AB81">
            <v>18000</v>
          </cell>
          <cell r="AC81">
            <v>21100</v>
          </cell>
          <cell r="AD81">
            <v>23400</v>
          </cell>
          <cell r="AE81">
            <v>25700</v>
          </cell>
          <cell r="AF81">
            <v>27000</v>
          </cell>
        </row>
        <row r="82">
          <cell r="Z82">
            <v>11</v>
          </cell>
          <cell r="AA82">
            <v>11100</v>
          </cell>
          <cell r="AB82">
            <v>19700</v>
          </cell>
          <cell r="AC82">
            <v>23100</v>
          </cell>
          <cell r="AD82">
            <v>25700</v>
          </cell>
          <cell r="AE82">
            <v>28100</v>
          </cell>
          <cell r="AF82">
            <v>29600</v>
          </cell>
        </row>
        <row r="83">
          <cell r="Z83">
            <v>12</v>
          </cell>
          <cell r="AA83">
            <v>12300</v>
          </cell>
          <cell r="AB83">
            <v>21800</v>
          </cell>
          <cell r="AC83">
            <v>25500</v>
          </cell>
          <cell r="AD83">
            <v>28300</v>
          </cell>
          <cell r="AE83">
            <v>31100</v>
          </cell>
          <cell r="AF83">
            <v>32700</v>
          </cell>
        </row>
        <row r="84">
          <cell r="Z84">
            <v>13</v>
          </cell>
          <cell r="AA84">
            <v>13400</v>
          </cell>
          <cell r="AB84">
            <v>23900</v>
          </cell>
          <cell r="AC84">
            <v>27900</v>
          </cell>
          <cell r="AD84">
            <v>31000</v>
          </cell>
          <cell r="AE84">
            <v>34000</v>
          </cell>
          <cell r="AF84">
            <v>35800</v>
          </cell>
        </row>
        <row r="85">
          <cell r="Z85">
            <v>14</v>
          </cell>
          <cell r="AA85">
            <v>14800</v>
          </cell>
          <cell r="AB85">
            <v>26300</v>
          </cell>
          <cell r="AC85">
            <v>30700</v>
          </cell>
          <cell r="AD85">
            <v>34100</v>
          </cell>
          <cell r="AE85">
            <v>37400</v>
          </cell>
          <cell r="AF85">
            <v>39400</v>
          </cell>
        </row>
        <row r="86">
          <cell r="Z86">
            <v>15</v>
          </cell>
          <cell r="AA86">
            <v>16300</v>
          </cell>
          <cell r="AB86">
            <v>29000</v>
          </cell>
          <cell r="AC86">
            <v>33900</v>
          </cell>
          <cell r="AD86">
            <v>37700</v>
          </cell>
          <cell r="AE86">
            <v>41300</v>
          </cell>
          <cell r="AF86">
            <v>43500</v>
          </cell>
        </row>
        <row r="87">
          <cell r="Z87">
            <v>16</v>
          </cell>
          <cell r="AA87">
            <v>17900</v>
          </cell>
          <cell r="AB87">
            <v>31800</v>
          </cell>
          <cell r="AC87">
            <v>37200</v>
          </cell>
          <cell r="AD87">
            <v>41300</v>
          </cell>
          <cell r="AE87">
            <v>45300</v>
          </cell>
          <cell r="AF87">
            <v>47700</v>
          </cell>
        </row>
        <row r="88">
          <cell r="Z88">
            <v>17</v>
          </cell>
          <cell r="AA88">
            <v>19700</v>
          </cell>
          <cell r="AB88">
            <v>35100</v>
          </cell>
          <cell r="AC88">
            <v>41000</v>
          </cell>
          <cell r="AD88">
            <v>45600</v>
          </cell>
          <cell r="AE88">
            <v>50000</v>
          </cell>
          <cell r="AF88">
            <v>52600</v>
          </cell>
        </row>
        <row r="89">
          <cell r="Z89">
            <v>18</v>
          </cell>
          <cell r="AA89">
            <v>21700</v>
          </cell>
          <cell r="AB89">
            <v>38600</v>
          </cell>
          <cell r="AC89">
            <v>45200</v>
          </cell>
          <cell r="AD89">
            <v>50200</v>
          </cell>
          <cell r="AE89">
            <v>55000</v>
          </cell>
          <cell r="AF89">
            <v>57900</v>
          </cell>
        </row>
        <row r="90">
          <cell r="Z90">
            <v>19</v>
          </cell>
          <cell r="AA90">
            <v>23900</v>
          </cell>
          <cell r="AB90">
            <v>42400</v>
          </cell>
          <cell r="AC90">
            <v>49600</v>
          </cell>
          <cell r="AD90">
            <v>55100</v>
          </cell>
          <cell r="AE90">
            <v>60400</v>
          </cell>
          <cell r="AF90">
            <v>63600</v>
          </cell>
        </row>
        <row r="91">
          <cell r="Z91">
            <v>20</v>
          </cell>
          <cell r="AA91">
            <v>26200</v>
          </cell>
          <cell r="AB91">
            <v>46600</v>
          </cell>
          <cell r="AC91">
            <v>54500</v>
          </cell>
          <cell r="AD91">
            <v>60600</v>
          </cell>
          <cell r="AE91">
            <v>66400</v>
          </cell>
          <cell r="AF91">
            <v>69900</v>
          </cell>
        </row>
        <row r="92">
          <cell r="Z92">
            <v>21</v>
          </cell>
          <cell r="AA92">
            <v>28900</v>
          </cell>
          <cell r="AB92">
            <v>51300</v>
          </cell>
          <cell r="AC92">
            <v>60100</v>
          </cell>
          <cell r="AD92">
            <v>66700</v>
          </cell>
          <cell r="AE92">
            <v>73200</v>
          </cell>
          <cell r="AF92">
            <v>77000</v>
          </cell>
        </row>
        <row r="93">
          <cell r="Z93">
            <v>22</v>
          </cell>
          <cell r="AA93">
            <v>31700</v>
          </cell>
          <cell r="AB93">
            <v>56400</v>
          </cell>
          <cell r="AC93">
            <v>66000</v>
          </cell>
          <cell r="AD93">
            <v>73300</v>
          </cell>
          <cell r="AE93">
            <v>80400</v>
          </cell>
          <cell r="AF93">
            <v>84600</v>
          </cell>
        </row>
        <row r="94">
          <cell r="Z94">
            <v>23</v>
          </cell>
          <cell r="AA94">
            <v>34900</v>
          </cell>
          <cell r="AB94">
            <v>62100</v>
          </cell>
          <cell r="AC94">
            <v>72600</v>
          </cell>
          <cell r="AD94">
            <v>80700</v>
          </cell>
          <cell r="AE94">
            <v>88400</v>
          </cell>
          <cell r="AF94">
            <v>93100</v>
          </cell>
        </row>
        <row r="95">
          <cell r="Z95">
            <v>24</v>
          </cell>
          <cell r="AA95">
            <v>38400</v>
          </cell>
          <cell r="AB95">
            <v>68300</v>
          </cell>
          <cell r="AC95">
            <v>79900</v>
          </cell>
          <cell r="AD95">
            <v>88700</v>
          </cell>
          <cell r="AE95">
            <v>97300</v>
          </cell>
          <cell r="AF95">
            <v>102400</v>
          </cell>
        </row>
        <row r="96">
          <cell r="Z96">
            <v>25</v>
          </cell>
          <cell r="AA96">
            <v>42200</v>
          </cell>
          <cell r="AB96">
            <v>75100</v>
          </cell>
          <cell r="AC96">
            <v>87800</v>
          </cell>
          <cell r="AD96">
            <v>97600</v>
          </cell>
          <cell r="AE96">
            <v>107000</v>
          </cell>
          <cell r="AF96">
            <v>112600</v>
          </cell>
        </row>
        <row r="97">
          <cell r="Z97">
            <v>26</v>
          </cell>
          <cell r="AA97">
            <v>46500</v>
          </cell>
          <cell r="AB97">
            <v>82700</v>
          </cell>
          <cell r="AC97">
            <v>96700</v>
          </cell>
          <cell r="AD97">
            <v>107500</v>
          </cell>
          <cell r="AE97">
            <v>117800</v>
          </cell>
          <cell r="AF97">
            <v>124000</v>
          </cell>
        </row>
        <row r="98">
          <cell r="Z98">
            <v>27</v>
          </cell>
          <cell r="AA98">
            <v>51100</v>
          </cell>
          <cell r="AB98">
            <v>90900</v>
          </cell>
          <cell r="AC98">
            <v>106300</v>
          </cell>
          <cell r="AD98">
            <v>118100</v>
          </cell>
          <cell r="AE98">
            <v>129500</v>
          </cell>
          <cell r="AF98">
            <v>136300</v>
          </cell>
        </row>
        <row r="99">
          <cell r="Z99">
            <v>28</v>
          </cell>
          <cell r="AA99">
            <v>56200</v>
          </cell>
          <cell r="AB99">
            <v>99900</v>
          </cell>
          <cell r="AC99">
            <v>116900</v>
          </cell>
          <cell r="AD99">
            <v>129900</v>
          </cell>
          <cell r="AE99">
            <v>142400</v>
          </cell>
          <cell r="AF99">
            <v>149900</v>
          </cell>
        </row>
        <row r="100">
          <cell r="Z100">
            <v>29</v>
          </cell>
          <cell r="AA100">
            <v>61800</v>
          </cell>
          <cell r="AB100">
            <v>109900</v>
          </cell>
          <cell r="AC100">
            <v>128600</v>
          </cell>
          <cell r="AD100">
            <v>142900</v>
          </cell>
          <cell r="AE100">
            <v>156700</v>
          </cell>
          <cell r="AF100">
            <v>164900</v>
          </cell>
        </row>
        <row r="101">
          <cell r="Z101">
            <v>30</v>
          </cell>
          <cell r="AA101">
            <v>68000</v>
          </cell>
          <cell r="AB101">
            <v>120900</v>
          </cell>
          <cell r="AC101">
            <v>141500</v>
          </cell>
          <cell r="AD101">
            <v>157200</v>
          </cell>
          <cell r="AE101">
            <v>172300</v>
          </cell>
          <cell r="AF101">
            <v>181400</v>
          </cell>
        </row>
        <row r="102">
          <cell r="Z102">
            <v>31</v>
          </cell>
          <cell r="AA102">
            <v>74800</v>
          </cell>
          <cell r="AB102">
            <v>133000</v>
          </cell>
          <cell r="AC102">
            <v>155600</v>
          </cell>
          <cell r="AD102">
            <v>172900</v>
          </cell>
          <cell r="AE102">
            <v>189500</v>
          </cell>
          <cell r="AF102">
            <v>199500</v>
          </cell>
        </row>
        <row r="103">
          <cell r="Z103">
            <v>32</v>
          </cell>
          <cell r="AA103">
            <v>82300</v>
          </cell>
          <cell r="AB103">
            <v>146300</v>
          </cell>
          <cell r="AC103">
            <v>171200</v>
          </cell>
          <cell r="AD103">
            <v>190200</v>
          </cell>
          <cell r="AE103">
            <v>208500</v>
          </cell>
          <cell r="AF103">
            <v>219500</v>
          </cell>
        </row>
        <row r="104">
          <cell r="Z104">
            <v>33</v>
          </cell>
          <cell r="AA104">
            <v>90600</v>
          </cell>
          <cell r="AB104">
            <v>161000</v>
          </cell>
          <cell r="AC104">
            <v>188400</v>
          </cell>
          <cell r="AD104">
            <v>209300</v>
          </cell>
          <cell r="AE104">
            <v>229400</v>
          </cell>
          <cell r="AF104">
            <v>241500</v>
          </cell>
        </row>
        <row r="105">
          <cell r="Z105">
            <v>34</v>
          </cell>
          <cell r="AA105">
            <v>99600</v>
          </cell>
          <cell r="AB105">
            <v>177100</v>
          </cell>
          <cell r="AC105">
            <v>207200</v>
          </cell>
          <cell r="AD105">
            <v>230200</v>
          </cell>
          <cell r="AE105">
            <v>252300</v>
          </cell>
          <cell r="AF105">
            <v>265600</v>
          </cell>
        </row>
        <row r="106">
          <cell r="Z106">
            <v>35</v>
          </cell>
          <cell r="AA106">
            <v>109600</v>
          </cell>
          <cell r="AB106">
            <v>194800</v>
          </cell>
          <cell r="AC106">
            <v>227900</v>
          </cell>
          <cell r="AD106">
            <v>253200</v>
          </cell>
          <cell r="AE106">
            <v>277600</v>
          </cell>
          <cell r="AF106">
            <v>292200</v>
          </cell>
        </row>
        <row r="107">
          <cell r="Z107">
            <v>36</v>
          </cell>
          <cell r="AA107">
            <v>120500</v>
          </cell>
          <cell r="AB107">
            <v>214300</v>
          </cell>
          <cell r="AC107">
            <v>250700</v>
          </cell>
          <cell r="AD107">
            <v>278500</v>
          </cell>
          <cell r="AE107">
            <v>305300</v>
          </cell>
          <cell r="AF107">
            <v>321400</v>
          </cell>
        </row>
        <row r="108">
          <cell r="Z108">
            <v>37</v>
          </cell>
          <cell r="AA108">
            <v>132600</v>
          </cell>
          <cell r="AB108">
            <v>235700</v>
          </cell>
          <cell r="AC108">
            <v>275700</v>
          </cell>
          <cell r="AD108">
            <v>306400</v>
          </cell>
          <cell r="AE108">
            <v>335800</v>
          </cell>
          <cell r="AF108">
            <v>353500</v>
          </cell>
        </row>
        <row r="109">
          <cell r="Z109">
            <v>38</v>
          </cell>
          <cell r="AA109">
            <v>145800</v>
          </cell>
          <cell r="AB109">
            <v>259300</v>
          </cell>
          <cell r="AC109">
            <v>303300</v>
          </cell>
          <cell r="AD109">
            <v>337000</v>
          </cell>
          <cell r="AE109">
            <v>369500</v>
          </cell>
          <cell r="AF109">
            <v>388900</v>
          </cell>
        </row>
        <row r="110">
          <cell r="Z110">
            <v>39</v>
          </cell>
          <cell r="AA110">
            <v>160400</v>
          </cell>
          <cell r="AB110">
            <v>285200</v>
          </cell>
          <cell r="AC110">
            <v>333700</v>
          </cell>
          <cell r="AD110">
            <v>370800</v>
          </cell>
          <cell r="AE110">
            <v>406400</v>
          </cell>
          <cell r="AF110">
            <v>427800</v>
          </cell>
        </row>
        <row r="111">
          <cell r="Z111">
            <v>40</v>
          </cell>
          <cell r="AA111">
            <v>176500</v>
          </cell>
          <cell r="AB111">
            <v>313700</v>
          </cell>
          <cell r="AC111">
            <v>367100</v>
          </cell>
          <cell r="AD111">
            <v>407900</v>
          </cell>
          <cell r="AE111">
            <v>447100</v>
          </cell>
          <cell r="AF111">
            <v>470600</v>
          </cell>
        </row>
        <row r="112">
          <cell r="Z112">
            <v>41</v>
          </cell>
          <cell r="AA112">
            <v>194100</v>
          </cell>
          <cell r="AB112">
            <v>345100</v>
          </cell>
          <cell r="AC112">
            <v>403700</v>
          </cell>
          <cell r="AD112">
            <v>448600</v>
          </cell>
          <cell r="AE112">
            <v>491700</v>
          </cell>
          <cell r="AF112">
            <v>517600</v>
          </cell>
        </row>
        <row r="113">
          <cell r="Z113">
            <v>42</v>
          </cell>
          <cell r="AA113">
            <v>213500</v>
          </cell>
          <cell r="AB113">
            <v>379600</v>
          </cell>
          <cell r="AC113">
            <v>444100</v>
          </cell>
          <cell r="AD113">
            <v>493500</v>
          </cell>
          <cell r="AE113">
            <v>540900</v>
          </cell>
          <cell r="AF113">
            <v>569400</v>
          </cell>
        </row>
        <row r="114">
          <cell r="Z114">
            <v>43</v>
          </cell>
          <cell r="AA114">
            <v>234900</v>
          </cell>
          <cell r="AB114">
            <v>417600</v>
          </cell>
          <cell r="AC114">
            <v>488600</v>
          </cell>
          <cell r="AD114">
            <v>542900</v>
          </cell>
          <cell r="AE114">
            <v>595100</v>
          </cell>
          <cell r="AF114">
            <v>626400</v>
          </cell>
        </row>
        <row r="115">
          <cell r="Z115">
            <v>44</v>
          </cell>
          <cell r="AA115">
            <v>258400</v>
          </cell>
          <cell r="AB115">
            <v>459300</v>
          </cell>
          <cell r="AC115">
            <v>537400</v>
          </cell>
          <cell r="AD115">
            <v>597100</v>
          </cell>
          <cell r="AE115">
            <v>654600</v>
          </cell>
          <cell r="AF115">
            <v>689000</v>
          </cell>
        </row>
        <row r="116">
          <cell r="Z116">
            <v>45</v>
          </cell>
          <cell r="AA116">
            <v>284200</v>
          </cell>
          <cell r="AB116">
            <v>505300</v>
          </cell>
          <cell r="AC116">
            <v>591200</v>
          </cell>
          <cell r="AD116">
            <v>656800</v>
          </cell>
          <cell r="AE116">
            <v>720000</v>
          </cell>
          <cell r="AF116">
            <v>757900</v>
          </cell>
        </row>
        <row r="117">
          <cell r="Z117">
            <v>46</v>
          </cell>
          <cell r="AA117">
            <v>312600</v>
          </cell>
          <cell r="AB117">
            <v>555700</v>
          </cell>
          <cell r="AC117">
            <v>650200</v>
          </cell>
          <cell r="AD117">
            <v>722500</v>
          </cell>
          <cell r="AE117">
            <v>791900</v>
          </cell>
          <cell r="AF117">
            <v>833600</v>
          </cell>
        </row>
        <row r="118">
          <cell r="Z118">
            <v>47</v>
          </cell>
          <cell r="AA118">
            <v>343900</v>
          </cell>
          <cell r="AB118">
            <v>611300</v>
          </cell>
          <cell r="AC118">
            <v>715300</v>
          </cell>
          <cell r="AD118">
            <v>794700</v>
          </cell>
          <cell r="AE118">
            <v>871200</v>
          </cell>
          <cell r="AF118">
            <v>917000</v>
          </cell>
        </row>
        <row r="119">
          <cell r="Z119">
            <v>48</v>
          </cell>
          <cell r="AA119">
            <v>378300</v>
          </cell>
          <cell r="AB119">
            <v>672500</v>
          </cell>
          <cell r="AC119">
            <v>786800</v>
          </cell>
          <cell r="AD119">
            <v>874200</v>
          </cell>
          <cell r="AE119">
            <v>958300</v>
          </cell>
          <cell r="AF119">
            <v>1008700</v>
          </cell>
        </row>
        <row r="120">
          <cell r="Z120">
            <v>49</v>
          </cell>
          <cell r="AA120">
            <v>416100</v>
          </cell>
          <cell r="AB120">
            <v>739700</v>
          </cell>
          <cell r="AC120">
            <v>865500</v>
          </cell>
          <cell r="AD120">
            <v>961700</v>
          </cell>
          <cell r="AE120">
            <v>1054100</v>
          </cell>
          <cell r="AF120">
            <v>1109600</v>
          </cell>
        </row>
        <row r="121">
          <cell r="Z121">
            <v>50</v>
          </cell>
          <cell r="AA121">
            <v>457700</v>
          </cell>
          <cell r="AB121">
            <v>813700</v>
          </cell>
          <cell r="AC121">
            <v>952000</v>
          </cell>
          <cell r="AD121">
            <v>1057800</v>
          </cell>
          <cell r="AE121">
            <v>1159500</v>
          </cell>
          <cell r="AF121">
            <v>1220500</v>
          </cell>
        </row>
        <row r="122">
          <cell r="Z122">
            <v>51</v>
          </cell>
          <cell r="AA122">
            <v>503400</v>
          </cell>
          <cell r="AB122">
            <v>895000</v>
          </cell>
          <cell r="AC122">
            <v>1047200</v>
          </cell>
          <cell r="AD122">
            <v>1163500</v>
          </cell>
          <cell r="AE122">
            <v>1275400</v>
          </cell>
          <cell r="AF122">
            <v>1342500</v>
          </cell>
        </row>
        <row r="123">
          <cell r="Z123">
            <v>52</v>
          </cell>
          <cell r="AA123">
            <v>553800</v>
          </cell>
          <cell r="AB123">
            <v>984500</v>
          </cell>
          <cell r="AC123">
            <v>1151800</v>
          </cell>
          <cell r="AD123">
            <v>1279800</v>
          </cell>
          <cell r="AE123">
            <v>1402900</v>
          </cell>
          <cell r="AF123">
            <v>1476700</v>
          </cell>
        </row>
        <row r="124">
          <cell r="Z124">
            <v>53</v>
          </cell>
          <cell r="AA124">
            <v>609200</v>
          </cell>
          <cell r="AB124">
            <v>1083000</v>
          </cell>
          <cell r="AC124">
            <v>1267100</v>
          </cell>
          <cell r="AD124">
            <v>1407900</v>
          </cell>
          <cell r="AE124">
            <v>1543300</v>
          </cell>
          <cell r="AF124">
            <v>1624500</v>
          </cell>
        </row>
        <row r="125">
          <cell r="Z125">
            <v>54</v>
          </cell>
          <cell r="AA125">
            <v>670100</v>
          </cell>
          <cell r="AB125">
            <v>1191300</v>
          </cell>
          <cell r="AC125">
            <v>1393800</v>
          </cell>
          <cell r="AD125">
            <v>1548600</v>
          </cell>
          <cell r="AE125">
            <v>1697600</v>
          </cell>
          <cell r="AF125">
            <v>1786900</v>
          </cell>
        </row>
        <row r="126">
          <cell r="Z126">
            <v>55</v>
          </cell>
          <cell r="AA126">
            <v>737100</v>
          </cell>
          <cell r="AB126">
            <v>1310300</v>
          </cell>
          <cell r="AC126">
            <v>1533100</v>
          </cell>
          <cell r="AD126">
            <v>1703400</v>
          </cell>
          <cell r="AE126">
            <v>1867200</v>
          </cell>
          <cell r="AF126">
            <v>1965500</v>
          </cell>
        </row>
      </sheetData>
      <sheetData sheetId="7">
        <row r="4"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J4">
            <v>10</v>
          </cell>
        </row>
        <row r="5">
          <cell r="D5" t="str">
            <v>Antofagasta</v>
          </cell>
          <cell r="E5" t="str">
            <v>Talca</v>
          </cell>
          <cell r="F5" t="str">
            <v>Concepción</v>
          </cell>
          <cell r="G5" t="str">
            <v>Valparaíso</v>
          </cell>
          <cell r="H5" t="str">
            <v>PtoMontt</v>
          </cell>
          <cell r="I5" t="str">
            <v>Temuco</v>
          </cell>
          <cell r="J5" t="str">
            <v>TVDATA</v>
          </cell>
        </row>
        <row r="6">
          <cell r="A6">
            <v>1</v>
          </cell>
          <cell r="B6" t="str">
            <v>06:00 a 12:00</v>
          </cell>
          <cell r="C6" t="str">
            <v>L-V</v>
          </cell>
          <cell r="D6">
            <v>0.39293981481481477</v>
          </cell>
          <cell r="E6">
            <v>0.47709923664122139</v>
          </cell>
          <cell r="F6">
            <v>0.47715736040609141</v>
          </cell>
          <cell r="G6">
            <v>0.40350877192982454</v>
          </cell>
          <cell r="H6">
            <v>0.33</v>
          </cell>
          <cell r="I6">
            <v>0.38249043773905661</v>
          </cell>
          <cell r="J6">
            <v>0.36170212765957444</v>
          </cell>
        </row>
        <row r="7">
          <cell r="A7">
            <v>2</v>
          </cell>
          <cell r="B7" t="str">
            <v>12:00 A 16:00</v>
          </cell>
          <cell r="C7" t="str">
            <v>L-V</v>
          </cell>
          <cell r="D7">
            <v>0.33598304186539479</v>
          </cell>
          <cell r="E7">
            <v>0.29749103942652333</v>
          </cell>
          <cell r="F7">
            <v>0.31491712707182318</v>
          </cell>
          <cell r="G7">
            <v>0.27167630057803466</v>
          </cell>
          <cell r="H7">
            <v>0.3109882515549412</v>
          </cell>
          <cell r="I7">
            <v>0.35646258503401357</v>
          </cell>
          <cell r="J7">
            <v>0.20560747663551401</v>
          </cell>
        </row>
        <row r="8">
          <cell r="A8">
            <v>3</v>
          </cell>
          <cell r="B8" t="str">
            <v>16:00 A 19:30</v>
          </cell>
          <cell r="C8" t="str">
            <v>L-V</v>
          </cell>
          <cell r="D8">
            <v>0.37877551020408168</v>
          </cell>
          <cell r="E8">
            <v>0.28625377643504529</v>
          </cell>
          <cell r="F8">
            <v>0.34677419354838707</v>
          </cell>
          <cell r="G8">
            <v>0.38211382113821135</v>
          </cell>
          <cell r="H8">
            <v>0.33649289099526064</v>
          </cell>
          <cell r="I8">
            <v>0.38679618478308642</v>
          </cell>
          <cell r="J8">
            <v>0.21568627450980396</v>
          </cell>
        </row>
        <row r="9">
          <cell r="A9">
            <v>4</v>
          </cell>
          <cell r="B9" t="str">
            <v>19:30 A 21:00</v>
          </cell>
          <cell r="C9" t="str">
            <v>L-V</v>
          </cell>
          <cell r="D9">
            <v>0.40618523832297149</v>
          </cell>
          <cell r="E9">
            <v>0.41789577187807259</v>
          </cell>
          <cell r="F9">
            <v>0.4086687306501548</v>
          </cell>
          <cell r="G9">
            <v>0.52564102564102566</v>
          </cell>
          <cell r="H9">
            <v>0.32866379310344823</v>
          </cell>
          <cell r="I9">
            <v>0.40989399293286216</v>
          </cell>
          <cell r="J9">
            <v>0.30573248407643311</v>
          </cell>
        </row>
        <row r="10">
          <cell r="A10">
            <v>5</v>
          </cell>
          <cell r="B10" t="str">
            <v>21:00 A 22:00</v>
          </cell>
          <cell r="C10" t="str">
            <v>L-D</v>
          </cell>
          <cell r="D10">
            <v>0.45651896309539008</v>
          </cell>
          <cell r="E10">
            <v>0.52121212121212124</v>
          </cell>
          <cell r="F10">
            <v>0.40989010989010993</v>
          </cell>
          <cell r="G10">
            <v>0.39896373056994827</v>
          </cell>
          <cell r="H10">
            <v>0.34625322997416019</v>
          </cell>
          <cell r="I10">
            <v>0.46452181577787571</v>
          </cell>
          <cell r="J10">
            <v>0.32017543859649128</v>
          </cell>
        </row>
        <row r="11">
          <cell r="A11">
            <v>6</v>
          </cell>
          <cell r="B11" t="str">
            <v>22:00 A 24:00</v>
          </cell>
          <cell r="C11" t="str">
            <v>L-D</v>
          </cell>
          <cell r="D11">
            <v>0.40862205765670451</v>
          </cell>
          <cell r="E11">
            <v>0.36450704225352121</v>
          </cell>
          <cell r="F11">
            <v>0.32163742690058478</v>
          </cell>
          <cell r="G11">
            <v>0.34905660377358488</v>
          </cell>
          <cell r="H11">
            <v>0.36569037656903775</v>
          </cell>
          <cell r="I11">
            <v>0.26923076923076927</v>
          </cell>
          <cell r="J11">
            <v>0.26893939393939392</v>
          </cell>
        </row>
        <row r="12">
          <cell r="A12">
            <v>7</v>
          </cell>
          <cell r="B12" t="str">
            <v>24:00 A 02:30</v>
          </cell>
          <cell r="C12" t="str">
            <v>L-D</v>
          </cell>
          <cell r="D12">
            <v>0.32486930545182974</v>
          </cell>
          <cell r="E12">
            <v>0.25454545454545452</v>
          </cell>
          <cell r="F12">
            <v>0.14893617021276598</v>
          </cell>
          <cell r="G12">
            <v>0.35714285714285715</v>
          </cell>
          <cell r="H12">
            <v>0.42718446601941751</v>
          </cell>
          <cell r="I12">
            <v>7.1428571428571425E-2</v>
          </cell>
          <cell r="J12">
            <v>0.23703703703703705</v>
          </cell>
        </row>
        <row r="13">
          <cell r="A13">
            <v>8</v>
          </cell>
          <cell r="B13" t="str">
            <v>09:00 A 21:00</v>
          </cell>
          <cell r="C13" t="str">
            <v>S-D</v>
          </cell>
          <cell r="D13">
            <v>0.3858834455537497</v>
          </cell>
          <cell r="E13">
            <v>0.38302447015460234</v>
          </cell>
          <cell r="F13">
            <v>0.39790575916230364</v>
          </cell>
          <cell r="G13">
            <v>0.359375</v>
          </cell>
          <cell r="H13">
            <v>0.30629139072847689</v>
          </cell>
          <cell r="I13">
            <v>0.44335977221883266</v>
          </cell>
          <cell r="J13">
            <v>0.25510204081632654</v>
          </cell>
        </row>
      </sheetData>
      <sheetData sheetId="8">
        <row r="3">
          <cell r="H3" t="str">
            <v>24 HORAS A LA HORALMWJV</v>
          </cell>
          <cell r="I3">
            <v>0.4</v>
          </cell>
        </row>
        <row r="4">
          <cell r="H4" t="str">
            <v>24 HORAS A LA HORAL</v>
          </cell>
          <cell r="I4">
            <v>0.3</v>
          </cell>
        </row>
        <row r="5">
          <cell r="H5" t="str">
            <v>24 HORAS A LA HORAM</v>
          </cell>
          <cell r="I5">
            <v>0.3</v>
          </cell>
          <cell r="M5" t="str">
            <v>24 HORAS AL DIALMWJV</v>
          </cell>
          <cell r="N5">
            <v>3.16</v>
          </cell>
        </row>
        <row r="6">
          <cell r="H6" t="str">
            <v>24 HORAS A LA HORAJ</v>
          </cell>
          <cell r="I6">
            <v>0.4</v>
          </cell>
          <cell r="M6" t="str">
            <v>24 HORAS AL DIAL</v>
          </cell>
          <cell r="N6">
            <v>2.5</v>
          </cell>
        </row>
        <row r="7">
          <cell r="H7" t="str">
            <v>24 HORAS A LA HORAW</v>
          </cell>
          <cell r="I7">
            <v>0.5</v>
          </cell>
          <cell r="M7" t="str">
            <v>24 HORAS AL DIAM</v>
          </cell>
          <cell r="N7">
            <v>3.1</v>
          </cell>
        </row>
        <row r="8">
          <cell r="H8" t="str">
            <v>24 HORAS A LA HORAV</v>
          </cell>
          <cell r="I8">
            <v>0.5</v>
          </cell>
          <cell r="M8" t="str">
            <v>24 HORAS AL DIAW</v>
          </cell>
          <cell r="N8">
            <v>3.2</v>
          </cell>
        </row>
        <row r="9">
          <cell r="H9" t="str">
            <v>24 HORAS AL DIALMWJVSD</v>
          </cell>
          <cell r="I9">
            <v>3.2</v>
          </cell>
          <cell r="M9" t="str">
            <v>24 HORAS AL DIAJ</v>
          </cell>
          <cell r="N9">
            <v>3.6</v>
          </cell>
        </row>
        <row r="10">
          <cell r="H10" t="str">
            <v>24 HORAS AL DIAS</v>
          </cell>
          <cell r="I10">
            <v>2.4</v>
          </cell>
          <cell r="M10" t="str">
            <v>24 HORAS AL DIAV</v>
          </cell>
          <cell r="N10">
            <v>3.4</v>
          </cell>
        </row>
        <row r="11">
          <cell r="H11" t="str">
            <v>24 HORAS AL DIAL</v>
          </cell>
          <cell r="I11">
            <v>2.5</v>
          </cell>
        </row>
        <row r="12">
          <cell r="H12" t="str">
            <v>24 HORAS AL DIAM</v>
          </cell>
          <cell r="I12">
            <v>3.1</v>
          </cell>
          <cell r="M12" t="str">
            <v>24 HORAS CENTRALMWJV</v>
          </cell>
          <cell r="N12">
            <v>6.4399999999999995</v>
          </cell>
        </row>
        <row r="13">
          <cell r="H13" t="str">
            <v>24 HORAS AL DIAW</v>
          </cell>
          <cell r="I13">
            <v>3.2</v>
          </cell>
          <cell r="M13" t="str">
            <v>24 HORAS CENTRALLJV</v>
          </cell>
          <cell r="N13">
            <v>5.9333333333333336</v>
          </cell>
        </row>
        <row r="14">
          <cell r="H14" t="str">
            <v>24 HORAS AL DIAV</v>
          </cell>
          <cell r="I14">
            <v>3.4</v>
          </cell>
          <cell r="M14" t="str">
            <v>24 HORAS CENTRAJV</v>
          </cell>
          <cell r="N14">
            <v>5.7</v>
          </cell>
        </row>
        <row r="15">
          <cell r="H15" t="str">
            <v>24 HORAS AL DIAJ</v>
          </cell>
          <cell r="I15">
            <v>3.6</v>
          </cell>
          <cell r="M15" t="str">
            <v>24 HORAS CENTRALL</v>
          </cell>
          <cell r="N15">
            <v>6.4</v>
          </cell>
        </row>
        <row r="16">
          <cell r="H16" t="str">
            <v>24 HORAS AL DIAD</v>
          </cell>
          <cell r="I16">
            <v>3.9</v>
          </cell>
          <cell r="M16" t="str">
            <v>24 HORAS CENTRALM</v>
          </cell>
          <cell r="N16">
            <v>7.3</v>
          </cell>
        </row>
        <row r="17">
          <cell r="H17" t="str">
            <v>24 HORAS CENTRALLMWJVS</v>
          </cell>
          <cell r="I17">
            <v>6.1</v>
          </cell>
          <cell r="M17" t="str">
            <v>24 HORAS CENTRALW</v>
          </cell>
          <cell r="N17">
            <v>7.1</v>
          </cell>
        </row>
        <row r="18">
          <cell r="H18" t="str">
            <v>24 HORAS CENTRALS</v>
          </cell>
          <cell r="I18">
            <v>4.2</v>
          </cell>
          <cell r="M18" t="str">
            <v>24 HORAS CENTRALJ</v>
          </cell>
          <cell r="N18">
            <v>6.5</v>
          </cell>
        </row>
        <row r="19">
          <cell r="H19" t="str">
            <v>24 HORAS CENTRALV</v>
          </cell>
          <cell r="I19">
            <v>4.9000000000000004</v>
          </cell>
          <cell r="M19" t="str">
            <v>24 HORAS CENTRALV</v>
          </cell>
          <cell r="N19">
            <v>4.9000000000000004</v>
          </cell>
        </row>
        <row r="20">
          <cell r="H20" t="str">
            <v>24 HORAS CENTRALL</v>
          </cell>
          <cell r="I20">
            <v>6.4</v>
          </cell>
          <cell r="M20" t="str">
            <v>24 HORAS CENTRALMW</v>
          </cell>
          <cell r="N20">
            <v>7.1999999999999993</v>
          </cell>
        </row>
        <row r="21">
          <cell r="H21" t="str">
            <v>24 HORAS CENTRALJ</v>
          </cell>
          <cell r="I21">
            <v>6.5</v>
          </cell>
        </row>
        <row r="22">
          <cell r="H22" t="str">
            <v>24 HORAS CENTRALW</v>
          </cell>
          <cell r="I22">
            <v>7.1</v>
          </cell>
        </row>
        <row r="23">
          <cell r="H23" t="str">
            <v>24 HORAS CENTRALM</v>
          </cell>
          <cell r="I23">
            <v>7.3</v>
          </cell>
        </row>
        <row r="24">
          <cell r="H24" t="str">
            <v>24 HORAS DOMINGOD</v>
          </cell>
          <cell r="I24">
            <v>4.8</v>
          </cell>
        </row>
        <row r="25">
          <cell r="H25" t="str">
            <v>24 HORAS DOMINGOD</v>
          </cell>
          <cell r="I25">
            <v>4.8</v>
          </cell>
        </row>
        <row r="26">
          <cell r="H26" t="str">
            <v>24 HORAS EN LA MANANALMWJVD</v>
          </cell>
          <cell r="I26">
            <v>1.1000000000000001</v>
          </cell>
        </row>
        <row r="27">
          <cell r="H27" t="str">
            <v>24 HORAS EN LA MANANAD</v>
          </cell>
          <cell r="I27">
            <v>0.6</v>
          </cell>
        </row>
        <row r="28">
          <cell r="H28" t="str">
            <v>24 HORAS EN LA MANANAM</v>
          </cell>
          <cell r="I28">
            <v>0.9</v>
          </cell>
        </row>
        <row r="29">
          <cell r="H29" t="str">
            <v>24 HORAS EN LA MANANAJ</v>
          </cell>
          <cell r="I29">
            <v>1</v>
          </cell>
        </row>
        <row r="30">
          <cell r="H30" t="str">
            <v>24 HORAS EN LA MANANAW</v>
          </cell>
          <cell r="I30">
            <v>1.2</v>
          </cell>
        </row>
        <row r="31">
          <cell r="H31" t="str">
            <v>24 HORAS EN LA MANANAL</v>
          </cell>
          <cell r="I31">
            <v>1.2</v>
          </cell>
        </row>
        <row r="32">
          <cell r="H32" t="str">
            <v>24 HORAS EN LA MANANAV</v>
          </cell>
          <cell r="I32">
            <v>1.3</v>
          </cell>
        </row>
        <row r="33">
          <cell r="H33" t="str">
            <v>ABRE LOS OJOSM</v>
          </cell>
          <cell r="I33">
            <v>4.4000000000000004</v>
          </cell>
        </row>
        <row r="34">
          <cell r="H34" t="str">
            <v>ABRE LOS OJOSM</v>
          </cell>
          <cell r="I34">
            <v>4.4000000000000004</v>
          </cell>
        </row>
        <row r="35">
          <cell r="H35" t="str">
            <v>ALGUIEN TE MIRA (R)LMWJ</v>
          </cell>
          <cell r="I35">
            <v>1.3</v>
          </cell>
        </row>
        <row r="36">
          <cell r="H36" t="str">
            <v>ALGUIEN TE MIRA (R)M</v>
          </cell>
          <cell r="I36">
            <v>0.8</v>
          </cell>
        </row>
        <row r="37">
          <cell r="H37" t="str">
            <v>ALGUIEN TE MIRA (R)J</v>
          </cell>
          <cell r="I37">
            <v>1.2</v>
          </cell>
        </row>
        <row r="38">
          <cell r="H38" t="str">
            <v>ALGUIEN TE MIRA (R)L</v>
          </cell>
          <cell r="I38">
            <v>1.7</v>
          </cell>
        </row>
        <row r="39">
          <cell r="H39" t="str">
            <v>ALGUIEN TE MIRA (R)W</v>
          </cell>
          <cell r="I39">
            <v>1.7</v>
          </cell>
        </row>
        <row r="40">
          <cell r="H40" t="str">
            <v>AVANCE 24 HORASLVSD</v>
          </cell>
          <cell r="I40">
            <v>2.1</v>
          </cell>
        </row>
        <row r="41">
          <cell r="H41" t="str">
            <v>AVANCE 24 HORASL</v>
          </cell>
          <cell r="I41">
            <v>1.4</v>
          </cell>
        </row>
        <row r="42">
          <cell r="H42" t="str">
            <v>AVANCE 24 HORASD</v>
          </cell>
          <cell r="I42">
            <v>1.6</v>
          </cell>
        </row>
        <row r="43">
          <cell r="H43" t="str">
            <v>AVANCE 24 HORASS</v>
          </cell>
          <cell r="I43">
            <v>2.4</v>
          </cell>
        </row>
        <row r="44">
          <cell r="H44" t="str">
            <v>AVANCE 24 HORASV</v>
          </cell>
          <cell r="I44">
            <v>6.7</v>
          </cell>
        </row>
        <row r="45">
          <cell r="H45" t="str">
            <v>BUENOS DIAS A TODOS (A)LMWJV</v>
          </cell>
          <cell r="I45">
            <v>2.4</v>
          </cell>
        </row>
        <row r="46">
          <cell r="H46" t="str">
            <v>BUENOS DIAS A TODOS (A)W</v>
          </cell>
          <cell r="I46">
            <v>1.7</v>
          </cell>
        </row>
        <row r="47">
          <cell r="H47" t="str">
            <v>BUENOS DIAS A TODOS (A)L</v>
          </cell>
          <cell r="I47">
            <v>2.2999999999999998</v>
          </cell>
        </row>
        <row r="48">
          <cell r="H48" t="str">
            <v>BUENOS DIAS A TODOS (A)J</v>
          </cell>
          <cell r="I48">
            <v>2.4</v>
          </cell>
        </row>
        <row r="49">
          <cell r="H49" t="str">
            <v>BUENOS DIAS A TODOS (A)V</v>
          </cell>
          <cell r="I49">
            <v>2.5</v>
          </cell>
        </row>
        <row r="50">
          <cell r="H50" t="str">
            <v>BUENOS DIAS A TODOS (A)M</v>
          </cell>
          <cell r="I50">
            <v>2.8</v>
          </cell>
        </row>
        <row r="51">
          <cell r="H51" t="str">
            <v>BUENOS DIAS A TODOS (B)LMWJV</v>
          </cell>
          <cell r="I51">
            <v>3.5</v>
          </cell>
        </row>
        <row r="52">
          <cell r="H52" t="str">
            <v>BUENOS DIAS A TODOS (B)L</v>
          </cell>
          <cell r="I52">
            <v>2.7</v>
          </cell>
        </row>
        <row r="53">
          <cell r="H53" t="str">
            <v>BUENOS DIAS A TODOS (B)J</v>
          </cell>
          <cell r="I53">
            <v>2.9</v>
          </cell>
        </row>
        <row r="54">
          <cell r="H54" t="str">
            <v>BUENOS DIAS A TODOS (B)M</v>
          </cell>
          <cell r="I54">
            <v>3.6</v>
          </cell>
        </row>
        <row r="55">
          <cell r="H55" t="str">
            <v>BUENOS DIAS A TODOS (B)W</v>
          </cell>
          <cell r="I55">
            <v>3.7</v>
          </cell>
        </row>
        <row r="56">
          <cell r="H56" t="str">
            <v>BUENOS DIAS A TODOS (B)V</v>
          </cell>
          <cell r="I56">
            <v>4.3</v>
          </cell>
        </row>
        <row r="57">
          <cell r="H57" t="str">
            <v>BUENOS DIAS A TODOS (C)LMWJV</v>
          </cell>
          <cell r="I57">
            <v>3.5</v>
          </cell>
        </row>
        <row r="58">
          <cell r="H58" t="str">
            <v>BUENOS DIAS A TODOS (C)L</v>
          </cell>
          <cell r="I58">
            <v>3</v>
          </cell>
        </row>
        <row r="59">
          <cell r="H59" t="str">
            <v>BUENOS DIAS A TODOS (C)J</v>
          </cell>
          <cell r="I59">
            <v>3.3</v>
          </cell>
        </row>
        <row r="60">
          <cell r="H60" t="str">
            <v>BUENOS DIAS A TODOS (C)W</v>
          </cell>
          <cell r="I60">
            <v>3.6</v>
          </cell>
        </row>
        <row r="61">
          <cell r="H61" t="str">
            <v>BUENOS DIAS A TODOS (C)M</v>
          </cell>
          <cell r="I61">
            <v>3.7</v>
          </cell>
        </row>
        <row r="62">
          <cell r="H62" t="str">
            <v>BUENOS DIAS A TODOS (C)V</v>
          </cell>
          <cell r="I62">
            <v>4</v>
          </cell>
        </row>
        <row r="63">
          <cell r="H63" t="str">
            <v>BUENOS DIAS A TODOS (D)LMWJV</v>
          </cell>
          <cell r="I63">
            <v>2.6</v>
          </cell>
        </row>
        <row r="64">
          <cell r="H64" t="str">
            <v>BUENOS DIAS A TODOS (D)L</v>
          </cell>
          <cell r="I64">
            <v>2.2999999999999998</v>
          </cell>
        </row>
        <row r="65">
          <cell r="H65" t="str">
            <v>BUENOS DIAS A TODOS (D)M</v>
          </cell>
          <cell r="I65">
            <v>2.5</v>
          </cell>
        </row>
        <row r="66">
          <cell r="H66" t="str">
            <v>BUENOS DIAS A TODOS (D)W</v>
          </cell>
          <cell r="I66">
            <v>2.5</v>
          </cell>
        </row>
        <row r="67">
          <cell r="H67" t="str">
            <v>BUENOS DIAS A TODOS (D)J</v>
          </cell>
          <cell r="I67">
            <v>2.6</v>
          </cell>
        </row>
        <row r="68">
          <cell r="H68" t="str">
            <v>BUENOS DIAS A TODOS (D)V</v>
          </cell>
          <cell r="I68">
            <v>2.9</v>
          </cell>
        </row>
        <row r="69">
          <cell r="H69" t="str">
            <v>BUENOS DIAS A TODOS EN DOMINGOD</v>
          </cell>
          <cell r="I69">
            <v>1.1000000000000001</v>
          </cell>
        </row>
        <row r="70">
          <cell r="H70" t="str">
            <v>BUENOS DIAS A TODOS EN DOMINGOD</v>
          </cell>
          <cell r="I70">
            <v>1.1000000000000001</v>
          </cell>
        </row>
        <row r="71">
          <cell r="H71" t="str">
            <v>CALLE 7LMWJV</v>
          </cell>
          <cell r="I71">
            <v>2.1</v>
          </cell>
        </row>
        <row r="72">
          <cell r="H72" t="str">
            <v>CALLE 7W</v>
          </cell>
          <cell r="I72">
            <v>1.8</v>
          </cell>
        </row>
        <row r="73">
          <cell r="H73" t="str">
            <v>CALLE 7L</v>
          </cell>
          <cell r="I73">
            <v>2</v>
          </cell>
        </row>
        <row r="74">
          <cell r="H74" t="str">
            <v>CALLE 7J</v>
          </cell>
          <cell r="I74">
            <v>2</v>
          </cell>
        </row>
        <row r="75">
          <cell r="H75" t="str">
            <v>CALLE 7V</v>
          </cell>
          <cell r="I75">
            <v>2.2000000000000002</v>
          </cell>
        </row>
        <row r="76">
          <cell r="H76" t="str">
            <v>CALLE 7M</v>
          </cell>
          <cell r="I76">
            <v>2.2999999999999998</v>
          </cell>
        </row>
        <row r="77">
          <cell r="H77" t="str">
            <v>CANAL 24 HORASL</v>
          </cell>
          <cell r="I77">
            <v>0.9</v>
          </cell>
        </row>
        <row r="78">
          <cell r="H78" t="str">
            <v>CANAL 24 HORASL</v>
          </cell>
          <cell r="I78">
            <v>0.9</v>
          </cell>
        </row>
        <row r="79">
          <cell r="H79" t="str">
            <v>CHILE CONECTADOD</v>
          </cell>
          <cell r="I79">
            <v>2.2999999999999998</v>
          </cell>
        </row>
        <row r="80">
          <cell r="H80" t="str">
            <v>CHILE CONECTADOD</v>
          </cell>
          <cell r="I80">
            <v>2.2999999999999998</v>
          </cell>
        </row>
        <row r="81">
          <cell r="H81" t="str">
            <v>CINE TOTALV</v>
          </cell>
          <cell r="I81">
            <v>2.1</v>
          </cell>
        </row>
        <row r="82">
          <cell r="H82" t="str">
            <v>CINE TOTALV</v>
          </cell>
          <cell r="I82">
            <v>2.1</v>
          </cell>
        </row>
        <row r="83">
          <cell r="H83" t="str">
            <v>COMPLICES (R)LMWJV</v>
          </cell>
          <cell r="I83">
            <v>1.7</v>
          </cell>
        </row>
        <row r="84">
          <cell r="H84" t="str">
            <v>COMPLICES (R)V</v>
          </cell>
          <cell r="I84">
            <v>1.3</v>
          </cell>
        </row>
        <row r="85">
          <cell r="H85" t="str">
            <v>COMPLICES (R)W</v>
          </cell>
          <cell r="I85">
            <v>1.5</v>
          </cell>
        </row>
        <row r="86">
          <cell r="H86" t="str">
            <v>COMPLICES (R)M</v>
          </cell>
          <cell r="I86">
            <v>1.5</v>
          </cell>
        </row>
        <row r="87">
          <cell r="H87" t="str">
            <v>COMPLICES (R)L</v>
          </cell>
          <cell r="I87">
            <v>1.9</v>
          </cell>
        </row>
        <row r="88">
          <cell r="H88" t="str">
            <v>COMPLICES (R)J</v>
          </cell>
          <cell r="I88">
            <v>2.2999999999999998</v>
          </cell>
        </row>
        <row r="89">
          <cell r="H89" t="str">
            <v>CONDE VROLOKLMWJ</v>
          </cell>
          <cell r="I89">
            <v>7.3</v>
          </cell>
        </row>
        <row r="90">
          <cell r="H90" t="str">
            <v>CONDE VROLOKL</v>
          </cell>
          <cell r="I90">
            <v>6.8</v>
          </cell>
        </row>
        <row r="91">
          <cell r="H91" t="str">
            <v>CONDE VROLOKM</v>
          </cell>
          <cell r="I91">
            <v>6.8</v>
          </cell>
        </row>
        <row r="92">
          <cell r="H92" t="str">
            <v>CONDE VROLOKW</v>
          </cell>
          <cell r="I92">
            <v>7.4</v>
          </cell>
        </row>
        <row r="93">
          <cell r="H93" t="str">
            <v>CONDE VROLOKJ</v>
          </cell>
          <cell r="I93">
            <v>8.1</v>
          </cell>
        </row>
        <row r="94">
          <cell r="H94" t="str">
            <v>COPA DAVISLSD</v>
          </cell>
          <cell r="I94">
            <v>3.1</v>
          </cell>
        </row>
        <row r="95">
          <cell r="H95" t="str">
            <v>COPA DAVISS</v>
          </cell>
          <cell r="I95">
            <v>1.9</v>
          </cell>
        </row>
        <row r="96">
          <cell r="H96" t="str">
            <v>COPA DAVISL</v>
          </cell>
          <cell r="I96">
            <v>2.5</v>
          </cell>
        </row>
        <row r="97">
          <cell r="H97" t="str">
            <v>COPA DAVISD</v>
          </cell>
          <cell r="I97">
            <v>5.3</v>
          </cell>
        </row>
        <row r="98">
          <cell r="H98" t="str">
            <v>CUANDO SEAS MIALMWJV</v>
          </cell>
          <cell r="I98">
            <v>1.8</v>
          </cell>
        </row>
        <row r="99">
          <cell r="H99" t="str">
            <v>CUANDO SEAS MIAV</v>
          </cell>
          <cell r="I99">
            <v>1.4</v>
          </cell>
        </row>
        <row r="100">
          <cell r="H100" t="str">
            <v>CUANDO SEAS MIAM</v>
          </cell>
          <cell r="I100">
            <v>1.5</v>
          </cell>
        </row>
        <row r="101">
          <cell r="H101" t="str">
            <v>CUANDO SEAS MIAW</v>
          </cell>
          <cell r="I101">
            <v>1.7</v>
          </cell>
        </row>
        <row r="102">
          <cell r="H102" t="str">
            <v>CUANDO SEAS MIAL</v>
          </cell>
          <cell r="I102">
            <v>1.9</v>
          </cell>
        </row>
        <row r="103">
          <cell r="H103" t="str">
            <v>CUANDO SEAS MIAJ</v>
          </cell>
          <cell r="I103">
            <v>2.2999999999999998</v>
          </cell>
        </row>
        <row r="104">
          <cell r="H104" t="str">
            <v>DOCTOR HOUSED</v>
          </cell>
          <cell r="I104">
            <v>3.8</v>
          </cell>
        </row>
        <row r="105">
          <cell r="H105" t="str">
            <v>DOCTOR HOUSED</v>
          </cell>
          <cell r="I105">
            <v>3.8</v>
          </cell>
        </row>
        <row r="106">
          <cell r="H106" t="str">
            <v>DOCTOR HOUSE (R)D</v>
          </cell>
          <cell r="I106">
            <v>2.9</v>
          </cell>
        </row>
        <row r="107">
          <cell r="H107" t="str">
            <v>DOCTOR HOUSE (R)D</v>
          </cell>
          <cell r="I107">
            <v>2.9</v>
          </cell>
        </row>
        <row r="108">
          <cell r="H108" t="str">
            <v>EL ENCANTADOR DE PERROSS</v>
          </cell>
          <cell r="I108">
            <v>3.3</v>
          </cell>
        </row>
        <row r="109">
          <cell r="H109" t="str">
            <v>EL ENCANTADOR DE PERROSS</v>
          </cell>
          <cell r="I109">
            <v>3.3</v>
          </cell>
        </row>
        <row r="110">
          <cell r="H110" t="str">
            <v>EL ENCANTADOR DE PERROS (R)S</v>
          </cell>
          <cell r="I110">
            <v>0.7</v>
          </cell>
        </row>
        <row r="111">
          <cell r="H111" t="str">
            <v>EL ENCANTADOR DE PERROS (R)S</v>
          </cell>
          <cell r="I111">
            <v>0.7</v>
          </cell>
        </row>
        <row r="112">
          <cell r="H112" t="str">
            <v>EL MENU DE TEVITOLMWJVS</v>
          </cell>
          <cell r="I112">
            <v>1.8</v>
          </cell>
        </row>
        <row r="113">
          <cell r="H113" t="str">
            <v>EL MENU DE TEVITOM</v>
          </cell>
          <cell r="I113">
            <v>1.4</v>
          </cell>
        </row>
        <row r="114">
          <cell r="H114" t="str">
            <v>EL MENU DE TEVITOS</v>
          </cell>
          <cell r="I114">
            <v>1.6</v>
          </cell>
        </row>
        <row r="115">
          <cell r="H115" t="str">
            <v>EL MENU DE TEVITOW</v>
          </cell>
          <cell r="I115">
            <v>1.8</v>
          </cell>
        </row>
        <row r="116">
          <cell r="H116" t="str">
            <v>EL MENU DE TEVITOJ</v>
          </cell>
          <cell r="I116">
            <v>1.9</v>
          </cell>
        </row>
        <row r="117">
          <cell r="H117" t="str">
            <v>EL MENU DE TEVITOL</v>
          </cell>
          <cell r="I117">
            <v>2.1</v>
          </cell>
        </row>
        <row r="118">
          <cell r="H118" t="str">
            <v>EL MENU DE TEVITOV</v>
          </cell>
          <cell r="I118">
            <v>2.2000000000000002</v>
          </cell>
        </row>
        <row r="119">
          <cell r="H119" t="str">
            <v>EL VUELO DEL HALCON CAMINO ALLD</v>
          </cell>
          <cell r="I119">
            <v>3.5</v>
          </cell>
        </row>
        <row r="120">
          <cell r="H120" t="str">
            <v>EL VUELO DEL HALCON CAMINO ALL</v>
          </cell>
          <cell r="I120">
            <v>1.7</v>
          </cell>
        </row>
        <row r="121">
          <cell r="H121" t="str">
            <v>EL VUELO DEL HALCON CAMINO ALD</v>
          </cell>
          <cell r="I121">
            <v>4.3</v>
          </cell>
        </row>
        <row r="122">
          <cell r="H122" t="str">
            <v>ENTRE PROGRAMASLMWJVD</v>
          </cell>
          <cell r="I122">
            <v>4.3</v>
          </cell>
        </row>
        <row r="123">
          <cell r="H123" t="str">
            <v>ENTRE PROGRAMASW</v>
          </cell>
          <cell r="I123">
            <v>2.7</v>
          </cell>
        </row>
        <row r="124">
          <cell r="H124" t="str">
            <v>ENTRE PROGRAMASD</v>
          </cell>
          <cell r="I124">
            <v>3</v>
          </cell>
        </row>
        <row r="125">
          <cell r="H125" t="str">
            <v>ENTRE PROGRAMASJ</v>
          </cell>
          <cell r="I125">
            <v>3.7</v>
          </cell>
        </row>
        <row r="126">
          <cell r="H126" t="str">
            <v>ENTRE PROGRAMASL</v>
          </cell>
          <cell r="I126">
            <v>5.4</v>
          </cell>
        </row>
        <row r="127">
          <cell r="H127" t="str">
            <v>ENTRE PROGRAMASV</v>
          </cell>
          <cell r="I127">
            <v>7.7</v>
          </cell>
        </row>
        <row r="128">
          <cell r="H128" t="str">
            <v>ENTRE PROGRAMASM</v>
          </cell>
          <cell r="I128">
            <v>10</v>
          </cell>
        </row>
        <row r="129">
          <cell r="H129" t="str">
            <v>ESPECIAL DE PRENSAM</v>
          </cell>
          <cell r="I129">
            <v>0.8</v>
          </cell>
        </row>
        <row r="130">
          <cell r="H130" t="str">
            <v>ESPECIAL DE PRENSAM</v>
          </cell>
          <cell r="I130">
            <v>0.8</v>
          </cell>
        </row>
        <row r="131">
          <cell r="H131" t="str">
            <v>ESPECIAL PRENSA CANAL 24 HORASLMWJD</v>
          </cell>
          <cell r="I131">
            <v>2.2000000000000002</v>
          </cell>
        </row>
        <row r="132">
          <cell r="H132" t="str">
            <v>ESPECIAL PRENSA CANAL 24 HORASW</v>
          </cell>
          <cell r="I132">
            <v>1.8</v>
          </cell>
        </row>
        <row r="133">
          <cell r="H133" t="str">
            <v>ESPECIAL PRENSA CANAL 24 HORASM</v>
          </cell>
          <cell r="I133">
            <v>1.8</v>
          </cell>
        </row>
        <row r="134">
          <cell r="H134" t="str">
            <v>ESPECIAL PRENSA CANAL 24 HORASJ</v>
          </cell>
          <cell r="I134">
            <v>2.1</v>
          </cell>
        </row>
        <row r="135">
          <cell r="H135" t="str">
            <v>ESPECIAL PRENSA CANAL 24 HORASL</v>
          </cell>
          <cell r="I135">
            <v>2.4</v>
          </cell>
        </row>
        <row r="136">
          <cell r="H136" t="str">
            <v>ESPECIAL PRENSA CANAL 24 HORASD</v>
          </cell>
          <cell r="I136">
            <v>3.9</v>
          </cell>
        </row>
        <row r="137">
          <cell r="H137" t="str">
            <v>FESTIVAL DE VINA DEL MARLMWJV</v>
          </cell>
          <cell r="I137">
            <v>7.8</v>
          </cell>
        </row>
        <row r="138">
          <cell r="H138" t="str">
            <v>FESTIVAL DE VINA DEL MARV</v>
          </cell>
          <cell r="I138">
            <v>7.1</v>
          </cell>
        </row>
        <row r="139">
          <cell r="H139" t="str">
            <v>FESTIVAL DE VINA DEL MARW</v>
          </cell>
          <cell r="I139">
            <v>7.7</v>
          </cell>
        </row>
        <row r="140">
          <cell r="H140" t="str">
            <v>FESTIVAL DE VINA DEL MARL</v>
          </cell>
          <cell r="I140">
            <v>8</v>
          </cell>
        </row>
        <row r="141">
          <cell r="H141" t="str">
            <v>FESTIVAL DE VINA DEL MARJ</v>
          </cell>
          <cell r="I141">
            <v>8.1</v>
          </cell>
        </row>
        <row r="142">
          <cell r="H142" t="str">
            <v>FESTIVAL DE VINA DEL MARM</v>
          </cell>
          <cell r="I142">
            <v>8.1</v>
          </cell>
        </row>
        <row r="143">
          <cell r="H143" t="str">
            <v>FRUTOS DEL PAISD</v>
          </cell>
          <cell r="I143">
            <v>2</v>
          </cell>
        </row>
        <row r="144">
          <cell r="H144" t="str">
            <v>FRUTOS DEL PAISD</v>
          </cell>
          <cell r="I144">
            <v>2</v>
          </cell>
        </row>
        <row r="145">
          <cell r="H145" t="str">
            <v>FRUTOS DEL PAIS (R)D</v>
          </cell>
          <cell r="I145">
            <v>2.2999999999999998</v>
          </cell>
        </row>
        <row r="146">
          <cell r="H146" t="str">
            <v>FRUTOS DEL PAIS (R)D</v>
          </cell>
          <cell r="I146">
            <v>2.2999999999999998</v>
          </cell>
        </row>
        <row r="147">
          <cell r="H147" t="str">
            <v>FUERZA CHILELMWJVD</v>
          </cell>
          <cell r="I147">
            <v>2.5</v>
          </cell>
        </row>
        <row r="148">
          <cell r="H148" t="str">
            <v>FUERZA CHILEL</v>
          </cell>
          <cell r="I148">
            <v>1.9</v>
          </cell>
        </row>
        <row r="149">
          <cell r="H149" t="str">
            <v>FUERZA CHILEV</v>
          </cell>
          <cell r="I149">
            <v>1.9</v>
          </cell>
        </row>
        <row r="150">
          <cell r="H150" t="str">
            <v>FUERZA CHILEM</v>
          </cell>
          <cell r="I150">
            <v>2.2000000000000002</v>
          </cell>
        </row>
        <row r="151">
          <cell r="H151" t="str">
            <v>FUERZA CHILEW</v>
          </cell>
          <cell r="I151">
            <v>3.1</v>
          </cell>
        </row>
        <row r="152">
          <cell r="H152" t="str">
            <v>FUERZA CHILEJ</v>
          </cell>
          <cell r="I152">
            <v>3.2</v>
          </cell>
        </row>
        <row r="153">
          <cell r="H153" t="str">
            <v>FUERZA CHILED</v>
          </cell>
          <cell r="I153">
            <v>4.0999999999999996</v>
          </cell>
        </row>
        <row r="154">
          <cell r="H154" t="str">
            <v>HOMBRE AL AGUA (R)S</v>
          </cell>
          <cell r="I154">
            <v>1</v>
          </cell>
        </row>
        <row r="155">
          <cell r="H155" t="str">
            <v>HOMBRE AL AGUA (R)S</v>
          </cell>
          <cell r="I155">
            <v>1</v>
          </cell>
        </row>
        <row r="156">
          <cell r="H156" t="str">
            <v>JUEGOS OLIMPICOS INVIER VANCOULMWJVSD</v>
          </cell>
          <cell r="I156">
            <v>2.4</v>
          </cell>
        </row>
        <row r="157">
          <cell r="H157" t="str">
            <v>JUEGOS OLIMPICOS INVIER VANCOUW</v>
          </cell>
          <cell r="I157">
            <v>1.6</v>
          </cell>
        </row>
        <row r="158">
          <cell r="H158" t="str">
            <v>JUEGOS OLIMPICOS INVIER VANCOUM</v>
          </cell>
          <cell r="I158">
            <v>1.9</v>
          </cell>
        </row>
        <row r="159">
          <cell r="H159" t="str">
            <v>JUEGOS OLIMPICOS INVIER VANCOUV</v>
          </cell>
          <cell r="I159">
            <v>2.1</v>
          </cell>
        </row>
        <row r="160">
          <cell r="H160" t="str">
            <v>JUEGOS OLIMPICOS INVIER VANCOUL</v>
          </cell>
          <cell r="I160">
            <v>2.5</v>
          </cell>
        </row>
        <row r="161">
          <cell r="H161" t="str">
            <v>JUEGOS OLIMPICOS INVIER VANCOUD</v>
          </cell>
          <cell r="I161">
            <v>2.7</v>
          </cell>
        </row>
        <row r="162">
          <cell r="H162" t="str">
            <v>JUEGOS OLIMPICOS INVIER VANCOUS</v>
          </cell>
          <cell r="I162">
            <v>2.7</v>
          </cell>
        </row>
        <row r="163">
          <cell r="H163" t="str">
            <v>JUEGOS OLIMPICOS INVIER VANCOUJ</v>
          </cell>
          <cell r="I163">
            <v>3.6</v>
          </cell>
        </row>
        <row r="164">
          <cell r="H164" t="str">
            <v>LA CULTURA ENTRETENIDAD</v>
          </cell>
          <cell r="I164">
            <v>1.9</v>
          </cell>
        </row>
        <row r="165">
          <cell r="H165" t="str">
            <v>LA CULTURA ENTRETENIDAD</v>
          </cell>
          <cell r="I165">
            <v>1.9</v>
          </cell>
        </row>
        <row r="166">
          <cell r="H166" t="str">
            <v>LA RUTA DE CHILED</v>
          </cell>
          <cell r="I166">
            <v>4.0999999999999996</v>
          </cell>
        </row>
        <row r="167">
          <cell r="H167" t="str">
            <v>LA RUTA DE CHILED</v>
          </cell>
          <cell r="I167">
            <v>4.0999999999999996</v>
          </cell>
        </row>
        <row r="168">
          <cell r="H168" t="str">
            <v>LOS ANGELES DE ESTELALMWJV</v>
          </cell>
          <cell r="I168">
            <v>5.0999999999999996</v>
          </cell>
        </row>
        <row r="169">
          <cell r="H169" t="str">
            <v>LOS ANGELES DE ESTELAW</v>
          </cell>
          <cell r="I169">
            <v>4.5</v>
          </cell>
        </row>
        <row r="170">
          <cell r="H170" t="str">
            <v>LOS ANGELES DE ESTELAV</v>
          </cell>
          <cell r="I170">
            <v>4.9000000000000004</v>
          </cell>
        </row>
        <row r="171">
          <cell r="H171" t="str">
            <v>LOS ANGELES DE ESTELAJ</v>
          </cell>
          <cell r="I171">
            <v>5.2</v>
          </cell>
        </row>
        <row r="172">
          <cell r="H172" t="str">
            <v>LOS ANGELES DE ESTELAL</v>
          </cell>
          <cell r="I172">
            <v>5.6</v>
          </cell>
        </row>
        <row r="173">
          <cell r="H173" t="str">
            <v>LOS ANGELES DE ESTELAM</v>
          </cell>
          <cell r="I173">
            <v>5.7</v>
          </cell>
        </row>
        <row r="174">
          <cell r="H174" t="str">
            <v>LOS ANGELES DE ESTELA (RESUMENLMWJVD</v>
          </cell>
          <cell r="I174">
            <v>3</v>
          </cell>
        </row>
        <row r="175">
          <cell r="H175" t="str">
            <v>LOS ANGELES DE ESTELA (RESUMEND</v>
          </cell>
          <cell r="I175">
            <v>1.8</v>
          </cell>
        </row>
        <row r="176">
          <cell r="H176" t="str">
            <v>LOS ANGELES DE ESTELA (RESUMENW</v>
          </cell>
          <cell r="I176">
            <v>2.2999999999999998</v>
          </cell>
        </row>
        <row r="177">
          <cell r="H177" t="str">
            <v>LOS ANGELES DE ESTELA (RESUMENM</v>
          </cell>
          <cell r="I177">
            <v>3.2</v>
          </cell>
        </row>
        <row r="178">
          <cell r="H178" t="str">
            <v>LOS ANGELES DE ESTELA (RESUMENV</v>
          </cell>
          <cell r="I178">
            <v>3.2</v>
          </cell>
        </row>
        <row r="179">
          <cell r="H179" t="str">
            <v>LOS ANGELES DE ESTELA (RESUMENJ</v>
          </cell>
          <cell r="I179">
            <v>4.0999999999999996</v>
          </cell>
        </row>
        <row r="180">
          <cell r="H180" t="str">
            <v>LOS ANGELES DE ESTELA (RESUMENL</v>
          </cell>
          <cell r="I180">
            <v>4.2</v>
          </cell>
        </row>
        <row r="181">
          <cell r="H181" t="str">
            <v>LOS VENEGAS (R)LMWJV</v>
          </cell>
          <cell r="I181">
            <v>1.8</v>
          </cell>
        </row>
        <row r="182">
          <cell r="H182" t="str">
            <v>LOS VENEGAS (R)L</v>
          </cell>
          <cell r="I182">
            <v>1.6</v>
          </cell>
        </row>
        <row r="183">
          <cell r="H183" t="str">
            <v>LOS VENEGAS (R)W</v>
          </cell>
          <cell r="I183">
            <v>1.7</v>
          </cell>
        </row>
        <row r="184">
          <cell r="H184" t="str">
            <v>LOS VENEGAS (R)M</v>
          </cell>
          <cell r="I184">
            <v>1.9</v>
          </cell>
        </row>
        <row r="185">
          <cell r="H185" t="str">
            <v>LOS VENEGAS (R)V</v>
          </cell>
          <cell r="I185">
            <v>2</v>
          </cell>
        </row>
        <row r="186">
          <cell r="H186" t="str">
            <v>LOS VENEGAS (R)J</v>
          </cell>
          <cell r="I186">
            <v>2.1</v>
          </cell>
        </row>
        <row r="187">
          <cell r="H187" t="str">
            <v>MEDIA NOCHELMWJV</v>
          </cell>
          <cell r="I187">
            <v>2.9</v>
          </cell>
        </row>
        <row r="188">
          <cell r="H188" t="str">
            <v>MEDIA NOCHEM</v>
          </cell>
          <cell r="I188">
            <v>2</v>
          </cell>
        </row>
        <row r="189">
          <cell r="H189" t="str">
            <v>MEDIA NOCHEJ</v>
          </cell>
          <cell r="I189">
            <v>2.5</v>
          </cell>
        </row>
        <row r="190">
          <cell r="H190" t="str">
            <v>MEDIA NOCHEL</v>
          </cell>
          <cell r="I190">
            <v>2.7</v>
          </cell>
        </row>
        <row r="191">
          <cell r="H191" t="str">
            <v>MEDIA NOCHEV</v>
          </cell>
          <cell r="I191">
            <v>3.4</v>
          </cell>
        </row>
        <row r="192">
          <cell r="H192" t="str">
            <v>MEDIA NOCHEW</v>
          </cell>
          <cell r="I192">
            <v>4</v>
          </cell>
        </row>
        <row r="193">
          <cell r="H193" t="str">
            <v>PELOTONLMWJ</v>
          </cell>
          <cell r="I193">
            <v>5.9</v>
          </cell>
        </row>
        <row r="194">
          <cell r="H194" t="str">
            <v>PELOTONJ</v>
          </cell>
          <cell r="I194">
            <v>4.8</v>
          </cell>
        </row>
        <row r="195">
          <cell r="H195" t="str">
            <v>PELOTONM</v>
          </cell>
          <cell r="I195">
            <v>5.7</v>
          </cell>
        </row>
        <row r="196">
          <cell r="H196" t="str">
            <v>PELOTONL</v>
          </cell>
          <cell r="I196">
            <v>6.5</v>
          </cell>
        </row>
        <row r="197">
          <cell r="H197" t="str">
            <v>PELOTONW</v>
          </cell>
          <cell r="I197">
            <v>6.8</v>
          </cell>
        </row>
        <row r="198">
          <cell r="H198" t="str">
            <v>PELOTON (RESUMEN)LMWJV</v>
          </cell>
          <cell r="I198">
            <v>1.8</v>
          </cell>
        </row>
        <row r="199">
          <cell r="H199" t="str">
            <v>PELOTON (RESUMEN)M</v>
          </cell>
          <cell r="I199">
            <v>1.2</v>
          </cell>
        </row>
        <row r="200">
          <cell r="H200" t="str">
            <v>PELOTON (RESUMEN)W</v>
          </cell>
          <cell r="I200">
            <v>1.5</v>
          </cell>
        </row>
        <row r="201">
          <cell r="H201" t="str">
            <v>PELOTON (RESUMEN)V</v>
          </cell>
          <cell r="I201">
            <v>1.5</v>
          </cell>
        </row>
        <row r="202">
          <cell r="H202" t="str">
            <v>PELOTON (RESUMEN)J</v>
          </cell>
          <cell r="I202">
            <v>2.2000000000000002</v>
          </cell>
        </row>
        <row r="203">
          <cell r="H203" t="str">
            <v>PELOTON (RESUMEN)L</v>
          </cell>
          <cell r="I203">
            <v>2.8</v>
          </cell>
        </row>
        <row r="204">
          <cell r="H204" t="str">
            <v>PELOTON CODIGO DE HONORV</v>
          </cell>
          <cell r="I204">
            <v>4.3</v>
          </cell>
        </row>
        <row r="205">
          <cell r="H205" t="str">
            <v>PELOTON CODIGO DE HONORV</v>
          </cell>
          <cell r="I205">
            <v>4.3</v>
          </cell>
        </row>
        <row r="206">
          <cell r="H206" t="str">
            <v>PELOTON PMLMWJV</v>
          </cell>
          <cell r="I206">
            <v>1.7</v>
          </cell>
        </row>
        <row r="207">
          <cell r="H207" t="str">
            <v>PELOTON PMV</v>
          </cell>
          <cell r="I207">
            <v>1</v>
          </cell>
        </row>
        <row r="208">
          <cell r="H208" t="str">
            <v>PELOTON PMM</v>
          </cell>
          <cell r="I208">
            <v>1.2</v>
          </cell>
        </row>
        <row r="209">
          <cell r="H209" t="str">
            <v>PELOTON PML</v>
          </cell>
          <cell r="I209">
            <v>1.9</v>
          </cell>
        </row>
        <row r="210">
          <cell r="H210" t="str">
            <v>PELOTON PMW</v>
          </cell>
          <cell r="I210">
            <v>1.9</v>
          </cell>
        </row>
        <row r="211">
          <cell r="H211" t="str">
            <v>PELOTON PMJ</v>
          </cell>
          <cell r="I211">
            <v>2.8</v>
          </cell>
        </row>
        <row r="212">
          <cell r="H212" t="str">
            <v>PELOTON SABADOS</v>
          </cell>
          <cell r="I212">
            <v>4.8</v>
          </cell>
        </row>
        <row r="213">
          <cell r="H213" t="str">
            <v>PELOTON SABADOS</v>
          </cell>
          <cell r="I213">
            <v>4.8</v>
          </cell>
        </row>
        <row r="214">
          <cell r="H214" t="str">
            <v>PELOTON VERANOLMWJV</v>
          </cell>
          <cell r="I214">
            <v>1.6</v>
          </cell>
        </row>
        <row r="215">
          <cell r="H215" t="str">
            <v>PELOTON VERANOL</v>
          </cell>
          <cell r="I215">
            <v>1.2</v>
          </cell>
        </row>
        <row r="216">
          <cell r="H216" t="str">
            <v>PELOTON VERANOM</v>
          </cell>
          <cell r="I216">
            <v>1.3</v>
          </cell>
        </row>
        <row r="217">
          <cell r="H217" t="str">
            <v>PELOTON VERANOW</v>
          </cell>
          <cell r="I217">
            <v>1.3</v>
          </cell>
        </row>
        <row r="218">
          <cell r="H218" t="str">
            <v>PELOTON VERANOV</v>
          </cell>
          <cell r="I218">
            <v>1.6</v>
          </cell>
        </row>
        <row r="219">
          <cell r="H219" t="str">
            <v>PELOTON VERANOJ</v>
          </cell>
          <cell r="I219">
            <v>2.4</v>
          </cell>
        </row>
        <row r="220">
          <cell r="H220" t="str">
            <v>POP CORNSD</v>
          </cell>
          <cell r="I220">
            <v>1</v>
          </cell>
        </row>
        <row r="221">
          <cell r="H221" t="str">
            <v>POP CORNS</v>
          </cell>
          <cell r="I221">
            <v>0.9</v>
          </cell>
        </row>
        <row r="222">
          <cell r="H222" t="str">
            <v>POP CORND</v>
          </cell>
          <cell r="I222">
            <v>1.5</v>
          </cell>
        </row>
        <row r="223">
          <cell r="H223" t="str">
            <v>SUPER CINESD</v>
          </cell>
          <cell r="I223">
            <v>1.4</v>
          </cell>
        </row>
        <row r="224">
          <cell r="H224" t="str">
            <v>SUPER CINED</v>
          </cell>
          <cell r="I224">
            <v>1.4</v>
          </cell>
        </row>
        <row r="225">
          <cell r="H225" t="str">
            <v>SUPER CINES</v>
          </cell>
          <cell r="I225">
            <v>1.4</v>
          </cell>
        </row>
        <row r="226">
          <cell r="H226" t="str">
            <v>TELETON CHILE AYUDA A CHILEVS</v>
          </cell>
          <cell r="I226">
            <v>4.3</v>
          </cell>
        </row>
        <row r="227">
          <cell r="H227" t="str">
            <v>TELETON CHILE AYUDA A CHILES</v>
          </cell>
          <cell r="I227">
            <v>3.7</v>
          </cell>
        </row>
        <row r="228">
          <cell r="H228" t="str">
            <v>TELETON CHILE AYUDA A CHILEV</v>
          </cell>
          <cell r="I228">
            <v>5.4</v>
          </cell>
        </row>
        <row r="229">
          <cell r="H229" t="str">
            <v>TENIS FUTUROD</v>
          </cell>
          <cell r="I229">
            <v>0.9</v>
          </cell>
        </row>
        <row r="230">
          <cell r="H230" t="str">
            <v>TENIS FUTUROD</v>
          </cell>
          <cell r="I230">
            <v>0.9</v>
          </cell>
        </row>
        <row r="231">
          <cell r="H231" t="str">
            <v>TERREMOTO EN CHILELS</v>
          </cell>
          <cell r="I231">
            <v>1.3</v>
          </cell>
        </row>
        <row r="232">
          <cell r="H232" t="str">
            <v>TERREMOTO EN CHILES</v>
          </cell>
          <cell r="I232">
            <v>0.9</v>
          </cell>
        </row>
        <row r="233">
          <cell r="H233" t="str">
            <v>TERREMOTO EN CHILEL</v>
          </cell>
          <cell r="I233">
            <v>3</v>
          </cell>
        </row>
        <row r="234">
          <cell r="H234" t="str">
            <v>TRONIASD</v>
          </cell>
          <cell r="I234">
            <v>0.3</v>
          </cell>
        </row>
        <row r="235">
          <cell r="H235" t="str">
            <v>TRONIAD</v>
          </cell>
          <cell r="I235">
            <v>0.1</v>
          </cell>
        </row>
        <row r="236">
          <cell r="H236" t="str">
            <v>TRONIAS</v>
          </cell>
          <cell r="I236">
            <v>0.3</v>
          </cell>
        </row>
        <row r="237">
          <cell r="H237" t="str">
            <v>TV TIEMPOLMWJVSD</v>
          </cell>
          <cell r="I237">
            <v>6.1</v>
          </cell>
        </row>
        <row r="238">
          <cell r="H238" t="str">
            <v>TV TIEMPOS</v>
          </cell>
          <cell r="I238">
            <v>3.7</v>
          </cell>
        </row>
        <row r="239">
          <cell r="H239" t="str">
            <v>TV TIEMPOD</v>
          </cell>
          <cell r="I239">
            <v>5</v>
          </cell>
        </row>
        <row r="240">
          <cell r="H240" t="str">
            <v>TV TIEMPOV</v>
          </cell>
          <cell r="I240">
            <v>6</v>
          </cell>
        </row>
        <row r="241">
          <cell r="H241" t="str">
            <v>TV TIEMPOL</v>
          </cell>
          <cell r="I241">
            <v>6.1</v>
          </cell>
        </row>
        <row r="242">
          <cell r="H242" t="str">
            <v>TV TIEMPOJ</v>
          </cell>
          <cell r="I242">
            <v>6.8</v>
          </cell>
        </row>
        <row r="243">
          <cell r="H243" t="str">
            <v>TV TIEMPOM</v>
          </cell>
          <cell r="I243">
            <v>7.3</v>
          </cell>
        </row>
        <row r="244">
          <cell r="H244" t="str">
            <v>TV TIEMPOW</v>
          </cell>
          <cell r="I244">
            <v>7.6</v>
          </cell>
        </row>
        <row r="245">
          <cell r="H245" t="str">
            <v>VINA TU FESTIVALMWJV</v>
          </cell>
          <cell r="I245">
            <v>2.8</v>
          </cell>
        </row>
        <row r="246">
          <cell r="H246" t="str">
            <v>VINA TU FESTIVALW</v>
          </cell>
          <cell r="I246">
            <v>1.1000000000000001</v>
          </cell>
        </row>
        <row r="247">
          <cell r="H247" t="str">
            <v>VINA TU FESTIVALM</v>
          </cell>
          <cell r="I247">
            <v>2.9</v>
          </cell>
        </row>
        <row r="248">
          <cell r="H248" t="str">
            <v>VINA TU FESTIVALV</v>
          </cell>
          <cell r="I248">
            <v>3.4</v>
          </cell>
        </row>
        <row r="249">
          <cell r="H249" t="str">
            <v>VINA TU FESTIVALJ</v>
          </cell>
          <cell r="I249">
            <v>3.7</v>
          </cell>
        </row>
        <row r="250">
          <cell r="H250" t="str">
            <v>ZONA D GRANDES DIRECTORESS</v>
          </cell>
          <cell r="I250">
            <v>2.1</v>
          </cell>
        </row>
        <row r="251">
          <cell r="H251" t="str">
            <v>ZONA D GRANDES DIRECTORESS</v>
          </cell>
          <cell r="I251">
            <v>2.1</v>
          </cell>
        </row>
        <row r="252">
          <cell r="H252" t="str">
            <v>ZONA D REPORTAJESS</v>
          </cell>
          <cell r="I252">
            <v>2.1</v>
          </cell>
        </row>
        <row r="253">
          <cell r="H253" t="str">
            <v>ZONA D REPORTAJESS</v>
          </cell>
          <cell r="I253">
            <v>2.1</v>
          </cell>
        </row>
        <row r="254">
          <cell r="H254" t="str">
            <v>ZOOM DEPORTIVOD</v>
          </cell>
          <cell r="I254">
            <v>2.4</v>
          </cell>
        </row>
        <row r="255">
          <cell r="H255" t="str">
            <v>ZOOM DEPORTIVOD</v>
          </cell>
          <cell r="I255">
            <v>2.4</v>
          </cell>
        </row>
      </sheetData>
      <sheetData sheetId="9"/>
      <sheetData sheetId="10"/>
      <sheetData sheetId="11"/>
      <sheetData sheetId="12" refreshError="1"/>
      <sheetData sheetId="13"/>
      <sheetData sheetId="14"/>
      <sheetData sheetId="15"/>
      <sheetData sheetId="16">
        <row r="1">
          <cell r="R1" t="str">
            <v>CALAMA</v>
          </cell>
        </row>
      </sheetData>
      <sheetData sheetId="17">
        <row r="4">
          <cell r="B4">
            <v>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R1" t="str">
            <v>CALAMA</v>
          </cell>
        </row>
      </sheetData>
      <sheetData sheetId="27">
        <row r="4">
          <cell r="B4">
            <v>2</v>
          </cell>
        </row>
      </sheetData>
      <sheetData sheetId="28"/>
      <sheetData sheetId="29"/>
      <sheetData sheetId="30"/>
      <sheetData sheetId="31"/>
      <sheetData sheetId="32"/>
      <sheetData sheetId="33">
        <row r="1">
          <cell r="R1" t="str">
            <v>CALAMA</v>
          </cell>
        </row>
      </sheetData>
      <sheetData sheetId="34">
        <row r="4">
          <cell r="B4">
            <v>2</v>
          </cell>
        </row>
      </sheetData>
      <sheetData sheetId="35"/>
      <sheetData sheetId="36"/>
      <sheetData sheetId="37"/>
      <sheetData sheetId="38">
        <row r="1">
          <cell r="R1" t="str">
            <v>CALAMA</v>
          </cell>
        </row>
      </sheetData>
      <sheetData sheetId="39">
        <row r="4">
          <cell r="B4">
            <v>2</v>
          </cell>
        </row>
      </sheetData>
      <sheetData sheetId="40"/>
      <sheetData sheetId="41"/>
      <sheetData sheetId="42"/>
      <sheetData sheetId="43">
        <row r="1">
          <cell r="R1" t="str">
            <v>CALAMA</v>
          </cell>
        </row>
      </sheetData>
      <sheetData sheetId="44">
        <row r="4">
          <cell r="B4">
            <v>2</v>
          </cell>
        </row>
      </sheetData>
      <sheetData sheetId="45"/>
      <sheetData sheetId="46"/>
      <sheetData sheetId="47"/>
      <sheetData sheetId="48">
        <row r="1">
          <cell r="R1" t="str">
            <v>CALAMA</v>
          </cell>
        </row>
      </sheetData>
      <sheetData sheetId="49">
        <row r="4">
          <cell r="B4">
            <v>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uantificador"/>
      <sheetName val="actual Sep04"/>
      <sheetName val="datos universos"/>
      <sheetName val="Regiones Noviembre 2002"/>
      <sheetName val="regiones Nov02"/>
      <sheetName val="Regiones Noviembre 2002 (2)"/>
      <sheetName val="rating "/>
      <sheetName val="ANEXOS"/>
      <sheetName val="Easy"/>
      <sheetName val="aca-"/>
      <sheetName val="Tarifas Enero 2009"/>
      <sheetName val="Rating"/>
      <sheetName val="tablas final 2°sem 2008"/>
      <sheetName val="actual_Sep04"/>
      <sheetName val="datos_universos"/>
      <sheetName val="Regiones_Noviembre_2002"/>
      <sheetName val="regiones_Nov02"/>
      <sheetName val="Regiones_Noviembre_2002_(2)"/>
      <sheetName val="rating_"/>
      <sheetName val="Tarifas_Enero_2009"/>
      <sheetName val="tablas_final_2°sem_2008"/>
      <sheetName val="actual_Sep041"/>
      <sheetName val="datos_universos1"/>
      <sheetName val="Regiones_Noviembre_20021"/>
      <sheetName val="regiones_Nov021"/>
      <sheetName val="Regiones_Noviembre_2002_(2)1"/>
      <sheetName val="rating_1"/>
      <sheetName val="Tarifas_Enero_20091"/>
      <sheetName val="tablas_final_2°sem_20081"/>
      <sheetName val="actual_Sep042"/>
      <sheetName val="datos_universos2"/>
      <sheetName val="Regiones_Noviembre_20022"/>
      <sheetName val="regiones_Nov022"/>
      <sheetName val="Regiones_Noviembre_2002_(2)2"/>
      <sheetName val="rating_2"/>
      <sheetName val="Tarifas_Enero_20092"/>
      <sheetName val="tablas_final_2°sem_20082"/>
      <sheetName val="analisis"/>
      <sheetName val="negociaciones1"/>
      <sheetName val="actual_Sep043"/>
      <sheetName val="datos_universos3"/>
      <sheetName val="Regiones_Noviembre_20023"/>
      <sheetName val="regiones_Nov023"/>
      <sheetName val="Regiones_Noviembre_2002_(2)3"/>
      <sheetName val="rating_3"/>
      <sheetName val="Tarifas_Enero_20093"/>
      <sheetName val="tablas_final_2°sem_20083"/>
      <sheetName val="actual_Sep045"/>
      <sheetName val="datos_universos5"/>
      <sheetName val="Regiones_Noviembre_20025"/>
      <sheetName val="regiones_Nov025"/>
      <sheetName val="Regiones_Noviembre_2002_(2)5"/>
      <sheetName val="rating_5"/>
      <sheetName val="Tarifas_Enero_20095"/>
      <sheetName val="tablas_final_2°sem_20085"/>
      <sheetName val="actual_Sep044"/>
      <sheetName val="datos_universos4"/>
      <sheetName val="Regiones_Noviembre_20024"/>
      <sheetName val="regiones_Nov024"/>
      <sheetName val="Regiones_Noviembre_2002_(2)4"/>
      <sheetName val="rating_4"/>
      <sheetName val="Tarifas_Enero_20094"/>
      <sheetName val="tablas_final_2°sem_20084"/>
      <sheetName val="actual_Sep047"/>
      <sheetName val="datos_universos7"/>
      <sheetName val="Regiones_Noviembre_20027"/>
      <sheetName val="regiones_Nov027"/>
      <sheetName val="Regiones_Noviembre_2002_(2)7"/>
      <sheetName val="rating_7"/>
      <sheetName val="Tarifas_Enero_20097"/>
      <sheetName val="tablas_final_2°sem_20087"/>
      <sheetName val="actual_Sep046"/>
      <sheetName val="datos_universos6"/>
      <sheetName val="Regiones_Noviembre_20026"/>
      <sheetName val="regiones_Nov026"/>
      <sheetName val="Regiones_Noviembre_2002_(2)6"/>
      <sheetName val="rating_6"/>
      <sheetName val="Tarifas_Enero_20096"/>
      <sheetName val="tablas_final_2°sem_20086"/>
      <sheetName val="plan"/>
      <sheetName val="ENERO 2008"/>
      <sheetName val="actual_Sep048"/>
      <sheetName val="datos_universos8"/>
      <sheetName val="Regiones_Noviembre_20028"/>
      <sheetName val="regiones_Nov028"/>
      <sheetName val="Regiones_Noviembre_2002_(2)8"/>
      <sheetName val="rating_8"/>
      <sheetName val="Tarifas_Enero_20098"/>
      <sheetName val="tablas_final_2°sem_20088"/>
      <sheetName val="actual_Sep049"/>
      <sheetName val="datos_universos9"/>
      <sheetName val="Regiones_Noviembre_20029"/>
      <sheetName val="regiones_Nov029"/>
      <sheetName val="Regiones_Noviembre_2002_(2)9"/>
      <sheetName val="rating_9"/>
      <sheetName val="Tarifas_Enero_20099"/>
      <sheetName val="tablas_final_2°sem_20089"/>
      <sheetName val="Regiones_Noviembre_200210"/>
      <sheetName val="Regiones_Noviembre_200212"/>
      <sheetName val="actual_Sep0410"/>
      <sheetName val="datos_universos10"/>
      <sheetName val="regiones_Nov0210"/>
      <sheetName val="Regiones_Noviembre_2002_(2)10"/>
      <sheetName val="rating_10"/>
      <sheetName val="Tarifas_Enero_200910"/>
      <sheetName val="tablas_final_2°sem_200810"/>
      <sheetName val="ENERO_2008"/>
      <sheetName val="Regiones_Noviembre_200211"/>
      <sheetName val="Regiones_Noviembre_200213"/>
      <sheetName val="Regiones_Noviembre_2002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5"</v>
          </cell>
          <cell r="D3" t="str">
            <v>10"</v>
          </cell>
          <cell r="E3" t="str">
            <v>15"</v>
          </cell>
          <cell r="F3" t="str">
            <v>20"</v>
          </cell>
          <cell r="G3" t="str">
            <v>25"</v>
          </cell>
          <cell r="H3" t="str">
            <v>30"</v>
          </cell>
          <cell r="I3" t="str">
            <v>35"</v>
          </cell>
          <cell r="J3" t="str">
            <v>40"</v>
          </cell>
          <cell r="K3" t="str">
            <v>45"</v>
          </cell>
          <cell r="N3" t="str">
            <v>5"</v>
          </cell>
          <cell r="O3" t="str">
            <v>10"</v>
          </cell>
          <cell r="P3" t="str">
            <v>15"</v>
          </cell>
          <cell r="Q3" t="str">
            <v>20"</v>
          </cell>
          <cell r="R3" t="str">
            <v>25"</v>
          </cell>
          <cell r="S3" t="str">
            <v>30"</v>
          </cell>
          <cell r="T3" t="str">
            <v>35"</v>
          </cell>
          <cell r="U3" t="str">
            <v>40"</v>
          </cell>
          <cell r="V3" t="str">
            <v>45"</v>
          </cell>
          <cell r="Y3" t="str">
            <v>5"</v>
          </cell>
          <cell r="Z3" t="str">
            <v>10"</v>
          </cell>
          <cell r="AA3" t="str">
            <v>15"</v>
          </cell>
          <cell r="AB3" t="str">
            <v>20"</v>
          </cell>
          <cell r="AC3" t="str">
            <v>25"</v>
          </cell>
          <cell r="AD3" t="str">
            <v>30"</v>
          </cell>
          <cell r="AE3" t="str">
            <v>35"</v>
          </cell>
          <cell r="AF3" t="str">
            <v>40"</v>
          </cell>
          <cell r="AG3" t="str">
            <v>45"</v>
          </cell>
          <cell r="BQ3" t="str">
            <v>5"</v>
          </cell>
          <cell r="BR3" t="str">
            <v>10"</v>
          </cell>
          <cell r="BS3" t="str">
            <v>15"</v>
          </cell>
          <cell r="BT3" t="str">
            <v>20"</v>
          </cell>
          <cell r="BU3" t="str">
            <v>25"</v>
          </cell>
          <cell r="BV3" t="str">
            <v>30"</v>
          </cell>
          <cell r="BW3" t="str">
            <v>35"</v>
          </cell>
          <cell r="BX3" t="str">
            <v>40"</v>
          </cell>
          <cell r="BY3" t="str">
            <v>45"</v>
          </cell>
        </row>
        <row r="4">
          <cell r="B4" t="str">
            <v>X0</v>
          </cell>
          <cell r="C4">
            <v>500</v>
          </cell>
          <cell r="D4">
            <v>1100</v>
          </cell>
          <cell r="E4">
            <v>1300</v>
          </cell>
          <cell r="F4">
            <v>1400</v>
          </cell>
          <cell r="G4">
            <v>1800</v>
          </cell>
          <cell r="H4">
            <v>2100</v>
          </cell>
          <cell r="I4">
            <v>3200</v>
          </cell>
          <cell r="J4">
            <v>4200</v>
          </cell>
          <cell r="K4">
            <v>5400</v>
          </cell>
          <cell r="M4" t="str">
            <v>X0</v>
          </cell>
          <cell r="N4">
            <v>600</v>
          </cell>
          <cell r="O4">
            <v>1200</v>
          </cell>
          <cell r="P4">
            <v>1500</v>
          </cell>
          <cell r="Q4">
            <v>1600</v>
          </cell>
          <cell r="R4">
            <v>2000</v>
          </cell>
          <cell r="S4">
            <v>2400</v>
          </cell>
          <cell r="T4">
            <v>3600</v>
          </cell>
          <cell r="U4">
            <v>4800</v>
          </cell>
          <cell r="V4">
            <v>6100</v>
          </cell>
          <cell r="X4" t="str">
            <v>X0</v>
          </cell>
          <cell r="Y4">
            <v>800</v>
          </cell>
          <cell r="Z4">
            <v>1700</v>
          </cell>
          <cell r="AA4">
            <v>2100</v>
          </cell>
          <cell r="AB4">
            <v>2200</v>
          </cell>
          <cell r="AC4">
            <v>2800</v>
          </cell>
          <cell r="AD4">
            <v>3300</v>
          </cell>
          <cell r="AE4">
            <v>5000</v>
          </cell>
          <cell r="AF4">
            <v>6600</v>
          </cell>
          <cell r="AG4">
            <v>8400</v>
          </cell>
          <cell r="BP4" t="str">
            <v>X0</v>
          </cell>
          <cell r="BQ4">
            <v>2700</v>
          </cell>
          <cell r="BR4">
            <v>5300</v>
          </cell>
          <cell r="BS4">
            <v>6600</v>
          </cell>
          <cell r="BT4">
            <v>7100</v>
          </cell>
          <cell r="BU4">
            <v>8800</v>
          </cell>
          <cell r="BV4">
            <v>10600</v>
          </cell>
          <cell r="BW4">
            <v>16100</v>
          </cell>
          <cell r="BX4">
            <v>21200</v>
          </cell>
          <cell r="BY4">
            <v>27000</v>
          </cell>
        </row>
        <row r="5">
          <cell r="B5" t="str">
            <v>X1</v>
          </cell>
          <cell r="C5">
            <v>600</v>
          </cell>
          <cell r="D5">
            <v>1300</v>
          </cell>
          <cell r="E5">
            <v>1600</v>
          </cell>
          <cell r="F5">
            <v>1700</v>
          </cell>
          <cell r="G5">
            <v>2100</v>
          </cell>
          <cell r="H5">
            <v>2500</v>
          </cell>
          <cell r="I5">
            <v>3800</v>
          </cell>
          <cell r="J5">
            <v>5000</v>
          </cell>
          <cell r="K5">
            <v>6400</v>
          </cell>
          <cell r="M5" t="str">
            <v>X1</v>
          </cell>
          <cell r="N5">
            <v>700</v>
          </cell>
          <cell r="O5">
            <v>1500</v>
          </cell>
          <cell r="P5">
            <v>1800</v>
          </cell>
          <cell r="Q5">
            <v>1900</v>
          </cell>
          <cell r="R5">
            <v>2400</v>
          </cell>
          <cell r="S5">
            <v>2900</v>
          </cell>
          <cell r="T5">
            <v>4400</v>
          </cell>
          <cell r="U5">
            <v>5800</v>
          </cell>
          <cell r="V5">
            <v>7400</v>
          </cell>
          <cell r="X5" t="str">
            <v>X1</v>
          </cell>
          <cell r="Y5">
            <v>1000</v>
          </cell>
          <cell r="Z5">
            <v>2000</v>
          </cell>
          <cell r="AA5">
            <v>2500</v>
          </cell>
          <cell r="AB5">
            <v>2700</v>
          </cell>
          <cell r="AC5">
            <v>3300</v>
          </cell>
          <cell r="AD5">
            <v>4000</v>
          </cell>
          <cell r="AE5">
            <v>6100</v>
          </cell>
          <cell r="AF5">
            <v>8000</v>
          </cell>
          <cell r="AG5">
            <v>10200</v>
          </cell>
          <cell r="BP5" t="str">
            <v>X1</v>
          </cell>
          <cell r="BQ5">
            <v>3300</v>
          </cell>
          <cell r="BR5">
            <v>6600</v>
          </cell>
          <cell r="BS5">
            <v>8200</v>
          </cell>
          <cell r="BT5">
            <v>8700</v>
          </cell>
          <cell r="BU5">
            <v>10900</v>
          </cell>
          <cell r="BV5">
            <v>13100</v>
          </cell>
          <cell r="BW5">
            <v>19900</v>
          </cell>
          <cell r="BX5">
            <v>26200</v>
          </cell>
          <cell r="BY5">
            <v>33400</v>
          </cell>
        </row>
        <row r="6">
          <cell r="B6" t="str">
            <v>X2</v>
          </cell>
          <cell r="C6">
            <v>800</v>
          </cell>
          <cell r="D6">
            <v>1600</v>
          </cell>
          <cell r="E6">
            <v>2000</v>
          </cell>
          <cell r="F6">
            <v>2100</v>
          </cell>
          <cell r="G6">
            <v>2700</v>
          </cell>
          <cell r="H6">
            <v>3200</v>
          </cell>
          <cell r="I6">
            <v>4900</v>
          </cell>
          <cell r="J6">
            <v>6400</v>
          </cell>
          <cell r="K6">
            <v>8200</v>
          </cell>
          <cell r="M6" t="str">
            <v>X2</v>
          </cell>
          <cell r="N6">
            <v>900</v>
          </cell>
          <cell r="O6">
            <v>1900</v>
          </cell>
          <cell r="P6">
            <v>2300</v>
          </cell>
          <cell r="Q6">
            <v>2500</v>
          </cell>
          <cell r="R6">
            <v>3100</v>
          </cell>
          <cell r="S6">
            <v>3700</v>
          </cell>
          <cell r="T6">
            <v>5600</v>
          </cell>
          <cell r="U6">
            <v>7400</v>
          </cell>
          <cell r="V6">
            <v>9400</v>
          </cell>
          <cell r="X6" t="str">
            <v>X2</v>
          </cell>
          <cell r="Y6">
            <v>1300</v>
          </cell>
          <cell r="Z6">
            <v>2500</v>
          </cell>
          <cell r="AA6">
            <v>3100</v>
          </cell>
          <cell r="AB6">
            <v>3300</v>
          </cell>
          <cell r="AC6">
            <v>4200</v>
          </cell>
          <cell r="AD6">
            <v>5000</v>
          </cell>
          <cell r="AE6">
            <v>7600</v>
          </cell>
          <cell r="AF6">
            <v>10000</v>
          </cell>
          <cell r="AG6">
            <v>12800</v>
          </cell>
          <cell r="BP6" t="str">
            <v>X2</v>
          </cell>
          <cell r="BQ6">
            <v>4100</v>
          </cell>
          <cell r="BR6">
            <v>8200</v>
          </cell>
          <cell r="BS6">
            <v>10300</v>
          </cell>
          <cell r="BT6">
            <v>10900</v>
          </cell>
          <cell r="BU6">
            <v>13700</v>
          </cell>
          <cell r="BV6">
            <v>16400</v>
          </cell>
          <cell r="BW6">
            <v>24900</v>
          </cell>
          <cell r="BX6">
            <v>32800</v>
          </cell>
          <cell r="BY6">
            <v>41800</v>
          </cell>
        </row>
        <row r="7">
          <cell r="B7" t="str">
            <v>X3</v>
          </cell>
          <cell r="C7">
            <v>1000</v>
          </cell>
          <cell r="D7">
            <v>1900</v>
          </cell>
          <cell r="E7">
            <v>2400</v>
          </cell>
          <cell r="F7">
            <v>2500</v>
          </cell>
          <cell r="G7">
            <v>3200</v>
          </cell>
          <cell r="H7">
            <v>3800</v>
          </cell>
          <cell r="I7">
            <v>5800</v>
          </cell>
          <cell r="J7">
            <v>7600</v>
          </cell>
          <cell r="K7">
            <v>9700</v>
          </cell>
          <cell r="M7" t="str">
            <v>X3</v>
          </cell>
          <cell r="N7">
            <v>1100</v>
          </cell>
          <cell r="O7">
            <v>2200</v>
          </cell>
          <cell r="P7">
            <v>2700</v>
          </cell>
          <cell r="Q7">
            <v>2900</v>
          </cell>
          <cell r="R7">
            <v>3600</v>
          </cell>
          <cell r="S7">
            <v>4300</v>
          </cell>
          <cell r="T7">
            <v>6500</v>
          </cell>
          <cell r="U7">
            <v>8600</v>
          </cell>
          <cell r="V7">
            <v>11000</v>
          </cell>
          <cell r="X7" t="str">
            <v>X3</v>
          </cell>
          <cell r="Y7">
            <v>1500</v>
          </cell>
          <cell r="Z7">
            <v>3000</v>
          </cell>
          <cell r="AA7">
            <v>3800</v>
          </cell>
          <cell r="AB7">
            <v>4000</v>
          </cell>
          <cell r="AC7">
            <v>5000</v>
          </cell>
          <cell r="AD7">
            <v>6000</v>
          </cell>
          <cell r="AE7">
            <v>9100</v>
          </cell>
          <cell r="AF7">
            <v>12000</v>
          </cell>
          <cell r="AG7">
            <v>15300</v>
          </cell>
          <cell r="BP7" t="str">
            <v>X3</v>
          </cell>
          <cell r="BQ7">
            <v>4900</v>
          </cell>
          <cell r="BR7">
            <v>9700</v>
          </cell>
          <cell r="BS7">
            <v>12100</v>
          </cell>
          <cell r="BT7">
            <v>12900</v>
          </cell>
          <cell r="BU7">
            <v>16200</v>
          </cell>
          <cell r="BV7">
            <v>19400</v>
          </cell>
          <cell r="BW7">
            <v>29400</v>
          </cell>
          <cell r="BX7">
            <v>38800</v>
          </cell>
          <cell r="BY7">
            <v>49500</v>
          </cell>
        </row>
        <row r="8">
          <cell r="B8" t="str">
            <v>X4</v>
          </cell>
          <cell r="C8">
            <v>1100</v>
          </cell>
          <cell r="D8">
            <v>2100</v>
          </cell>
          <cell r="E8">
            <v>2600</v>
          </cell>
          <cell r="F8">
            <v>2700</v>
          </cell>
          <cell r="G8">
            <v>3400</v>
          </cell>
          <cell r="H8">
            <v>4100</v>
          </cell>
          <cell r="I8">
            <v>6200</v>
          </cell>
          <cell r="J8">
            <v>8200</v>
          </cell>
          <cell r="K8">
            <v>10500</v>
          </cell>
          <cell r="M8" t="str">
            <v>X4</v>
          </cell>
          <cell r="N8">
            <v>1200</v>
          </cell>
          <cell r="O8">
            <v>2400</v>
          </cell>
          <cell r="P8">
            <v>3000</v>
          </cell>
          <cell r="Q8">
            <v>3200</v>
          </cell>
          <cell r="R8">
            <v>4000</v>
          </cell>
          <cell r="S8">
            <v>4800</v>
          </cell>
          <cell r="T8">
            <v>7300</v>
          </cell>
          <cell r="U8">
            <v>9600</v>
          </cell>
          <cell r="V8">
            <v>12200</v>
          </cell>
          <cell r="X8" t="str">
            <v>X4</v>
          </cell>
          <cell r="Y8">
            <v>1700</v>
          </cell>
          <cell r="Z8">
            <v>3300</v>
          </cell>
          <cell r="AA8">
            <v>4100</v>
          </cell>
          <cell r="AB8">
            <v>4400</v>
          </cell>
          <cell r="AC8">
            <v>5500</v>
          </cell>
          <cell r="AD8">
            <v>6600</v>
          </cell>
          <cell r="AE8">
            <v>10000</v>
          </cell>
          <cell r="AF8">
            <v>13200</v>
          </cell>
          <cell r="AG8">
            <v>16800</v>
          </cell>
          <cell r="BP8" t="str">
            <v>X4</v>
          </cell>
          <cell r="BQ8">
            <v>5400</v>
          </cell>
          <cell r="BR8">
            <v>10700</v>
          </cell>
          <cell r="BS8">
            <v>13400</v>
          </cell>
          <cell r="BT8">
            <v>14300</v>
          </cell>
          <cell r="BU8">
            <v>17800</v>
          </cell>
          <cell r="BV8">
            <v>21400</v>
          </cell>
          <cell r="BW8">
            <v>32500</v>
          </cell>
          <cell r="BX8">
            <v>42800</v>
          </cell>
          <cell r="BY8">
            <v>54600</v>
          </cell>
        </row>
        <row r="9">
          <cell r="B9" t="str">
            <v>X5</v>
          </cell>
          <cell r="C9">
            <v>1200</v>
          </cell>
          <cell r="D9">
            <v>2300</v>
          </cell>
          <cell r="E9">
            <v>2900</v>
          </cell>
          <cell r="F9">
            <v>3100</v>
          </cell>
          <cell r="G9">
            <v>3800</v>
          </cell>
          <cell r="H9">
            <v>4600</v>
          </cell>
          <cell r="I9">
            <v>7000</v>
          </cell>
          <cell r="J9">
            <v>9200</v>
          </cell>
          <cell r="K9">
            <v>11700</v>
          </cell>
          <cell r="M9" t="str">
            <v>X5</v>
          </cell>
          <cell r="N9">
            <v>1300</v>
          </cell>
          <cell r="O9">
            <v>2600</v>
          </cell>
          <cell r="P9">
            <v>3300</v>
          </cell>
          <cell r="Q9">
            <v>3500</v>
          </cell>
          <cell r="R9">
            <v>4300</v>
          </cell>
          <cell r="S9">
            <v>5200</v>
          </cell>
          <cell r="T9">
            <v>7900</v>
          </cell>
          <cell r="U9">
            <v>10400</v>
          </cell>
          <cell r="V9">
            <v>13300</v>
          </cell>
          <cell r="X9" t="str">
            <v>X5</v>
          </cell>
          <cell r="Y9">
            <v>1800</v>
          </cell>
          <cell r="Z9">
            <v>3600</v>
          </cell>
          <cell r="AA9">
            <v>4500</v>
          </cell>
          <cell r="AB9">
            <v>4800</v>
          </cell>
          <cell r="AC9">
            <v>6000</v>
          </cell>
          <cell r="AD9">
            <v>7200</v>
          </cell>
          <cell r="AE9">
            <v>10900</v>
          </cell>
          <cell r="AF9">
            <v>14400</v>
          </cell>
          <cell r="AG9">
            <v>18400</v>
          </cell>
          <cell r="BP9" t="str">
            <v>X5</v>
          </cell>
          <cell r="BQ9">
            <v>5900</v>
          </cell>
          <cell r="BR9">
            <v>11800</v>
          </cell>
          <cell r="BS9">
            <v>14700</v>
          </cell>
          <cell r="BT9">
            <v>15700</v>
          </cell>
          <cell r="BU9">
            <v>19600</v>
          </cell>
          <cell r="BV9">
            <v>23500</v>
          </cell>
          <cell r="BW9">
            <v>35600</v>
          </cell>
          <cell r="BX9">
            <v>47000</v>
          </cell>
          <cell r="BY9">
            <v>59900</v>
          </cell>
        </row>
        <row r="10">
          <cell r="B10" t="str">
            <v>X6</v>
          </cell>
          <cell r="C10">
            <v>1300</v>
          </cell>
          <cell r="D10">
            <v>2500</v>
          </cell>
          <cell r="E10">
            <v>3100</v>
          </cell>
          <cell r="F10">
            <v>3300</v>
          </cell>
          <cell r="G10">
            <v>4200</v>
          </cell>
          <cell r="H10">
            <v>5000</v>
          </cell>
          <cell r="I10">
            <v>7600</v>
          </cell>
          <cell r="J10">
            <v>10000</v>
          </cell>
          <cell r="K10">
            <v>12800</v>
          </cell>
          <cell r="M10" t="str">
            <v>X6</v>
          </cell>
          <cell r="N10">
            <v>1500</v>
          </cell>
          <cell r="O10">
            <v>2900</v>
          </cell>
          <cell r="P10">
            <v>3600</v>
          </cell>
          <cell r="Q10">
            <v>3900</v>
          </cell>
          <cell r="R10">
            <v>4800</v>
          </cell>
          <cell r="S10">
            <v>5800</v>
          </cell>
          <cell r="T10">
            <v>8800</v>
          </cell>
          <cell r="U10">
            <v>11600</v>
          </cell>
          <cell r="V10">
            <v>14800</v>
          </cell>
          <cell r="X10" t="str">
            <v>X6</v>
          </cell>
          <cell r="Y10">
            <v>2000</v>
          </cell>
          <cell r="Z10">
            <v>4000</v>
          </cell>
          <cell r="AA10">
            <v>4900</v>
          </cell>
          <cell r="AB10">
            <v>5300</v>
          </cell>
          <cell r="AC10">
            <v>6600</v>
          </cell>
          <cell r="AD10">
            <v>7900</v>
          </cell>
          <cell r="AE10">
            <v>12000</v>
          </cell>
          <cell r="AF10">
            <v>15800</v>
          </cell>
          <cell r="AG10">
            <v>20100</v>
          </cell>
          <cell r="BP10" t="str">
            <v>X6</v>
          </cell>
          <cell r="BQ10">
            <v>6500</v>
          </cell>
          <cell r="BR10">
            <v>12900</v>
          </cell>
          <cell r="BS10">
            <v>16100</v>
          </cell>
          <cell r="BT10">
            <v>17200</v>
          </cell>
          <cell r="BU10">
            <v>21500</v>
          </cell>
          <cell r="BV10">
            <v>25800</v>
          </cell>
          <cell r="BW10">
            <v>39100</v>
          </cell>
          <cell r="BX10">
            <v>51600</v>
          </cell>
          <cell r="BY10">
            <v>65800</v>
          </cell>
        </row>
        <row r="11">
          <cell r="B11" t="str">
            <v>X7</v>
          </cell>
          <cell r="C11">
            <v>1400</v>
          </cell>
          <cell r="D11">
            <v>2800</v>
          </cell>
          <cell r="E11">
            <v>3400</v>
          </cell>
          <cell r="F11">
            <v>3700</v>
          </cell>
          <cell r="G11">
            <v>4600</v>
          </cell>
          <cell r="H11">
            <v>5500</v>
          </cell>
          <cell r="I11">
            <v>8300</v>
          </cell>
          <cell r="J11">
            <v>11000</v>
          </cell>
          <cell r="K11">
            <v>14000</v>
          </cell>
          <cell r="M11" t="str">
            <v>X7</v>
          </cell>
          <cell r="N11">
            <v>1600</v>
          </cell>
          <cell r="O11">
            <v>3200</v>
          </cell>
          <cell r="P11">
            <v>3900</v>
          </cell>
          <cell r="Q11">
            <v>4200</v>
          </cell>
          <cell r="R11">
            <v>5300</v>
          </cell>
          <cell r="S11">
            <v>6300</v>
          </cell>
          <cell r="T11">
            <v>9600</v>
          </cell>
          <cell r="U11">
            <v>12600</v>
          </cell>
          <cell r="V11">
            <v>16100</v>
          </cell>
          <cell r="X11" t="str">
            <v>X7</v>
          </cell>
          <cell r="Y11">
            <v>2200</v>
          </cell>
          <cell r="Z11">
            <v>4400</v>
          </cell>
          <cell r="AA11">
            <v>5400</v>
          </cell>
          <cell r="AB11">
            <v>5800</v>
          </cell>
          <cell r="AC11">
            <v>7300</v>
          </cell>
          <cell r="AD11">
            <v>8700</v>
          </cell>
          <cell r="AE11">
            <v>13200</v>
          </cell>
          <cell r="AF11">
            <v>17400</v>
          </cell>
          <cell r="AG11">
            <v>22200</v>
          </cell>
          <cell r="BP11" t="str">
            <v>X7</v>
          </cell>
          <cell r="BQ11">
            <v>7100</v>
          </cell>
          <cell r="BR11">
            <v>14200</v>
          </cell>
          <cell r="BS11">
            <v>17800</v>
          </cell>
          <cell r="BT11">
            <v>18900</v>
          </cell>
          <cell r="BU11">
            <v>23700</v>
          </cell>
          <cell r="BV11">
            <v>28400</v>
          </cell>
          <cell r="BW11">
            <v>43100</v>
          </cell>
          <cell r="BX11">
            <v>56800</v>
          </cell>
          <cell r="BY11">
            <v>72400</v>
          </cell>
        </row>
        <row r="12">
          <cell r="B12" t="str">
            <v>X8</v>
          </cell>
          <cell r="C12">
            <v>1500</v>
          </cell>
          <cell r="D12">
            <v>3100</v>
          </cell>
          <cell r="E12">
            <v>3800</v>
          </cell>
          <cell r="F12">
            <v>4100</v>
          </cell>
          <cell r="G12">
            <v>5100</v>
          </cell>
          <cell r="H12">
            <v>6100</v>
          </cell>
          <cell r="I12">
            <v>9300</v>
          </cell>
          <cell r="J12">
            <v>12200</v>
          </cell>
          <cell r="K12">
            <v>15600</v>
          </cell>
          <cell r="M12" t="str">
            <v>X8</v>
          </cell>
          <cell r="N12">
            <v>1800</v>
          </cell>
          <cell r="O12">
            <v>3500</v>
          </cell>
          <cell r="P12">
            <v>4400</v>
          </cell>
          <cell r="Q12">
            <v>4700</v>
          </cell>
          <cell r="R12">
            <v>5800</v>
          </cell>
          <cell r="S12">
            <v>7000</v>
          </cell>
          <cell r="T12">
            <v>10600</v>
          </cell>
          <cell r="U12">
            <v>14000</v>
          </cell>
          <cell r="V12">
            <v>17900</v>
          </cell>
          <cell r="X12" t="str">
            <v>X8</v>
          </cell>
          <cell r="Y12">
            <v>2400</v>
          </cell>
          <cell r="Z12">
            <v>4800</v>
          </cell>
          <cell r="AA12">
            <v>6000</v>
          </cell>
          <cell r="AB12">
            <v>6400</v>
          </cell>
          <cell r="AC12">
            <v>8000</v>
          </cell>
          <cell r="AD12">
            <v>9600</v>
          </cell>
          <cell r="AE12">
            <v>14600</v>
          </cell>
          <cell r="AF12">
            <v>19200</v>
          </cell>
          <cell r="AG12">
            <v>24500</v>
          </cell>
          <cell r="BP12" t="str">
            <v>X8</v>
          </cell>
          <cell r="BQ12">
            <v>7800</v>
          </cell>
          <cell r="BR12">
            <v>15700</v>
          </cell>
          <cell r="BS12">
            <v>19600</v>
          </cell>
          <cell r="BT12">
            <v>20900</v>
          </cell>
          <cell r="BU12">
            <v>26100</v>
          </cell>
          <cell r="BV12">
            <v>31300</v>
          </cell>
          <cell r="BW12">
            <v>47500</v>
          </cell>
          <cell r="BX12">
            <v>62600</v>
          </cell>
          <cell r="BY12">
            <v>79800</v>
          </cell>
        </row>
        <row r="13">
          <cell r="B13" t="str">
            <v>X9</v>
          </cell>
          <cell r="C13">
            <v>1700</v>
          </cell>
          <cell r="D13">
            <v>3400</v>
          </cell>
          <cell r="E13">
            <v>4200</v>
          </cell>
          <cell r="F13">
            <v>4500</v>
          </cell>
          <cell r="G13">
            <v>5600</v>
          </cell>
          <cell r="H13">
            <v>6700</v>
          </cell>
          <cell r="I13">
            <v>10200</v>
          </cell>
          <cell r="J13">
            <v>13400</v>
          </cell>
          <cell r="K13">
            <v>17100</v>
          </cell>
          <cell r="M13" t="str">
            <v>X9</v>
          </cell>
          <cell r="N13">
            <v>1900</v>
          </cell>
          <cell r="O13">
            <v>3900</v>
          </cell>
          <cell r="P13">
            <v>4800</v>
          </cell>
          <cell r="Q13">
            <v>5100</v>
          </cell>
          <cell r="R13">
            <v>6400</v>
          </cell>
          <cell r="S13">
            <v>7700</v>
          </cell>
          <cell r="T13">
            <v>11700</v>
          </cell>
          <cell r="U13">
            <v>15400</v>
          </cell>
          <cell r="V13">
            <v>19600</v>
          </cell>
          <cell r="X13" t="str">
            <v>X9</v>
          </cell>
          <cell r="Y13">
            <v>2700</v>
          </cell>
          <cell r="Z13">
            <v>5300</v>
          </cell>
          <cell r="AA13">
            <v>6600</v>
          </cell>
          <cell r="AB13">
            <v>7100</v>
          </cell>
          <cell r="AC13">
            <v>8800</v>
          </cell>
          <cell r="AD13">
            <v>10600</v>
          </cell>
          <cell r="AE13">
            <v>16100</v>
          </cell>
          <cell r="AF13">
            <v>21200</v>
          </cell>
          <cell r="AG13">
            <v>27000</v>
          </cell>
          <cell r="BP13" t="str">
            <v>X9</v>
          </cell>
          <cell r="BQ13">
            <v>8600</v>
          </cell>
          <cell r="BR13">
            <v>17200</v>
          </cell>
          <cell r="BS13">
            <v>21500</v>
          </cell>
          <cell r="BT13">
            <v>22900</v>
          </cell>
          <cell r="BU13">
            <v>28700</v>
          </cell>
          <cell r="BV13">
            <v>34400</v>
          </cell>
          <cell r="BW13">
            <v>52200</v>
          </cell>
          <cell r="BX13">
            <v>68800</v>
          </cell>
          <cell r="BY13">
            <v>87700</v>
          </cell>
        </row>
        <row r="14">
          <cell r="B14" t="str">
            <v>X10</v>
          </cell>
          <cell r="C14">
            <v>1800</v>
          </cell>
          <cell r="D14">
            <v>3700</v>
          </cell>
          <cell r="E14">
            <v>4600</v>
          </cell>
          <cell r="F14">
            <v>4900</v>
          </cell>
          <cell r="G14">
            <v>6100</v>
          </cell>
          <cell r="H14">
            <v>7300</v>
          </cell>
          <cell r="I14">
            <v>11100</v>
          </cell>
          <cell r="J14">
            <v>14600</v>
          </cell>
          <cell r="K14">
            <v>18600</v>
          </cell>
          <cell r="M14" t="str">
            <v>X10</v>
          </cell>
          <cell r="N14">
            <v>2100</v>
          </cell>
          <cell r="O14">
            <v>4200</v>
          </cell>
          <cell r="P14">
            <v>5300</v>
          </cell>
          <cell r="Q14">
            <v>5600</v>
          </cell>
          <cell r="R14">
            <v>7000</v>
          </cell>
          <cell r="S14">
            <v>8400</v>
          </cell>
          <cell r="T14">
            <v>12700</v>
          </cell>
          <cell r="U14">
            <v>16800</v>
          </cell>
          <cell r="V14">
            <v>21400</v>
          </cell>
          <cell r="X14" t="str">
            <v>X10</v>
          </cell>
          <cell r="Y14">
            <v>2900</v>
          </cell>
          <cell r="Z14">
            <v>5800</v>
          </cell>
          <cell r="AA14">
            <v>7300</v>
          </cell>
          <cell r="AB14">
            <v>7700</v>
          </cell>
          <cell r="AC14">
            <v>9700</v>
          </cell>
          <cell r="AD14">
            <v>11600</v>
          </cell>
          <cell r="AE14">
            <v>17600</v>
          </cell>
          <cell r="AF14">
            <v>23200</v>
          </cell>
          <cell r="AG14">
            <v>29600</v>
          </cell>
          <cell r="BP14" t="str">
            <v>X10</v>
          </cell>
          <cell r="BQ14">
            <v>9500</v>
          </cell>
          <cell r="BR14">
            <v>18900</v>
          </cell>
          <cell r="BS14">
            <v>23600</v>
          </cell>
          <cell r="BT14">
            <v>25200</v>
          </cell>
          <cell r="BU14">
            <v>31500</v>
          </cell>
          <cell r="BV14">
            <v>37800</v>
          </cell>
          <cell r="BW14">
            <v>57300</v>
          </cell>
          <cell r="BX14">
            <v>75600</v>
          </cell>
          <cell r="BY14">
            <v>96400</v>
          </cell>
        </row>
        <row r="15">
          <cell r="B15" t="str">
            <v>X11</v>
          </cell>
          <cell r="C15">
            <v>2000</v>
          </cell>
          <cell r="D15">
            <v>4100</v>
          </cell>
          <cell r="E15">
            <v>5100</v>
          </cell>
          <cell r="F15">
            <v>5400</v>
          </cell>
          <cell r="G15">
            <v>6800</v>
          </cell>
          <cell r="H15">
            <v>8100</v>
          </cell>
          <cell r="I15">
            <v>12300</v>
          </cell>
          <cell r="J15">
            <v>16200</v>
          </cell>
          <cell r="K15">
            <v>20700</v>
          </cell>
          <cell r="M15" t="str">
            <v>X11</v>
          </cell>
          <cell r="N15">
            <v>2300</v>
          </cell>
          <cell r="O15">
            <v>4700</v>
          </cell>
          <cell r="P15">
            <v>5800</v>
          </cell>
          <cell r="Q15">
            <v>6200</v>
          </cell>
          <cell r="R15">
            <v>7800</v>
          </cell>
          <cell r="S15">
            <v>9300</v>
          </cell>
          <cell r="T15">
            <v>14100</v>
          </cell>
          <cell r="U15">
            <v>18600</v>
          </cell>
          <cell r="V15">
            <v>23700</v>
          </cell>
          <cell r="X15" t="str">
            <v>X11</v>
          </cell>
          <cell r="Y15">
            <v>3200</v>
          </cell>
          <cell r="Z15">
            <v>6400</v>
          </cell>
          <cell r="AA15">
            <v>8000</v>
          </cell>
          <cell r="AB15">
            <v>8500</v>
          </cell>
          <cell r="AC15">
            <v>10700</v>
          </cell>
          <cell r="AD15">
            <v>12800</v>
          </cell>
          <cell r="AE15">
            <v>19400</v>
          </cell>
          <cell r="AF15">
            <v>25600</v>
          </cell>
          <cell r="AG15">
            <v>32600</v>
          </cell>
          <cell r="BP15" t="str">
            <v>X11</v>
          </cell>
          <cell r="BQ15">
            <v>10400</v>
          </cell>
          <cell r="BR15">
            <v>20900</v>
          </cell>
          <cell r="BS15">
            <v>26100</v>
          </cell>
          <cell r="BT15">
            <v>27800</v>
          </cell>
          <cell r="BU15">
            <v>34800</v>
          </cell>
          <cell r="BV15">
            <v>41700</v>
          </cell>
          <cell r="BW15">
            <v>63200</v>
          </cell>
          <cell r="BX15">
            <v>83400</v>
          </cell>
          <cell r="BY15">
            <v>106300</v>
          </cell>
        </row>
        <row r="16">
          <cell r="B16" t="str">
            <v>X12</v>
          </cell>
          <cell r="C16">
            <v>2200</v>
          </cell>
          <cell r="D16">
            <v>4500</v>
          </cell>
          <cell r="E16">
            <v>5600</v>
          </cell>
          <cell r="F16">
            <v>5900</v>
          </cell>
          <cell r="G16">
            <v>7400</v>
          </cell>
          <cell r="H16">
            <v>8900</v>
          </cell>
          <cell r="I16">
            <v>13500</v>
          </cell>
          <cell r="J16">
            <v>17800</v>
          </cell>
          <cell r="K16">
            <v>22700</v>
          </cell>
          <cell r="M16" t="str">
            <v>X12</v>
          </cell>
          <cell r="N16">
            <v>2600</v>
          </cell>
          <cell r="O16">
            <v>5100</v>
          </cell>
          <cell r="P16">
            <v>6400</v>
          </cell>
          <cell r="Q16">
            <v>6800</v>
          </cell>
          <cell r="R16">
            <v>8500</v>
          </cell>
          <cell r="S16">
            <v>10200</v>
          </cell>
          <cell r="T16">
            <v>15500</v>
          </cell>
          <cell r="U16">
            <v>20400</v>
          </cell>
          <cell r="V16">
            <v>26000</v>
          </cell>
          <cell r="X16" t="str">
            <v>X12</v>
          </cell>
          <cell r="Y16">
            <v>3500</v>
          </cell>
          <cell r="Z16">
            <v>7100</v>
          </cell>
          <cell r="AA16">
            <v>8800</v>
          </cell>
          <cell r="AB16">
            <v>9400</v>
          </cell>
          <cell r="AC16">
            <v>11800</v>
          </cell>
          <cell r="AD16">
            <v>14100</v>
          </cell>
          <cell r="AE16">
            <v>21400</v>
          </cell>
          <cell r="AF16">
            <v>28200</v>
          </cell>
          <cell r="AG16">
            <v>36000</v>
          </cell>
          <cell r="BP16" t="str">
            <v>X12</v>
          </cell>
          <cell r="BQ16">
            <v>11500</v>
          </cell>
          <cell r="BR16">
            <v>22900</v>
          </cell>
          <cell r="BS16">
            <v>28600</v>
          </cell>
          <cell r="BT16">
            <v>30500</v>
          </cell>
          <cell r="BU16">
            <v>38200</v>
          </cell>
          <cell r="BV16">
            <v>45800</v>
          </cell>
          <cell r="BW16">
            <v>69500</v>
          </cell>
          <cell r="BX16">
            <v>91600</v>
          </cell>
          <cell r="BY16">
            <v>116800</v>
          </cell>
        </row>
        <row r="17">
          <cell r="B17" t="str">
            <v>X13</v>
          </cell>
          <cell r="C17">
            <v>2500</v>
          </cell>
          <cell r="D17">
            <v>4900</v>
          </cell>
          <cell r="E17">
            <v>6100</v>
          </cell>
          <cell r="F17">
            <v>6500</v>
          </cell>
          <cell r="G17">
            <v>8200</v>
          </cell>
          <cell r="H17">
            <v>9800</v>
          </cell>
          <cell r="I17">
            <v>14900</v>
          </cell>
          <cell r="J17">
            <v>19600</v>
          </cell>
          <cell r="K17">
            <v>25000</v>
          </cell>
          <cell r="M17" t="str">
            <v>X13</v>
          </cell>
          <cell r="N17">
            <v>2800</v>
          </cell>
          <cell r="O17">
            <v>5600</v>
          </cell>
          <cell r="P17">
            <v>7000</v>
          </cell>
          <cell r="Q17">
            <v>7500</v>
          </cell>
          <cell r="R17">
            <v>9300</v>
          </cell>
          <cell r="S17">
            <v>11200</v>
          </cell>
          <cell r="T17">
            <v>17000</v>
          </cell>
          <cell r="U17">
            <v>22400</v>
          </cell>
          <cell r="V17">
            <v>28600</v>
          </cell>
          <cell r="X17" t="str">
            <v>X13</v>
          </cell>
          <cell r="Y17">
            <v>3900</v>
          </cell>
          <cell r="Z17">
            <v>7800</v>
          </cell>
          <cell r="AA17">
            <v>9700</v>
          </cell>
          <cell r="AB17">
            <v>10300</v>
          </cell>
          <cell r="AC17">
            <v>12900</v>
          </cell>
          <cell r="AD17">
            <v>15500</v>
          </cell>
          <cell r="AE17">
            <v>23500</v>
          </cell>
          <cell r="AF17">
            <v>31000</v>
          </cell>
          <cell r="AG17">
            <v>39500</v>
          </cell>
          <cell r="BP17" t="str">
            <v>X13</v>
          </cell>
          <cell r="BQ17">
            <v>12600</v>
          </cell>
          <cell r="BR17">
            <v>25200</v>
          </cell>
          <cell r="BS17">
            <v>31500</v>
          </cell>
          <cell r="BT17">
            <v>33600</v>
          </cell>
          <cell r="BU17">
            <v>42000</v>
          </cell>
          <cell r="BV17">
            <v>50400</v>
          </cell>
          <cell r="BW17">
            <v>76400</v>
          </cell>
          <cell r="BX17">
            <v>100800</v>
          </cell>
          <cell r="BY17">
            <v>128500</v>
          </cell>
        </row>
        <row r="18">
          <cell r="B18" t="str">
            <v>X14</v>
          </cell>
          <cell r="C18">
            <v>2700</v>
          </cell>
          <cell r="D18">
            <v>5400</v>
          </cell>
          <cell r="E18">
            <v>6700</v>
          </cell>
          <cell r="F18">
            <v>7100</v>
          </cell>
          <cell r="G18">
            <v>8900</v>
          </cell>
          <cell r="H18">
            <v>10700</v>
          </cell>
          <cell r="I18">
            <v>16200</v>
          </cell>
          <cell r="J18">
            <v>21400</v>
          </cell>
          <cell r="K18">
            <v>27300</v>
          </cell>
          <cell r="M18" t="str">
            <v>X14</v>
          </cell>
          <cell r="N18">
            <v>3100</v>
          </cell>
          <cell r="O18">
            <v>6200</v>
          </cell>
          <cell r="P18">
            <v>7700</v>
          </cell>
          <cell r="Q18">
            <v>8200</v>
          </cell>
          <cell r="R18">
            <v>10300</v>
          </cell>
          <cell r="S18">
            <v>12300</v>
          </cell>
          <cell r="T18">
            <v>18700</v>
          </cell>
          <cell r="U18">
            <v>24600</v>
          </cell>
          <cell r="V18">
            <v>31400</v>
          </cell>
          <cell r="X18" t="str">
            <v>X14</v>
          </cell>
          <cell r="Y18">
            <v>4300</v>
          </cell>
          <cell r="Z18">
            <v>8500</v>
          </cell>
          <cell r="AA18">
            <v>10600</v>
          </cell>
          <cell r="AB18">
            <v>11300</v>
          </cell>
          <cell r="AC18">
            <v>14200</v>
          </cell>
          <cell r="AD18">
            <v>17000</v>
          </cell>
          <cell r="AE18">
            <v>25800</v>
          </cell>
          <cell r="AF18">
            <v>34000</v>
          </cell>
          <cell r="AG18">
            <v>43400</v>
          </cell>
          <cell r="BP18" t="str">
            <v>X14</v>
          </cell>
          <cell r="BQ18">
            <v>13900</v>
          </cell>
          <cell r="BR18">
            <v>27700</v>
          </cell>
          <cell r="BS18">
            <v>34600</v>
          </cell>
          <cell r="BT18">
            <v>36900</v>
          </cell>
          <cell r="BU18">
            <v>46200</v>
          </cell>
          <cell r="BV18">
            <v>55400</v>
          </cell>
          <cell r="BW18">
            <v>84000</v>
          </cell>
          <cell r="BX18">
            <v>110800</v>
          </cell>
          <cell r="BY18">
            <v>141300</v>
          </cell>
        </row>
        <row r="19">
          <cell r="B19" t="str">
            <v>X15</v>
          </cell>
          <cell r="C19">
            <v>3000</v>
          </cell>
          <cell r="D19">
            <v>5900</v>
          </cell>
          <cell r="E19">
            <v>7400</v>
          </cell>
          <cell r="F19">
            <v>7900</v>
          </cell>
          <cell r="G19">
            <v>9800</v>
          </cell>
          <cell r="H19">
            <v>11800</v>
          </cell>
          <cell r="I19">
            <v>17900</v>
          </cell>
          <cell r="J19">
            <v>23600</v>
          </cell>
          <cell r="K19">
            <v>30100</v>
          </cell>
          <cell r="M19" t="str">
            <v>X15</v>
          </cell>
          <cell r="N19">
            <v>3400</v>
          </cell>
          <cell r="O19">
            <v>6800</v>
          </cell>
          <cell r="P19">
            <v>8500</v>
          </cell>
          <cell r="Q19">
            <v>9100</v>
          </cell>
          <cell r="R19">
            <v>11300</v>
          </cell>
          <cell r="S19">
            <v>13600</v>
          </cell>
          <cell r="T19">
            <v>20600</v>
          </cell>
          <cell r="U19">
            <v>27200</v>
          </cell>
          <cell r="V19">
            <v>34700</v>
          </cell>
          <cell r="X19" t="str">
            <v>X15</v>
          </cell>
          <cell r="Y19">
            <v>4700</v>
          </cell>
          <cell r="Z19">
            <v>9400</v>
          </cell>
          <cell r="AA19">
            <v>11700</v>
          </cell>
          <cell r="AB19">
            <v>12500</v>
          </cell>
          <cell r="AC19">
            <v>15600</v>
          </cell>
          <cell r="AD19">
            <v>18700</v>
          </cell>
          <cell r="AE19">
            <v>28400</v>
          </cell>
          <cell r="AF19">
            <v>37400</v>
          </cell>
          <cell r="AG19">
            <v>47700</v>
          </cell>
          <cell r="BP19" t="str">
            <v>X15</v>
          </cell>
          <cell r="BQ19">
            <v>15300</v>
          </cell>
          <cell r="BR19">
            <v>30500</v>
          </cell>
          <cell r="BS19">
            <v>38100</v>
          </cell>
          <cell r="BT19">
            <v>40700</v>
          </cell>
          <cell r="BU19">
            <v>50800</v>
          </cell>
          <cell r="BV19">
            <v>61000</v>
          </cell>
          <cell r="BW19">
            <v>92500</v>
          </cell>
          <cell r="BX19">
            <v>122000</v>
          </cell>
          <cell r="BY19">
            <v>155600</v>
          </cell>
        </row>
        <row r="20">
          <cell r="B20" t="str">
            <v>X16</v>
          </cell>
          <cell r="C20">
            <v>3300</v>
          </cell>
          <cell r="D20">
            <v>6500</v>
          </cell>
          <cell r="E20">
            <v>8100</v>
          </cell>
          <cell r="F20">
            <v>8700</v>
          </cell>
          <cell r="G20">
            <v>10800</v>
          </cell>
          <cell r="H20">
            <v>13000</v>
          </cell>
          <cell r="I20">
            <v>19700</v>
          </cell>
          <cell r="J20">
            <v>26000</v>
          </cell>
          <cell r="K20">
            <v>33200</v>
          </cell>
          <cell r="M20" t="str">
            <v>X16</v>
          </cell>
          <cell r="N20">
            <v>3700</v>
          </cell>
          <cell r="O20">
            <v>7500</v>
          </cell>
          <cell r="P20">
            <v>9300</v>
          </cell>
          <cell r="Q20">
            <v>9900</v>
          </cell>
          <cell r="R20">
            <v>12400</v>
          </cell>
          <cell r="S20">
            <v>14900</v>
          </cell>
          <cell r="T20">
            <v>22600</v>
          </cell>
          <cell r="U20">
            <v>29800</v>
          </cell>
          <cell r="V20">
            <v>38000</v>
          </cell>
          <cell r="X20" t="str">
            <v>X16</v>
          </cell>
          <cell r="Y20">
            <v>5200</v>
          </cell>
          <cell r="Z20">
            <v>10300</v>
          </cell>
          <cell r="AA20">
            <v>12900</v>
          </cell>
          <cell r="AB20">
            <v>13700</v>
          </cell>
          <cell r="AC20">
            <v>17200</v>
          </cell>
          <cell r="AD20">
            <v>20600</v>
          </cell>
          <cell r="AE20">
            <v>31200</v>
          </cell>
          <cell r="AF20">
            <v>41200</v>
          </cell>
          <cell r="AG20">
            <v>52500</v>
          </cell>
          <cell r="BP20" t="str">
            <v>X16</v>
          </cell>
          <cell r="BQ20">
            <v>16800</v>
          </cell>
          <cell r="BR20">
            <v>33500</v>
          </cell>
          <cell r="BS20">
            <v>41900</v>
          </cell>
          <cell r="BT20">
            <v>44700</v>
          </cell>
          <cell r="BU20">
            <v>55800</v>
          </cell>
          <cell r="BV20">
            <v>67000</v>
          </cell>
          <cell r="BW20">
            <v>101600</v>
          </cell>
          <cell r="BX20">
            <v>134000</v>
          </cell>
          <cell r="BY20">
            <v>170900</v>
          </cell>
        </row>
        <row r="21">
          <cell r="B21" t="str">
            <v>X17</v>
          </cell>
          <cell r="C21">
            <v>3600</v>
          </cell>
          <cell r="D21">
            <v>7200</v>
          </cell>
          <cell r="E21">
            <v>8900</v>
          </cell>
          <cell r="F21">
            <v>9500</v>
          </cell>
          <cell r="G21">
            <v>11900</v>
          </cell>
          <cell r="H21">
            <v>14300</v>
          </cell>
          <cell r="I21">
            <v>21700</v>
          </cell>
          <cell r="J21">
            <v>28600</v>
          </cell>
          <cell r="K21">
            <v>36500</v>
          </cell>
          <cell r="M21" t="str">
            <v>X17</v>
          </cell>
          <cell r="N21">
            <v>4100</v>
          </cell>
          <cell r="O21">
            <v>8200</v>
          </cell>
          <cell r="P21">
            <v>10300</v>
          </cell>
          <cell r="Q21">
            <v>10900</v>
          </cell>
          <cell r="R21">
            <v>13700</v>
          </cell>
          <cell r="S21">
            <v>16400</v>
          </cell>
          <cell r="T21">
            <v>24900</v>
          </cell>
          <cell r="U21">
            <v>32800</v>
          </cell>
          <cell r="V21">
            <v>41800</v>
          </cell>
          <cell r="X21" t="str">
            <v>X17</v>
          </cell>
          <cell r="Y21">
            <v>5700</v>
          </cell>
          <cell r="Z21">
            <v>11400</v>
          </cell>
          <cell r="AA21">
            <v>14200</v>
          </cell>
          <cell r="AB21">
            <v>15100</v>
          </cell>
          <cell r="AC21">
            <v>18900</v>
          </cell>
          <cell r="AD21">
            <v>22700</v>
          </cell>
          <cell r="AE21">
            <v>34400</v>
          </cell>
          <cell r="AF21">
            <v>45400</v>
          </cell>
          <cell r="AG21">
            <v>57900</v>
          </cell>
          <cell r="BP21" t="str">
            <v>X17</v>
          </cell>
          <cell r="BQ21">
            <v>18500</v>
          </cell>
          <cell r="BR21">
            <v>36900</v>
          </cell>
          <cell r="BS21">
            <v>46100</v>
          </cell>
          <cell r="BT21">
            <v>49200</v>
          </cell>
          <cell r="BU21">
            <v>61500</v>
          </cell>
          <cell r="BV21">
            <v>73800</v>
          </cell>
          <cell r="BW21">
            <v>111900</v>
          </cell>
          <cell r="BX21">
            <v>147600</v>
          </cell>
          <cell r="BY21">
            <v>188200</v>
          </cell>
        </row>
        <row r="22">
          <cell r="B22" t="str">
            <v>X18</v>
          </cell>
          <cell r="C22">
            <v>3900</v>
          </cell>
          <cell r="D22">
            <v>7900</v>
          </cell>
          <cell r="E22">
            <v>9800</v>
          </cell>
          <cell r="F22">
            <v>10500</v>
          </cell>
          <cell r="G22">
            <v>13100</v>
          </cell>
          <cell r="H22">
            <v>15700</v>
          </cell>
          <cell r="I22">
            <v>23800</v>
          </cell>
          <cell r="J22">
            <v>31400</v>
          </cell>
          <cell r="K22">
            <v>40000</v>
          </cell>
          <cell r="M22" t="str">
            <v>X18</v>
          </cell>
          <cell r="N22">
            <v>4500</v>
          </cell>
          <cell r="O22">
            <v>9100</v>
          </cell>
          <cell r="P22">
            <v>11300</v>
          </cell>
          <cell r="Q22">
            <v>12100</v>
          </cell>
          <cell r="R22">
            <v>15100</v>
          </cell>
          <cell r="S22">
            <v>18100</v>
          </cell>
          <cell r="T22">
            <v>27500</v>
          </cell>
          <cell r="U22">
            <v>36200</v>
          </cell>
          <cell r="V22">
            <v>46200</v>
          </cell>
          <cell r="X22" t="str">
            <v>X18</v>
          </cell>
          <cell r="Y22">
            <v>6200</v>
          </cell>
          <cell r="Z22">
            <v>12500</v>
          </cell>
          <cell r="AA22">
            <v>15600</v>
          </cell>
          <cell r="AB22">
            <v>16600</v>
          </cell>
          <cell r="AC22">
            <v>20800</v>
          </cell>
          <cell r="AD22">
            <v>24900</v>
          </cell>
          <cell r="AE22">
            <v>37800</v>
          </cell>
          <cell r="AF22">
            <v>49800</v>
          </cell>
          <cell r="AG22">
            <v>63500</v>
          </cell>
          <cell r="BP22" t="str">
            <v>X18</v>
          </cell>
          <cell r="BQ22">
            <v>20300</v>
          </cell>
          <cell r="BR22">
            <v>40600</v>
          </cell>
          <cell r="BS22">
            <v>50700</v>
          </cell>
          <cell r="BT22">
            <v>54100</v>
          </cell>
          <cell r="BU22">
            <v>67600</v>
          </cell>
          <cell r="BV22">
            <v>81100</v>
          </cell>
          <cell r="BW22">
            <v>123000</v>
          </cell>
          <cell r="BX22">
            <v>162200</v>
          </cell>
          <cell r="BY22">
            <v>206800</v>
          </cell>
        </row>
        <row r="23">
          <cell r="B23" t="str">
            <v>X19</v>
          </cell>
          <cell r="C23">
            <v>4300</v>
          </cell>
          <cell r="D23">
            <v>8700</v>
          </cell>
          <cell r="E23">
            <v>10800</v>
          </cell>
          <cell r="F23">
            <v>11500</v>
          </cell>
          <cell r="G23">
            <v>14400</v>
          </cell>
          <cell r="H23">
            <v>17300</v>
          </cell>
          <cell r="I23">
            <v>26200</v>
          </cell>
          <cell r="J23">
            <v>34600</v>
          </cell>
          <cell r="K23">
            <v>44100</v>
          </cell>
          <cell r="M23" t="str">
            <v>X19</v>
          </cell>
          <cell r="N23">
            <v>5000</v>
          </cell>
          <cell r="O23">
            <v>10000</v>
          </cell>
          <cell r="P23">
            <v>12400</v>
          </cell>
          <cell r="Q23">
            <v>13300</v>
          </cell>
          <cell r="R23">
            <v>16600</v>
          </cell>
          <cell r="S23">
            <v>19900</v>
          </cell>
          <cell r="T23">
            <v>30200</v>
          </cell>
          <cell r="U23">
            <v>39800</v>
          </cell>
          <cell r="V23">
            <v>50700</v>
          </cell>
          <cell r="X23" t="str">
            <v>X19</v>
          </cell>
          <cell r="Y23">
            <v>6900</v>
          </cell>
          <cell r="Z23">
            <v>13700</v>
          </cell>
          <cell r="AA23">
            <v>17100</v>
          </cell>
          <cell r="AB23">
            <v>18300</v>
          </cell>
          <cell r="AC23">
            <v>22800</v>
          </cell>
          <cell r="AD23">
            <v>27400</v>
          </cell>
          <cell r="AE23">
            <v>41600</v>
          </cell>
          <cell r="AF23">
            <v>54800</v>
          </cell>
          <cell r="AG23">
            <v>69900</v>
          </cell>
          <cell r="BP23" t="str">
            <v>X19</v>
          </cell>
          <cell r="BQ23">
            <v>22300</v>
          </cell>
          <cell r="BR23">
            <v>44600</v>
          </cell>
          <cell r="BS23">
            <v>55800</v>
          </cell>
          <cell r="BT23">
            <v>59500</v>
          </cell>
          <cell r="BU23">
            <v>74300</v>
          </cell>
          <cell r="BV23">
            <v>89200</v>
          </cell>
          <cell r="BW23">
            <v>135300</v>
          </cell>
          <cell r="BX23">
            <v>178400</v>
          </cell>
          <cell r="BY23">
            <v>227500</v>
          </cell>
        </row>
        <row r="24">
          <cell r="B24" t="str">
            <v>X20</v>
          </cell>
          <cell r="C24">
            <v>4800</v>
          </cell>
          <cell r="D24">
            <v>9500</v>
          </cell>
          <cell r="E24">
            <v>11900</v>
          </cell>
          <cell r="F24">
            <v>12700</v>
          </cell>
          <cell r="G24">
            <v>15800</v>
          </cell>
          <cell r="H24">
            <v>19000</v>
          </cell>
          <cell r="I24">
            <v>28800</v>
          </cell>
          <cell r="J24">
            <v>38000</v>
          </cell>
          <cell r="K24">
            <v>48500</v>
          </cell>
          <cell r="M24" t="str">
            <v>X20</v>
          </cell>
          <cell r="N24">
            <v>5500</v>
          </cell>
          <cell r="O24">
            <v>11000</v>
          </cell>
          <cell r="P24">
            <v>13700</v>
          </cell>
          <cell r="Q24">
            <v>14600</v>
          </cell>
          <cell r="R24">
            <v>18300</v>
          </cell>
          <cell r="S24">
            <v>21900</v>
          </cell>
          <cell r="T24">
            <v>33200</v>
          </cell>
          <cell r="U24">
            <v>43800</v>
          </cell>
          <cell r="V24">
            <v>55800</v>
          </cell>
          <cell r="X24" t="str">
            <v>X20</v>
          </cell>
          <cell r="Y24">
            <v>7600</v>
          </cell>
          <cell r="Z24">
            <v>15100</v>
          </cell>
          <cell r="AA24">
            <v>18900</v>
          </cell>
          <cell r="AB24">
            <v>20100</v>
          </cell>
          <cell r="AC24">
            <v>25200</v>
          </cell>
          <cell r="AD24">
            <v>30200</v>
          </cell>
          <cell r="AE24">
            <v>45800</v>
          </cell>
          <cell r="AF24">
            <v>60400</v>
          </cell>
          <cell r="AG24">
            <v>77000</v>
          </cell>
          <cell r="BP24" t="str">
            <v>X20</v>
          </cell>
          <cell r="BQ24">
            <v>24600</v>
          </cell>
          <cell r="BR24">
            <v>49100</v>
          </cell>
          <cell r="BS24">
            <v>61400</v>
          </cell>
          <cell r="BT24">
            <v>65500</v>
          </cell>
          <cell r="BU24">
            <v>81800</v>
          </cell>
          <cell r="BV24">
            <v>98200</v>
          </cell>
          <cell r="BW24">
            <v>148900</v>
          </cell>
          <cell r="BX24">
            <v>196400</v>
          </cell>
          <cell r="BY24">
            <v>250400</v>
          </cell>
        </row>
        <row r="25">
          <cell r="B25" t="str">
            <v>X21</v>
          </cell>
          <cell r="C25">
            <v>5200</v>
          </cell>
          <cell r="D25">
            <v>10500</v>
          </cell>
          <cell r="E25">
            <v>13100</v>
          </cell>
          <cell r="F25">
            <v>13900</v>
          </cell>
          <cell r="G25">
            <v>17400</v>
          </cell>
          <cell r="H25">
            <v>20900</v>
          </cell>
          <cell r="I25">
            <v>31700</v>
          </cell>
          <cell r="J25">
            <v>41800</v>
          </cell>
          <cell r="K25">
            <v>53300</v>
          </cell>
          <cell r="M25" t="str">
            <v>X21</v>
          </cell>
          <cell r="N25">
            <v>6000</v>
          </cell>
          <cell r="O25">
            <v>12000</v>
          </cell>
          <cell r="P25">
            <v>15000</v>
          </cell>
          <cell r="Q25">
            <v>16000</v>
          </cell>
          <cell r="R25">
            <v>20000</v>
          </cell>
          <cell r="S25">
            <v>24000</v>
          </cell>
          <cell r="T25">
            <v>36400</v>
          </cell>
          <cell r="U25">
            <v>48000</v>
          </cell>
          <cell r="V25">
            <v>61200</v>
          </cell>
          <cell r="X25" t="str">
            <v>X21</v>
          </cell>
          <cell r="Y25">
            <v>8300</v>
          </cell>
          <cell r="Z25">
            <v>16600</v>
          </cell>
          <cell r="AA25">
            <v>20800</v>
          </cell>
          <cell r="AB25">
            <v>22100</v>
          </cell>
          <cell r="AC25">
            <v>27700</v>
          </cell>
          <cell r="AD25">
            <v>33200</v>
          </cell>
          <cell r="AE25">
            <v>50400</v>
          </cell>
          <cell r="AF25">
            <v>66400</v>
          </cell>
          <cell r="AG25">
            <v>84700</v>
          </cell>
          <cell r="BP25" t="str">
            <v>X21</v>
          </cell>
          <cell r="BQ25">
            <v>27000</v>
          </cell>
          <cell r="BR25">
            <v>54000</v>
          </cell>
          <cell r="BS25">
            <v>67500</v>
          </cell>
          <cell r="BT25">
            <v>72000</v>
          </cell>
          <cell r="BU25">
            <v>90000</v>
          </cell>
          <cell r="BV25">
            <v>108000</v>
          </cell>
          <cell r="BW25">
            <v>163800</v>
          </cell>
          <cell r="BX25">
            <v>216000</v>
          </cell>
          <cell r="BY25">
            <v>275400</v>
          </cell>
        </row>
        <row r="26">
          <cell r="B26" t="str">
            <v>X22</v>
          </cell>
          <cell r="C26">
            <v>5800</v>
          </cell>
          <cell r="D26">
            <v>11500</v>
          </cell>
          <cell r="E26">
            <v>14400</v>
          </cell>
          <cell r="F26">
            <v>15300</v>
          </cell>
          <cell r="G26">
            <v>19200</v>
          </cell>
          <cell r="H26">
            <v>23000</v>
          </cell>
          <cell r="I26">
            <v>34900</v>
          </cell>
          <cell r="J26">
            <v>46000</v>
          </cell>
          <cell r="K26">
            <v>58700</v>
          </cell>
          <cell r="M26" t="str">
            <v>X22</v>
          </cell>
          <cell r="N26">
            <v>6600</v>
          </cell>
          <cell r="O26">
            <v>13200</v>
          </cell>
          <cell r="P26">
            <v>16500</v>
          </cell>
          <cell r="Q26">
            <v>17600</v>
          </cell>
          <cell r="R26">
            <v>22000</v>
          </cell>
          <cell r="S26">
            <v>26400</v>
          </cell>
          <cell r="T26">
            <v>40000</v>
          </cell>
          <cell r="U26">
            <v>52800</v>
          </cell>
          <cell r="V26">
            <v>67300</v>
          </cell>
          <cell r="X26" t="str">
            <v>X22</v>
          </cell>
          <cell r="Y26">
            <v>9100</v>
          </cell>
          <cell r="Z26">
            <v>18300</v>
          </cell>
          <cell r="AA26">
            <v>22800</v>
          </cell>
          <cell r="AB26">
            <v>24300</v>
          </cell>
          <cell r="AC26">
            <v>30400</v>
          </cell>
          <cell r="AD26">
            <v>36500</v>
          </cell>
          <cell r="AE26">
            <v>55400</v>
          </cell>
          <cell r="AF26">
            <v>73000</v>
          </cell>
          <cell r="AG26">
            <v>93100</v>
          </cell>
          <cell r="BP26" t="str">
            <v>X22</v>
          </cell>
          <cell r="BQ26">
            <v>29700</v>
          </cell>
          <cell r="BR26">
            <v>59400</v>
          </cell>
          <cell r="BS26">
            <v>74300</v>
          </cell>
          <cell r="BT26">
            <v>79200</v>
          </cell>
          <cell r="BU26">
            <v>99000</v>
          </cell>
          <cell r="BV26">
            <v>118800</v>
          </cell>
          <cell r="BW26">
            <v>180200</v>
          </cell>
          <cell r="BX26">
            <v>237600</v>
          </cell>
          <cell r="BY26">
            <v>302900</v>
          </cell>
        </row>
        <row r="27">
          <cell r="B27" t="str">
            <v>X23</v>
          </cell>
          <cell r="C27">
            <v>6300</v>
          </cell>
          <cell r="D27">
            <v>12700</v>
          </cell>
          <cell r="E27">
            <v>15800</v>
          </cell>
          <cell r="F27">
            <v>16900</v>
          </cell>
          <cell r="G27">
            <v>21100</v>
          </cell>
          <cell r="H27">
            <v>25300</v>
          </cell>
          <cell r="I27">
            <v>38400</v>
          </cell>
          <cell r="J27">
            <v>50600</v>
          </cell>
          <cell r="K27">
            <v>64500</v>
          </cell>
          <cell r="M27" t="str">
            <v>X23</v>
          </cell>
          <cell r="N27">
            <v>7300</v>
          </cell>
          <cell r="O27">
            <v>14600</v>
          </cell>
          <cell r="P27">
            <v>18200</v>
          </cell>
          <cell r="Q27">
            <v>19400</v>
          </cell>
          <cell r="R27">
            <v>24300</v>
          </cell>
          <cell r="S27">
            <v>29100</v>
          </cell>
          <cell r="T27">
            <v>44100</v>
          </cell>
          <cell r="U27">
            <v>58200</v>
          </cell>
          <cell r="V27">
            <v>74200</v>
          </cell>
          <cell r="X27" t="str">
            <v>X23</v>
          </cell>
          <cell r="Y27">
            <v>10000</v>
          </cell>
          <cell r="Z27">
            <v>20100</v>
          </cell>
          <cell r="AA27">
            <v>25100</v>
          </cell>
          <cell r="AB27">
            <v>26700</v>
          </cell>
          <cell r="AC27">
            <v>33400</v>
          </cell>
          <cell r="AD27">
            <v>40100</v>
          </cell>
          <cell r="AE27">
            <v>60800</v>
          </cell>
          <cell r="AF27">
            <v>80200</v>
          </cell>
          <cell r="AG27">
            <v>102300</v>
          </cell>
          <cell r="BP27" t="str">
            <v>X23</v>
          </cell>
          <cell r="BQ27">
            <v>32700</v>
          </cell>
          <cell r="BR27">
            <v>65400</v>
          </cell>
          <cell r="BS27">
            <v>81700</v>
          </cell>
          <cell r="BT27">
            <v>87100</v>
          </cell>
          <cell r="BU27">
            <v>108900</v>
          </cell>
          <cell r="BV27">
            <v>130700</v>
          </cell>
          <cell r="BW27">
            <v>198200</v>
          </cell>
          <cell r="BX27">
            <v>261400</v>
          </cell>
          <cell r="BY27">
            <v>333300</v>
          </cell>
        </row>
        <row r="28">
          <cell r="B28" t="str">
            <v>X24</v>
          </cell>
          <cell r="C28">
            <v>7000</v>
          </cell>
          <cell r="D28">
            <v>13900</v>
          </cell>
          <cell r="E28">
            <v>17400</v>
          </cell>
          <cell r="F28">
            <v>18500</v>
          </cell>
          <cell r="G28">
            <v>23200</v>
          </cell>
          <cell r="H28">
            <v>27800</v>
          </cell>
          <cell r="I28">
            <v>42200</v>
          </cell>
          <cell r="J28">
            <v>55600</v>
          </cell>
          <cell r="K28">
            <v>70900</v>
          </cell>
          <cell r="M28" t="str">
            <v>X24</v>
          </cell>
          <cell r="N28">
            <v>8000</v>
          </cell>
          <cell r="O28">
            <v>16000</v>
          </cell>
          <cell r="P28">
            <v>20000</v>
          </cell>
          <cell r="Q28">
            <v>21300</v>
          </cell>
          <cell r="R28">
            <v>26700</v>
          </cell>
          <cell r="S28">
            <v>32000</v>
          </cell>
          <cell r="T28">
            <v>48500</v>
          </cell>
          <cell r="U28">
            <v>64000</v>
          </cell>
          <cell r="V28">
            <v>81600</v>
          </cell>
          <cell r="X28" t="str">
            <v>X24</v>
          </cell>
          <cell r="Y28">
            <v>11000</v>
          </cell>
          <cell r="Z28">
            <v>22100</v>
          </cell>
          <cell r="AA28">
            <v>27600</v>
          </cell>
          <cell r="AB28">
            <v>29400</v>
          </cell>
          <cell r="AC28">
            <v>36800</v>
          </cell>
          <cell r="AD28">
            <v>44100</v>
          </cell>
          <cell r="AE28">
            <v>66900</v>
          </cell>
          <cell r="AF28">
            <v>88200</v>
          </cell>
          <cell r="AG28">
            <v>112500</v>
          </cell>
          <cell r="BP28" t="str">
            <v>X24</v>
          </cell>
          <cell r="BQ28">
            <v>35900</v>
          </cell>
          <cell r="BR28">
            <v>71900</v>
          </cell>
          <cell r="BS28">
            <v>89800</v>
          </cell>
          <cell r="BT28">
            <v>95800</v>
          </cell>
          <cell r="BU28">
            <v>119800</v>
          </cell>
          <cell r="BV28">
            <v>143700</v>
          </cell>
          <cell r="BW28">
            <v>217900</v>
          </cell>
          <cell r="BX28">
            <v>287400</v>
          </cell>
          <cell r="BY28">
            <v>366400</v>
          </cell>
        </row>
        <row r="29">
          <cell r="B29" t="str">
            <v>X25</v>
          </cell>
          <cell r="C29">
            <v>7700</v>
          </cell>
          <cell r="D29">
            <v>15300</v>
          </cell>
          <cell r="E29">
            <v>19100</v>
          </cell>
          <cell r="F29">
            <v>20400</v>
          </cell>
          <cell r="G29">
            <v>25500</v>
          </cell>
          <cell r="H29">
            <v>30600</v>
          </cell>
          <cell r="I29">
            <v>46400</v>
          </cell>
          <cell r="J29">
            <v>61200</v>
          </cell>
          <cell r="K29">
            <v>78000</v>
          </cell>
          <cell r="M29" t="str">
            <v>X25</v>
          </cell>
          <cell r="N29">
            <v>8800</v>
          </cell>
          <cell r="O29">
            <v>17600</v>
          </cell>
          <cell r="P29">
            <v>22000</v>
          </cell>
          <cell r="Q29">
            <v>23500</v>
          </cell>
          <cell r="R29">
            <v>29300</v>
          </cell>
          <cell r="S29">
            <v>35200</v>
          </cell>
          <cell r="T29">
            <v>53400</v>
          </cell>
          <cell r="U29">
            <v>70400</v>
          </cell>
          <cell r="V29">
            <v>89800</v>
          </cell>
          <cell r="X29" t="str">
            <v>X25</v>
          </cell>
          <cell r="Y29">
            <v>12200</v>
          </cell>
          <cell r="Z29">
            <v>24300</v>
          </cell>
          <cell r="AA29">
            <v>30400</v>
          </cell>
          <cell r="AB29">
            <v>32400</v>
          </cell>
          <cell r="AC29">
            <v>40500</v>
          </cell>
          <cell r="AD29">
            <v>48600</v>
          </cell>
          <cell r="AE29">
            <v>73700</v>
          </cell>
          <cell r="AF29">
            <v>97200</v>
          </cell>
          <cell r="AG29">
            <v>123900</v>
          </cell>
          <cell r="BP29" t="str">
            <v>X25</v>
          </cell>
          <cell r="BQ29">
            <v>39500</v>
          </cell>
          <cell r="BR29">
            <v>79100</v>
          </cell>
          <cell r="BS29">
            <v>98800</v>
          </cell>
          <cell r="BT29">
            <v>105400</v>
          </cell>
          <cell r="BU29">
            <v>131800</v>
          </cell>
          <cell r="BV29">
            <v>158100</v>
          </cell>
          <cell r="BW29">
            <v>239800</v>
          </cell>
          <cell r="BX29">
            <v>316200</v>
          </cell>
          <cell r="BY29">
            <v>403200</v>
          </cell>
        </row>
        <row r="30">
          <cell r="B30" t="str">
            <v>X26</v>
          </cell>
          <cell r="C30">
            <v>8400</v>
          </cell>
          <cell r="D30">
            <v>16900</v>
          </cell>
          <cell r="E30">
            <v>21100</v>
          </cell>
          <cell r="F30">
            <v>22500</v>
          </cell>
          <cell r="G30">
            <v>28100</v>
          </cell>
          <cell r="H30">
            <v>33700</v>
          </cell>
          <cell r="I30">
            <v>51100</v>
          </cell>
          <cell r="J30">
            <v>67400</v>
          </cell>
          <cell r="K30">
            <v>85900</v>
          </cell>
          <cell r="M30" t="str">
            <v>X26</v>
          </cell>
          <cell r="N30">
            <v>9700</v>
          </cell>
          <cell r="O30">
            <v>19400</v>
          </cell>
          <cell r="P30">
            <v>24200</v>
          </cell>
          <cell r="Q30">
            <v>25800</v>
          </cell>
          <cell r="R30">
            <v>32300</v>
          </cell>
          <cell r="S30">
            <v>38700</v>
          </cell>
          <cell r="T30">
            <v>58700</v>
          </cell>
          <cell r="U30">
            <v>77400</v>
          </cell>
          <cell r="V30">
            <v>98700</v>
          </cell>
          <cell r="X30" t="str">
            <v>X26</v>
          </cell>
          <cell r="Y30">
            <v>13400</v>
          </cell>
          <cell r="Z30">
            <v>26700</v>
          </cell>
          <cell r="AA30">
            <v>33400</v>
          </cell>
          <cell r="AB30">
            <v>35600</v>
          </cell>
          <cell r="AC30">
            <v>44500</v>
          </cell>
          <cell r="AD30">
            <v>53400</v>
          </cell>
          <cell r="AE30">
            <v>81000</v>
          </cell>
          <cell r="AF30">
            <v>106800</v>
          </cell>
          <cell r="AG30">
            <v>136200</v>
          </cell>
          <cell r="BP30" t="str">
            <v>X26</v>
          </cell>
          <cell r="BQ30">
            <v>43500</v>
          </cell>
          <cell r="BR30">
            <v>87000</v>
          </cell>
          <cell r="BS30">
            <v>108700</v>
          </cell>
          <cell r="BT30">
            <v>115900</v>
          </cell>
          <cell r="BU30">
            <v>144900</v>
          </cell>
          <cell r="BV30">
            <v>173900</v>
          </cell>
          <cell r="BW30">
            <v>263700</v>
          </cell>
          <cell r="BX30">
            <v>347800</v>
          </cell>
          <cell r="BY30">
            <v>443400</v>
          </cell>
        </row>
        <row r="31">
          <cell r="B31" t="str">
            <v>X27</v>
          </cell>
          <cell r="C31">
            <v>9300</v>
          </cell>
          <cell r="D31">
            <v>18500</v>
          </cell>
          <cell r="E31">
            <v>23100</v>
          </cell>
          <cell r="F31">
            <v>24700</v>
          </cell>
          <cell r="G31">
            <v>30800</v>
          </cell>
          <cell r="H31">
            <v>37000</v>
          </cell>
          <cell r="I31">
            <v>56100</v>
          </cell>
          <cell r="J31">
            <v>74000</v>
          </cell>
          <cell r="K31">
            <v>94400</v>
          </cell>
          <cell r="M31" t="str">
            <v>X27</v>
          </cell>
          <cell r="N31">
            <v>10700</v>
          </cell>
          <cell r="O31">
            <v>21300</v>
          </cell>
          <cell r="P31">
            <v>26600</v>
          </cell>
          <cell r="Q31">
            <v>28400</v>
          </cell>
          <cell r="R31">
            <v>35500</v>
          </cell>
          <cell r="S31">
            <v>42600</v>
          </cell>
          <cell r="T31">
            <v>64600</v>
          </cell>
          <cell r="U31">
            <v>85200</v>
          </cell>
          <cell r="V31">
            <v>108600</v>
          </cell>
          <cell r="X31" t="str">
            <v>X27</v>
          </cell>
          <cell r="Y31">
            <v>14700</v>
          </cell>
          <cell r="Z31">
            <v>29400</v>
          </cell>
          <cell r="AA31">
            <v>36700</v>
          </cell>
          <cell r="AB31">
            <v>39100</v>
          </cell>
          <cell r="AC31">
            <v>48900</v>
          </cell>
          <cell r="AD31">
            <v>58700</v>
          </cell>
          <cell r="AE31">
            <v>89000</v>
          </cell>
          <cell r="AF31">
            <v>117400</v>
          </cell>
          <cell r="AG31">
            <v>149700</v>
          </cell>
          <cell r="BP31" t="str">
            <v>X27</v>
          </cell>
          <cell r="BQ31">
            <v>47800</v>
          </cell>
          <cell r="BR31">
            <v>95700</v>
          </cell>
          <cell r="BS31">
            <v>119600</v>
          </cell>
          <cell r="BT31">
            <v>127500</v>
          </cell>
          <cell r="BU31">
            <v>159400</v>
          </cell>
          <cell r="BV31">
            <v>191300</v>
          </cell>
          <cell r="BW31">
            <v>290100</v>
          </cell>
          <cell r="BX31">
            <v>382600</v>
          </cell>
          <cell r="BY31">
            <v>487800</v>
          </cell>
        </row>
        <row r="32">
          <cell r="B32" t="str">
            <v>X28</v>
          </cell>
          <cell r="C32">
            <v>10200</v>
          </cell>
          <cell r="D32">
            <v>20400</v>
          </cell>
          <cell r="E32">
            <v>25500</v>
          </cell>
          <cell r="F32">
            <v>27200</v>
          </cell>
          <cell r="G32">
            <v>34000</v>
          </cell>
          <cell r="H32">
            <v>40800</v>
          </cell>
          <cell r="I32">
            <v>61900</v>
          </cell>
          <cell r="J32">
            <v>81600</v>
          </cell>
          <cell r="K32">
            <v>104000</v>
          </cell>
          <cell r="M32" t="str">
            <v>X28</v>
          </cell>
          <cell r="N32">
            <v>11700</v>
          </cell>
          <cell r="O32">
            <v>23500</v>
          </cell>
          <cell r="P32">
            <v>29300</v>
          </cell>
          <cell r="Q32">
            <v>31300</v>
          </cell>
          <cell r="R32">
            <v>39100</v>
          </cell>
          <cell r="S32">
            <v>46900</v>
          </cell>
          <cell r="T32">
            <v>71100</v>
          </cell>
          <cell r="U32">
            <v>93800</v>
          </cell>
          <cell r="V32">
            <v>119600</v>
          </cell>
          <cell r="X32" t="str">
            <v>X28</v>
          </cell>
          <cell r="Y32">
            <v>16200</v>
          </cell>
          <cell r="Z32">
            <v>32300</v>
          </cell>
          <cell r="AA32">
            <v>40400</v>
          </cell>
          <cell r="AB32">
            <v>43100</v>
          </cell>
          <cell r="AC32">
            <v>53800</v>
          </cell>
          <cell r="AD32">
            <v>64600</v>
          </cell>
          <cell r="AE32">
            <v>98000</v>
          </cell>
          <cell r="AF32">
            <v>129200</v>
          </cell>
          <cell r="AG32">
            <v>164700</v>
          </cell>
          <cell r="BP32" t="str">
            <v>X28</v>
          </cell>
          <cell r="BQ32">
            <v>52600</v>
          </cell>
          <cell r="BR32">
            <v>105300</v>
          </cell>
          <cell r="BS32">
            <v>131600</v>
          </cell>
          <cell r="BT32">
            <v>140300</v>
          </cell>
          <cell r="BU32">
            <v>175400</v>
          </cell>
          <cell r="BV32">
            <v>210500</v>
          </cell>
          <cell r="BW32">
            <v>319300</v>
          </cell>
          <cell r="BX32">
            <v>421000</v>
          </cell>
          <cell r="BY32">
            <v>536800</v>
          </cell>
        </row>
        <row r="33">
          <cell r="B33" t="str">
            <v>X29</v>
          </cell>
          <cell r="C33">
            <v>11200</v>
          </cell>
          <cell r="D33">
            <v>22400</v>
          </cell>
          <cell r="E33">
            <v>28000</v>
          </cell>
          <cell r="F33">
            <v>29900</v>
          </cell>
          <cell r="G33">
            <v>37300</v>
          </cell>
          <cell r="H33">
            <v>44800</v>
          </cell>
          <cell r="I33">
            <v>67900</v>
          </cell>
          <cell r="J33">
            <v>89600</v>
          </cell>
          <cell r="K33">
            <v>114200</v>
          </cell>
          <cell r="M33" t="str">
            <v>X29</v>
          </cell>
          <cell r="N33">
            <v>12900</v>
          </cell>
          <cell r="O33">
            <v>25800</v>
          </cell>
          <cell r="P33">
            <v>32200</v>
          </cell>
          <cell r="Q33">
            <v>34300</v>
          </cell>
          <cell r="R33">
            <v>42900</v>
          </cell>
          <cell r="S33">
            <v>51500</v>
          </cell>
          <cell r="T33">
            <v>78100</v>
          </cell>
          <cell r="U33">
            <v>103000</v>
          </cell>
          <cell r="V33">
            <v>131300</v>
          </cell>
          <cell r="X33" t="str">
            <v>X29</v>
          </cell>
          <cell r="Y33">
            <v>17800</v>
          </cell>
          <cell r="Z33">
            <v>35600</v>
          </cell>
          <cell r="AA33">
            <v>44400</v>
          </cell>
          <cell r="AB33">
            <v>47400</v>
          </cell>
          <cell r="AC33">
            <v>59300</v>
          </cell>
          <cell r="AD33">
            <v>71100</v>
          </cell>
          <cell r="AE33">
            <v>107800</v>
          </cell>
          <cell r="AF33">
            <v>142200</v>
          </cell>
          <cell r="AG33">
            <v>181300</v>
          </cell>
          <cell r="BP33" t="str">
            <v>X29</v>
          </cell>
          <cell r="BQ33">
            <v>57900</v>
          </cell>
          <cell r="BR33">
            <v>115700</v>
          </cell>
          <cell r="BS33">
            <v>144600</v>
          </cell>
          <cell r="BT33">
            <v>154300</v>
          </cell>
          <cell r="BU33">
            <v>192800</v>
          </cell>
          <cell r="BV33">
            <v>231400</v>
          </cell>
          <cell r="BW33">
            <v>351000</v>
          </cell>
          <cell r="BX33">
            <v>462800</v>
          </cell>
          <cell r="BY33">
            <v>590100</v>
          </cell>
        </row>
        <row r="34">
          <cell r="B34" t="str">
            <v>X30</v>
          </cell>
          <cell r="C34">
            <v>12300</v>
          </cell>
          <cell r="D34">
            <v>24700</v>
          </cell>
          <cell r="E34">
            <v>30800</v>
          </cell>
          <cell r="F34">
            <v>32900</v>
          </cell>
          <cell r="G34">
            <v>41100</v>
          </cell>
          <cell r="H34">
            <v>49300</v>
          </cell>
          <cell r="I34">
            <v>74800</v>
          </cell>
          <cell r="J34">
            <v>98600</v>
          </cell>
          <cell r="K34">
            <v>125700</v>
          </cell>
          <cell r="M34" t="str">
            <v>X30</v>
          </cell>
          <cell r="N34">
            <v>14200</v>
          </cell>
          <cell r="O34">
            <v>28400</v>
          </cell>
          <cell r="P34">
            <v>35400</v>
          </cell>
          <cell r="Q34">
            <v>37800</v>
          </cell>
          <cell r="R34">
            <v>47300</v>
          </cell>
          <cell r="S34">
            <v>56700</v>
          </cell>
          <cell r="T34">
            <v>86000</v>
          </cell>
          <cell r="U34">
            <v>113400</v>
          </cell>
          <cell r="V34">
            <v>144600</v>
          </cell>
          <cell r="X34" t="str">
            <v>X30</v>
          </cell>
          <cell r="Y34">
            <v>19600</v>
          </cell>
          <cell r="Z34">
            <v>39100</v>
          </cell>
          <cell r="AA34">
            <v>48900</v>
          </cell>
          <cell r="AB34">
            <v>52100</v>
          </cell>
          <cell r="AC34">
            <v>65200</v>
          </cell>
          <cell r="AD34">
            <v>78200</v>
          </cell>
          <cell r="AE34">
            <v>118600</v>
          </cell>
          <cell r="AF34">
            <v>156400</v>
          </cell>
          <cell r="AG34">
            <v>199400</v>
          </cell>
          <cell r="BP34" t="str">
            <v>X30</v>
          </cell>
          <cell r="BQ34">
            <v>63700</v>
          </cell>
          <cell r="BR34">
            <v>127300</v>
          </cell>
          <cell r="BS34">
            <v>159100</v>
          </cell>
          <cell r="BT34">
            <v>169700</v>
          </cell>
          <cell r="BU34">
            <v>212200</v>
          </cell>
          <cell r="BV34">
            <v>254600</v>
          </cell>
          <cell r="BW34">
            <v>386100</v>
          </cell>
          <cell r="BX34">
            <v>509200</v>
          </cell>
          <cell r="BY34">
            <v>649200</v>
          </cell>
        </row>
        <row r="35">
          <cell r="B35" t="str">
            <v>X31</v>
          </cell>
          <cell r="C35">
            <v>13600</v>
          </cell>
          <cell r="D35">
            <v>27100</v>
          </cell>
          <cell r="E35">
            <v>33900</v>
          </cell>
          <cell r="F35">
            <v>36100</v>
          </cell>
          <cell r="G35">
            <v>45200</v>
          </cell>
          <cell r="H35">
            <v>54200</v>
          </cell>
          <cell r="I35">
            <v>82200</v>
          </cell>
          <cell r="J35">
            <v>108400</v>
          </cell>
          <cell r="K35">
            <v>138200</v>
          </cell>
          <cell r="M35" t="str">
            <v>X31</v>
          </cell>
          <cell r="N35">
            <v>15600</v>
          </cell>
          <cell r="O35">
            <v>31200</v>
          </cell>
          <cell r="P35">
            <v>39000</v>
          </cell>
          <cell r="Q35">
            <v>41600</v>
          </cell>
          <cell r="R35">
            <v>52000</v>
          </cell>
          <cell r="S35">
            <v>62400</v>
          </cell>
          <cell r="T35">
            <v>94600</v>
          </cell>
          <cell r="U35">
            <v>124800</v>
          </cell>
          <cell r="V35">
            <v>159100</v>
          </cell>
          <cell r="X35" t="str">
            <v>X31</v>
          </cell>
          <cell r="Y35">
            <v>21500</v>
          </cell>
          <cell r="Z35">
            <v>43000</v>
          </cell>
          <cell r="AA35">
            <v>53800</v>
          </cell>
          <cell r="AB35">
            <v>57300</v>
          </cell>
          <cell r="AC35">
            <v>71700</v>
          </cell>
          <cell r="AD35">
            <v>86000</v>
          </cell>
          <cell r="AE35">
            <v>130400</v>
          </cell>
          <cell r="AF35">
            <v>172000</v>
          </cell>
          <cell r="AG35">
            <v>219300</v>
          </cell>
          <cell r="BP35" t="str">
            <v>X31</v>
          </cell>
          <cell r="BQ35">
            <v>70000</v>
          </cell>
          <cell r="BR35">
            <v>140100</v>
          </cell>
          <cell r="BS35">
            <v>175100</v>
          </cell>
          <cell r="BT35">
            <v>186700</v>
          </cell>
          <cell r="BU35">
            <v>233400</v>
          </cell>
          <cell r="BV35">
            <v>280100</v>
          </cell>
          <cell r="BW35">
            <v>424800</v>
          </cell>
          <cell r="BX35">
            <v>560200</v>
          </cell>
          <cell r="BY35">
            <v>714300</v>
          </cell>
        </row>
        <row r="36">
          <cell r="B36" t="str">
            <v>X32</v>
          </cell>
          <cell r="C36">
            <v>14900</v>
          </cell>
          <cell r="D36">
            <v>29900</v>
          </cell>
          <cell r="E36">
            <v>37300</v>
          </cell>
          <cell r="F36">
            <v>39800</v>
          </cell>
          <cell r="G36">
            <v>49800</v>
          </cell>
          <cell r="H36">
            <v>59700</v>
          </cell>
          <cell r="I36">
            <v>90500</v>
          </cell>
          <cell r="J36">
            <v>119400</v>
          </cell>
          <cell r="K36">
            <v>152200</v>
          </cell>
          <cell r="M36" t="str">
            <v>X32</v>
          </cell>
          <cell r="N36">
            <v>17200</v>
          </cell>
          <cell r="O36">
            <v>34300</v>
          </cell>
          <cell r="P36">
            <v>42900</v>
          </cell>
          <cell r="Q36">
            <v>45700</v>
          </cell>
          <cell r="R36">
            <v>57200</v>
          </cell>
          <cell r="S36">
            <v>68600</v>
          </cell>
          <cell r="T36">
            <v>104000</v>
          </cell>
          <cell r="U36">
            <v>137200</v>
          </cell>
          <cell r="V36">
            <v>174900</v>
          </cell>
          <cell r="X36" t="str">
            <v>X32</v>
          </cell>
          <cell r="Y36">
            <v>23700</v>
          </cell>
          <cell r="Z36">
            <v>47300</v>
          </cell>
          <cell r="AA36">
            <v>59100</v>
          </cell>
          <cell r="AB36">
            <v>63100</v>
          </cell>
          <cell r="AC36">
            <v>78800</v>
          </cell>
          <cell r="AD36">
            <v>94600</v>
          </cell>
          <cell r="AE36">
            <v>143500</v>
          </cell>
          <cell r="AF36">
            <v>189200</v>
          </cell>
          <cell r="AG36">
            <v>241200</v>
          </cell>
          <cell r="BP36" t="str">
            <v>X32</v>
          </cell>
          <cell r="BQ36">
            <v>77000</v>
          </cell>
          <cell r="BR36">
            <v>154100</v>
          </cell>
          <cell r="BS36">
            <v>192600</v>
          </cell>
          <cell r="BT36">
            <v>205400</v>
          </cell>
          <cell r="BU36">
            <v>256800</v>
          </cell>
          <cell r="BV36">
            <v>308100</v>
          </cell>
          <cell r="BW36">
            <v>467300</v>
          </cell>
          <cell r="BX36">
            <v>616200</v>
          </cell>
          <cell r="BY36">
            <v>785700</v>
          </cell>
        </row>
        <row r="37">
          <cell r="B37" t="str">
            <v>X33</v>
          </cell>
          <cell r="C37">
            <v>16400</v>
          </cell>
          <cell r="D37">
            <v>32800</v>
          </cell>
          <cell r="E37">
            <v>41000</v>
          </cell>
          <cell r="F37">
            <v>43700</v>
          </cell>
          <cell r="G37">
            <v>54700</v>
          </cell>
          <cell r="H37">
            <v>65600</v>
          </cell>
          <cell r="I37">
            <v>99500</v>
          </cell>
          <cell r="J37">
            <v>131200</v>
          </cell>
          <cell r="K37">
            <v>167300</v>
          </cell>
          <cell r="M37" t="str">
            <v>X33</v>
          </cell>
          <cell r="N37">
            <v>18900</v>
          </cell>
          <cell r="O37">
            <v>37800</v>
          </cell>
          <cell r="P37">
            <v>47200</v>
          </cell>
          <cell r="Q37">
            <v>50300</v>
          </cell>
          <cell r="R37">
            <v>62900</v>
          </cell>
          <cell r="S37">
            <v>75500</v>
          </cell>
          <cell r="T37">
            <v>114500</v>
          </cell>
          <cell r="U37">
            <v>151000</v>
          </cell>
          <cell r="V37">
            <v>192500</v>
          </cell>
          <cell r="X37" t="str">
            <v>X33</v>
          </cell>
          <cell r="Y37">
            <v>26000</v>
          </cell>
          <cell r="Z37">
            <v>52100</v>
          </cell>
          <cell r="AA37">
            <v>65100</v>
          </cell>
          <cell r="AB37">
            <v>69400</v>
          </cell>
          <cell r="AC37">
            <v>86800</v>
          </cell>
          <cell r="AD37">
            <v>104100</v>
          </cell>
          <cell r="AE37">
            <v>157900</v>
          </cell>
          <cell r="AF37">
            <v>208200</v>
          </cell>
          <cell r="AG37">
            <v>265500</v>
          </cell>
          <cell r="BP37" t="str">
            <v>X33</v>
          </cell>
          <cell r="BQ37">
            <v>84700</v>
          </cell>
          <cell r="BR37">
            <v>169500</v>
          </cell>
          <cell r="BS37">
            <v>211800</v>
          </cell>
          <cell r="BT37">
            <v>225900</v>
          </cell>
          <cell r="BU37">
            <v>282400</v>
          </cell>
          <cell r="BV37">
            <v>338900</v>
          </cell>
          <cell r="BW37">
            <v>514000</v>
          </cell>
          <cell r="BX37">
            <v>677800</v>
          </cell>
          <cell r="BY37">
            <v>864200</v>
          </cell>
        </row>
        <row r="38">
          <cell r="B38" t="str">
            <v>X34</v>
          </cell>
          <cell r="C38">
            <v>18100</v>
          </cell>
          <cell r="D38">
            <v>36100</v>
          </cell>
          <cell r="E38">
            <v>45100</v>
          </cell>
          <cell r="F38">
            <v>48100</v>
          </cell>
          <cell r="G38">
            <v>60200</v>
          </cell>
          <cell r="H38">
            <v>72200</v>
          </cell>
          <cell r="I38">
            <v>109500</v>
          </cell>
          <cell r="J38">
            <v>144400</v>
          </cell>
          <cell r="K38">
            <v>184100</v>
          </cell>
          <cell r="M38" t="str">
            <v>X34</v>
          </cell>
          <cell r="N38">
            <v>20800</v>
          </cell>
          <cell r="O38">
            <v>41500</v>
          </cell>
          <cell r="P38">
            <v>51900</v>
          </cell>
          <cell r="Q38">
            <v>55300</v>
          </cell>
          <cell r="R38">
            <v>69200</v>
          </cell>
          <cell r="S38">
            <v>83000</v>
          </cell>
          <cell r="T38">
            <v>125900</v>
          </cell>
          <cell r="U38">
            <v>166000</v>
          </cell>
          <cell r="V38">
            <v>211700</v>
          </cell>
          <cell r="X38" t="str">
            <v>X34</v>
          </cell>
          <cell r="Y38">
            <v>28600</v>
          </cell>
          <cell r="Z38">
            <v>57300</v>
          </cell>
          <cell r="AA38">
            <v>71600</v>
          </cell>
          <cell r="AB38">
            <v>76300</v>
          </cell>
          <cell r="AC38">
            <v>95400</v>
          </cell>
          <cell r="AD38">
            <v>114500</v>
          </cell>
          <cell r="AE38">
            <v>173700</v>
          </cell>
          <cell r="AF38">
            <v>229000</v>
          </cell>
          <cell r="AG38">
            <v>292000</v>
          </cell>
          <cell r="BP38" t="str">
            <v>X34</v>
          </cell>
          <cell r="BQ38">
            <v>93200</v>
          </cell>
          <cell r="BR38">
            <v>186400</v>
          </cell>
          <cell r="BS38">
            <v>233000</v>
          </cell>
          <cell r="BT38">
            <v>248500</v>
          </cell>
          <cell r="BU38">
            <v>310700</v>
          </cell>
          <cell r="BV38">
            <v>372800</v>
          </cell>
          <cell r="BW38">
            <v>565400</v>
          </cell>
          <cell r="BX38">
            <v>745600</v>
          </cell>
          <cell r="BY38">
            <v>950600</v>
          </cell>
        </row>
        <row r="39">
          <cell r="B39" t="str">
            <v>X35</v>
          </cell>
          <cell r="C39">
            <v>19900</v>
          </cell>
          <cell r="D39">
            <v>39700</v>
          </cell>
          <cell r="E39">
            <v>49600</v>
          </cell>
          <cell r="F39">
            <v>52900</v>
          </cell>
          <cell r="G39">
            <v>66200</v>
          </cell>
          <cell r="H39">
            <v>79400</v>
          </cell>
          <cell r="I39">
            <v>120400</v>
          </cell>
          <cell r="J39">
            <v>158800</v>
          </cell>
          <cell r="K39">
            <v>202500</v>
          </cell>
          <cell r="M39" t="str">
            <v>X35</v>
          </cell>
          <cell r="N39">
            <v>22800</v>
          </cell>
          <cell r="O39">
            <v>45700</v>
          </cell>
          <cell r="P39">
            <v>57100</v>
          </cell>
          <cell r="Q39">
            <v>60900</v>
          </cell>
          <cell r="R39">
            <v>76100</v>
          </cell>
          <cell r="S39">
            <v>91300</v>
          </cell>
          <cell r="T39">
            <v>138500</v>
          </cell>
          <cell r="U39">
            <v>182600</v>
          </cell>
          <cell r="V39">
            <v>232800</v>
          </cell>
          <cell r="X39" t="str">
            <v>X35</v>
          </cell>
          <cell r="Y39">
            <v>31500</v>
          </cell>
          <cell r="Z39">
            <v>63000</v>
          </cell>
          <cell r="AA39">
            <v>78700</v>
          </cell>
          <cell r="AB39">
            <v>83900</v>
          </cell>
          <cell r="AC39">
            <v>104900</v>
          </cell>
          <cell r="AD39">
            <v>125900</v>
          </cell>
          <cell r="AE39">
            <v>190900</v>
          </cell>
          <cell r="AF39">
            <v>251800</v>
          </cell>
          <cell r="AG39">
            <v>321000</v>
          </cell>
          <cell r="BP39" t="str">
            <v>X35</v>
          </cell>
          <cell r="BQ39">
            <v>102500</v>
          </cell>
          <cell r="BR39">
            <v>205000</v>
          </cell>
          <cell r="BS39">
            <v>256300</v>
          </cell>
          <cell r="BT39">
            <v>273300</v>
          </cell>
          <cell r="BU39">
            <v>341700</v>
          </cell>
          <cell r="BV39">
            <v>410000</v>
          </cell>
          <cell r="BW39">
            <v>621800</v>
          </cell>
          <cell r="BX39">
            <v>820000</v>
          </cell>
          <cell r="BY39">
            <v>1045500</v>
          </cell>
        </row>
        <row r="40">
          <cell r="B40" t="str">
            <v>X36</v>
          </cell>
          <cell r="C40">
            <v>21900</v>
          </cell>
          <cell r="D40">
            <v>43700</v>
          </cell>
          <cell r="E40">
            <v>54600</v>
          </cell>
          <cell r="F40">
            <v>58300</v>
          </cell>
          <cell r="G40">
            <v>72800</v>
          </cell>
          <cell r="H40">
            <v>87400</v>
          </cell>
          <cell r="I40">
            <v>132600</v>
          </cell>
          <cell r="J40">
            <v>174800</v>
          </cell>
          <cell r="K40">
            <v>222900</v>
          </cell>
          <cell r="M40" t="str">
            <v>X36</v>
          </cell>
          <cell r="N40">
            <v>25100</v>
          </cell>
          <cell r="O40">
            <v>50200</v>
          </cell>
          <cell r="P40">
            <v>62800</v>
          </cell>
          <cell r="Q40">
            <v>66900</v>
          </cell>
          <cell r="R40">
            <v>83700</v>
          </cell>
          <cell r="S40">
            <v>100400</v>
          </cell>
          <cell r="T40">
            <v>152300</v>
          </cell>
          <cell r="U40">
            <v>200800</v>
          </cell>
          <cell r="V40">
            <v>256000</v>
          </cell>
          <cell r="X40" t="str">
            <v>X36</v>
          </cell>
          <cell r="Y40">
            <v>34600</v>
          </cell>
          <cell r="Z40">
            <v>69300</v>
          </cell>
          <cell r="AA40">
            <v>86600</v>
          </cell>
          <cell r="AB40">
            <v>92300</v>
          </cell>
          <cell r="AC40">
            <v>115400</v>
          </cell>
          <cell r="AD40">
            <v>138500</v>
          </cell>
          <cell r="AE40">
            <v>210100</v>
          </cell>
          <cell r="AF40">
            <v>277000</v>
          </cell>
          <cell r="AG40">
            <v>353200</v>
          </cell>
          <cell r="BP40" t="str">
            <v>X36</v>
          </cell>
          <cell r="BQ40">
            <v>112800</v>
          </cell>
          <cell r="BR40">
            <v>225600</v>
          </cell>
          <cell r="BS40">
            <v>281900</v>
          </cell>
          <cell r="BT40">
            <v>300700</v>
          </cell>
          <cell r="BU40">
            <v>375900</v>
          </cell>
          <cell r="BV40">
            <v>451100</v>
          </cell>
          <cell r="BW40">
            <v>684200</v>
          </cell>
          <cell r="BX40">
            <v>902200</v>
          </cell>
          <cell r="BY40">
            <v>1150300</v>
          </cell>
        </row>
        <row r="41">
          <cell r="B41" t="str">
            <v>X37</v>
          </cell>
          <cell r="C41">
            <v>24000</v>
          </cell>
          <cell r="D41">
            <v>48100</v>
          </cell>
          <cell r="E41">
            <v>60100</v>
          </cell>
          <cell r="F41">
            <v>64100</v>
          </cell>
          <cell r="G41">
            <v>80100</v>
          </cell>
          <cell r="H41">
            <v>96100</v>
          </cell>
          <cell r="I41">
            <v>145800</v>
          </cell>
          <cell r="J41">
            <v>192200</v>
          </cell>
          <cell r="K41">
            <v>245100</v>
          </cell>
          <cell r="M41" t="str">
            <v>X37</v>
          </cell>
          <cell r="N41">
            <v>27600</v>
          </cell>
          <cell r="O41">
            <v>55300</v>
          </cell>
          <cell r="P41">
            <v>69100</v>
          </cell>
          <cell r="Q41">
            <v>73700</v>
          </cell>
          <cell r="R41">
            <v>92100</v>
          </cell>
          <cell r="S41">
            <v>110500</v>
          </cell>
          <cell r="T41">
            <v>167600</v>
          </cell>
          <cell r="U41">
            <v>221000</v>
          </cell>
          <cell r="V41">
            <v>281800</v>
          </cell>
          <cell r="X41" t="str">
            <v>X37</v>
          </cell>
          <cell r="Y41">
            <v>38100</v>
          </cell>
          <cell r="Z41">
            <v>76200</v>
          </cell>
          <cell r="AA41">
            <v>95200</v>
          </cell>
          <cell r="AB41">
            <v>101500</v>
          </cell>
          <cell r="AC41">
            <v>126900</v>
          </cell>
          <cell r="AD41">
            <v>152300</v>
          </cell>
          <cell r="AE41">
            <v>231000</v>
          </cell>
          <cell r="AF41">
            <v>304600</v>
          </cell>
          <cell r="AG41">
            <v>388400</v>
          </cell>
          <cell r="BP41" t="str">
            <v>X37</v>
          </cell>
          <cell r="BQ41">
            <v>124000</v>
          </cell>
          <cell r="BR41">
            <v>248100</v>
          </cell>
          <cell r="BS41">
            <v>310100</v>
          </cell>
          <cell r="BT41">
            <v>330700</v>
          </cell>
          <cell r="BU41">
            <v>413400</v>
          </cell>
          <cell r="BV41">
            <v>496100</v>
          </cell>
          <cell r="BW41">
            <v>752400</v>
          </cell>
          <cell r="BX41">
            <v>992200</v>
          </cell>
          <cell r="BY41">
            <v>1265100</v>
          </cell>
        </row>
        <row r="42">
          <cell r="B42" t="str">
            <v>X38</v>
          </cell>
          <cell r="C42">
            <v>26400</v>
          </cell>
          <cell r="D42">
            <v>52900</v>
          </cell>
          <cell r="E42">
            <v>66100</v>
          </cell>
          <cell r="F42">
            <v>70500</v>
          </cell>
          <cell r="G42">
            <v>88100</v>
          </cell>
          <cell r="H42">
            <v>105700</v>
          </cell>
          <cell r="I42">
            <v>160300</v>
          </cell>
          <cell r="J42">
            <v>211400</v>
          </cell>
          <cell r="K42">
            <v>269500</v>
          </cell>
          <cell r="M42" t="str">
            <v>X38</v>
          </cell>
          <cell r="N42">
            <v>30400</v>
          </cell>
          <cell r="O42">
            <v>60800</v>
          </cell>
          <cell r="P42">
            <v>75900</v>
          </cell>
          <cell r="Q42">
            <v>81000</v>
          </cell>
          <cell r="R42">
            <v>101300</v>
          </cell>
          <cell r="S42">
            <v>121500</v>
          </cell>
          <cell r="T42">
            <v>184300</v>
          </cell>
          <cell r="U42">
            <v>243000</v>
          </cell>
          <cell r="V42">
            <v>309800</v>
          </cell>
          <cell r="X42" t="str">
            <v>X38</v>
          </cell>
          <cell r="Y42">
            <v>41900</v>
          </cell>
          <cell r="Z42">
            <v>83800</v>
          </cell>
          <cell r="AA42">
            <v>104800</v>
          </cell>
          <cell r="AB42">
            <v>111700</v>
          </cell>
          <cell r="AC42">
            <v>139700</v>
          </cell>
          <cell r="AD42">
            <v>167600</v>
          </cell>
          <cell r="AE42">
            <v>254200</v>
          </cell>
          <cell r="AF42">
            <v>335200</v>
          </cell>
          <cell r="AG42">
            <v>427400</v>
          </cell>
          <cell r="BP42" t="str">
            <v>X38</v>
          </cell>
          <cell r="BQ42">
            <v>136500</v>
          </cell>
          <cell r="BR42">
            <v>272900</v>
          </cell>
          <cell r="BS42">
            <v>341100</v>
          </cell>
          <cell r="BT42">
            <v>363900</v>
          </cell>
          <cell r="BU42">
            <v>454800</v>
          </cell>
          <cell r="BV42">
            <v>545800</v>
          </cell>
          <cell r="BW42">
            <v>827800</v>
          </cell>
          <cell r="BX42">
            <v>1091600</v>
          </cell>
          <cell r="BY42">
            <v>1391800</v>
          </cell>
        </row>
        <row r="43">
          <cell r="B43" t="str">
            <v>X39</v>
          </cell>
          <cell r="C43">
            <v>29100</v>
          </cell>
          <cell r="D43">
            <v>58200</v>
          </cell>
          <cell r="E43">
            <v>72700</v>
          </cell>
          <cell r="F43">
            <v>77500</v>
          </cell>
          <cell r="G43">
            <v>96900</v>
          </cell>
          <cell r="H43">
            <v>116300</v>
          </cell>
          <cell r="I43">
            <v>176400</v>
          </cell>
          <cell r="J43">
            <v>232600</v>
          </cell>
          <cell r="K43">
            <v>296600</v>
          </cell>
          <cell r="M43" t="str">
            <v>X39</v>
          </cell>
          <cell r="N43">
            <v>33400</v>
          </cell>
          <cell r="O43">
            <v>66900</v>
          </cell>
          <cell r="P43">
            <v>83600</v>
          </cell>
          <cell r="Q43">
            <v>89100</v>
          </cell>
          <cell r="R43">
            <v>111400</v>
          </cell>
          <cell r="S43">
            <v>133700</v>
          </cell>
          <cell r="T43">
            <v>202800</v>
          </cell>
          <cell r="U43">
            <v>267400</v>
          </cell>
          <cell r="V43">
            <v>340900</v>
          </cell>
          <cell r="X43" t="str">
            <v>X39</v>
          </cell>
          <cell r="Y43">
            <v>46100</v>
          </cell>
          <cell r="Z43">
            <v>92200</v>
          </cell>
          <cell r="AA43">
            <v>115300</v>
          </cell>
          <cell r="AB43">
            <v>122900</v>
          </cell>
          <cell r="AC43">
            <v>153700</v>
          </cell>
          <cell r="AD43">
            <v>184400</v>
          </cell>
          <cell r="AE43">
            <v>279700</v>
          </cell>
          <cell r="AF43">
            <v>368800</v>
          </cell>
          <cell r="AG43">
            <v>470200</v>
          </cell>
          <cell r="BP43" t="str">
            <v>X39</v>
          </cell>
          <cell r="BQ43">
            <v>150100</v>
          </cell>
          <cell r="BR43">
            <v>300200</v>
          </cell>
          <cell r="BS43">
            <v>375300</v>
          </cell>
          <cell r="BT43">
            <v>400300</v>
          </cell>
          <cell r="BU43">
            <v>500300</v>
          </cell>
          <cell r="BV43">
            <v>600400</v>
          </cell>
          <cell r="BW43">
            <v>910600</v>
          </cell>
          <cell r="BX43">
            <v>1200800</v>
          </cell>
          <cell r="BY43">
            <v>1531000</v>
          </cell>
        </row>
        <row r="44">
          <cell r="B44" t="str">
            <v>X40</v>
          </cell>
          <cell r="C44">
            <v>32000</v>
          </cell>
          <cell r="D44">
            <v>64000</v>
          </cell>
          <cell r="E44">
            <v>79900</v>
          </cell>
          <cell r="F44">
            <v>85300</v>
          </cell>
          <cell r="G44">
            <v>106600</v>
          </cell>
          <cell r="H44">
            <v>127900</v>
          </cell>
          <cell r="I44">
            <v>194000</v>
          </cell>
          <cell r="J44">
            <v>255800</v>
          </cell>
          <cell r="K44">
            <v>326100</v>
          </cell>
          <cell r="M44" t="str">
            <v>X40</v>
          </cell>
          <cell r="N44">
            <v>36800</v>
          </cell>
          <cell r="O44">
            <v>73500</v>
          </cell>
          <cell r="P44">
            <v>91900</v>
          </cell>
          <cell r="Q44">
            <v>98000</v>
          </cell>
          <cell r="R44">
            <v>122500</v>
          </cell>
          <cell r="S44">
            <v>147000</v>
          </cell>
          <cell r="T44">
            <v>223000</v>
          </cell>
          <cell r="U44">
            <v>294000</v>
          </cell>
          <cell r="V44">
            <v>374900</v>
          </cell>
          <cell r="X44" t="str">
            <v>X40</v>
          </cell>
          <cell r="Y44">
            <v>50700</v>
          </cell>
          <cell r="Z44">
            <v>101400</v>
          </cell>
          <cell r="AA44">
            <v>126800</v>
          </cell>
          <cell r="AB44">
            <v>135200</v>
          </cell>
          <cell r="AC44">
            <v>169000</v>
          </cell>
          <cell r="AD44">
            <v>202800</v>
          </cell>
          <cell r="AE44">
            <v>307600</v>
          </cell>
          <cell r="AF44">
            <v>405600</v>
          </cell>
          <cell r="AG44">
            <v>517100</v>
          </cell>
          <cell r="BP44" t="str">
            <v>X40</v>
          </cell>
          <cell r="BQ44">
            <v>165100</v>
          </cell>
          <cell r="BR44">
            <v>330200</v>
          </cell>
          <cell r="BS44">
            <v>412800</v>
          </cell>
          <cell r="BT44">
            <v>440300</v>
          </cell>
          <cell r="BU44">
            <v>550300</v>
          </cell>
          <cell r="BV44">
            <v>660400</v>
          </cell>
          <cell r="BW44">
            <v>1001600</v>
          </cell>
          <cell r="BX44">
            <v>1320800</v>
          </cell>
          <cell r="BY44">
            <v>1684000</v>
          </cell>
        </row>
        <row r="45">
          <cell r="B45" t="str">
            <v>X41</v>
          </cell>
          <cell r="C45">
            <v>35200</v>
          </cell>
          <cell r="D45">
            <v>70400</v>
          </cell>
          <cell r="E45">
            <v>87900</v>
          </cell>
          <cell r="F45">
            <v>93800</v>
          </cell>
          <cell r="G45">
            <v>117300</v>
          </cell>
          <cell r="H45">
            <v>140700</v>
          </cell>
          <cell r="I45">
            <v>213400</v>
          </cell>
          <cell r="J45">
            <v>281400</v>
          </cell>
          <cell r="K45">
            <v>358800</v>
          </cell>
          <cell r="M45" t="str">
            <v>X41</v>
          </cell>
          <cell r="N45">
            <v>40400</v>
          </cell>
          <cell r="O45">
            <v>80900</v>
          </cell>
          <cell r="P45">
            <v>101100</v>
          </cell>
          <cell r="Q45">
            <v>107800</v>
          </cell>
          <cell r="R45">
            <v>134800</v>
          </cell>
          <cell r="S45">
            <v>161700</v>
          </cell>
          <cell r="T45">
            <v>245200</v>
          </cell>
          <cell r="U45">
            <v>323400</v>
          </cell>
          <cell r="V45">
            <v>412300</v>
          </cell>
          <cell r="X45" t="str">
            <v>X41</v>
          </cell>
          <cell r="Y45">
            <v>55800</v>
          </cell>
          <cell r="Z45">
            <v>111600</v>
          </cell>
          <cell r="AA45">
            <v>139400</v>
          </cell>
          <cell r="AB45">
            <v>148700</v>
          </cell>
          <cell r="AC45">
            <v>185900</v>
          </cell>
          <cell r="AD45">
            <v>223100</v>
          </cell>
          <cell r="AE45">
            <v>338400</v>
          </cell>
          <cell r="AF45">
            <v>446200</v>
          </cell>
          <cell r="AG45">
            <v>568900</v>
          </cell>
          <cell r="BP45" t="str">
            <v>X41</v>
          </cell>
          <cell r="BQ45">
            <v>181600</v>
          </cell>
          <cell r="BR45">
            <v>363300</v>
          </cell>
          <cell r="BS45">
            <v>454100</v>
          </cell>
          <cell r="BT45">
            <v>484300</v>
          </cell>
          <cell r="BU45">
            <v>605400</v>
          </cell>
          <cell r="BV45">
            <v>726500</v>
          </cell>
          <cell r="BW45">
            <v>1101900</v>
          </cell>
          <cell r="BX45">
            <v>1453000</v>
          </cell>
          <cell r="BY45">
            <v>1852600</v>
          </cell>
        </row>
        <row r="46">
          <cell r="B46" t="str">
            <v>X42</v>
          </cell>
          <cell r="C46">
            <v>38700</v>
          </cell>
          <cell r="D46">
            <v>77400</v>
          </cell>
          <cell r="E46">
            <v>96700</v>
          </cell>
          <cell r="F46">
            <v>103100</v>
          </cell>
          <cell r="G46">
            <v>128900</v>
          </cell>
          <cell r="H46">
            <v>154700</v>
          </cell>
          <cell r="I46">
            <v>234600</v>
          </cell>
          <cell r="J46">
            <v>309400</v>
          </cell>
          <cell r="K46">
            <v>394500</v>
          </cell>
          <cell r="M46" t="str">
            <v>X42</v>
          </cell>
          <cell r="N46">
            <v>44500</v>
          </cell>
          <cell r="O46">
            <v>89000</v>
          </cell>
          <cell r="P46">
            <v>111200</v>
          </cell>
          <cell r="Q46">
            <v>118600</v>
          </cell>
          <cell r="R46">
            <v>148300</v>
          </cell>
          <cell r="S46">
            <v>177900</v>
          </cell>
          <cell r="T46">
            <v>269800</v>
          </cell>
          <cell r="U46">
            <v>355800</v>
          </cell>
          <cell r="V46">
            <v>453600</v>
          </cell>
          <cell r="X46" t="str">
            <v>X42</v>
          </cell>
          <cell r="Y46">
            <v>61400</v>
          </cell>
          <cell r="Z46">
            <v>122700</v>
          </cell>
          <cell r="AA46">
            <v>153400</v>
          </cell>
          <cell r="AB46">
            <v>163600</v>
          </cell>
          <cell r="AC46">
            <v>204500</v>
          </cell>
          <cell r="AD46">
            <v>245400</v>
          </cell>
          <cell r="AE46">
            <v>372200</v>
          </cell>
          <cell r="AF46">
            <v>490800</v>
          </cell>
          <cell r="AG46">
            <v>625800</v>
          </cell>
          <cell r="BP46" t="str">
            <v>X42</v>
          </cell>
          <cell r="BQ46">
            <v>199800</v>
          </cell>
          <cell r="BR46">
            <v>399600</v>
          </cell>
          <cell r="BS46">
            <v>499400</v>
          </cell>
          <cell r="BT46">
            <v>532700</v>
          </cell>
          <cell r="BU46">
            <v>665900</v>
          </cell>
          <cell r="BV46">
            <v>799100</v>
          </cell>
          <cell r="BW46">
            <v>1212000</v>
          </cell>
          <cell r="BX46">
            <v>1598200</v>
          </cell>
          <cell r="BY46">
            <v>2037700</v>
          </cell>
        </row>
        <row r="47">
          <cell r="B47" t="str">
            <v>X43</v>
          </cell>
          <cell r="C47">
            <v>42600</v>
          </cell>
          <cell r="D47">
            <v>85100</v>
          </cell>
          <cell r="E47">
            <v>106400</v>
          </cell>
          <cell r="F47">
            <v>113400</v>
          </cell>
          <cell r="G47">
            <v>141800</v>
          </cell>
          <cell r="H47">
            <v>170200</v>
          </cell>
          <cell r="I47">
            <v>258100</v>
          </cell>
          <cell r="J47">
            <v>340300</v>
          </cell>
          <cell r="K47">
            <v>434000</v>
          </cell>
          <cell r="M47" t="str">
            <v>X43</v>
          </cell>
          <cell r="N47">
            <v>49000</v>
          </cell>
          <cell r="O47">
            <v>97900</v>
          </cell>
          <cell r="P47">
            <v>122300</v>
          </cell>
          <cell r="Q47">
            <v>130500</v>
          </cell>
          <cell r="R47">
            <v>163100</v>
          </cell>
          <cell r="S47">
            <v>195700</v>
          </cell>
          <cell r="T47">
            <v>296800</v>
          </cell>
          <cell r="U47">
            <v>391400</v>
          </cell>
          <cell r="V47">
            <v>499000</v>
          </cell>
          <cell r="X47" t="str">
            <v>X43</v>
          </cell>
          <cell r="Y47">
            <v>67500</v>
          </cell>
          <cell r="Z47">
            <v>135000</v>
          </cell>
          <cell r="AA47">
            <v>168700</v>
          </cell>
          <cell r="AB47">
            <v>180000</v>
          </cell>
          <cell r="AC47">
            <v>225000</v>
          </cell>
          <cell r="AD47">
            <v>269900</v>
          </cell>
          <cell r="AE47">
            <v>409400</v>
          </cell>
          <cell r="AF47">
            <v>539900</v>
          </cell>
          <cell r="AG47">
            <v>688400</v>
          </cell>
          <cell r="BP47" t="str">
            <v>X43</v>
          </cell>
          <cell r="BQ47">
            <v>219800</v>
          </cell>
          <cell r="BR47">
            <v>439600</v>
          </cell>
          <cell r="BS47">
            <v>549300</v>
          </cell>
          <cell r="BT47">
            <v>586000</v>
          </cell>
          <cell r="BU47">
            <v>732500</v>
          </cell>
          <cell r="BV47">
            <v>879000</v>
          </cell>
          <cell r="BW47">
            <v>1333200</v>
          </cell>
          <cell r="BX47">
            <v>1758000</v>
          </cell>
          <cell r="BY47">
            <v>2241500</v>
          </cell>
        </row>
        <row r="48">
          <cell r="B48" t="str">
            <v>X44</v>
          </cell>
          <cell r="C48">
            <v>46900</v>
          </cell>
          <cell r="D48">
            <v>93600</v>
          </cell>
          <cell r="E48">
            <v>117000</v>
          </cell>
          <cell r="F48">
            <v>124700</v>
          </cell>
          <cell r="G48">
            <v>156000</v>
          </cell>
          <cell r="H48">
            <v>187200</v>
          </cell>
          <cell r="I48">
            <v>283900</v>
          </cell>
          <cell r="J48">
            <v>374300</v>
          </cell>
          <cell r="K48">
            <v>477400</v>
          </cell>
          <cell r="M48" t="str">
            <v>X44</v>
          </cell>
          <cell r="N48">
            <v>53900</v>
          </cell>
          <cell r="O48">
            <v>107700</v>
          </cell>
          <cell r="P48">
            <v>134500</v>
          </cell>
          <cell r="Q48">
            <v>143600</v>
          </cell>
          <cell r="R48">
            <v>179400</v>
          </cell>
          <cell r="S48">
            <v>215300</v>
          </cell>
          <cell r="T48">
            <v>326500</v>
          </cell>
          <cell r="U48">
            <v>430500</v>
          </cell>
          <cell r="V48">
            <v>548900</v>
          </cell>
          <cell r="X48" t="str">
            <v>X44</v>
          </cell>
          <cell r="Y48">
            <v>74300</v>
          </cell>
          <cell r="Z48">
            <v>148500</v>
          </cell>
          <cell r="AA48">
            <v>185600</v>
          </cell>
          <cell r="AB48">
            <v>198000</v>
          </cell>
          <cell r="AC48">
            <v>247500</v>
          </cell>
          <cell r="AD48">
            <v>296900</v>
          </cell>
          <cell r="AE48">
            <v>450300</v>
          </cell>
          <cell r="AF48">
            <v>593900</v>
          </cell>
          <cell r="AG48">
            <v>757200</v>
          </cell>
          <cell r="BP48" t="str">
            <v>X44</v>
          </cell>
          <cell r="BQ48">
            <v>241800</v>
          </cell>
          <cell r="BR48">
            <v>483600</v>
          </cell>
          <cell r="BS48">
            <v>604200</v>
          </cell>
          <cell r="BT48">
            <v>644600</v>
          </cell>
          <cell r="BU48">
            <v>805800</v>
          </cell>
          <cell r="BV48">
            <v>966900</v>
          </cell>
          <cell r="BW48">
            <v>1466500</v>
          </cell>
          <cell r="BX48">
            <v>1933800</v>
          </cell>
          <cell r="BY48">
            <v>2465700</v>
          </cell>
        </row>
        <row r="49">
          <cell r="B49" t="str">
            <v>X45</v>
          </cell>
          <cell r="C49">
            <v>51600</v>
          </cell>
          <cell r="D49">
            <v>103000</v>
          </cell>
          <cell r="E49">
            <v>128700</v>
          </cell>
          <cell r="F49">
            <v>137200</v>
          </cell>
          <cell r="G49">
            <v>171600</v>
          </cell>
          <cell r="H49">
            <v>205900</v>
          </cell>
          <cell r="I49">
            <v>312300</v>
          </cell>
          <cell r="J49">
            <v>411700</v>
          </cell>
          <cell r="K49">
            <v>525100</v>
          </cell>
          <cell r="M49" t="str">
            <v>X45</v>
          </cell>
          <cell r="N49">
            <v>59300</v>
          </cell>
          <cell r="O49">
            <v>118500</v>
          </cell>
          <cell r="P49">
            <v>148000</v>
          </cell>
          <cell r="Q49">
            <v>158000</v>
          </cell>
          <cell r="R49">
            <v>197300</v>
          </cell>
          <cell r="S49">
            <v>236800</v>
          </cell>
          <cell r="T49">
            <v>359200</v>
          </cell>
          <cell r="U49">
            <v>473600</v>
          </cell>
          <cell r="V49">
            <v>603800</v>
          </cell>
          <cell r="X49" t="str">
            <v>X45</v>
          </cell>
          <cell r="Y49">
            <v>81700</v>
          </cell>
          <cell r="Z49">
            <v>163400</v>
          </cell>
          <cell r="AA49">
            <v>204200</v>
          </cell>
          <cell r="AB49">
            <v>217800</v>
          </cell>
          <cell r="AC49">
            <v>272300</v>
          </cell>
          <cell r="AD49">
            <v>326600</v>
          </cell>
          <cell r="AE49">
            <v>495300</v>
          </cell>
          <cell r="AF49">
            <v>653300</v>
          </cell>
          <cell r="AG49">
            <v>832900</v>
          </cell>
          <cell r="BP49" t="str">
            <v>X45</v>
          </cell>
          <cell r="BQ49">
            <v>266000</v>
          </cell>
          <cell r="BR49">
            <v>532000</v>
          </cell>
          <cell r="BS49">
            <v>664600</v>
          </cell>
          <cell r="BT49">
            <v>709100</v>
          </cell>
          <cell r="BU49">
            <v>886400</v>
          </cell>
          <cell r="BV49">
            <v>1063600</v>
          </cell>
          <cell r="BW49">
            <v>1613200</v>
          </cell>
          <cell r="BX49">
            <v>2127200</v>
          </cell>
          <cell r="BY49">
            <v>2712300</v>
          </cell>
        </row>
        <row r="50">
          <cell r="B50" t="str">
            <v>X46</v>
          </cell>
          <cell r="C50">
            <v>56800</v>
          </cell>
          <cell r="D50">
            <v>113300</v>
          </cell>
          <cell r="E50">
            <v>141600</v>
          </cell>
          <cell r="F50">
            <v>150900</v>
          </cell>
          <cell r="G50">
            <v>188800</v>
          </cell>
          <cell r="H50">
            <v>226500</v>
          </cell>
          <cell r="I50">
            <v>343500</v>
          </cell>
          <cell r="J50">
            <v>452900</v>
          </cell>
          <cell r="K50">
            <v>577600</v>
          </cell>
          <cell r="M50" t="str">
            <v>X46</v>
          </cell>
          <cell r="N50">
            <v>65200</v>
          </cell>
          <cell r="O50">
            <v>130400</v>
          </cell>
          <cell r="P50">
            <v>162800</v>
          </cell>
          <cell r="Q50">
            <v>173800</v>
          </cell>
          <cell r="R50">
            <v>217000</v>
          </cell>
          <cell r="S50">
            <v>260500</v>
          </cell>
          <cell r="T50">
            <v>395100</v>
          </cell>
          <cell r="U50">
            <v>521000</v>
          </cell>
          <cell r="V50">
            <v>664200</v>
          </cell>
          <cell r="X50" t="str">
            <v>X46</v>
          </cell>
          <cell r="Y50">
            <v>89900</v>
          </cell>
          <cell r="Z50">
            <v>179700</v>
          </cell>
          <cell r="AA50">
            <v>224600</v>
          </cell>
          <cell r="AB50">
            <v>239600</v>
          </cell>
          <cell r="AC50">
            <v>299500</v>
          </cell>
          <cell r="AD50">
            <v>359300</v>
          </cell>
          <cell r="AE50">
            <v>544800</v>
          </cell>
          <cell r="AF50">
            <v>718600</v>
          </cell>
          <cell r="AG50">
            <v>916200</v>
          </cell>
          <cell r="BP50" t="str">
            <v>X46</v>
          </cell>
          <cell r="BQ50">
            <v>292600</v>
          </cell>
          <cell r="BR50">
            <v>585200</v>
          </cell>
          <cell r="BS50">
            <v>731100</v>
          </cell>
          <cell r="BT50">
            <v>780000</v>
          </cell>
          <cell r="BU50">
            <v>975000</v>
          </cell>
          <cell r="BV50">
            <v>1170000</v>
          </cell>
          <cell r="BW50">
            <v>1774500</v>
          </cell>
          <cell r="BX50">
            <v>2339900</v>
          </cell>
          <cell r="BY50">
            <v>2983500</v>
          </cell>
        </row>
        <row r="51">
          <cell r="B51" t="str">
            <v>X47</v>
          </cell>
          <cell r="C51">
            <v>62500</v>
          </cell>
          <cell r="D51">
            <v>124600</v>
          </cell>
          <cell r="E51">
            <v>155800</v>
          </cell>
          <cell r="F51">
            <v>166000</v>
          </cell>
          <cell r="G51">
            <v>207700</v>
          </cell>
          <cell r="H51">
            <v>249200</v>
          </cell>
          <cell r="I51">
            <v>377900</v>
          </cell>
          <cell r="J51">
            <v>498200</v>
          </cell>
          <cell r="K51">
            <v>635400</v>
          </cell>
          <cell r="M51" t="str">
            <v>X47</v>
          </cell>
          <cell r="N51">
            <v>71700</v>
          </cell>
          <cell r="O51">
            <v>143400</v>
          </cell>
          <cell r="P51">
            <v>179100</v>
          </cell>
          <cell r="Q51">
            <v>191200</v>
          </cell>
          <cell r="R51">
            <v>238700</v>
          </cell>
          <cell r="S51">
            <v>286600</v>
          </cell>
          <cell r="T51">
            <v>434600</v>
          </cell>
          <cell r="U51">
            <v>573100</v>
          </cell>
          <cell r="V51">
            <v>730600</v>
          </cell>
          <cell r="X51" t="str">
            <v>X47</v>
          </cell>
          <cell r="Y51">
            <v>98900</v>
          </cell>
          <cell r="Z51">
            <v>197700</v>
          </cell>
          <cell r="AA51">
            <v>247100</v>
          </cell>
          <cell r="AB51">
            <v>263600</v>
          </cell>
          <cell r="AC51">
            <v>329500</v>
          </cell>
          <cell r="AD51">
            <v>395200</v>
          </cell>
          <cell r="AE51">
            <v>599300</v>
          </cell>
          <cell r="AF51">
            <v>790500</v>
          </cell>
          <cell r="AG51">
            <v>1007800</v>
          </cell>
          <cell r="BP51" t="str">
            <v>X47</v>
          </cell>
          <cell r="BQ51">
            <v>321900</v>
          </cell>
          <cell r="BR51">
            <v>643700</v>
          </cell>
          <cell r="BS51">
            <v>804200</v>
          </cell>
          <cell r="BT51">
            <v>858000</v>
          </cell>
          <cell r="BU51">
            <v>1072500</v>
          </cell>
          <cell r="BV51">
            <v>1287000</v>
          </cell>
          <cell r="BW51">
            <v>1952000</v>
          </cell>
          <cell r="BX51">
            <v>2573900</v>
          </cell>
          <cell r="BY51">
            <v>3281900</v>
          </cell>
        </row>
        <row r="52">
          <cell r="B52" t="str">
            <v>X48</v>
          </cell>
          <cell r="C52">
            <v>68800</v>
          </cell>
          <cell r="D52">
            <v>137100</v>
          </cell>
          <cell r="E52">
            <v>171400</v>
          </cell>
          <cell r="F52">
            <v>182600</v>
          </cell>
          <cell r="G52">
            <v>228500</v>
          </cell>
          <cell r="H52">
            <v>274100</v>
          </cell>
          <cell r="I52">
            <v>415700</v>
          </cell>
          <cell r="J52">
            <v>548000</v>
          </cell>
          <cell r="K52">
            <v>698900</v>
          </cell>
          <cell r="M52" t="str">
            <v>X48</v>
          </cell>
          <cell r="N52">
            <v>78900</v>
          </cell>
          <cell r="O52">
            <v>157700</v>
          </cell>
          <cell r="P52">
            <v>197000</v>
          </cell>
          <cell r="Q52">
            <v>210300</v>
          </cell>
          <cell r="R52">
            <v>262600</v>
          </cell>
          <cell r="S52">
            <v>315300</v>
          </cell>
          <cell r="T52">
            <v>478100</v>
          </cell>
          <cell r="U52">
            <v>630400</v>
          </cell>
          <cell r="V52">
            <v>803700</v>
          </cell>
          <cell r="X52" t="str">
            <v>X48</v>
          </cell>
          <cell r="Y52">
            <v>108800</v>
          </cell>
          <cell r="Z52">
            <v>217500</v>
          </cell>
          <cell r="AA52">
            <v>271800</v>
          </cell>
          <cell r="AB52">
            <v>290000</v>
          </cell>
          <cell r="AC52">
            <v>362500</v>
          </cell>
          <cell r="AD52">
            <v>434700</v>
          </cell>
          <cell r="AE52">
            <v>659200</v>
          </cell>
          <cell r="AF52">
            <v>869600</v>
          </cell>
          <cell r="AG52">
            <v>1108600</v>
          </cell>
          <cell r="BP52" t="str">
            <v>X48</v>
          </cell>
          <cell r="BQ52">
            <v>354100</v>
          </cell>
          <cell r="BR52">
            <v>708100</v>
          </cell>
          <cell r="BS52">
            <v>884600</v>
          </cell>
          <cell r="BT52">
            <v>943800</v>
          </cell>
          <cell r="BU52">
            <v>1179800</v>
          </cell>
          <cell r="BV52">
            <v>1415700</v>
          </cell>
          <cell r="BW52">
            <v>2147200</v>
          </cell>
          <cell r="BX52">
            <v>2831300</v>
          </cell>
          <cell r="BY52">
            <v>3610100</v>
          </cell>
        </row>
        <row r="53">
          <cell r="B53" t="str">
            <v>X49</v>
          </cell>
          <cell r="C53">
            <v>75700</v>
          </cell>
          <cell r="D53">
            <v>150800</v>
          </cell>
          <cell r="E53">
            <v>188500</v>
          </cell>
          <cell r="F53">
            <v>200900</v>
          </cell>
          <cell r="G53">
            <v>251400</v>
          </cell>
          <cell r="H53">
            <v>301500</v>
          </cell>
          <cell r="I53">
            <v>457300</v>
          </cell>
          <cell r="J53">
            <v>602800</v>
          </cell>
          <cell r="K53">
            <v>768800</v>
          </cell>
          <cell r="M53" t="str">
            <v>X49</v>
          </cell>
          <cell r="N53">
            <v>86800</v>
          </cell>
          <cell r="O53">
            <v>173500</v>
          </cell>
          <cell r="P53">
            <v>216700</v>
          </cell>
          <cell r="Q53">
            <v>231300</v>
          </cell>
          <cell r="R53">
            <v>288900</v>
          </cell>
          <cell r="S53">
            <v>346800</v>
          </cell>
          <cell r="T53">
            <v>525900</v>
          </cell>
          <cell r="U53">
            <v>693400</v>
          </cell>
          <cell r="V53">
            <v>884100</v>
          </cell>
          <cell r="X53" t="str">
            <v>X49</v>
          </cell>
          <cell r="Y53">
            <v>119700</v>
          </cell>
          <cell r="Z53">
            <v>239300</v>
          </cell>
          <cell r="AA53">
            <v>299000</v>
          </cell>
          <cell r="AB53">
            <v>319000</v>
          </cell>
          <cell r="AC53">
            <v>398800</v>
          </cell>
          <cell r="AD53">
            <v>478200</v>
          </cell>
          <cell r="AE53">
            <v>725100</v>
          </cell>
          <cell r="AF53">
            <v>956600</v>
          </cell>
          <cell r="AG53">
            <v>1219500</v>
          </cell>
          <cell r="BP53" t="str">
            <v>X49</v>
          </cell>
          <cell r="BQ53">
            <v>389500</v>
          </cell>
          <cell r="BR53">
            <v>778900</v>
          </cell>
          <cell r="BS53">
            <v>973100</v>
          </cell>
          <cell r="BT53">
            <v>1038200</v>
          </cell>
          <cell r="BU53">
            <v>1297800</v>
          </cell>
          <cell r="BV53">
            <v>1557300</v>
          </cell>
          <cell r="BW53">
            <v>2361900</v>
          </cell>
          <cell r="BX53">
            <v>3114400</v>
          </cell>
          <cell r="BY53">
            <v>3971100</v>
          </cell>
        </row>
        <row r="54">
          <cell r="B54" t="str">
            <v>X50</v>
          </cell>
          <cell r="C54">
            <v>83300</v>
          </cell>
          <cell r="D54">
            <v>165900</v>
          </cell>
          <cell r="E54">
            <v>207400</v>
          </cell>
          <cell r="F54">
            <v>221000</v>
          </cell>
          <cell r="G54">
            <v>276500</v>
          </cell>
          <cell r="H54">
            <v>331700</v>
          </cell>
          <cell r="I54">
            <v>503000</v>
          </cell>
          <cell r="J54">
            <v>663100</v>
          </cell>
          <cell r="K54">
            <v>845700</v>
          </cell>
          <cell r="M54" t="str">
            <v>X50</v>
          </cell>
          <cell r="N54">
            <v>95500</v>
          </cell>
          <cell r="O54">
            <v>190900</v>
          </cell>
          <cell r="P54">
            <v>238400</v>
          </cell>
          <cell r="Q54">
            <v>254400</v>
          </cell>
          <cell r="R54">
            <v>317800</v>
          </cell>
          <cell r="S54">
            <v>381500</v>
          </cell>
          <cell r="T54">
            <v>578500</v>
          </cell>
          <cell r="U54">
            <v>762700</v>
          </cell>
          <cell r="V54">
            <v>972500</v>
          </cell>
          <cell r="X54" t="str">
            <v>X50</v>
          </cell>
          <cell r="Y54">
            <v>131700</v>
          </cell>
          <cell r="Z54">
            <v>263200</v>
          </cell>
          <cell r="AA54">
            <v>328900</v>
          </cell>
          <cell r="AB54">
            <v>350900</v>
          </cell>
          <cell r="AC54">
            <v>438700</v>
          </cell>
          <cell r="AD54">
            <v>526000</v>
          </cell>
          <cell r="AE54">
            <v>797600</v>
          </cell>
          <cell r="AF54">
            <v>1052300</v>
          </cell>
          <cell r="AG54">
            <v>1341500</v>
          </cell>
          <cell r="BP54" t="str">
            <v>X50</v>
          </cell>
          <cell r="BQ54">
            <v>428500</v>
          </cell>
          <cell r="BR54">
            <v>856800</v>
          </cell>
          <cell r="BS54">
            <v>1070400</v>
          </cell>
          <cell r="BT54">
            <v>1142000</v>
          </cell>
          <cell r="BU54">
            <v>1427600</v>
          </cell>
          <cell r="BV54">
            <v>1713000</v>
          </cell>
          <cell r="BW54">
            <v>2598100</v>
          </cell>
          <cell r="BX54">
            <v>3425800</v>
          </cell>
          <cell r="BY54">
            <v>4368200</v>
          </cell>
        </row>
        <row r="55">
          <cell r="B55" t="str">
            <v>X51</v>
          </cell>
          <cell r="C55">
            <v>91600</v>
          </cell>
          <cell r="D55">
            <v>182500</v>
          </cell>
          <cell r="E55">
            <v>228100</v>
          </cell>
          <cell r="F55">
            <v>243100</v>
          </cell>
          <cell r="G55">
            <v>304200</v>
          </cell>
          <cell r="H55">
            <v>364900</v>
          </cell>
          <cell r="I55">
            <v>553300</v>
          </cell>
          <cell r="J55">
            <v>729400</v>
          </cell>
          <cell r="K55">
            <v>930300</v>
          </cell>
          <cell r="M55" t="str">
            <v>X51</v>
          </cell>
          <cell r="N55">
            <v>105100</v>
          </cell>
          <cell r="O55">
            <v>210000</v>
          </cell>
          <cell r="P55">
            <v>262200</v>
          </cell>
          <cell r="Q55">
            <v>279800</v>
          </cell>
          <cell r="R55">
            <v>349600</v>
          </cell>
          <cell r="S55">
            <v>419700</v>
          </cell>
          <cell r="T55">
            <v>636400</v>
          </cell>
          <cell r="U55">
            <v>839000</v>
          </cell>
          <cell r="V55">
            <v>1069800</v>
          </cell>
          <cell r="X55" t="str">
            <v>X51</v>
          </cell>
          <cell r="Y55">
            <v>144900</v>
          </cell>
          <cell r="Z55">
            <v>289500</v>
          </cell>
          <cell r="AA55">
            <v>361800</v>
          </cell>
          <cell r="AB55">
            <v>386000</v>
          </cell>
          <cell r="AC55">
            <v>482600</v>
          </cell>
          <cell r="AD55">
            <v>578600</v>
          </cell>
          <cell r="AE55">
            <v>877400</v>
          </cell>
          <cell r="AF55">
            <v>1157500</v>
          </cell>
          <cell r="AG55">
            <v>1475700</v>
          </cell>
          <cell r="BP55" t="str">
            <v>X51</v>
          </cell>
          <cell r="BQ55">
            <v>471400</v>
          </cell>
          <cell r="BR55">
            <v>942500</v>
          </cell>
          <cell r="BS55">
            <v>1177400</v>
          </cell>
          <cell r="BT55">
            <v>1256200</v>
          </cell>
          <cell r="BU55">
            <v>1570400</v>
          </cell>
          <cell r="BV55">
            <v>1884300</v>
          </cell>
          <cell r="BW55">
            <v>2857900</v>
          </cell>
          <cell r="BX55">
            <v>3768400</v>
          </cell>
          <cell r="BY55">
            <v>4805000</v>
          </cell>
        </row>
        <row r="56">
          <cell r="B56" t="str">
            <v>X52</v>
          </cell>
          <cell r="C56">
            <v>100800</v>
          </cell>
          <cell r="D56">
            <v>200800</v>
          </cell>
          <cell r="E56">
            <v>250900</v>
          </cell>
          <cell r="F56">
            <v>267400</v>
          </cell>
          <cell r="G56">
            <v>334600</v>
          </cell>
          <cell r="H56">
            <v>401400</v>
          </cell>
          <cell r="I56">
            <v>608600</v>
          </cell>
          <cell r="J56">
            <v>802300</v>
          </cell>
          <cell r="K56">
            <v>1023300</v>
          </cell>
          <cell r="M56" t="str">
            <v>X52</v>
          </cell>
          <cell r="N56">
            <v>115600</v>
          </cell>
          <cell r="O56">
            <v>231000</v>
          </cell>
          <cell r="P56">
            <v>288400</v>
          </cell>
          <cell r="Q56">
            <v>307800</v>
          </cell>
          <cell r="R56">
            <v>384600</v>
          </cell>
          <cell r="S56">
            <v>461700</v>
          </cell>
          <cell r="T56">
            <v>700000</v>
          </cell>
          <cell r="U56">
            <v>922900</v>
          </cell>
          <cell r="V56">
            <v>1176800</v>
          </cell>
          <cell r="X56" t="str">
            <v>X52</v>
          </cell>
          <cell r="Y56">
            <v>159400</v>
          </cell>
          <cell r="Z56">
            <v>318500</v>
          </cell>
          <cell r="AA56">
            <v>398000</v>
          </cell>
          <cell r="AB56">
            <v>424600</v>
          </cell>
          <cell r="AC56">
            <v>530900</v>
          </cell>
          <cell r="AD56">
            <v>636500</v>
          </cell>
          <cell r="AE56">
            <v>965100</v>
          </cell>
          <cell r="AF56">
            <v>1273300</v>
          </cell>
          <cell r="AG56">
            <v>1623300</v>
          </cell>
          <cell r="BP56" t="str">
            <v>X52</v>
          </cell>
          <cell r="BQ56">
            <v>518500</v>
          </cell>
          <cell r="BR56">
            <v>1036800</v>
          </cell>
          <cell r="BS56">
            <v>1295100</v>
          </cell>
          <cell r="BT56">
            <v>1381800</v>
          </cell>
          <cell r="BU56">
            <v>1727400</v>
          </cell>
          <cell r="BV56">
            <v>2072700</v>
          </cell>
          <cell r="BW56">
            <v>3143700</v>
          </cell>
          <cell r="BX56">
            <v>4145200</v>
          </cell>
          <cell r="BY56">
            <v>5285500</v>
          </cell>
        </row>
        <row r="69">
          <cell r="C69" t="str">
            <v>5"</v>
          </cell>
          <cell r="D69" t="str">
            <v>10"</v>
          </cell>
          <cell r="E69" t="str">
            <v>15"</v>
          </cell>
          <cell r="F69" t="str">
            <v>20"</v>
          </cell>
          <cell r="G69" t="str">
            <v>25"</v>
          </cell>
          <cell r="H69" t="str">
            <v>30"</v>
          </cell>
          <cell r="I69" t="str">
            <v>35"</v>
          </cell>
          <cell r="J69" t="str">
            <v>40"</v>
          </cell>
          <cell r="K69" t="str">
            <v>45"</v>
          </cell>
        </row>
        <row r="70">
          <cell r="B70" t="str">
            <v>X0</v>
          </cell>
          <cell r="C70">
            <v>1500</v>
          </cell>
          <cell r="D70">
            <v>2900</v>
          </cell>
          <cell r="E70">
            <v>3600</v>
          </cell>
          <cell r="F70">
            <v>3900</v>
          </cell>
          <cell r="G70">
            <v>4800</v>
          </cell>
          <cell r="H70">
            <v>5800</v>
          </cell>
          <cell r="I70">
            <v>8800</v>
          </cell>
          <cell r="J70">
            <v>11600</v>
          </cell>
          <cell r="K70">
            <v>14800</v>
          </cell>
        </row>
        <row r="71">
          <cell r="B71" t="str">
            <v>X1</v>
          </cell>
          <cell r="C71">
            <v>1800</v>
          </cell>
          <cell r="D71">
            <v>3700</v>
          </cell>
          <cell r="E71">
            <v>4600</v>
          </cell>
          <cell r="F71">
            <v>4900</v>
          </cell>
          <cell r="G71">
            <v>6100</v>
          </cell>
          <cell r="H71">
            <v>7300</v>
          </cell>
          <cell r="I71">
            <v>11100</v>
          </cell>
          <cell r="J71">
            <v>14600</v>
          </cell>
          <cell r="K71">
            <v>18600</v>
          </cell>
        </row>
        <row r="72">
          <cell r="B72" t="str">
            <v>X2</v>
          </cell>
          <cell r="C72">
            <v>2300</v>
          </cell>
          <cell r="D72">
            <v>4500</v>
          </cell>
          <cell r="E72">
            <v>5600</v>
          </cell>
          <cell r="F72">
            <v>6000</v>
          </cell>
          <cell r="G72">
            <v>7500</v>
          </cell>
          <cell r="H72">
            <v>9000</v>
          </cell>
          <cell r="I72">
            <v>13700</v>
          </cell>
          <cell r="J72">
            <v>18000</v>
          </cell>
          <cell r="K72">
            <v>23000</v>
          </cell>
        </row>
        <row r="73">
          <cell r="B73" t="str">
            <v>X3</v>
          </cell>
          <cell r="C73">
            <v>2700</v>
          </cell>
          <cell r="D73">
            <v>5400</v>
          </cell>
          <cell r="E73">
            <v>6700</v>
          </cell>
          <cell r="F73">
            <v>7100</v>
          </cell>
          <cell r="G73">
            <v>8900</v>
          </cell>
          <cell r="H73">
            <v>10700</v>
          </cell>
          <cell r="I73">
            <v>16200</v>
          </cell>
          <cell r="J73">
            <v>21400</v>
          </cell>
          <cell r="K73">
            <v>27300</v>
          </cell>
        </row>
        <row r="74">
          <cell r="B74" t="str">
            <v>X4</v>
          </cell>
          <cell r="C74">
            <v>3000</v>
          </cell>
          <cell r="D74">
            <v>5900</v>
          </cell>
          <cell r="E74">
            <v>7400</v>
          </cell>
          <cell r="F74">
            <v>7900</v>
          </cell>
          <cell r="G74">
            <v>9800</v>
          </cell>
          <cell r="H74">
            <v>11800</v>
          </cell>
          <cell r="I74">
            <v>17900</v>
          </cell>
          <cell r="J74">
            <v>23600</v>
          </cell>
          <cell r="K74">
            <v>30100</v>
          </cell>
        </row>
        <row r="75">
          <cell r="B75" t="str">
            <v>X5</v>
          </cell>
          <cell r="C75">
            <v>3300</v>
          </cell>
          <cell r="D75">
            <v>6500</v>
          </cell>
          <cell r="E75">
            <v>8100</v>
          </cell>
          <cell r="F75">
            <v>8700</v>
          </cell>
          <cell r="G75">
            <v>10800</v>
          </cell>
          <cell r="H75">
            <v>13000</v>
          </cell>
          <cell r="I75">
            <v>19700</v>
          </cell>
          <cell r="J75">
            <v>26000</v>
          </cell>
          <cell r="K75">
            <v>33200</v>
          </cell>
        </row>
        <row r="76">
          <cell r="B76" t="str">
            <v>X6</v>
          </cell>
          <cell r="C76">
            <v>3600</v>
          </cell>
          <cell r="D76">
            <v>7100</v>
          </cell>
          <cell r="E76">
            <v>8900</v>
          </cell>
          <cell r="F76">
            <v>9500</v>
          </cell>
          <cell r="G76">
            <v>11800</v>
          </cell>
          <cell r="H76">
            <v>14200</v>
          </cell>
          <cell r="I76">
            <v>21500</v>
          </cell>
          <cell r="J76">
            <v>28400</v>
          </cell>
          <cell r="K76">
            <v>36200</v>
          </cell>
        </row>
        <row r="77">
          <cell r="B77" t="str">
            <v>X7</v>
          </cell>
          <cell r="C77">
            <v>3900</v>
          </cell>
          <cell r="D77">
            <v>7900</v>
          </cell>
          <cell r="E77">
            <v>9800</v>
          </cell>
          <cell r="F77">
            <v>10500</v>
          </cell>
          <cell r="G77">
            <v>13100</v>
          </cell>
          <cell r="H77">
            <v>15700</v>
          </cell>
          <cell r="I77">
            <v>23800</v>
          </cell>
          <cell r="J77">
            <v>31400</v>
          </cell>
          <cell r="K77">
            <v>40000</v>
          </cell>
        </row>
        <row r="78">
          <cell r="B78" t="str">
            <v>X8</v>
          </cell>
          <cell r="C78">
            <v>4300</v>
          </cell>
          <cell r="D78">
            <v>8700</v>
          </cell>
          <cell r="E78">
            <v>10800</v>
          </cell>
          <cell r="F78">
            <v>11500</v>
          </cell>
          <cell r="G78">
            <v>14400</v>
          </cell>
          <cell r="H78">
            <v>17300</v>
          </cell>
          <cell r="I78">
            <v>26200</v>
          </cell>
          <cell r="J78">
            <v>34600</v>
          </cell>
          <cell r="K78">
            <v>44100</v>
          </cell>
        </row>
        <row r="79">
          <cell r="B79" t="str">
            <v>X9</v>
          </cell>
          <cell r="C79">
            <v>4800</v>
          </cell>
          <cell r="D79">
            <v>9500</v>
          </cell>
          <cell r="E79">
            <v>11900</v>
          </cell>
          <cell r="F79">
            <v>12700</v>
          </cell>
          <cell r="G79">
            <v>15800</v>
          </cell>
          <cell r="H79">
            <v>19000</v>
          </cell>
          <cell r="I79">
            <v>28800</v>
          </cell>
          <cell r="J79">
            <v>38000</v>
          </cell>
          <cell r="K79">
            <v>48500</v>
          </cell>
        </row>
        <row r="80">
          <cell r="B80" t="str">
            <v>X10</v>
          </cell>
          <cell r="C80">
            <v>5200</v>
          </cell>
          <cell r="D80">
            <v>10500</v>
          </cell>
          <cell r="E80">
            <v>13100</v>
          </cell>
          <cell r="F80">
            <v>13900</v>
          </cell>
          <cell r="G80">
            <v>17400</v>
          </cell>
          <cell r="H80">
            <v>20900</v>
          </cell>
          <cell r="I80">
            <v>31700</v>
          </cell>
          <cell r="J80">
            <v>41800</v>
          </cell>
          <cell r="K80">
            <v>53300</v>
          </cell>
        </row>
        <row r="81">
          <cell r="B81" t="str">
            <v>X11</v>
          </cell>
          <cell r="C81">
            <v>5800</v>
          </cell>
          <cell r="D81">
            <v>11500</v>
          </cell>
          <cell r="E81">
            <v>14400</v>
          </cell>
          <cell r="F81">
            <v>15300</v>
          </cell>
          <cell r="G81">
            <v>19200</v>
          </cell>
          <cell r="H81">
            <v>23000</v>
          </cell>
          <cell r="I81">
            <v>34900</v>
          </cell>
          <cell r="J81">
            <v>46000</v>
          </cell>
          <cell r="K81">
            <v>58700</v>
          </cell>
        </row>
        <row r="82">
          <cell r="B82" t="str">
            <v>X12</v>
          </cell>
          <cell r="C82">
            <v>6300</v>
          </cell>
          <cell r="D82">
            <v>12700</v>
          </cell>
          <cell r="E82">
            <v>15800</v>
          </cell>
          <cell r="F82">
            <v>16900</v>
          </cell>
          <cell r="G82">
            <v>21100</v>
          </cell>
          <cell r="H82">
            <v>25300</v>
          </cell>
          <cell r="I82">
            <v>38400</v>
          </cell>
          <cell r="J82">
            <v>50600</v>
          </cell>
          <cell r="K82">
            <v>64500</v>
          </cell>
        </row>
        <row r="83">
          <cell r="B83" t="str">
            <v>X13</v>
          </cell>
          <cell r="C83">
            <v>7000</v>
          </cell>
          <cell r="D83">
            <v>13900</v>
          </cell>
          <cell r="E83">
            <v>17400</v>
          </cell>
          <cell r="F83">
            <v>18500</v>
          </cell>
          <cell r="G83">
            <v>23200</v>
          </cell>
          <cell r="H83">
            <v>27800</v>
          </cell>
          <cell r="I83">
            <v>42200</v>
          </cell>
          <cell r="J83">
            <v>55600</v>
          </cell>
          <cell r="K83">
            <v>70900</v>
          </cell>
        </row>
        <row r="84">
          <cell r="B84" t="str">
            <v>X14</v>
          </cell>
          <cell r="C84">
            <v>7600</v>
          </cell>
          <cell r="D84">
            <v>15300</v>
          </cell>
          <cell r="E84">
            <v>19100</v>
          </cell>
          <cell r="F84">
            <v>20300</v>
          </cell>
          <cell r="G84">
            <v>25400</v>
          </cell>
          <cell r="H84">
            <v>30500</v>
          </cell>
          <cell r="I84">
            <v>46300</v>
          </cell>
          <cell r="J84">
            <v>61000</v>
          </cell>
          <cell r="K84">
            <v>77800</v>
          </cell>
        </row>
        <row r="85">
          <cell r="B85" t="str">
            <v>X15</v>
          </cell>
          <cell r="C85">
            <v>8400</v>
          </cell>
          <cell r="D85">
            <v>16800</v>
          </cell>
          <cell r="E85">
            <v>21000</v>
          </cell>
          <cell r="F85">
            <v>22400</v>
          </cell>
          <cell r="G85">
            <v>28000</v>
          </cell>
          <cell r="H85">
            <v>33600</v>
          </cell>
          <cell r="I85">
            <v>51000</v>
          </cell>
          <cell r="J85">
            <v>67200</v>
          </cell>
          <cell r="K85">
            <v>85700</v>
          </cell>
        </row>
        <row r="86">
          <cell r="B86" t="str">
            <v>X16</v>
          </cell>
          <cell r="C86">
            <v>9300</v>
          </cell>
          <cell r="D86">
            <v>18500</v>
          </cell>
          <cell r="E86">
            <v>23100</v>
          </cell>
          <cell r="F86">
            <v>24700</v>
          </cell>
          <cell r="G86">
            <v>30800</v>
          </cell>
          <cell r="H86">
            <v>37000</v>
          </cell>
          <cell r="I86">
            <v>56100</v>
          </cell>
          <cell r="J86">
            <v>74000</v>
          </cell>
          <cell r="K86">
            <v>94400</v>
          </cell>
        </row>
        <row r="87">
          <cell r="B87" t="str">
            <v>X17</v>
          </cell>
          <cell r="C87">
            <v>10200</v>
          </cell>
          <cell r="D87">
            <v>20400</v>
          </cell>
          <cell r="E87">
            <v>25400</v>
          </cell>
          <cell r="F87">
            <v>27100</v>
          </cell>
          <cell r="G87">
            <v>33900</v>
          </cell>
          <cell r="H87">
            <v>40700</v>
          </cell>
          <cell r="I87">
            <v>61700</v>
          </cell>
          <cell r="J87">
            <v>81400</v>
          </cell>
          <cell r="K87">
            <v>103800</v>
          </cell>
        </row>
        <row r="88">
          <cell r="B88" t="str">
            <v>X18</v>
          </cell>
          <cell r="C88">
            <v>11200</v>
          </cell>
          <cell r="D88">
            <v>22400</v>
          </cell>
          <cell r="E88">
            <v>27900</v>
          </cell>
          <cell r="F88">
            <v>29800</v>
          </cell>
          <cell r="G88">
            <v>37300</v>
          </cell>
          <cell r="H88">
            <v>44700</v>
          </cell>
          <cell r="I88">
            <v>67800</v>
          </cell>
          <cell r="J88">
            <v>89400</v>
          </cell>
          <cell r="K88">
            <v>114000</v>
          </cell>
        </row>
        <row r="89">
          <cell r="B89" t="str">
            <v>X19</v>
          </cell>
          <cell r="C89">
            <v>12300</v>
          </cell>
          <cell r="D89">
            <v>24600</v>
          </cell>
          <cell r="E89">
            <v>30800</v>
          </cell>
          <cell r="F89">
            <v>32800</v>
          </cell>
          <cell r="G89">
            <v>41000</v>
          </cell>
          <cell r="H89">
            <v>49200</v>
          </cell>
          <cell r="I89">
            <v>74600</v>
          </cell>
          <cell r="J89">
            <v>98400</v>
          </cell>
          <cell r="K89">
            <v>125500</v>
          </cell>
        </row>
        <row r="90">
          <cell r="B90" t="str">
            <v>X20</v>
          </cell>
          <cell r="C90">
            <v>13600</v>
          </cell>
          <cell r="D90">
            <v>27100</v>
          </cell>
          <cell r="E90">
            <v>33900</v>
          </cell>
          <cell r="F90">
            <v>36100</v>
          </cell>
          <cell r="G90">
            <v>45200</v>
          </cell>
          <cell r="H90">
            <v>54200</v>
          </cell>
          <cell r="I90">
            <v>82200</v>
          </cell>
          <cell r="J90">
            <v>108400</v>
          </cell>
          <cell r="K90">
            <v>138200</v>
          </cell>
        </row>
        <row r="91">
          <cell r="B91" t="str">
            <v>X21</v>
          </cell>
          <cell r="C91">
            <v>14900</v>
          </cell>
          <cell r="D91">
            <v>29800</v>
          </cell>
          <cell r="E91">
            <v>37200</v>
          </cell>
          <cell r="F91">
            <v>39700</v>
          </cell>
          <cell r="G91">
            <v>49600</v>
          </cell>
          <cell r="H91">
            <v>59500</v>
          </cell>
          <cell r="I91">
            <v>90200</v>
          </cell>
          <cell r="J91">
            <v>119000</v>
          </cell>
          <cell r="K91">
            <v>151700</v>
          </cell>
        </row>
        <row r="92">
          <cell r="B92" t="str">
            <v>X22</v>
          </cell>
          <cell r="C92">
            <v>16400</v>
          </cell>
          <cell r="D92">
            <v>32800</v>
          </cell>
          <cell r="E92">
            <v>40900</v>
          </cell>
          <cell r="F92">
            <v>43700</v>
          </cell>
          <cell r="G92">
            <v>54600</v>
          </cell>
          <cell r="H92">
            <v>65500</v>
          </cell>
          <cell r="I92">
            <v>99300</v>
          </cell>
          <cell r="J92">
            <v>131000</v>
          </cell>
          <cell r="K92">
            <v>167000</v>
          </cell>
        </row>
        <row r="93">
          <cell r="B93" t="str">
            <v>X23</v>
          </cell>
          <cell r="C93">
            <v>18000</v>
          </cell>
          <cell r="D93">
            <v>36100</v>
          </cell>
          <cell r="E93">
            <v>45100</v>
          </cell>
          <cell r="F93">
            <v>48100</v>
          </cell>
          <cell r="G93">
            <v>60100</v>
          </cell>
          <cell r="H93">
            <v>72100</v>
          </cell>
          <cell r="I93">
            <v>109400</v>
          </cell>
          <cell r="J93">
            <v>144200</v>
          </cell>
          <cell r="K93">
            <v>183900</v>
          </cell>
        </row>
        <row r="94">
          <cell r="B94" t="str">
            <v>X24</v>
          </cell>
          <cell r="C94">
            <v>19800</v>
          </cell>
          <cell r="D94">
            <v>39600</v>
          </cell>
          <cell r="E94">
            <v>49500</v>
          </cell>
          <cell r="F94">
            <v>52800</v>
          </cell>
          <cell r="G94">
            <v>66000</v>
          </cell>
          <cell r="H94">
            <v>79200</v>
          </cell>
          <cell r="I94">
            <v>120100</v>
          </cell>
          <cell r="J94">
            <v>158400</v>
          </cell>
          <cell r="K94">
            <v>202000</v>
          </cell>
        </row>
        <row r="95">
          <cell r="B95" t="str">
            <v>X25</v>
          </cell>
          <cell r="C95">
            <v>21800</v>
          </cell>
          <cell r="D95">
            <v>43600</v>
          </cell>
          <cell r="E95">
            <v>54500</v>
          </cell>
          <cell r="F95">
            <v>58100</v>
          </cell>
          <cell r="G95">
            <v>72700</v>
          </cell>
          <cell r="H95">
            <v>87200</v>
          </cell>
          <cell r="I95">
            <v>132300</v>
          </cell>
          <cell r="J95">
            <v>174400</v>
          </cell>
          <cell r="K95">
            <v>222400</v>
          </cell>
        </row>
        <row r="96">
          <cell r="B96" t="str">
            <v>X26</v>
          </cell>
          <cell r="C96">
            <v>24000</v>
          </cell>
          <cell r="D96">
            <v>48000</v>
          </cell>
          <cell r="E96">
            <v>59900</v>
          </cell>
          <cell r="F96">
            <v>63900</v>
          </cell>
          <cell r="G96">
            <v>79900</v>
          </cell>
          <cell r="H96">
            <v>95900</v>
          </cell>
          <cell r="I96">
            <v>145400</v>
          </cell>
          <cell r="J96">
            <v>191800</v>
          </cell>
          <cell r="K96">
            <v>244500</v>
          </cell>
        </row>
        <row r="97">
          <cell r="B97" t="str">
            <v>X27</v>
          </cell>
          <cell r="C97">
            <v>26400</v>
          </cell>
          <cell r="D97">
            <v>52800</v>
          </cell>
          <cell r="E97">
            <v>65900</v>
          </cell>
          <cell r="F97">
            <v>70300</v>
          </cell>
          <cell r="G97">
            <v>87900</v>
          </cell>
          <cell r="H97">
            <v>105500</v>
          </cell>
          <cell r="I97">
            <v>160000</v>
          </cell>
          <cell r="J97">
            <v>211000</v>
          </cell>
          <cell r="K97">
            <v>269000</v>
          </cell>
        </row>
        <row r="98">
          <cell r="B98" t="str">
            <v>X28</v>
          </cell>
          <cell r="C98">
            <v>29000</v>
          </cell>
          <cell r="D98">
            <v>58100</v>
          </cell>
          <cell r="E98">
            <v>72600</v>
          </cell>
          <cell r="F98">
            <v>77400</v>
          </cell>
          <cell r="G98">
            <v>96800</v>
          </cell>
          <cell r="H98">
            <v>116100</v>
          </cell>
          <cell r="I98">
            <v>176100</v>
          </cell>
          <cell r="J98">
            <v>232200</v>
          </cell>
          <cell r="K98">
            <v>296100</v>
          </cell>
        </row>
        <row r="99">
          <cell r="B99" t="str">
            <v>X29</v>
          </cell>
          <cell r="C99">
            <v>31900</v>
          </cell>
          <cell r="D99">
            <v>63800</v>
          </cell>
          <cell r="E99">
            <v>79800</v>
          </cell>
          <cell r="F99">
            <v>85100</v>
          </cell>
          <cell r="G99">
            <v>106300</v>
          </cell>
          <cell r="H99">
            <v>127600</v>
          </cell>
          <cell r="I99">
            <v>193500</v>
          </cell>
          <cell r="J99">
            <v>255200</v>
          </cell>
          <cell r="K99">
            <v>325400</v>
          </cell>
        </row>
        <row r="100">
          <cell r="B100" t="str">
            <v>X30</v>
          </cell>
          <cell r="C100">
            <v>35100</v>
          </cell>
          <cell r="D100">
            <v>70200</v>
          </cell>
          <cell r="E100">
            <v>87800</v>
          </cell>
          <cell r="F100">
            <v>93600</v>
          </cell>
          <cell r="G100">
            <v>117000</v>
          </cell>
          <cell r="H100">
            <v>140400</v>
          </cell>
          <cell r="I100">
            <v>212900</v>
          </cell>
          <cell r="J100">
            <v>280800</v>
          </cell>
          <cell r="K100">
            <v>358000</v>
          </cell>
        </row>
        <row r="101">
          <cell r="B101" t="str">
            <v>X31</v>
          </cell>
          <cell r="C101">
            <v>38600</v>
          </cell>
          <cell r="D101">
            <v>77300</v>
          </cell>
          <cell r="E101">
            <v>96600</v>
          </cell>
          <cell r="F101">
            <v>103000</v>
          </cell>
          <cell r="G101">
            <v>128800</v>
          </cell>
          <cell r="H101">
            <v>154500</v>
          </cell>
          <cell r="I101">
            <v>234300</v>
          </cell>
          <cell r="J101">
            <v>309000</v>
          </cell>
          <cell r="K101">
            <v>394000</v>
          </cell>
        </row>
        <row r="102">
          <cell r="B102" t="str">
            <v>X32</v>
          </cell>
          <cell r="C102">
            <v>42500</v>
          </cell>
          <cell r="D102">
            <v>85000</v>
          </cell>
          <cell r="E102">
            <v>106200</v>
          </cell>
          <cell r="F102">
            <v>113300</v>
          </cell>
          <cell r="G102">
            <v>141600</v>
          </cell>
          <cell r="H102">
            <v>169900</v>
          </cell>
          <cell r="I102">
            <v>257700</v>
          </cell>
          <cell r="J102">
            <v>339800</v>
          </cell>
          <cell r="K102">
            <v>433200</v>
          </cell>
        </row>
        <row r="103">
          <cell r="B103" t="str">
            <v>X33</v>
          </cell>
          <cell r="C103">
            <v>46700</v>
          </cell>
          <cell r="D103">
            <v>93500</v>
          </cell>
          <cell r="E103">
            <v>116800</v>
          </cell>
          <cell r="F103">
            <v>124600</v>
          </cell>
          <cell r="G103">
            <v>155800</v>
          </cell>
          <cell r="H103">
            <v>186900</v>
          </cell>
          <cell r="I103">
            <v>283500</v>
          </cell>
          <cell r="J103">
            <v>373800</v>
          </cell>
          <cell r="K103">
            <v>476600</v>
          </cell>
        </row>
        <row r="104">
          <cell r="B104" t="str">
            <v>X34</v>
          </cell>
          <cell r="C104">
            <v>51400</v>
          </cell>
          <cell r="D104">
            <v>102800</v>
          </cell>
          <cell r="E104">
            <v>128500</v>
          </cell>
          <cell r="F104">
            <v>137100</v>
          </cell>
          <cell r="G104">
            <v>171300</v>
          </cell>
          <cell r="H104">
            <v>205600</v>
          </cell>
          <cell r="I104">
            <v>311800</v>
          </cell>
          <cell r="J104">
            <v>411200</v>
          </cell>
          <cell r="K104">
            <v>524300</v>
          </cell>
        </row>
        <row r="105">
          <cell r="B105" t="str">
            <v>X35</v>
          </cell>
          <cell r="C105">
            <v>56500</v>
          </cell>
          <cell r="D105">
            <v>113100</v>
          </cell>
          <cell r="E105">
            <v>141300</v>
          </cell>
          <cell r="F105">
            <v>150700</v>
          </cell>
          <cell r="G105">
            <v>188400</v>
          </cell>
          <cell r="H105">
            <v>226100</v>
          </cell>
          <cell r="I105">
            <v>342900</v>
          </cell>
          <cell r="J105">
            <v>452200</v>
          </cell>
          <cell r="K105">
            <v>576600</v>
          </cell>
        </row>
        <row r="106">
          <cell r="B106" t="str">
            <v>X36</v>
          </cell>
          <cell r="C106">
            <v>62200</v>
          </cell>
          <cell r="D106">
            <v>124400</v>
          </cell>
          <cell r="E106">
            <v>155500</v>
          </cell>
          <cell r="F106">
            <v>165900</v>
          </cell>
          <cell r="G106">
            <v>207300</v>
          </cell>
          <cell r="H106">
            <v>248800</v>
          </cell>
          <cell r="I106">
            <v>377300</v>
          </cell>
          <cell r="J106">
            <v>497600</v>
          </cell>
          <cell r="K106">
            <v>634400</v>
          </cell>
        </row>
        <row r="107">
          <cell r="B107" t="str">
            <v>X37</v>
          </cell>
          <cell r="C107">
            <v>68400</v>
          </cell>
          <cell r="D107">
            <v>136800</v>
          </cell>
          <cell r="E107">
            <v>171000</v>
          </cell>
          <cell r="F107">
            <v>182400</v>
          </cell>
          <cell r="G107">
            <v>228000</v>
          </cell>
          <cell r="H107">
            <v>273600</v>
          </cell>
          <cell r="I107">
            <v>415000</v>
          </cell>
          <cell r="J107">
            <v>547200</v>
          </cell>
          <cell r="K107">
            <v>697700</v>
          </cell>
        </row>
        <row r="108">
          <cell r="B108" t="str">
            <v>X38</v>
          </cell>
          <cell r="C108">
            <v>75300</v>
          </cell>
          <cell r="D108">
            <v>150500</v>
          </cell>
          <cell r="E108">
            <v>188100</v>
          </cell>
          <cell r="F108">
            <v>200700</v>
          </cell>
          <cell r="G108">
            <v>250800</v>
          </cell>
          <cell r="H108">
            <v>301000</v>
          </cell>
          <cell r="I108">
            <v>456500</v>
          </cell>
          <cell r="J108">
            <v>602000</v>
          </cell>
          <cell r="K108">
            <v>767600</v>
          </cell>
        </row>
        <row r="109">
          <cell r="B109" t="str">
            <v>X39</v>
          </cell>
          <cell r="C109">
            <v>82800</v>
          </cell>
          <cell r="D109">
            <v>165600</v>
          </cell>
          <cell r="E109">
            <v>206900</v>
          </cell>
          <cell r="F109">
            <v>220700</v>
          </cell>
          <cell r="G109">
            <v>275900</v>
          </cell>
          <cell r="H109">
            <v>331100</v>
          </cell>
          <cell r="I109">
            <v>502200</v>
          </cell>
          <cell r="J109">
            <v>662200</v>
          </cell>
          <cell r="K109">
            <v>844300</v>
          </cell>
        </row>
        <row r="110">
          <cell r="B110" t="str">
            <v>X40</v>
          </cell>
          <cell r="C110">
            <v>91100</v>
          </cell>
          <cell r="D110">
            <v>182100</v>
          </cell>
          <cell r="E110">
            <v>227600</v>
          </cell>
          <cell r="F110">
            <v>242800</v>
          </cell>
          <cell r="G110">
            <v>303500</v>
          </cell>
          <cell r="H110">
            <v>364200</v>
          </cell>
          <cell r="I110">
            <v>552400</v>
          </cell>
          <cell r="J110">
            <v>728400</v>
          </cell>
          <cell r="K110">
            <v>928700</v>
          </cell>
        </row>
        <row r="111">
          <cell r="B111" t="str">
            <v>X41</v>
          </cell>
          <cell r="C111">
            <v>100200</v>
          </cell>
          <cell r="D111">
            <v>200400</v>
          </cell>
          <cell r="E111">
            <v>250400</v>
          </cell>
          <cell r="F111">
            <v>267100</v>
          </cell>
          <cell r="G111">
            <v>333900</v>
          </cell>
          <cell r="H111">
            <v>400700</v>
          </cell>
          <cell r="I111">
            <v>607700</v>
          </cell>
          <cell r="J111">
            <v>801400</v>
          </cell>
          <cell r="K111">
            <v>1021800</v>
          </cell>
        </row>
        <row r="112">
          <cell r="B112" t="str">
            <v>X42</v>
          </cell>
          <cell r="C112">
            <v>110200</v>
          </cell>
          <cell r="D112">
            <v>220400</v>
          </cell>
          <cell r="E112">
            <v>275400</v>
          </cell>
          <cell r="F112">
            <v>293800</v>
          </cell>
          <cell r="G112">
            <v>367300</v>
          </cell>
          <cell r="H112">
            <v>440700</v>
          </cell>
          <cell r="I112">
            <v>668400</v>
          </cell>
          <cell r="J112">
            <v>881400</v>
          </cell>
          <cell r="K112">
            <v>1123800</v>
          </cell>
        </row>
        <row r="113">
          <cell r="B113" t="str">
            <v>X43</v>
          </cell>
          <cell r="C113">
            <v>121200</v>
          </cell>
          <cell r="D113">
            <v>242400</v>
          </cell>
          <cell r="E113">
            <v>302900</v>
          </cell>
          <cell r="F113">
            <v>323200</v>
          </cell>
          <cell r="G113">
            <v>404000</v>
          </cell>
          <cell r="H113">
            <v>484800</v>
          </cell>
          <cell r="I113">
            <v>735200</v>
          </cell>
          <cell r="J113">
            <v>969500</v>
          </cell>
          <cell r="K113">
            <v>1236200</v>
          </cell>
        </row>
        <row r="114">
          <cell r="B114" t="str">
            <v>X44</v>
          </cell>
          <cell r="C114">
            <v>133300</v>
          </cell>
          <cell r="D114">
            <v>266600</v>
          </cell>
          <cell r="E114">
            <v>333200</v>
          </cell>
          <cell r="F114">
            <v>355500</v>
          </cell>
          <cell r="G114">
            <v>444400</v>
          </cell>
          <cell r="H114">
            <v>533300</v>
          </cell>
          <cell r="I114">
            <v>808700</v>
          </cell>
          <cell r="J114">
            <v>1066500</v>
          </cell>
          <cell r="K114">
            <v>1359800</v>
          </cell>
        </row>
        <row r="115">
          <cell r="B115" t="str">
            <v>X45</v>
          </cell>
          <cell r="C115">
            <v>146600</v>
          </cell>
          <cell r="D115">
            <v>293300</v>
          </cell>
          <cell r="E115">
            <v>366500</v>
          </cell>
          <cell r="F115">
            <v>391100</v>
          </cell>
          <cell r="G115">
            <v>488800</v>
          </cell>
          <cell r="H115">
            <v>586600</v>
          </cell>
          <cell r="I115">
            <v>889600</v>
          </cell>
          <cell r="J115">
            <v>1173200</v>
          </cell>
          <cell r="K115">
            <v>1495800</v>
          </cell>
        </row>
        <row r="116">
          <cell r="B116" t="str">
            <v>X46</v>
          </cell>
          <cell r="C116">
            <v>161300</v>
          </cell>
          <cell r="D116">
            <v>322600</v>
          </cell>
          <cell r="E116">
            <v>403200</v>
          </cell>
          <cell r="F116">
            <v>430200</v>
          </cell>
          <cell r="G116">
            <v>537700</v>
          </cell>
          <cell r="H116">
            <v>645300</v>
          </cell>
          <cell r="I116">
            <v>978600</v>
          </cell>
          <cell r="J116">
            <v>1290500</v>
          </cell>
          <cell r="K116">
            <v>1645400</v>
          </cell>
        </row>
        <row r="117">
          <cell r="B117" t="str">
            <v>X47</v>
          </cell>
          <cell r="C117">
            <v>177400</v>
          </cell>
          <cell r="D117">
            <v>354900</v>
          </cell>
          <cell r="E117">
            <v>443500</v>
          </cell>
          <cell r="F117">
            <v>473200</v>
          </cell>
          <cell r="G117">
            <v>591500</v>
          </cell>
          <cell r="H117">
            <v>709800</v>
          </cell>
          <cell r="I117">
            <v>1076500</v>
          </cell>
          <cell r="J117">
            <v>1419600</v>
          </cell>
          <cell r="K117">
            <v>1809900</v>
          </cell>
        </row>
        <row r="118">
          <cell r="B118" t="str">
            <v>X48</v>
          </cell>
          <cell r="C118">
            <v>195100</v>
          </cell>
          <cell r="D118">
            <v>390400</v>
          </cell>
          <cell r="E118">
            <v>487900</v>
          </cell>
          <cell r="F118">
            <v>520500</v>
          </cell>
          <cell r="G118">
            <v>650700</v>
          </cell>
          <cell r="H118">
            <v>780800</v>
          </cell>
          <cell r="I118">
            <v>1184200</v>
          </cell>
          <cell r="J118">
            <v>1561600</v>
          </cell>
          <cell r="K118">
            <v>1990900</v>
          </cell>
        </row>
        <row r="119">
          <cell r="B119" t="str">
            <v>X49</v>
          </cell>
          <cell r="C119">
            <v>214600</v>
          </cell>
          <cell r="D119">
            <v>429400</v>
          </cell>
          <cell r="E119">
            <v>536700</v>
          </cell>
          <cell r="F119">
            <v>572600</v>
          </cell>
          <cell r="G119">
            <v>715800</v>
          </cell>
          <cell r="H119">
            <v>858900</v>
          </cell>
          <cell r="I119">
            <v>1302600</v>
          </cell>
          <cell r="J119">
            <v>1717800</v>
          </cell>
          <cell r="K119">
            <v>2190000</v>
          </cell>
        </row>
        <row r="120">
          <cell r="B120" t="str">
            <v>X50</v>
          </cell>
          <cell r="C120">
            <v>236100</v>
          </cell>
          <cell r="D120">
            <v>472300</v>
          </cell>
          <cell r="E120">
            <v>590400</v>
          </cell>
          <cell r="F120">
            <v>629900</v>
          </cell>
          <cell r="G120">
            <v>787400</v>
          </cell>
          <cell r="H120">
            <v>944800</v>
          </cell>
          <cell r="I120">
            <v>1432900</v>
          </cell>
          <cell r="J120">
            <v>1889600</v>
          </cell>
          <cell r="K120">
            <v>2409000</v>
          </cell>
        </row>
        <row r="121">
          <cell r="B121" t="str">
            <v>X51</v>
          </cell>
          <cell r="C121">
            <v>259700</v>
          </cell>
          <cell r="D121">
            <v>519500</v>
          </cell>
          <cell r="E121">
            <v>649400</v>
          </cell>
          <cell r="F121">
            <v>692900</v>
          </cell>
          <cell r="G121">
            <v>866100</v>
          </cell>
          <cell r="H121">
            <v>1039300</v>
          </cell>
          <cell r="I121">
            <v>1576200</v>
          </cell>
          <cell r="J121">
            <v>2078600</v>
          </cell>
          <cell r="K121">
            <v>2649900</v>
          </cell>
        </row>
        <row r="122">
          <cell r="B122" t="str">
            <v>X52</v>
          </cell>
          <cell r="C122">
            <v>285700</v>
          </cell>
          <cell r="D122">
            <v>571500</v>
          </cell>
          <cell r="E122">
            <v>714300</v>
          </cell>
          <cell r="F122">
            <v>762200</v>
          </cell>
          <cell r="G122">
            <v>952700</v>
          </cell>
          <cell r="H122">
            <v>1143200</v>
          </cell>
          <cell r="I122">
            <v>1733800</v>
          </cell>
          <cell r="J122">
            <v>2286500</v>
          </cell>
          <cell r="K122">
            <v>2914900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>
        <row r="3">
          <cell r="C3" t="str">
            <v>5"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">
          <cell r="C3" t="str">
            <v>5"</v>
          </cell>
        </row>
      </sheetData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>
        <row r="3">
          <cell r="C3" t="str">
            <v>5"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s"/>
      <sheetName val="Salas 2"/>
      <sheetName val="Tablas"/>
      <sheetName val="Marcas"/>
      <sheetName val="Anunciantes"/>
      <sheetName val="Rubros"/>
      <sheetName val="Caras"/>
      <sheetName val="MarcasCli"/>
      <sheetName val="Condiciones Generales"/>
      <sheetName val="Matriz"/>
      <sheetName val="CabFact"/>
      <sheetName val="DetFact"/>
      <sheetName val="CttSitios"/>
      <sheetName val="CPro"/>
      <sheetName val="Actividad"/>
    </sheetNames>
    <sheetDataSet>
      <sheetData sheetId="0"/>
      <sheetData sheetId="1"/>
      <sheetData sheetId="2">
        <row r="14">
          <cell r="E14" t="str">
            <v>Mes</v>
          </cell>
        </row>
        <row r="15">
          <cell r="E15" t="str">
            <v>Día</v>
          </cell>
        </row>
      </sheetData>
      <sheetData sheetId="3"/>
      <sheetData sheetId="4">
        <row r="1">
          <cell r="A1" t="str">
            <v>Anunciante</v>
          </cell>
        </row>
        <row r="2">
          <cell r="A2" t="str">
            <v>?SOLUZIONA CHILE S.A.</v>
          </cell>
        </row>
        <row r="3">
          <cell r="A3" t="str">
            <v>&lt;Unknown&gt;</v>
          </cell>
        </row>
        <row r="4">
          <cell r="A4" t="str">
            <v>20TH CENTURY FOX</v>
          </cell>
        </row>
        <row r="5">
          <cell r="A5" t="str">
            <v>3M S.A.</v>
          </cell>
        </row>
        <row r="6">
          <cell r="A6" t="str">
            <v>ABB S.A.</v>
          </cell>
        </row>
        <row r="7">
          <cell r="A7" t="str">
            <v>ABSOLUT</v>
          </cell>
        </row>
        <row r="8">
          <cell r="A8" t="str">
            <v>ACCENTURE</v>
          </cell>
        </row>
        <row r="9">
          <cell r="A9" t="str">
            <v>ACOGER SANTIAGO SERVICIOS FUNERARIOS</v>
          </cell>
        </row>
        <row r="10">
          <cell r="A10" t="str">
            <v>ACONCAGUA FOODS S.A.</v>
          </cell>
        </row>
        <row r="11">
          <cell r="A11" t="str">
            <v>ACTUAL SERVICIO S.A.</v>
          </cell>
        </row>
        <row r="12">
          <cell r="A12" t="str">
            <v>ADIDAS CHILE</v>
          </cell>
        </row>
        <row r="13">
          <cell r="A13" t="str">
            <v>ADM. DE CREDITOS COM. PRESTO LTDA.</v>
          </cell>
        </row>
        <row r="14">
          <cell r="A14" t="str">
            <v>ADM. DEL CENTRO COMERCIAL ALTO LAS CONDES</v>
          </cell>
        </row>
        <row r="15">
          <cell r="A15" t="str">
            <v>ADT</v>
          </cell>
        </row>
        <row r="16">
          <cell r="A16" t="str">
            <v>AEROLINEAS AUSTRAL CHILE S.A.</v>
          </cell>
        </row>
        <row r="17">
          <cell r="A17" t="str">
            <v>AFP SANTA MARIA S.A.</v>
          </cell>
        </row>
        <row r="18">
          <cell r="A18" t="str">
            <v>AGROSUPER COM. DE ALIMENTOS LTDA.</v>
          </cell>
        </row>
        <row r="19">
          <cell r="A19" t="str">
            <v>ALIMENTOS CORDILLERA LTDA.</v>
          </cell>
        </row>
        <row r="20">
          <cell r="A20" t="str">
            <v>AM GESTION S.A.</v>
          </cell>
        </row>
        <row r="21">
          <cell r="A21" t="str">
            <v>AMERICAN AIRLINES INC.</v>
          </cell>
        </row>
        <row r="22">
          <cell r="A22" t="str">
            <v>ANWO SA.</v>
          </cell>
        </row>
        <row r="23">
          <cell r="A23" t="str">
            <v>ARAUCO MEDICINA INTEGRAL S.A.</v>
          </cell>
        </row>
        <row r="24">
          <cell r="A24" t="str">
            <v>ASPILLAGA HORNAHUER</v>
          </cell>
        </row>
        <row r="25">
          <cell r="A25" t="str">
            <v>AVON</v>
          </cell>
        </row>
        <row r="26">
          <cell r="A26" t="str">
            <v>BACARDI MARTINI CHILE S.A.</v>
          </cell>
        </row>
        <row r="27">
          <cell r="A27" t="str">
            <v>BANCO DE CHILE</v>
          </cell>
        </row>
        <row r="28">
          <cell r="A28" t="str">
            <v>BANCO DE CREDITO E INVERSIONES S.A.</v>
          </cell>
        </row>
        <row r="29">
          <cell r="A29" t="str">
            <v>BANCO EDWARDS</v>
          </cell>
        </row>
        <row r="30">
          <cell r="A30" t="str">
            <v>BANCO ESTADO</v>
          </cell>
        </row>
        <row r="31">
          <cell r="A31" t="str">
            <v>BANCO ITAU</v>
          </cell>
        </row>
        <row r="32">
          <cell r="A32" t="str">
            <v>BANCO PARIS</v>
          </cell>
        </row>
        <row r="33">
          <cell r="A33" t="str">
            <v>BANCO PENTA</v>
          </cell>
        </row>
        <row r="34">
          <cell r="A34" t="str">
            <v>BANCO SANTANDER CHILE</v>
          </cell>
        </row>
        <row r="35">
          <cell r="A35" t="str">
            <v>BARTER HOUSE</v>
          </cell>
        </row>
        <row r="36">
          <cell r="A36" t="str">
            <v>BATA DE CHILE S.A.</v>
          </cell>
        </row>
        <row r="37">
          <cell r="A37" t="str">
            <v>Bazuca Films Limitada</v>
          </cell>
        </row>
        <row r="38">
          <cell r="A38" t="str">
            <v>BBVA BANCO BHIF</v>
          </cell>
        </row>
        <row r="39">
          <cell r="A39" t="str">
            <v>BEIRSDORF S.A.</v>
          </cell>
        </row>
        <row r="40">
          <cell r="A40" t="str">
            <v>BELIAN S.A.</v>
          </cell>
        </row>
        <row r="41">
          <cell r="A41" t="str">
            <v>BICE ADMINISTRADORA GENERAL DE FONDOS S.A.</v>
          </cell>
        </row>
        <row r="42">
          <cell r="A42" t="str">
            <v>BLACK &amp; DECKER S.A.</v>
          </cell>
        </row>
        <row r="43">
          <cell r="A43" t="str">
            <v>BLANCHARD PRODUCCIONES S.A.</v>
          </cell>
        </row>
        <row r="44">
          <cell r="A44" t="str">
            <v>BOULEVARD SAINT GERMAIN S.A.</v>
          </cell>
        </row>
        <row r="45">
          <cell r="A45" t="str">
            <v>BRAVO &amp; BRAVO LTDA.</v>
          </cell>
        </row>
        <row r="46">
          <cell r="A46" t="str">
            <v>BREDENMASTER CHILE S.A.</v>
          </cell>
        </row>
        <row r="47">
          <cell r="A47" t="str">
            <v>C.M.P.C. TISSUE S.A.</v>
          </cell>
        </row>
        <row r="48">
          <cell r="A48" t="str">
            <v>CADBURY STANI ADAMS CHILE PRODUCTOS</v>
          </cell>
        </row>
        <row r="49">
          <cell r="A49" t="str">
            <v>CAFE BRITT CHILE LTDA.</v>
          </cell>
        </row>
        <row r="50">
          <cell r="A50" t="str">
            <v>CAMPUS MATER S.A.</v>
          </cell>
        </row>
        <row r="51">
          <cell r="A51" t="str">
            <v>CANNEX</v>
          </cell>
        </row>
        <row r="52">
          <cell r="A52" t="str">
            <v>CARPENTER S.A.</v>
          </cell>
        </row>
        <row r="53">
          <cell r="A53" t="str">
            <v>CATECU S.A.</v>
          </cell>
        </row>
        <row r="54">
          <cell r="A54" t="str">
            <v>CAVALSA TRADING S.A.</v>
          </cell>
        </row>
        <row r="55">
          <cell r="A55" t="str">
            <v>CECINAS LA PREFERIDA S.A.</v>
          </cell>
        </row>
        <row r="56">
          <cell r="A56" t="str">
            <v>CECINAS SAN JORGE S.A.</v>
          </cell>
        </row>
        <row r="57">
          <cell r="A57" t="str">
            <v>CELL STAR</v>
          </cell>
        </row>
        <row r="58">
          <cell r="A58" t="str">
            <v>CENCOSUD S.A.</v>
          </cell>
        </row>
        <row r="59">
          <cell r="A59" t="str">
            <v>CERAMICAS CORDILLERA</v>
          </cell>
        </row>
        <row r="60">
          <cell r="A60" t="str">
            <v>CERVECERA CCU CHILE LTDA.</v>
          </cell>
        </row>
        <row r="61">
          <cell r="A61" t="str">
            <v>CERVECERIA CHILE S.A.</v>
          </cell>
        </row>
        <row r="62">
          <cell r="A62" t="str">
            <v>CHOCOLATES HERSHEY</v>
          </cell>
        </row>
        <row r="63">
          <cell r="A63" t="str">
            <v>CIA. DE PETROLEOS DE CHILE COPEC</v>
          </cell>
        </row>
        <row r="64">
          <cell r="A64" t="str">
            <v>CIA. DE TELECOMUNICACIONES DE CHILE</v>
          </cell>
        </row>
        <row r="65">
          <cell r="A65" t="str">
            <v>CINES E INV. CINEPLEX LTDA.</v>
          </cell>
        </row>
        <row r="66">
          <cell r="A66" t="str">
            <v>CITIBANK N.A.</v>
          </cell>
        </row>
        <row r="67">
          <cell r="A67" t="str">
            <v>CITROEN CHILE S.A.C.</v>
          </cell>
        </row>
        <row r="68">
          <cell r="A68" t="str">
            <v>CLARO CHILE S.A. (SmartCom)</v>
          </cell>
        </row>
        <row r="69">
          <cell r="A69" t="str">
            <v>CLINICA ALEMANA DE SANTIAGO S.A.</v>
          </cell>
        </row>
        <row r="70">
          <cell r="A70" t="str">
            <v>CLINICA CIUDAD DEL MAR S.A.</v>
          </cell>
        </row>
        <row r="71">
          <cell r="A71" t="str">
            <v>CLINICA REÑACA S.A.</v>
          </cell>
        </row>
        <row r="72">
          <cell r="A72" t="str">
            <v>CLINICA SAN CARLOS DE APOQUINDO</v>
          </cell>
        </row>
        <row r="73">
          <cell r="A73" t="str">
            <v>CLOROX CHILE SA</v>
          </cell>
        </row>
        <row r="74">
          <cell r="A74" t="str">
            <v>CNN CHILE CANAL DE TELEVISION LTDA.</v>
          </cell>
        </row>
        <row r="75">
          <cell r="A75" t="str">
            <v>COCA COLA DE CHILE S.A.</v>
          </cell>
        </row>
        <row r="76">
          <cell r="A76" t="str">
            <v>COLCHONES ROSEN S.A.C.I.</v>
          </cell>
        </row>
        <row r="77">
          <cell r="A77" t="str">
            <v>COMERCIAL ADRENALIN LTDA.</v>
          </cell>
        </row>
        <row r="78">
          <cell r="A78" t="str">
            <v>COMERCIAL APS S.A.</v>
          </cell>
        </row>
        <row r="79">
          <cell r="A79" t="str">
            <v>COMERCIAL E IMPORTADORA BBR S.A.</v>
          </cell>
        </row>
        <row r="80">
          <cell r="A80" t="str">
            <v>COMERCIAL E INDUSTRIAL SILFA S.A.</v>
          </cell>
        </row>
        <row r="81">
          <cell r="A81" t="str">
            <v>COMERCIAL ECCSA S.A.</v>
          </cell>
        </row>
        <row r="82">
          <cell r="A82" t="str">
            <v>COMERCIAL EXS LTDA.</v>
          </cell>
        </row>
        <row r="83">
          <cell r="A83" t="str">
            <v>COMERCIAL ITALA S.A.</v>
          </cell>
        </row>
        <row r="84">
          <cell r="A84" t="str">
            <v>COMERCIAL SPORTEX LTDA.</v>
          </cell>
        </row>
        <row r="85">
          <cell r="A85" t="str">
            <v>COMERCIAL TASE TEXTIL LTDA.</v>
          </cell>
        </row>
        <row r="86">
          <cell r="A86" t="str">
            <v>COMERCIAL TORO</v>
          </cell>
        </row>
        <row r="87">
          <cell r="A87" t="str">
            <v>COMERCIALIZADORA DE VESTUARIO FES LTDA.</v>
          </cell>
        </row>
        <row r="88">
          <cell r="A88" t="str">
            <v>COMERCIALIZADORA EBUYIN LTDA.</v>
          </cell>
        </row>
        <row r="89">
          <cell r="A89" t="str">
            <v>COMERCIALIZADORA IDEAS DEL SUR Y CIA. LTDA.</v>
          </cell>
        </row>
        <row r="90">
          <cell r="A90" t="str">
            <v>COMERVEST S.A.</v>
          </cell>
        </row>
        <row r="91">
          <cell r="A91" t="str">
            <v>COMITE PALTA HASS DE CHILE</v>
          </cell>
        </row>
        <row r="92">
          <cell r="A92" t="str">
            <v>COMPAÑIA CHILENA DE TABACOS S.A.</v>
          </cell>
        </row>
        <row r="93">
          <cell r="A93" t="str">
            <v>COMPAÑIA CHILENA DE TELEVISION S.A.</v>
          </cell>
        </row>
        <row r="94">
          <cell r="A94" t="str">
            <v>COMPAÑIA PISQUERA CHILE</v>
          </cell>
        </row>
        <row r="95">
          <cell r="A95" t="str">
            <v>COMPUTACION OLIDATA LTDA</v>
          </cell>
        </row>
        <row r="96">
          <cell r="A96" t="str">
            <v>CONFECCCIONES TOP</v>
          </cell>
        </row>
        <row r="97">
          <cell r="A97" t="str">
            <v>CONFECCIONES FEROUCH LTDA.</v>
          </cell>
        </row>
        <row r="98">
          <cell r="A98" t="str">
            <v>CONFECCIONES NAZAL LTDA.</v>
          </cell>
        </row>
        <row r="99">
          <cell r="A99" t="str">
            <v>CONFECCIONESTEXTILES EL AGUILA LTDA</v>
          </cell>
        </row>
        <row r="100">
          <cell r="A100" t="str">
            <v>CONSORCIO NAC. SEGUROS DE VIDA S.A.</v>
          </cell>
        </row>
        <row r="101">
          <cell r="A101" t="str">
            <v>CONSTRUCTORA ALMAGRO S.A.</v>
          </cell>
        </row>
        <row r="102">
          <cell r="A102" t="str">
            <v>CONSTRUCTORA GLS LTDA.</v>
          </cell>
        </row>
        <row r="103">
          <cell r="A103" t="str">
            <v>COOP. AGRI. LECHERA LA UNION LTDA.</v>
          </cell>
        </row>
        <row r="104">
          <cell r="A104" t="str">
            <v>CORP. DE TELEVISION DE LA PONT. UNIVERSIDAD CATOLICA</v>
          </cell>
        </row>
        <row r="105">
          <cell r="A105" t="str">
            <v>CORPBANCA</v>
          </cell>
        </row>
        <row r="106">
          <cell r="A106" t="str">
            <v>CORPORA TRES MONTES S.A.</v>
          </cell>
        </row>
        <row r="107">
          <cell r="A107" t="str">
            <v>CORPORACION DE FOMENTO CORFO</v>
          </cell>
        </row>
        <row r="108">
          <cell r="A108" t="str">
            <v>COSPER COSMETICA Y PERFUMERIA S.A.</v>
          </cell>
        </row>
        <row r="109">
          <cell r="A109" t="str">
            <v>CREACIONES MELODY LTDA.</v>
          </cell>
        </row>
        <row r="110">
          <cell r="A110" t="str">
            <v>CREDICHILE</v>
          </cell>
        </row>
        <row r="111">
          <cell r="A111" t="str">
            <v>CTC TRANSMISIONES REGIONALES S.A.</v>
          </cell>
        </row>
        <row r="112">
          <cell r="A112" t="str">
            <v>CTI CHILE</v>
          </cell>
        </row>
        <row r="113">
          <cell r="A113" t="str">
            <v>CUBANA AVIACION</v>
          </cell>
        </row>
        <row r="114">
          <cell r="A114" t="str">
            <v>DELTA AIRLINES</v>
          </cell>
        </row>
        <row r="115">
          <cell r="A115" t="str">
            <v>DENTO S.A.</v>
          </cell>
        </row>
        <row r="116">
          <cell r="A116" t="str">
            <v>DIAGEO CHILE LTDA.</v>
          </cell>
        </row>
        <row r="117">
          <cell r="A117" t="str">
            <v>DIMACOFI S.A.</v>
          </cell>
        </row>
        <row r="118">
          <cell r="A118" t="str">
            <v>DINER CLUB INTERNACIONAL</v>
          </cell>
        </row>
        <row r="119">
          <cell r="A119" t="str">
            <v>DIRECCION GENERAL DE MOVILIZACION NACIONAL</v>
          </cell>
        </row>
        <row r="120">
          <cell r="A120" t="str">
            <v>DIRECTV CHILE TELEVISION LTDA</v>
          </cell>
        </row>
        <row r="121">
          <cell r="A121" t="str">
            <v>DISTRIBUIDORA AUTOMOTRIZ SANTIAGO L</v>
          </cell>
        </row>
        <row r="122">
          <cell r="A122" t="str">
            <v>DISTRIBUIDORA CUMMINS CHILE S.A.</v>
          </cell>
        </row>
        <row r="123">
          <cell r="A123" t="str">
            <v>DISTRIBUIDORA DE ARTICULOS DEPORTIVOS LTDA.</v>
          </cell>
        </row>
        <row r="124">
          <cell r="A124" t="str">
            <v>DISTRIBUIDORA ERRAZURIZ S.A.</v>
          </cell>
        </row>
        <row r="125">
          <cell r="A125" t="str">
            <v>DISTRIBUIDORA PUIG CHILE LTDA.</v>
          </cell>
        </row>
        <row r="126">
          <cell r="A126" t="str">
            <v>DISTRIBUIDORA Y SERVICIOS D Y S S.A.</v>
          </cell>
        </row>
        <row r="127">
          <cell r="A127" t="str">
            <v>EDITORIAL TELEVISA CHILE S.A.</v>
          </cell>
        </row>
        <row r="128">
          <cell r="A128" t="str">
            <v>EJERCITO DE CHILE ESCUELA MILITAR</v>
          </cell>
        </row>
        <row r="129">
          <cell r="A129" t="str">
            <v>EL BARRIO PROPIEDADES</v>
          </cell>
        </row>
        <row r="130">
          <cell r="A130" t="str">
            <v>ELECTROLUX CHILE S.A.</v>
          </cell>
        </row>
        <row r="131">
          <cell r="A131" t="str">
            <v>EMBOTELLADORA CASTEL LTDA.</v>
          </cell>
        </row>
        <row r="132">
          <cell r="A132" t="str">
            <v>EMBOTELLADORA CHILENAS UNIDAS S.A.</v>
          </cell>
        </row>
        <row r="133">
          <cell r="A133" t="str">
            <v>EMBRATUR</v>
          </cell>
        </row>
        <row r="134">
          <cell r="A134" t="str">
            <v>EMERSON ELECTRIC HOLDING CORPORATION</v>
          </cell>
        </row>
        <row r="135">
          <cell r="A135" t="str">
            <v>EMPRESA CAROZZI S.A.</v>
          </cell>
        </row>
        <row r="136">
          <cell r="A136" t="str">
            <v>EMPRESA PERIODISTICA DIARIO CONCEPCION S.A.</v>
          </cell>
        </row>
        <row r="137">
          <cell r="A137" t="str">
            <v>EMPRESA PERIODISTICA LA TERCERA S.A.</v>
          </cell>
        </row>
        <row r="138">
          <cell r="A138" t="str">
            <v>ENTEL PCS TELECOMUNICACIONES S.A.</v>
          </cell>
        </row>
        <row r="139">
          <cell r="A139" t="str">
            <v>ENTEL S.A.</v>
          </cell>
        </row>
        <row r="140">
          <cell r="A140" t="str">
            <v>ERNST &amp; YOUNG LTDA.</v>
          </cell>
        </row>
        <row r="141">
          <cell r="A141" t="str">
            <v>EUROFASHION LTDA.</v>
          </cell>
        </row>
        <row r="142">
          <cell r="A142" t="str">
            <v>EVERIS CHILE S.A.</v>
          </cell>
        </row>
        <row r="143">
          <cell r="A143" t="str">
            <v>EXXACON DESARROLLO INMOBILIARIO S.A.</v>
          </cell>
        </row>
        <row r="144">
          <cell r="A144" t="str">
            <v>F.G.M. AROME ET BEAUTE</v>
          </cell>
        </row>
        <row r="145">
          <cell r="A145" t="str">
            <v>FALABELLA S.A.C.I.</v>
          </cell>
        </row>
        <row r="146">
          <cell r="A146" t="str">
            <v>FARMACIAS AHUMADA S.A.</v>
          </cell>
        </row>
        <row r="147">
          <cell r="A147" t="str">
            <v>FAST FOOD CHILE S.A.</v>
          </cell>
        </row>
        <row r="148">
          <cell r="A148" t="str">
            <v>Fca. Confecciones Trial S.A.</v>
          </cell>
        </row>
        <row r="149">
          <cell r="A149" t="str">
            <v>FISA S.A.</v>
          </cell>
        </row>
        <row r="150">
          <cell r="A150" t="str">
            <v>FORD MOTOR COMPANY CHILE LTDA.</v>
          </cell>
        </row>
        <row r="151">
          <cell r="A151" t="str">
            <v>FORUS S.A.</v>
          </cell>
        </row>
        <row r="152">
          <cell r="A152" t="str">
            <v>FOX LATIN AMERICAN CHANNELS CHILE LTDA.</v>
          </cell>
        </row>
        <row r="153">
          <cell r="A153" t="str">
            <v>FRANCO MECANICA S.A.</v>
          </cell>
        </row>
        <row r="154">
          <cell r="A154" t="str">
            <v>FUND. GREENPEACE PACIFICO SUR</v>
          </cell>
        </row>
        <row r="155">
          <cell r="A155" t="str">
            <v>FUNDACION COANIL</v>
          </cell>
        </row>
        <row r="156">
          <cell r="A156" t="str">
            <v>FUNDACION INTEGRA</v>
          </cell>
        </row>
        <row r="157">
          <cell r="A157" t="str">
            <v>FUNDACION LAS ROSAS</v>
          </cell>
        </row>
        <row r="158">
          <cell r="A158" t="str">
            <v>FUNDACION MARCELO ASTOREGA CORREA</v>
          </cell>
        </row>
        <row r="159">
          <cell r="A159" t="str">
            <v>FUNDACION NUESTROS HIJOS</v>
          </cell>
        </row>
        <row r="160">
          <cell r="A160" t="str">
            <v>General Motors Chile ltda</v>
          </cell>
        </row>
        <row r="161">
          <cell r="A161" t="str">
            <v>GMO CHILE S.A.</v>
          </cell>
        </row>
        <row r="162">
          <cell r="A162" t="str">
            <v>GOOD FOODS S.A.</v>
          </cell>
        </row>
        <row r="163">
          <cell r="A163" t="str">
            <v>GRUPO CALDERON</v>
          </cell>
        </row>
        <row r="164">
          <cell r="A164" t="str">
            <v>GTD MANQUEHUE</v>
          </cell>
        </row>
        <row r="165">
          <cell r="A165" t="str">
            <v>H. BRIONES COMERCIAL S.A.</v>
          </cell>
        </row>
        <row r="166">
          <cell r="A166" t="str">
            <v>HAVANA CLUB</v>
          </cell>
        </row>
        <row r="167">
          <cell r="A167" t="str">
            <v>HERBALIFE INTERNATIONAL DE CHILE LTDA.</v>
          </cell>
        </row>
        <row r="168">
          <cell r="A168" t="str">
            <v>HEWLETT PACKARD CHILE COMERCIAL LTDA.</v>
          </cell>
        </row>
        <row r="169">
          <cell r="A169" t="str">
            <v>HIGH QUALITY S.A.</v>
          </cell>
        </row>
        <row r="170">
          <cell r="A170" t="str">
            <v>HOGAR DE CRISTO</v>
          </cell>
        </row>
        <row r="171">
          <cell r="A171" t="str">
            <v>HOTELERA SOMONTUR S.A.</v>
          </cell>
        </row>
        <row r="172">
          <cell r="A172" t="str">
            <v>IBERIA LINEAS AEREAS</v>
          </cell>
        </row>
        <row r="173">
          <cell r="A173" t="str">
            <v>IBEROAMERICAN RADIO CHILE LTDA</v>
          </cell>
        </row>
        <row r="174">
          <cell r="A174" t="str">
            <v>IDEAL S.A.</v>
          </cell>
        </row>
        <row r="175">
          <cell r="A175" t="str">
            <v>ILUSTRE MUNICIPALIDAD DE LAS CONDES</v>
          </cell>
        </row>
        <row r="176">
          <cell r="A176" t="str">
            <v>IMPORT. Y COMERCIAL ALTEA LTDA.</v>
          </cell>
        </row>
        <row r="177">
          <cell r="A177" t="str">
            <v>IMPORT. Y DISTRIBUIDORA ALAMEDA S.A.</v>
          </cell>
        </row>
        <row r="178">
          <cell r="A178" t="str">
            <v>IMPORTADORA OBJECTIFLUN</v>
          </cell>
        </row>
        <row r="179">
          <cell r="A179" t="str">
            <v>IMPORTADORA SPORT OPTIC LTDA</v>
          </cell>
        </row>
        <row r="180">
          <cell r="A180" t="str">
            <v>INACAP</v>
          </cell>
        </row>
        <row r="181">
          <cell r="A181" t="str">
            <v>INDUMENTARIA CHILE S.A.</v>
          </cell>
        </row>
        <row r="182">
          <cell r="A182" t="str">
            <v>INDUMOTORA AUTOMOTRIZ S.A.</v>
          </cell>
        </row>
        <row r="183">
          <cell r="A183" t="str">
            <v>INDUSTRIA DE ALIMENTOS DOS EN UNO S.A.</v>
          </cell>
        </row>
        <row r="184">
          <cell r="A184" t="str">
            <v>ING SALUD SA.</v>
          </cell>
        </row>
        <row r="185">
          <cell r="A185" t="str">
            <v>ING SEGUROS DE VIDA S.A.</v>
          </cell>
        </row>
        <row r="186">
          <cell r="A186" t="str">
            <v>INGENIERIA COMUNICACION Y PRODUCCIONES S.A.</v>
          </cell>
        </row>
        <row r="187">
          <cell r="A187" t="str">
            <v>INMOBIL. E INVERS. VALLE VERDE S.A.</v>
          </cell>
        </row>
        <row r="188">
          <cell r="A188" t="str">
            <v>INMOBILIARIA  ADMINISTRADORA Y COMERCIAL MALL SPORT S.A.</v>
          </cell>
        </row>
        <row r="189">
          <cell r="A189" t="str">
            <v>INMOBILIARIA  LOS BRAVOS S.A.</v>
          </cell>
        </row>
        <row r="190">
          <cell r="A190" t="str">
            <v>INMOBILIARIA ANDALUE S.A.</v>
          </cell>
        </row>
        <row r="191">
          <cell r="A191" t="str">
            <v>INMOBILIARIA E INVERSIONES LAS ACACIAS LTDA.</v>
          </cell>
        </row>
        <row r="192">
          <cell r="A192" t="str">
            <v>INMOBILIARIA ECASA S.A.</v>
          </cell>
        </row>
        <row r="193">
          <cell r="A193" t="str">
            <v>INMOBILIARIA LOS CANELOS LTDA.</v>
          </cell>
        </row>
        <row r="194">
          <cell r="A194" t="str">
            <v>INMOBILIARIA PARQUE LA FLORIDA S.A.</v>
          </cell>
        </row>
        <row r="195">
          <cell r="A195" t="str">
            <v>INMOBILIARIA SECURITY</v>
          </cell>
        </row>
        <row r="196">
          <cell r="A196" t="str">
            <v>INMOBILIARIA SOCOVESA SANTIAGO S.A.</v>
          </cell>
        </row>
        <row r="197">
          <cell r="A197" t="str">
            <v>Instituto Profesional AIEP S.A.</v>
          </cell>
        </row>
        <row r="198">
          <cell r="A198" t="str">
            <v>INVERSIONES CASA MATRIZ LTDA.</v>
          </cell>
        </row>
        <row r="199">
          <cell r="A199" t="str">
            <v>INVERSIONES MACALTO S.A.</v>
          </cell>
        </row>
        <row r="200">
          <cell r="A200" t="str">
            <v>INVERSIONES PRO-TG LTDA.</v>
          </cell>
        </row>
        <row r="201">
          <cell r="A201" t="str">
            <v>INVERSIONES Y RENTAS SANTA YOLANDA LTDA.</v>
          </cell>
        </row>
        <row r="202">
          <cell r="A202" t="str">
            <v>ISAPRE BANMEDICA</v>
          </cell>
        </row>
        <row r="203">
          <cell r="A203" t="str">
            <v>ITALMOD S.A.</v>
          </cell>
        </row>
        <row r="204">
          <cell r="A204" t="str">
            <v>ITEM LTDA.</v>
          </cell>
        </row>
        <row r="205">
          <cell r="A205" t="str">
            <v>IVI SANTIAGO DE CHILE S.A.</v>
          </cell>
        </row>
        <row r="206">
          <cell r="A206" t="str">
            <v>JANSSEN S.A.</v>
          </cell>
        </row>
        <row r="207">
          <cell r="A207" t="str">
            <v>JET LTDA.</v>
          </cell>
        </row>
        <row r="208">
          <cell r="A208" t="str">
            <v>JOHNSONS S.A.</v>
          </cell>
        </row>
        <row r="209">
          <cell r="A209" t="str">
            <v>KELLOGG CHILE LTDA.</v>
          </cell>
        </row>
        <row r="210">
          <cell r="A210" t="str">
            <v>KEY COMPANY S.A.</v>
          </cell>
        </row>
        <row r="211">
          <cell r="A211" t="str">
            <v>KIA CHILE S.A.</v>
          </cell>
        </row>
        <row r="212">
          <cell r="A212" t="str">
            <v>KIMBERLY CLARK CHILE</v>
          </cell>
        </row>
        <row r="213">
          <cell r="A213" t="str">
            <v>KOMATSU CHILE S.A.</v>
          </cell>
        </row>
        <row r="214">
          <cell r="A214" t="str">
            <v>KRAFT FOODS CHILE S.A.</v>
          </cell>
        </row>
        <row r="215">
          <cell r="A215" t="str">
            <v>LA GRAN GUIA S.A.</v>
          </cell>
        </row>
        <row r="216">
          <cell r="A216" t="str">
            <v>LABORATORIO ARBEU LTDA.</v>
          </cell>
        </row>
        <row r="217">
          <cell r="A217" t="str">
            <v>LABORATORIO DURANDIN S.A.I.</v>
          </cell>
        </row>
        <row r="218">
          <cell r="A218" t="str">
            <v>LABORATORIO SAVAL</v>
          </cell>
        </row>
        <row r="219">
          <cell r="A219" t="str">
            <v>LAN AILINES S.A.</v>
          </cell>
        </row>
        <row r="220">
          <cell r="A220" t="str">
            <v>LARRAIN VIAL ADMINISTRADORA GENERAL</v>
          </cell>
        </row>
        <row r="221">
          <cell r="A221" t="str">
            <v>LE COQ S.A.</v>
          </cell>
        </row>
        <row r="222">
          <cell r="A222" t="str">
            <v>LEIN S.A.</v>
          </cell>
        </row>
        <row r="223">
          <cell r="A223" t="str">
            <v>LENOVO AGENCIA EN CHILE</v>
          </cell>
        </row>
        <row r="224">
          <cell r="A224" t="str">
            <v>LG ELECTRONICS INC. CHILE LTDA.</v>
          </cell>
        </row>
        <row r="225">
          <cell r="A225" t="str">
            <v>LICORES MITJANS S.A.</v>
          </cell>
        </row>
        <row r="226">
          <cell r="A226" t="str">
            <v>LOREAL CHILE S.A.</v>
          </cell>
        </row>
        <row r="227">
          <cell r="A227" t="str">
            <v>LOS ROBLES S.A.</v>
          </cell>
        </row>
        <row r="228">
          <cell r="A228" t="str">
            <v>LOWE PORTA</v>
          </cell>
        </row>
        <row r="229">
          <cell r="A229" t="str">
            <v>MACO INDUSTRIAL Y COMERCIAL S.A.</v>
          </cell>
        </row>
        <row r="230">
          <cell r="A230" t="str">
            <v>MAGAL PUBLICIDAD Y MERCADEO LTDA.</v>
          </cell>
        </row>
        <row r="231">
          <cell r="A231" t="str">
            <v>MALL ARAUCO MAIPU</v>
          </cell>
        </row>
        <row r="232">
          <cell r="A232" t="str">
            <v>MALL CENTER</v>
          </cell>
        </row>
        <row r="233">
          <cell r="A233" t="str">
            <v>MALL PASEO LOS TRAPENSES</v>
          </cell>
        </row>
        <row r="234">
          <cell r="A234" t="str">
            <v>MALL PLAZA</v>
          </cell>
        </row>
        <row r="235">
          <cell r="A235" t="str">
            <v>MALL PLAZA OESTE</v>
          </cell>
        </row>
        <row r="236">
          <cell r="A236" t="str">
            <v>MALL PLAZA VESPUCIO</v>
          </cell>
        </row>
        <row r="237">
          <cell r="A237" t="str">
            <v>MALL PORTAL LA DEHESA</v>
          </cell>
        </row>
        <row r="238">
          <cell r="A238" t="str">
            <v>MANPOWER</v>
          </cell>
        </row>
        <row r="239">
          <cell r="A239" t="str">
            <v>MANUFACTURAS DE CALZADOS GUANTE LTDA.</v>
          </cell>
        </row>
        <row r="240">
          <cell r="A240" t="str">
            <v>MANUFACTURAS LOUIS PHILLIPE</v>
          </cell>
        </row>
        <row r="241">
          <cell r="A241" t="str">
            <v>MAR DEL SUR</v>
          </cell>
        </row>
        <row r="242">
          <cell r="A242" t="str">
            <v>MARCAS Y PRODUCCIONES LTDA.</v>
          </cell>
        </row>
        <row r="243">
          <cell r="A243" t="str">
            <v>MASSIVA S.A.</v>
          </cell>
        </row>
        <row r="244">
          <cell r="A244" t="str">
            <v>MASTERFOODS CHILE LTDA.</v>
          </cell>
        </row>
        <row r="245">
          <cell r="A245" t="str">
            <v>MAUI &amp; SONS S.A.</v>
          </cell>
        </row>
        <row r="246">
          <cell r="A246" t="str">
            <v>MAY BELLINE</v>
          </cell>
        </row>
        <row r="247">
          <cell r="A247" t="str">
            <v>MC CONSULTORES LTDA.</v>
          </cell>
        </row>
        <row r="248">
          <cell r="A248" t="str">
            <v>MC DONALD</v>
          </cell>
        </row>
        <row r="249">
          <cell r="A249" t="str">
            <v>MEDIAKEYS S.A.R.I.</v>
          </cell>
        </row>
        <row r="250">
          <cell r="A250" t="str">
            <v>MICROSOFT</v>
          </cell>
        </row>
        <row r="251">
          <cell r="A251" t="str">
            <v>MMC CHILE S.A.</v>
          </cell>
        </row>
        <row r="252">
          <cell r="A252" t="str">
            <v>MOTOROLA</v>
          </cell>
        </row>
        <row r="253">
          <cell r="A253" t="str">
            <v>MUNICIPALIDAD DE LA SERENA</v>
          </cell>
        </row>
        <row r="254">
          <cell r="A254" t="str">
            <v>NESTLÉ CHILE S.A. - Agropecuario</v>
          </cell>
        </row>
        <row r="255">
          <cell r="A255" t="str">
            <v>NESTLÉ CHILE S.A. - Alimentos</v>
          </cell>
        </row>
        <row r="256">
          <cell r="A256" t="str">
            <v>NESTLÉ CHILE S.A. - Bebidas</v>
          </cell>
        </row>
        <row r="257">
          <cell r="A257" t="str">
            <v>NIKE DE CHILE S.A.</v>
          </cell>
        </row>
        <row r="258">
          <cell r="A258" t="str">
            <v>NINTENDO</v>
          </cell>
        </row>
        <row r="259">
          <cell r="A259" t="str">
            <v>NIZA S.A.</v>
          </cell>
        </row>
        <row r="260">
          <cell r="A260" t="str">
            <v>NOKIA S.A.</v>
          </cell>
        </row>
        <row r="261">
          <cell r="A261" t="str">
            <v>NUEVOS ALMACENES INTERNACIONALES S.A.</v>
          </cell>
        </row>
        <row r="262">
          <cell r="A262" t="str">
            <v>ORIFLAME DE CHILE S.A.</v>
          </cell>
        </row>
        <row r="263">
          <cell r="A263" t="str">
            <v>OSVALDO ARAVENA Y CIA. LTDA.</v>
          </cell>
        </row>
        <row r="264">
          <cell r="A264" t="str">
            <v>P.U.C. CENTRO EXTENSION (UNIVERSIDADES)</v>
          </cell>
        </row>
        <row r="265">
          <cell r="A265" t="str">
            <v>PANASONIC</v>
          </cell>
        </row>
        <row r="266">
          <cell r="A266" t="str">
            <v>PARIS S.A</v>
          </cell>
        </row>
        <row r="267">
          <cell r="A267" t="str">
            <v>PARQUE ARAUCO S.A.</v>
          </cell>
        </row>
        <row r="268">
          <cell r="A268" t="str">
            <v>PARQUE METROPOLITANO</v>
          </cell>
        </row>
        <row r="269">
          <cell r="A269" t="str">
            <v>PC A TODO INC</v>
          </cell>
        </row>
        <row r="270">
          <cell r="A270" t="str">
            <v>PELUQUERIAS PALUMBO</v>
          </cell>
        </row>
        <row r="271">
          <cell r="A271" t="str">
            <v>PERNOD RICARD CHILE S.A.</v>
          </cell>
        </row>
        <row r="272">
          <cell r="A272" t="str">
            <v>PEUGEOT CHILE S.A.</v>
          </cell>
        </row>
        <row r="273">
          <cell r="A273" t="str">
            <v>PHILIP MORRIS CHILE COMERCIALIZADORA LTDA.</v>
          </cell>
        </row>
        <row r="274">
          <cell r="A274" t="str">
            <v>PHILIPS CHILENA S.A.</v>
          </cell>
        </row>
        <row r="275">
          <cell r="A275" t="str">
            <v>PINTURAS TRICOLOR S.A.                               968052608</v>
          </cell>
        </row>
        <row r="276">
          <cell r="A276" t="str">
            <v>PIZZA PIOLA</v>
          </cell>
        </row>
        <row r="277">
          <cell r="A277" t="str">
            <v>PLUMA LINEAS AEREAS URUGUAYAS</v>
          </cell>
        </row>
        <row r="278">
          <cell r="A278" t="str">
            <v>PONTIFICIA UNIVERSIDAD CATOLICA - HOSPITALES</v>
          </cell>
        </row>
        <row r="279">
          <cell r="A279" t="str">
            <v>PRECISION ISPANA S.A.</v>
          </cell>
        </row>
        <row r="280">
          <cell r="A280" t="str">
            <v>PRIVILEGE S.A.</v>
          </cell>
        </row>
        <row r="281">
          <cell r="A281" t="str">
            <v>PROCHILE</v>
          </cell>
        </row>
        <row r="282">
          <cell r="A282" t="str">
            <v>PROCTER &amp; GAMBLE COMERCIAL LTDA.</v>
          </cell>
        </row>
        <row r="283">
          <cell r="A283" t="str">
            <v>PROCTER &amp; GAMBLE DO BRASIL INC.</v>
          </cell>
        </row>
        <row r="284">
          <cell r="A284" t="str">
            <v>PROCTER &amp; GAMBLE S.A.</v>
          </cell>
        </row>
        <row r="285">
          <cell r="A285" t="str">
            <v>PROD. RETAGUARDIA FILMS LTDA.</v>
          </cell>
        </row>
        <row r="286">
          <cell r="A286" t="str">
            <v>PROMODA S.A.</v>
          </cell>
        </row>
        <row r="287">
          <cell r="A287" t="str">
            <v>PROMOLAC</v>
          </cell>
        </row>
        <row r="288">
          <cell r="A288" t="str">
            <v>PUBLIETAPA</v>
          </cell>
        </row>
        <row r="289">
          <cell r="A289" t="str">
            <v>PUMA CHILE S.A.</v>
          </cell>
        </row>
        <row r="290">
          <cell r="A290" t="str">
            <v>QUAPPE MARKETING S.A.</v>
          </cell>
        </row>
        <row r="291">
          <cell r="A291" t="str">
            <v>QUIMICA INDUSTRIAL SPES S.A.</v>
          </cell>
        </row>
        <row r="292">
          <cell r="A292" t="str">
            <v>QUINTEC S.A.</v>
          </cell>
        </row>
        <row r="293">
          <cell r="A293" t="str">
            <v>RAP S.A.</v>
          </cell>
        </row>
        <row r="294">
          <cell r="A294" t="str">
            <v>RECKITT &amp; BECKINSER</v>
          </cell>
        </row>
        <row r="295">
          <cell r="A295" t="str">
            <v>RED DE TELEVISION CHILEVISION S.A.</v>
          </cell>
        </row>
        <row r="296">
          <cell r="A296" t="str">
            <v>RED TELEVISIVA MEGAVISION S.A.</v>
          </cell>
        </row>
        <row r="297">
          <cell r="A297" t="str">
            <v>REEBOK CHILE S.A.</v>
          </cell>
        </row>
        <row r="298">
          <cell r="A298" t="str">
            <v>REGUS MANAGEMENT DE CHILE LTDA.</v>
          </cell>
        </row>
        <row r="299">
          <cell r="A299" t="str">
            <v>REIFSCHNEIDER S.A.</v>
          </cell>
        </row>
        <row r="300">
          <cell r="A300" t="str">
            <v>RELOJERIA URZUA</v>
          </cell>
        </row>
        <row r="301">
          <cell r="A301" t="str">
            <v>RESTAURANT Y CENTRO DE EVENTOS PUDAHUEL S.A.</v>
          </cell>
        </row>
        <row r="302">
          <cell r="A302" t="str">
            <v>RESTAURANTES FRITZ LTDA.</v>
          </cell>
        </row>
        <row r="303">
          <cell r="A303" t="str">
            <v>RETAIL S.A.</v>
          </cell>
        </row>
        <row r="304">
          <cell r="A304" t="str">
            <v>REVISTA CAPITAL</v>
          </cell>
        </row>
        <row r="305">
          <cell r="A305" t="str">
            <v>RIGG MOVIL LTDA.</v>
          </cell>
        </row>
        <row r="306">
          <cell r="A306" t="str">
            <v>ROTTER &amp; KRAUSS</v>
          </cell>
        </row>
        <row r="307">
          <cell r="A307" t="str">
            <v>ROYAL SUNALLIANCE</v>
          </cell>
        </row>
        <row r="308">
          <cell r="A308" t="str">
            <v>S.C. JOHNSON &amp; SON CHILE LTDA.</v>
          </cell>
        </row>
        <row r="309">
          <cell r="A309" t="str">
            <v>SADIA CHILE S.A.</v>
          </cell>
        </row>
        <row r="310">
          <cell r="A310" t="str">
            <v>SAMSUNG ELECTRONICS CHILE LTDA.</v>
          </cell>
        </row>
        <row r="311">
          <cell r="A311" t="str">
            <v>SAMSUNG ELECTRONICS CO LTDA.</v>
          </cell>
        </row>
        <row r="312">
          <cell r="A312" t="str">
            <v>SANTA ISABEL S.A.</v>
          </cell>
        </row>
        <row r="313">
          <cell r="A313" t="str">
            <v>SCL STORES</v>
          </cell>
        </row>
        <row r="314">
          <cell r="A314" t="str">
            <v>SCL TERMINAL AEREO DE SANTIAGO S.A.</v>
          </cell>
        </row>
        <row r="315">
          <cell r="A315" t="str">
            <v>SCOTIABANK SUD AMERICANO</v>
          </cell>
        </row>
        <row r="316">
          <cell r="A316" t="str">
            <v>SEBASTIAN ANDRES NIENY HODAR</v>
          </cell>
        </row>
        <row r="317">
          <cell r="A317" t="str">
            <v>SEGURIDAD Y TELECOMUNICACIONES S.A.</v>
          </cell>
        </row>
        <row r="318">
          <cell r="A318" t="str">
            <v>SEGUROS CRUZ DEL SUR S.A.</v>
          </cell>
        </row>
        <row r="319">
          <cell r="A319" t="str">
            <v>SEGUROS INTERAMERICANA</v>
          </cell>
        </row>
        <row r="320">
          <cell r="A320" t="str">
            <v>SEGUROS VIDA SECURITY PREVISION S.A.</v>
          </cell>
        </row>
        <row r="321">
          <cell r="A321" t="str">
            <v>SERNAM</v>
          </cell>
        </row>
        <row r="322">
          <cell r="A322" t="str">
            <v>SERNATUR</v>
          </cell>
        </row>
        <row r="323">
          <cell r="A323" t="str">
            <v>SERVICIO AGRICOLA Y GANADERO</v>
          </cell>
        </row>
        <row r="324">
          <cell r="A324" t="str">
            <v>SERVICIOS DE INTERNET LTDA.</v>
          </cell>
        </row>
        <row r="325">
          <cell r="A325" t="str">
            <v>SHELL S.A.C.I.</v>
          </cell>
        </row>
        <row r="326">
          <cell r="A326" t="str">
            <v>SOC. E INVERSIONES NAIVASHA S.A.</v>
          </cell>
        </row>
        <row r="327">
          <cell r="A327" t="str">
            <v>SOC. PRODUCTORES DE LECHE S.A.</v>
          </cell>
        </row>
        <row r="328">
          <cell r="A328" t="str">
            <v>SOCIEDAD COMERCIAL MALETAS CHILE LTDA.</v>
          </cell>
        </row>
        <row r="329">
          <cell r="A329" t="str">
            <v>SODIMAC S.A.</v>
          </cell>
        </row>
        <row r="330">
          <cell r="A330" t="str">
            <v>SOFTLAND INGENIERIA LTDA.</v>
          </cell>
        </row>
        <row r="331">
          <cell r="A331" t="str">
            <v>SOMELA S.A.</v>
          </cell>
        </row>
        <row r="332">
          <cell r="A332" t="str">
            <v>SONY CHILE LTDA.</v>
          </cell>
        </row>
        <row r="333">
          <cell r="A333" t="str">
            <v>SONY ERICKSSON</v>
          </cell>
        </row>
        <row r="334">
          <cell r="A334" t="str">
            <v>SOUND ADVISORS</v>
          </cell>
        </row>
        <row r="335">
          <cell r="A335" t="str">
            <v>SPARTA DEPORTES LTDA.</v>
          </cell>
        </row>
        <row r="336">
          <cell r="A336" t="str">
            <v>SSANYONG MOTOR CHILE S.A</v>
          </cell>
        </row>
        <row r="337">
          <cell r="A337" t="str">
            <v>SUBCENTRO LAS CONDES</v>
          </cell>
        </row>
        <row r="338">
          <cell r="A338" t="str">
            <v>SUBWAY</v>
          </cell>
        </row>
        <row r="339">
          <cell r="A339" t="str">
            <v>SUR ANDINO CAFE S.A.</v>
          </cell>
        </row>
        <row r="340">
          <cell r="A340" t="str">
            <v>T.J.C. CHILE S.A.</v>
          </cell>
        </row>
        <row r="341">
          <cell r="A341" t="str">
            <v>TALBOT HOTELES S.A.</v>
          </cell>
        </row>
        <row r="342">
          <cell r="A342" t="str">
            <v>TEJIDOS CAFFARENA S.A.</v>
          </cell>
        </row>
        <row r="343">
          <cell r="A343" t="str">
            <v>TELECOMUNICACIONES MOVILES DE CHILE</v>
          </cell>
        </row>
        <row r="344">
          <cell r="A344" t="str">
            <v>Telefonica Banda Ancha</v>
          </cell>
        </row>
        <row r="345">
          <cell r="A345" t="str">
            <v>TELETON</v>
          </cell>
        </row>
        <row r="346">
          <cell r="A346" t="str">
            <v>TELEVISION NACIONAL DE CHILE</v>
          </cell>
        </row>
        <row r="347">
          <cell r="A347" t="str">
            <v>TELMEX SERVICIOS EMPRESARIALES</v>
          </cell>
        </row>
        <row r="348">
          <cell r="A348" t="str">
            <v>TERESITA ANGELICA MENDEZ CAMEME</v>
          </cell>
        </row>
        <row r="349">
          <cell r="A349" t="str">
            <v>TERRA NETWORKS CHILE S.A.</v>
          </cell>
        </row>
        <row r="350">
          <cell r="A350" t="str">
            <v>THE WALT DISNEY COMPANY CHILE S.A.</v>
          </cell>
        </row>
        <row r="351">
          <cell r="A351" t="str">
            <v>TNT</v>
          </cell>
        </row>
        <row r="352">
          <cell r="A352" t="str">
            <v>TRANSBANK S.A.</v>
          </cell>
        </row>
        <row r="353">
          <cell r="A353" t="str">
            <v>TRAVEL SECURITY S.A.</v>
          </cell>
        </row>
        <row r="354">
          <cell r="A354" t="str">
            <v>TRICOT S.A.</v>
          </cell>
        </row>
        <row r="355">
          <cell r="A355" t="str">
            <v>TRIUMPH PH INTERNATIONAL DE CHILE LTDA</v>
          </cell>
        </row>
        <row r="356">
          <cell r="A356" t="str">
            <v>TRONWELL</v>
          </cell>
        </row>
        <row r="357">
          <cell r="A357" t="str">
            <v>TSIL CHILE LTDA.</v>
          </cell>
        </row>
        <row r="358">
          <cell r="A358" t="str">
            <v>UMBRALE S.A.</v>
          </cell>
        </row>
        <row r="359">
          <cell r="A359" t="str">
            <v>UNILEVER BESTFOOD S.A. - Alimentación</v>
          </cell>
        </row>
        <row r="360">
          <cell r="A360" t="str">
            <v>UNILEVER BESTFOOD S.A. - Bebidas</v>
          </cell>
        </row>
        <row r="361">
          <cell r="A361" t="str">
            <v>UNILEVER CHILE S.A. - Bebidas</v>
          </cell>
        </row>
        <row r="362">
          <cell r="A362" t="str">
            <v>UNILEVER CHILE S.A. - Higiene Domestica</v>
          </cell>
        </row>
        <row r="363">
          <cell r="A363" t="str">
            <v>UNILEVER CHILE S.A. - Higiene Personal y Belleza</v>
          </cell>
        </row>
        <row r="364">
          <cell r="A364" t="str">
            <v>UNITED COLORS COMUNICATION</v>
          </cell>
        </row>
        <row r="365">
          <cell r="A365" t="str">
            <v>UNITED INTERNATIONAL PICTURES</v>
          </cell>
        </row>
        <row r="366">
          <cell r="A366" t="str">
            <v>UNIVERSIDAD ADOLFO IBAÑEZ</v>
          </cell>
        </row>
        <row r="367">
          <cell r="A367" t="str">
            <v>UNIVERSIDAD ARTURO PRAT</v>
          </cell>
        </row>
        <row r="368">
          <cell r="A368" t="str">
            <v>UNIVERSIDAD CENTRAL DE CHILE</v>
          </cell>
        </row>
        <row r="369">
          <cell r="A369" t="str">
            <v>UNIVERSIDAD DE CIENCIAS DE LA INFORMATICA</v>
          </cell>
        </row>
        <row r="370">
          <cell r="A370" t="str">
            <v>UNIVERSIDAD DE CONCEPCION</v>
          </cell>
        </row>
        <row r="371">
          <cell r="A371" t="str">
            <v>UNIVERSIDAD DEL DESARROLLO</v>
          </cell>
        </row>
        <row r="372">
          <cell r="A372" t="str">
            <v>UNIVERSIDAD DEL PACIFICO</v>
          </cell>
        </row>
        <row r="373">
          <cell r="A373" t="str">
            <v>UNIVERSIDAD DIEGO PORTALES</v>
          </cell>
        </row>
        <row r="374">
          <cell r="A374" t="str">
            <v>UNIVERSIDAD FINIS TERRAE</v>
          </cell>
        </row>
        <row r="375">
          <cell r="A375" t="str">
            <v>UNIVERSIDAD GABRIELA MISTRAL</v>
          </cell>
        </row>
        <row r="376">
          <cell r="A376" t="str">
            <v>UNIVERSIDAD TECNOLOGICA METROPOLITANA</v>
          </cell>
        </row>
        <row r="377">
          <cell r="A377" t="str">
            <v>URBANO PRODUCCIONES LTDA.</v>
          </cell>
        </row>
        <row r="378">
          <cell r="A378" t="str">
            <v>VARIG</v>
          </cell>
        </row>
        <row r="379">
          <cell r="A379" t="str">
            <v>VESUVIO COMERCIAL Y TEXTIL CHILE LTDA.</v>
          </cell>
        </row>
        <row r="380">
          <cell r="A380" t="str">
            <v>VIALAT S.A.</v>
          </cell>
        </row>
        <row r="381">
          <cell r="A381" t="str">
            <v>VICTORINOX CHILE S.A.</v>
          </cell>
        </row>
        <row r="382">
          <cell r="A382" t="str">
            <v>VIÑA SAN PEDRO S.A.</v>
          </cell>
        </row>
        <row r="383">
          <cell r="A383" t="str">
            <v>VIÑA SANTA RITA SA</v>
          </cell>
        </row>
        <row r="384">
          <cell r="A384" t="str">
            <v>VIÑA UNDURRAGA S.A.</v>
          </cell>
        </row>
        <row r="385">
          <cell r="A385" t="str">
            <v>VIRUTEX ILKO S.A.</v>
          </cell>
        </row>
        <row r="386">
          <cell r="A386" t="str">
            <v>VISA</v>
          </cell>
        </row>
        <row r="387">
          <cell r="A387" t="str">
            <v>VTR BANDA ANCHA S.A.</v>
          </cell>
        </row>
        <row r="388">
          <cell r="A388" t="str">
            <v>WALL STREET INSTITUTE</v>
          </cell>
        </row>
        <row r="389">
          <cell r="A389" t="str">
            <v>WATT'S S.A.</v>
          </cell>
        </row>
      </sheetData>
      <sheetData sheetId="5">
        <row r="1">
          <cell r="A1" t="str">
            <v>Name</v>
          </cell>
        </row>
        <row r="2">
          <cell r="A2" t="str">
            <v>&lt;Unknown&gt;</v>
          </cell>
        </row>
        <row r="3">
          <cell r="A3" t="str">
            <v>Aeropuertos</v>
          </cell>
        </row>
        <row r="4">
          <cell r="A4" t="str">
            <v>Agencias</v>
          </cell>
        </row>
        <row r="5">
          <cell r="A5" t="str">
            <v>Alcoholes /Cigarros</v>
          </cell>
        </row>
        <row r="6">
          <cell r="A6" t="str">
            <v>Artículos / Ropa deportiva</v>
          </cell>
        </row>
        <row r="7">
          <cell r="A7" t="str">
            <v>Artículos de escritorio</v>
          </cell>
        </row>
        <row r="8">
          <cell r="A8" t="str">
            <v>Aseo</v>
          </cell>
        </row>
        <row r="9">
          <cell r="A9" t="str">
            <v>Automotor</v>
          </cell>
        </row>
        <row r="10">
          <cell r="A10" t="str">
            <v>Comercial</v>
          </cell>
        </row>
        <row r="11">
          <cell r="A11" t="str">
            <v>Comida / Productos Alimenticios</v>
          </cell>
        </row>
        <row r="12">
          <cell r="A12" t="str">
            <v>Comunicaciónes</v>
          </cell>
        </row>
        <row r="13">
          <cell r="A13" t="str">
            <v>Construcción</v>
          </cell>
        </row>
        <row r="14">
          <cell r="A14" t="str">
            <v>Cosméticos / Productos personales</v>
          </cell>
        </row>
        <row r="15">
          <cell r="A15" t="str">
            <v>Diarios / Revistas</v>
          </cell>
        </row>
        <row r="16">
          <cell r="A16" t="str">
            <v>Electrodomésticos / Línea blanca</v>
          </cell>
        </row>
        <row r="17">
          <cell r="A17" t="str">
            <v>Electrónica</v>
          </cell>
        </row>
        <row r="18">
          <cell r="A18" t="str">
            <v>Farmacéutica</v>
          </cell>
        </row>
        <row r="19">
          <cell r="A19" t="str">
            <v>Financieros</v>
          </cell>
        </row>
        <row r="20">
          <cell r="A20" t="str">
            <v>Grandes tiendas</v>
          </cell>
        </row>
        <row r="21">
          <cell r="A21" t="str">
            <v>Gubernamental</v>
          </cell>
        </row>
        <row r="22">
          <cell r="A22" t="str">
            <v>Hoteles</v>
          </cell>
        </row>
        <row r="23">
          <cell r="A23" t="str">
            <v>Importacion y Comercializacion de sistemas de seguridad</v>
          </cell>
        </row>
        <row r="24">
          <cell r="A24" t="str">
            <v>Informática</v>
          </cell>
        </row>
        <row r="25">
          <cell r="A25" t="str">
            <v>Inmobiliaria</v>
          </cell>
        </row>
        <row r="26">
          <cell r="A26" t="str">
            <v>Juegos de azar</v>
          </cell>
        </row>
        <row r="27">
          <cell r="A27" t="str">
            <v>Jugos / Bebidas / Lacteos</v>
          </cell>
        </row>
        <row r="28">
          <cell r="A28" t="str">
            <v>Juguetes / Entretenimiento</v>
          </cell>
        </row>
        <row r="29">
          <cell r="A29" t="str">
            <v>Líneas aéreas</v>
          </cell>
        </row>
        <row r="30">
          <cell r="A30" t="str">
            <v>Malls / Supermercados</v>
          </cell>
        </row>
        <row r="31">
          <cell r="A31" t="str">
            <v>MARKETING</v>
          </cell>
        </row>
        <row r="32">
          <cell r="A32" t="str">
            <v>Otros</v>
          </cell>
        </row>
        <row r="33">
          <cell r="A33" t="str">
            <v>Productos para el hogar</v>
          </cell>
        </row>
        <row r="34">
          <cell r="A34" t="str">
            <v>Restorant / Comida rapida</v>
          </cell>
        </row>
        <row r="35">
          <cell r="A35" t="str">
            <v>Salud / Seguros</v>
          </cell>
        </row>
        <row r="36">
          <cell r="A36" t="str">
            <v>Servicio Público</v>
          </cell>
        </row>
        <row r="37">
          <cell r="A37" t="str">
            <v>Servicios</v>
          </cell>
        </row>
        <row r="38">
          <cell r="A38" t="str">
            <v>Tv / Radios</v>
          </cell>
        </row>
        <row r="39">
          <cell r="A39" t="str">
            <v>Universidades / Institutos</v>
          </cell>
        </row>
        <row r="40">
          <cell r="A40" t="str">
            <v>Vestuario / Accesorios</v>
          </cell>
        </row>
        <row r="41">
          <cell r="A41" t="str">
            <v>Viñas</v>
          </cell>
        </row>
      </sheetData>
      <sheetData sheetId="6"/>
      <sheetData sheetId="7">
        <row r="1">
          <cell r="A1" t="str">
            <v>Marcas</v>
          </cell>
        </row>
        <row r="2">
          <cell r="A2" t="str">
            <v>.DENTINE     (CADBURY STAHNI ADAMS CHILE PRODUCTOS)</v>
          </cell>
        </row>
        <row r="3">
          <cell r="A3" t="str">
            <v>&lt;Unknow&gt;     (NESTLÉ CHILE S.A.)</v>
          </cell>
        </row>
        <row r="4">
          <cell r="A4" t="str">
            <v>2     (NESTLÉ CHILE S.A.)</v>
          </cell>
        </row>
        <row r="5">
          <cell r="A5" t="str">
            <v>207     (PEUGEOT CHILE S.A.)</v>
          </cell>
        </row>
        <row r="6">
          <cell r="A6" t="str">
            <v>212 - CAROLINA HERRERA     (DISTRIBUIDORA PUIG CHILE LTDA.)</v>
          </cell>
        </row>
        <row r="7">
          <cell r="A7" t="str">
            <v>3     (NESTLÉ CHILE S.A.)</v>
          </cell>
        </row>
        <row r="8">
          <cell r="A8" t="str">
            <v>4     (NESTLÉ CHILE S.A.)</v>
          </cell>
        </row>
        <row r="9">
          <cell r="A9" t="str">
            <v>60% OFF     (CENCOSUD S.A.)</v>
          </cell>
        </row>
        <row r="10">
          <cell r="A10" t="str">
            <v>8 DIAS     (COMERCIAL ECCSA S.A.)</v>
          </cell>
        </row>
        <row r="11">
          <cell r="A11" t="str">
            <v>A.PASS     (PARQUE ARAUCO S.A.)</v>
          </cell>
        </row>
        <row r="12">
          <cell r="A12" t="str">
            <v>ABSOLUT     (ABSOLUT)</v>
          </cell>
        </row>
        <row r="13">
          <cell r="A13" t="str">
            <v>ACCENTURE     (ACCENTURE)</v>
          </cell>
        </row>
        <row r="14">
          <cell r="A14" t="str">
            <v>ACE     (PROCTER &amp; GAMBLE COMERCIAL LTDA.)</v>
          </cell>
        </row>
        <row r="15">
          <cell r="A15" t="str">
            <v>ACEITES CARBONELL     (NIZA S.A.)</v>
          </cell>
        </row>
        <row r="16">
          <cell r="A16" t="str">
            <v>ACOGER     (ACOGER SANTIAGO SERVICIOS FUNERARIOS)</v>
          </cell>
        </row>
        <row r="17">
          <cell r="A17" t="str">
            <v>ADES     (UNILEVER BESTFOOD S.A.)</v>
          </cell>
        </row>
        <row r="18">
          <cell r="A18" t="str">
            <v>ADIDAS     (ADIDAS CHILE)</v>
          </cell>
        </row>
        <row r="19">
          <cell r="A19" t="str">
            <v>ADMISION 2006     (CAMPUS MATER S.A.)</v>
          </cell>
        </row>
        <row r="20">
          <cell r="A20" t="str">
            <v>ADMISION 2006     (UNIVERSIDAD CENTRAL DE CHILE)</v>
          </cell>
        </row>
        <row r="21">
          <cell r="A21" t="str">
            <v>Admisión 2006     (Instituto Profesional AIEP S.A.)</v>
          </cell>
        </row>
        <row r="22">
          <cell r="A22" t="str">
            <v>ADMISION 2008     (EJERCITO DE CHILE ESCUELA MILITAR)</v>
          </cell>
        </row>
        <row r="23">
          <cell r="A23" t="str">
            <v>ADMISION 2008     (UNIVERSIDAD GABRIELA MISTRAL)</v>
          </cell>
        </row>
        <row r="24">
          <cell r="A24" t="str">
            <v>ADRENALIN     (COMERCIAL ADRENALIN LTDA.)</v>
          </cell>
        </row>
        <row r="25">
          <cell r="A25" t="str">
            <v>ADT     (ADT)</v>
          </cell>
        </row>
        <row r="26">
          <cell r="A26" t="str">
            <v>AEROLINEAS DEL SUR     (AEROLINEAS AUSTRAL CHILE S.A.)</v>
          </cell>
        </row>
        <row r="27">
          <cell r="A27" t="str">
            <v>AEROPUERTO     (DIMACOFI S.A.)</v>
          </cell>
        </row>
        <row r="28">
          <cell r="A28" t="str">
            <v>AFP SANTA MARIA     (AFP SANTA MARIA S.A.)</v>
          </cell>
        </row>
        <row r="29">
          <cell r="A29" t="str">
            <v>AGROSUPER     (AGROSUPER COM. DE ALIMENTOS LTDA.)</v>
          </cell>
        </row>
        <row r="30">
          <cell r="A30" t="str">
            <v>AGUAS     (COCA COLA DE CHILE S.A.)</v>
          </cell>
        </row>
        <row r="31">
          <cell r="A31" t="str">
            <v>AIRCOMET     (AEROLINEAS AUSTRAL CHILE S.A.)</v>
          </cell>
        </row>
        <row r="32">
          <cell r="A32" t="str">
            <v>AIRE ACONDICIONADO     (ANWO SA.)</v>
          </cell>
        </row>
        <row r="33">
          <cell r="A33" t="str">
            <v>ALANIZ     (ALMACENES PARIS)</v>
          </cell>
        </row>
        <row r="34">
          <cell r="A34" t="str">
            <v>ALMACENES PARIS     (ALMACENES PARIS)</v>
          </cell>
        </row>
        <row r="35">
          <cell r="A35" t="str">
            <v>ALSACIA     (CONSTRUCTORA GLS LTDA.)</v>
          </cell>
        </row>
        <row r="36">
          <cell r="A36" t="str">
            <v>ALTO LAS CONDES     (ADM. DEL CENTRO COMERCIAL ALTO LAS CONDES)</v>
          </cell>
        </row>
        <row r="37">
          <cell r="A37" t="str">
            <v>ALTO LAS CONDES     (CENCOSUD S.A.)</v>
          </cell>
        </row>
        <row r="38">
          <cell r="A38" t="str">
            <v>ALVIN Y LAS ARDILLAS     (FOX LATIN AMERICAN CHANNELS CHILE LTDA.)</v>
          </cell>
        </row>
        <row r="39">
          <cell r="A39" t="str">
            <v>AMERICAN AIRLINES     (AMERICAN AIRLINES INC.)</v>
          </cell>
        </row>
        <row r="40">
          <cell r="A40" t="str">
            <v>ANDINA     (COCA COLA DE CHILE S.A.)</v>
          </cell>
        </row>
        <row r="41">
          <cell r="A41" t="str">
            <v>ANTICIPO TEMPORADA OTOÑO     (GRUPO CALDERON)</v>
          </cell>
        </row>
        <row r="42">
          <cell r="A42" t="str">
            <v>ANTONIO BANDERAS     (DISTRIBUIDORA PUIG CHILE LTDA.)</v>
          </cell>
        </row>
        <row r="43">
          <cell r="A43" t="str">
            <v>ANWO     (ANWO SA.)</v>
          </cell>
        </row>
        <row r="44">
          <cell r="A44" t="str">
            <v>ARIEL     (PROCTER &amp; GAMBLE DO BRASIL INC.)</v>
          </cell>
        </row>
        <row r="45">
          <cell r="A45" t="str">
            <v>AUTOPLAZA     (MALL PLAZA)</v>
          </cell>
        </row>
        <row r="46">
          <cell r="A46" t="str">
            <v>AUTOS     (ASPILLAGA HORNAHUER)</v>
          </cell>
        </row>
        <row r="47">
          <cell r="A47" t="str">
            <v>AUTOS     (COMERCIAL ITALA S.A.)</v>
          </cell>
        </row>
        <row r="48">
          <cell r="A48" t="str">
            <v>AVON     (AVON)</v>
          </cell>
        </row>
        <row r="49">
          <cell r="A49" t="str">
            <v>AXE     (UNILEVER CHILE S.A.)</v>
          </cell>
        </row>
        <row r="50">
          <cell r="A50" t="str">
            <v>BABY TUNES     (FALABELLA S.A.C.I.)</v>
          </cell>
        </row>
        <row r="51">
          <cell r="A51" t="str">
            <v>BACARDI     (BACARDI MARTINI CHILE S.A.)</v>
          </cell>
        </row>
        <row r="52">
          <cell r="A52" t="str">
            <v>BAILEYS     (DIAGEO CHILE LTDA.)</v>
          </cell>
        </row>
        <row r="53">
          <cell r="A53" t="str">
            <v>BANCO DE CHILE     (BANCO DE CHILE)</v>
          </cell>
        </row>
        <row r="54">
          <cell r="A54" t="str">
            <v>BANCO DE MEDIOS     (INVERSIONES CASA MATRIZ LTDA.)</v>
          </cell>
        </row>
        <row r="55">
          <cell r="A55" t="str">
            <v>BANCO EDWARDS     (BANCO EDWARDS)</v>
          </cell>
        </row>
        <row r="56">
          <cell r="A56" t="str">
            <v>BANCO ESTADO     (BANCO ESTADO)</v>
          </cell>
        </row>
        <row r="57">
          <cell r="A57" t="str">
            <v>BANCO ITAU     (BANCO ITAU)</v>
          </cell>
        </row>
        <row r="58">
          <cell r="A58" t="str">
            <v>BANCO PARIS     (ALMACENES PARIS)</v>
          </cell>
        </row>
        <row r="59">
          <cell r="A59" t="str">
            <v>BANCO PARIS     (BANCO PARIS)</v>
          </cell>
        </row>
        <row r="60">
          <cell r="A60" t="str">
            <v>BANCO PENTA     (BANCO PENTA)</v>
          </cell>
        </row>
        <row r="61">
          <cell r="A61" t="str">
            <v>BANCO SANTANDER     (BANCO SANTANDER CHILE)</v>
          </cell>
        </row>
        <row r="62">
          <cell r="A62" t="str">
            <v>BARBADOS     (CONFECCIONESTEXTILES EL AGUILA LTDA)</v>
          </cell>
        </row>
        <row r="63">
          <cell r="A63" t="str">
            <v>BASEMENT     (FALABELLA S.A.C.I.)</v>
          </cell>
        </row>
        <row r="64">
          <cell r="A64" t="str">
            <v>BATA     (BATA DE CHILE S.A.)</v>
          </cell>
        </row>
        <row r="65">
          <cell r="A65" t="str">
            <v>BBVA BANCO BHIF     (BBVA BANCO BHIF)</v>
          </cell>
        </row>
        <row r="66">
          <cell r="A66" t="str">
            <v>BCI     (BANCO DE CREDITO E INVERSIONES S.A.)</v>
          </cell>
        </row>
        <row r="67">
          <cell r="A67" t="str">
            <v>BECKER     (CERVECERIA CHILE S.A.)</v>
          </cell>
        </row>
        <row r="68">
          <cell r="A68" t="str">
            <v>BEIRSDORF     (BEIRSDORF S.A.)</v>
          </cell>
        </row>
        <row r="69">
          <cell r="A69" t="str">
            <v>BENEFICENCIA     (FUNDACION NUESTROS HIJOS)</v>
          </cell>
        </row>
        <row r="70">
          <cell r="A70" t="str">
            <v>BENNETTON     (UNITED COLORS COMUNICATION)</v>
          </cell>
        </row>
        <row r="71">
          <cell r="A71" t="str">
            <v>BIBLIOTECA MALL PLAZA     (MALL PLAZA)</v>
          </cell>
        </row>
        <row r="72">
          <cell r="A72" t="str">
            <v>BICE     (BICE ADMINISTRADORA GENERAL DE FONDOS S.A.)</v>
          </cell>
        </row>
        <row r="73">
          <cell r="A73" t="str">
            <v>BIGTIME     (INDUSTRIA DE ALIMENTOS DOS EN UNO S.A.)</v>
          </cell>
        </row>
        <row r="74">
          <cell r="A74" t="str">
            <v>BILZ Y PAP     (EMBOTELLADORA CHILENAS UNIDAS S.A.)</v>
          </cell>
        </row>
        <row r="75">
          <cell r="A75" t="str">
            <v>BIOTHERM     (ALMACENES PARIS)</v>
          </cell>
        </row>
        <row r="76">
          <cell r="A76" t="str">
            <v>BIOTHERM     (FALABELLA S.A.C.I.)</v>
          </cell>
        </row>
        <row r="77">
          <cell r="A77" t="str">
            <v>BLACK &amp; DECKER     (BLACK &amp; DECKER S.A.)</v>
          </cell>
        </row>
        <row r="78">
          <cell r="A78" t="str">
            <v>BLACK ZAFIRO     (LG ELECTRONICS INC. CHILE LTDA.)</v>
          </cell>
        </row>
        <row r="79">
          <cell r="A79" t="str">
            <v>BOLLE     (IMPORTADORA SPORT OPTIC LTDA)</v>
          </cell>
        </row>
        <row r="80">
          <cell r="A80" t="str">
            <v>BOLLE-ADRENALIN     (IMPORTADORA OBJECTIFLUN)</v>
          </cell>
        </row>
        <row r="81">
          <cell r="A81" t="str">
            <v>BOULEVARD FASHION     (PARQUE ARAUCO S.A.)</v>
          </cell>
        </row>
        <row r="82">
          <cell r="A82" t="str">
            <v>BRAHMA     (CERVECERIA CHILE S.A.)</v>
          </cell>
        </row>
        <row r="83">
          <cell r="A83" t="str">
            <v>BRAHMA COOL     (CERVECERIA CHILE S.A.)</v>
          </cell>
        </row>
        <row r="84">
          <cell r="A84" t="str">
            <v>BRESLER     (UNILEVER BESTFOOD S.A.)</v>
          </cell>
        </row>
        <row r="85">
          <cell r="A85" t="str">
            <v>CACHANTUN     (EMBOTELLADORA CHILENAS UNIDAS S.A.)</v>
          </cell>
        </row>
        <row r="86">
          <cell r="A86" t="str">
            <v>CALEFACCION     (ANWO SA.)</v>
          </cell>
        </row>
        <row r="87">
          <cell r="A87" t="str">
            <v>CALIENTA CAMA     (COMERCIAL TORO)</v>
          </cell>
        </row>
        <row r="88">
          <cell r="A88" t="str">
            <v>CALVIN KLEIN DUO     (LABORATORIO ARBEU LTDA.)</v>
          </cell>
        </row>
        <row r="89">
          <cell r="A89" t="str">
            <v>CALZADO     (COMERCIAL EXS LTDA.)</v>
          </cell>
        </row>
        <row r="90">
          <cell r="A90" t="str">
            <v>CAMPAÑA 2007     (PRIVILEGE S.A.)</v>
          </cell>
        </row>
        <row r="91">
          <cell r="A91" t="str">
            <v>CAMPAÑA EVENTO SEPTIEMBRE     (GRUPO CALDERON)</v>
          </cell>
        </row>
        <row r="92">
          <cell r="A92" t="str">
            <v>CAMPAÑA NAVIDAD     (GRUPO CALDERON)</v>
          </cell>
        </row>
        <row r="93">
          <cell r="A93" t="str">
            <v>CAMPANARIO     (COMPAÑIA PISQUERA CHILE)</v>
          </cell>
        </row>
        <row r="94">
          <cell r="A94" t="str">
            <v>CANAL 13     (CORP. DE TELEVISION DE LA PONT. UNIVERSIDAD CATOLICA)</v>
          </cell>
        </row>
        <row r="95">
          <cell r="A95" t="str">
            <v>CAPRICE     (MALL PLAZA)</v>
          </cell>
        </row>
        <row r="96">
          <cell r="A96" t="str">
            <v>CAROZZI     (EMPRESA CAROZZI S.A.)</v>
          </cell>
        </row>
        <row r="97">
          <cell r="A97" t="str">
            <v>CARPENTER     (CARPENTER S.A.)</v>
          </cell>
        </row>
        <row r="98">
          <cell r="A98" t="str">
            <v>CARRERAS 2007     (UNIVERSIDAD DEL DESARROLLO)</v>
          </cell>
        </row>
        <row r="99">
          <cell r="A99" t="str">
            <v>CASA IDEAS     (CENCOSUD S.A.)</v>
          </cell>
        </row>
        <row r="100">
          <cell r="A100" t="str">
            <v>CASTILLO DE MOLINA     (VIÑA SAN PEDRO S.A.)</v>
          </cell>
        </row>
        <row r="101">
          <cell r="A101" t="str">
            <v>CATECU     (CATECU S.A.)</v>
          </cell>
        </row>
        <row r="102">
          <cell r="A102" t="str">
            <v>CATERPILLAR     (FORUS S.A.)</v>
          </cell>
        </row>
        <row r="103">
          <cell r="A103" t="str">
            <v>CCU     (CERVECERA CCU CHILE LTDA.)</v>
          </cell>
        </row>
        <row r="104">
          <cell r="A104" t="str">
            <v>CECINAS SAN JORGE     (CECINAS SAN JORGE S.A.)</v>
          </cell>
        </row>
        <row r="105">
          <cell r="A105" t="str">
            <v>CELL STAR     (CELL STAR)</v>
          </cell>
        </row>
        <row r="106">
          <cell r="A106" t="str">
            <v>CENTRO OFTALMOLOGICO     (MALL PLAZA)</v>
          </cell>
        </row>
        <row r="107">
          <cell r="A107" t="str">
            <v>CERAMICAS CORDILLERA     (CERAMICAS CORDILLERA)</v>
          </cell>
        </row>
        <row r="108">
          <cell r="A108" t="str">
            <v>CEREALES     (NESTLÉ CHILE S.A.)</v>
          </cell>
        </row>
        <row r="109">
          <cell r="A109" t="str">
            <v>CHARLAS ACTUALIDAD     (PARQUE ARAUCO S.A.)</v>
          </cell>
        </row>
        <row r="110">
          <cell r="A110" t="str">
            <v>CHECK IN     (LAN AILINES S.A.)</v>
          </cell>
        </row>
        <row r="111">
          <cell r="A111" t="str">
            <v>CHEEKY     (BELIAN S.A.)</v>
          </cell>
        </row>
        <row r="112">
          <cell r="A112" t="str">
            <v>CHEVROLET     (General Motors Chile ltda)</v>
          </cell>
        </row>
        <row r="113">
          <cell r="A113" t="str">
            <v>CHICAS 123     (ENTEL S.A.)</v>
          </cell>
        </row>
        <row r="114">
          <cell r="A114" t="str">
            <v>CHILE FASHION     (PARQUE ARAUCO S.A.)</v>
          </cell>
        </row>
        <row r="115">
          <cell r="A115" t="str">
            <v>CHOCOLATES     (CADBURY STAHNI ADAMS CHILE PRODUCTOS)</v>
          </cell>
        </row>
        <row r="116">
          <cell r="A116" t="str">
            <v>CHOCOLATES     (NESTLÉ CHILE S.A.)</v>
          </cell>
        </row>
        <row r="117">
          <cell r="A117" t="str">
            <v>CHOCOLATES HERSHEY     (CHOCOLATES HERSHEY)</v>
          </cell>
        </row>
        <row r="118">
          <cell r="A118" t="str">
            <v>CIF     (UNILEVER CHILE S.A.)</v>
          </cell>
        </row>
        <row r="119">
          <cell r="A119" t="str">
            <v>CIUDAD SATELITE     (INMOBILIARIA SOCOVESA SANTIAGO S.A.)</v>
          </cell>
        </row>
        <row r="120">
          <cell r="A120" t="str">
            <v>CIUDAD SATELITE-LOS MONJES-PARQUE ITALIANO     (INMOBILIARIA SOCOVESA SANTIAGO S.A.)</v>
          </cell>
        </row>
        <row r="121">
          <cell r="A121" t="str">
            <v>CLARO CHILE     (CLARO CHILE S.A. (SmartCom))</v>
          </cell>
        </row>
        <row r="122">
          <cell r="A122" t="str">
            <v>CLINICA ALEMNA     (CLINICA ALEMANA DE SANTIAGO S.A.)</v>
          </cell>
        </row>
        <row r="123">
          <cell r="A123" t="str">
            <v>CLINICA CIUDAD DEL MAR     (CLINICA CIUDAD DEL MAR S.A.)</v>
          </cell>
        </row>
        <row r="124">
          <cell r="A124" t="str">
            <v>CLINICA LA CATOLICA     (CLINICA LA CATOLICA)</v>
          </cell>
        </row>
        <row r="125">
          <cell r="A125" t="str">
            <v>CLINICA SAN CARLOS DE APOQUINDO     (CLINICA SAN CARLOS DE APOQUINDO)</v>
          </cell>
        </row>
        <row r="126">
          <cell r="A126" t="str">
            <v>CLOROX     (CLOROX CHILE SA)</v>
          </cell>
        </row>
        <row r="127">
          <cell r="A127" t="str">
            <v>COCA COLA     (COCA COLA DE CHILE S.A.)</v>
          </cell>
        </row>
        <row r="128">
          <cell r="A128" t="str">
            <v>COCA COLA LIGHT     (COCA COLA DE CHILE S.A.)</v>
          </cell>
        </row>
        <row r="129">
          <cell r="A129" t="str">
            <v>COFFE MATE     (NESTLÉ CHILE S.A.)</v>
          </cell>
        </row>
        <row r="130">
          <cell r="A130" t="str">
            <v>COLECCION OTOÑO-INVIERNO     (PRIVILEGE S.A.)</v>
          </cell>
        </row>
        <row r="131">
          <cell r="A131" t="str">
            <v>COLECTA ANUAL     (FUNDACION COANIL)</v>
          </cell>
        </row>
        <row r="132">
          <cell r="A132" t="str">
            <v>COMPLEMENTOS     (ALMACENES PARIS)</v>
          </cell>
        </row>
        <row r="133">
          <cell r="A133" t="str">
            <v>COMPUTACION OLIDATA LTDA.     (COMPUTACION OLIDATA LTDA)</v>
          </cell>
        </row>
        <row r="134">
          <cell r="A134" t="str">
            <v>CON 1 CLICK     (MASSIVA S.A.)</v>
          </cell>
        </row>
        <row r="135">
          <cell r="A135" t="str">
            <v>CONFORT     (C.M.P.C. TISSUE S.A.)</v>
          </cell>
        </row>
        <row r="136">
          <cell r="A136" t="str">
            <v>CONSTRUCTORA ALMAGRO     (CONSTRUCTORA ALMAGRO S.A.)</v>
          </cell>
        </row>
        <row r="137">
          <cell r="A137" t="str">
            <v>CONVENCION TELEFONICA     (TELECOMUNICACIONES MOVILES DE CHILE)</v>
          </cell>
        </row>
        <row r="138">
          <cell r="A138" t="str">
            <v>COPEC     (CIA. DE PETROLEOS DE CHILE COPEC)</v>
          </cell>
        </row>
        <row r="139">
          <cell r="A139" t="str">
            <v>CORFO     (CORPORACION DE FOMENTO CORFO)</v>
          </cell>
        </row>
        <row r="140">
          <cell r="A140" t="str">
            <v>CORONA     (DISTRIBUIDORA ERRAZURIZ S.A.)</v>
          </cell>
        </row>
        <row r="141">
          <cell r="A141" t="str">
            <v>CORPBANCA     (CORPBANCA)</v>
          </cell>
        </row>
        <row r="142">
          <cell r="A142" t="str">
            <v>COSTA GALLETAS CEREALES     (EMPRESA CAROZZI S.A.)</v>
          </cell>
        </row>
        <row r="143">
          <cell r="A143" t="str">
            <v>CREDITAZO     (BANCO ESTADO)</v>
          </cell>
        </row>
        <row r="144">
          <cell r="A144" t="str">
            <v>CREDITO CONSUMO     (BBVA BANCO BHIF)</v>
          </cell>
        </row>
        <row r="145">
          <cell r="A145" t="str">
            <v>CREMAS     (LOREAL CHILE S.A.)</v>
          </cell>
        </row>
        <row r="146">
          <cell r="A146" t="str">
            <v>CREMAS     (SOC. PRODUCTORES DE LECHE S.A.)</v>
          </cell>
        </row>
        <row r="147">
          <cell r="A147" t="str">
            <v>CRISTAL     (CERVECERA CCU CHILE LTDA.)</v>
          </cell>
        </row>
        <row r="148">
          <cell r="A148" t="str">
            <v>CRUZ DEL SUR SEGUROS     (SEGUROS CRUZ DEL SUR S.A.)</v>
          </cell>
        </row>
        <row r="149">
          <cell r="A149" t="str">
            <v>CTC TRANSMISIONES REGIONALES     (CTC TRANSMISIONES REGIONALES S.A.)</v>
          </cell>
        </row>
        <row r="150">
          <cell r="A150" t="str">
            <v>CUBANA AVIACION     (CUBANA AVIACION)</v>
          </cell>
        </row>
        <row r="151">
          <cell r="A151" t="str">
            <v>DALY GOTAS     (ALIMENTOS CORDILLETA LTDA.)</v>
          </cell>
        </row>
        <row r="152">
          <cell r="A152" t="str">
            <v>DASANI     (COCA COLA DE CHILE S.A.)</v>
          </cell>
        </row>
        <row r="153">
          <cell r="A153" t="str">
            <v>DECONTRACT COMBLEUR     (LOREAL CHILE S.A.)</v>
          </cell>
        </row>
        <row r="154">
          <cell r="A154" t="str">
            <v>DELTA     (DELTA AIRLINES)</v>
          </cell>
        </row>
        <row r="155">
          <cell r="A155" t="str">
            <v>DEMO     (PRECISION ISPANA S.A.)</v>
          </cell>
        </row>
        <row r="156">
          <cell r="A156" t="str">
            <v>DESAYUNO PERFECTO     (ELECTROLUX CHILE S.A.)</v>
          </cell>
        </row>
        <row r="157">
          <cell r="A157" t="str">
            <v>DIA DE LA MADRE     (GRUPO CALDERON)</v>
          </cell>
        </row>
        <row r="158">
          <cell r="A158" t="str">
            <v>DIA DE LA MADRE     (PARQUE ARAUCO S.A.)</v>
          </cell>
        </row>
        <row r="159">
          <cell r="A159" t="str">
            <v>DIA DE LA MADRE     (SOMELA S.A.)</v>
          </cell>
        </row>
        <row r="160">
          <cell r="A160" t="str">
            <v>DIA DEL PAPA     (CLARO CHILE S.A. (SmartCom))</v>
          </cell>
        </row>
        <row r="161">
          <cell r="A161" t="str">
            <v>DIMACOFI     (DIMACOFI S.A.)</v>
          </cell>
        </row>
        <row r="162">
          <cell r="A162" t="str">
            <v>DINERS 2006     (DINER CLUB INTERNACIONAL)</v>
          </cell>
        </row>
        <row r="163">
          <cell r="A163" t="str">
            <v>DIOR     (DISTRIBUIDORA PUIG CHILE LTDA.)</v>
          </cell>
        </row>
        <row r="164">
          <cell r="A164" t="str">
            <v>DIOR CREMAS     (DISTRIBUIDORA PUIG CHILE LTDA.)</v>
          </cell>
        </row>
        <row r="165">
          <cell r="A165" t="str">
            <v>DIRECTV     (DIRECTV CHILE TELEVISION LTDA)</v>
          </cell>
        </row>
        <row r="166">
          <cell r="A166" t="str">
            <v>DISTRIBUIDORA PUIG     (DISTRIBUIDORA PUIG CHILE LTDA.)</v>
          </cell>
        </row>
        <row r="167">
          <cell r="A167" t="str">
            <v>DOCKERS     (T.J.C. CHILE S.A.)</v>
          </cell>
        </row>
        <row r="168">
          <cell r="A168" t="str">
            <v>DORINA     (UNILEVER BESTFOOD S.A.)</v>
          </cell>
        </row>
        <row r="169">
          <cell r="A169" t="str">
            <v>DOS EN UNO     (INDUSTRIA DE ALIMENTOS DOS EN UNO S.A.)</v>
          </cell>
        </row>
        <row r="170">
          <cell r="A170" t="str">
            <v>DOVE     (UNILEVER CHILE S.A.)</v>
          </cell>
        </row>
        <row r="171">
          <cell r="A171" t="str">
            <v>DOVE DEO     (UNILEVER CHILE S.A.)</v>
          </cell>
        </row>
        <row r="172">
          <cell r="A172" t="str">
            <v>Dr. HOUSE     (FOX LATIN AMERICAN CHANNELS CHILE LTDA.)</v>
          </cell>
        </row>
        <row r="173">
          <cell r="A173" t="str">
            <v>DRIVE     (UNILEVER CHILE S.A.)</v>
          </cell>
        </row>
        <row r="174">
          <cell r="A174" t="str">
            <v>ECASA     (INMOBILIARIA ECASA S.A.)</v>
          </cell>
        </row>
        <row r="175">
          <cell r="A175" t="str">
            <v>ECOLOGICA PATAGONIA     (BARTER HOUSE)</v>
          </cell>
        </row>
        <row r="176">
          <cell r="A176" t="str">
            <v>EDIFICIO DALI     (EXXACON DESARROLLO INMOBILIARIO S.A.)</v>
          </cell>
        </row>
        <row r="177">
          <cell r="A177" t="str">
            <v>EDWARDS     (BANCO DE CHILE)</v>
          </cell>
        </row>
        <row r="178">
          <cell r="A178" t="str">
            <v>EL BARRIO     (MALL PASEO LOS TRAPENSES)</v>
          </cell>
        </row>
        <row r="179">
          <cell r="A179" t="str">
            <v>EL DIABLO SE VISTE A LA MODA     (20TH CENTURY FOX)</v>
          </cell>
        </row>
        <row r="180">
          <cell r="A180" t="str">
            <v>EL PLACER DE BUSCAR Y ENCONTRAR     (MALL PLAZA)</v>
          </cell>
        </row>
        <row r="181">
          <cell r="A181" t="str">
            <v>ELIGE TU ESTILO     (CONFECCIONES NAZAL LTDA.)</v>
          </cell>
        </row>
        <row r="182">
          <cell r="A182" t="str">
            <v>ELLUS     (MANUFACTURAS LOUIS PHILLIPE)</v>
          </cell>
        </row>
        <row r="183">
          <cell r="A183" t="str">
            <v>ELVIVE     (LOREAL CHILE S.A.)</v>
          </cell>
        </row>
        <row r="184">
          <cell r="A184" t="str">
            <v>ENJOY     (AM GESTION S.A.)</v>
          </cell>
        </row>
        <row r="185">
          <cell r="A185" t="str">
            <v>ENJOY 2008     (AM GESTION S.A.)</v>
          </cell>
        </row>
        <row r="186">
          <cell r="A186" t="str">
            <v>ENTEL     (ENTEL S.A.)</v>
          </cell>
        </row>
        <row r="187">
          <cell r="A187" t="str">
            <v>ENTEL CARD     (ENTEL S.A.)</v>
          </cell>
        </row>
        <row r="188">
          <cell r="A188" t="str">
            <v>ENTEL CARD Y CHICAS 123     (ENTEL S.A.)</v>
          </cell>
        </row>
        <row r="189">
          <cell r="A189" t="str">
            <v>ENTEL PCS TELECOMUNICACIONES     (ENTEL PCS TELECOMUNICACIONES S.A.)</v>
          </cell>
        </row>
        <row r="190">
          <cell r="A190" t="str">
            <v>ERNST AND YOUNG     (ERNST &amp; YOUNG LTDA.)</v>
          </cell>
        </row>
        <row r="191">
          <cell r="A191" t="str">
            <v>Escolares     (MALL PLAZA)</v>
          </cell>
        </row>
        <row r="192">
          <cell r="A192" t="str">
            <v>ESCUDO     (CERVECERA CCU CHILE LTDA.)</v>
          </cell>
        </row>
        <row r="193">
          <cell r="A193" t="str">
            <v>ESCUDO     (COMPAÑIA PISQUERA CHILE)</v>
          </cell>
        </row>
        <row r="194">
          <cell r="A194" t="str">
            <v>EVERIS     (EVERIS CHILE S.A.)</v>
          </cell>
        </row>
        <row r="195">
          <cell r="A195" t="str">
            <v>EVERLAST     (COMERCIAL SPORTEX LTDA.)</v>
          </cell>
        </row>
        <row r="196">
          <cell r="A196" t="str">
            <v>EXPOMIN     (FISA S.A.)</v>
          </cell>
        </row>
        <row r="197">
          <cell r="A197" t="str">
            <v>FABRICS 2008     (UNILEVER CHILE S.A.)</v>
          </cell>
        </row>
        <row r="198">
          <cell r="A198" t="str">
            <v>FALABELLA     (FALABELLA S.A.C.I.)</v>
          </cell>
        </row>
        <row r="199">
          <cell r="A199" t="str">
            <v>FALL WINTER     (ADM. DEL CENTRO COMERCIAL ALTO LAS CONDES)</v>
          </cell>
        </row>
        <row r="200">
          <cell r="A200" t="str">
            <v>FANTA     (COCA COLA DE CHILE S.A.)</v>
          </cell>
        </row>
        <row r="201">
          <cell r="A201" t="str">
            <v>FEROUCH     (CONFECCIONES FEROUCH LTDA.)</v>
          </cell>
        </row>
        <row r="202">
          <cell r="A202" t="str">
            <v>FES     (COMERCIALIZADORA DE VESTUARIO FES LTDA.)</v>
          </cell>
        </row>
        <row r="203">
          <cell r="A203" t="str">
            <v>Festival de Teatro     (MALL PLAZA)</v>
          </cell>
        </row>
        <row r="204">
          <cell r="A204" t="str">
            <v>FGM     (F.G.M. AROME ET BEAUTE)</v>
          </cell>
        </row>
        <row r="205">
          <cell r="A205" t="str">
            <v>FIAT GRANDE PUNTO     (COMERCIAL ITALA S.A.)</v>
          </cell>
        </row>
        <row r="206">
          <cell r="A206" t="str">
            <v>FIDS     (CAFE BRITT CHILE LTDA.)</v>
          </cell>
        </row>
        <row r="207">
          <cell r="A207" t="str">
            <v>FIDS     (SCL TERMINAL AEREO DE SANTIAGO S.A.)</v>
          </cell>
        </row>
        <row r="208">
          <cell r="A208" t="str">
            <v>FIESTAS PATRIAS     (GRUPO CALDERON)</v>
          </cell>
        </row>
        <row r="209">
          <cell r="A209" t="str">
            <v>FIESTAS PATRIAS     (SCL TERMINAL AEREO DE SANTIAGO S.A.)</v>
          </cell>
        </row>
        <row r="210">
          <cell r="A210" t="str">
            <v>FISA     (FISA S.A.)</v>
          </cell>
        </row>
        <row r="211">
          <cell r="A211" t="str">
            <v>FM2     (IBEROAMERICAN RADIO CHILE LTDA)</v>
          </cell>
        </row>
        <row r="212">
          <cell r="A212" t="str">
            <v>FONDO ESPERANZA     (HOGAR DE CRISTO)</v>
          </cell>
        </row>
        <row r="213">
          <cell r="A213" t="str">
            <v>FOOD     (LOREAL CHILE S.A.)</v>
          </cell>
        </row>
        <row r="214">
          <cell r="A214" t="str">
            <v>FORUS     (FORUS S.A.)</v>
          </cell>
        </row>
        <row r="215">
          <cell r="A215" t="str">
            <v>FOSTER     (EUROFASHION LTDA.)</v>
          </cell>
        </row>
        <row r="216">
          <cell r="A216" t="str">
            <v>FOX LIFE     (FOX LATIN AMERICAN CHANNELS CHILE LTDA.)</v>
          </cell>
        </row>
        <row r="217">
          <cell r="A217" t="str">
            <v>FRITZ     (RESTAURANTES FRITZ LTDA.)</v>
          </cell>
        </row>
        <row r="218">
          <cell r="A218" t="str">
            <v>FRUCTIS     (LOREAL CHILE S.A.)</v>
          </cell>
        </row>
        <row r="219">
          <cell r="A219" t="str">
            <v>FULL ROJO     (MALL PLAZA)</v>
          </cell>
        </row>
        <row r="220">
          <cell r="A220" t="str">
            <v>FUNDACION LAS ROSAS     (FUNDACION LAS ROSAS)</v>
          </cell>
        </row>
        <row r="221">
          <cell r="A221" t="str">
            <v>GALLETAS     (NESTLÉ CHILE S.A.)</v>
          </cell>
        </row>
        <row r="222">
          <cell r="A222" t="str">
            <v>GAMA     (COMERCIAL TORO)</v>
          </cell>
        </row>
        <row r="223">
          <cell r="A223" t="str">
            <v>GARNIER     (LOREAL CHILE S.A.)</v>
          </cell>
        </row>
        <row r="224">
          <cell r="A224" t="str">
            <v>GATO     (VIÑA SAN PEDRO S.A.)</v>
          </cell>
        </row>
        <row r="225">
          <cell r="A225" t="str">
            <v>GATO BOTELLA     (CERVECERA CCU CHILE LTDA.)</v>
          </cell>
        </row>
        <row r="226">
          <cell r="A226" t="str">
            <v>GATSBY     (RESTAURANTES FRITZ LTDA.)</v>
          </cell>
        </row>
        <row r="227">
          <cell r="A227" t="str">
            <v>GENERAL MOTORS     (General Motors Chile ltda)</v>
          </cell>
        </row>
        <row r="228">
          <cell r="A228" t="str">
            <v>GEOCORP     (MALL PLAZA)</v>
          </cell>
        </row>
        <row r="229">
          <cell r="A229" t="str">
            <v>GEOX     (BATA DE CHILE S.A.)</v>
          </cell>
        </row>
        <row r="230">
          <cell r="A230" t="str">
            <v>GIMNASIO BALANCE     (MALL PASEO LOS TRAPENSES)</v>
          </cell>
        </row>
        <row r="231">
          <cell r="A231" t="str">
            <v>GRAN SANTIAGO     (IDEAL S.A.)</v>
          </cell>
        </row>
        <row r="232">
          <cell r="A232" t="str">
            <v>GRANJA EDUCATIVA     (MASSIVA S.A.)</v>
          </cell>
        </row>
        <row r="233">
          <cell r="A233" t="str">
            <v>GTD MANQUEHUE     (GTD MANQUEHUE)</v>
          </cell>
        </row>
        <row r="234">
          <cell r="A234" t="str">
            <v>GUANTE     (MANUFACTURAS DE CALZADOS GUANTE LTDA.)</v>
          </cell>
        </row>
        <row r="235">
          <cell r="A235" t="str">
            <v>h2ooH     (MALL PLAZA)</v>
          </cell>
        </row>
        <row r="236">
          <cell r="A236" t="str">
            <v>HAMBURGUESAS     (CECINAS LA PREFERIDA S.A.)</v>
          </cell>
        </row>
        <row r="237">
          <cell r="A237" t="str">
            <v>HEINEKEN     (CERVECERA CCU CHILE LTDA.)</v>
          </cell>
        </row>
        <row r="238">
          <cell r="A238" t="str">
            <v>HELLMANNS     (UNILEVER BESTFOOD S.A.)</v>
          </cell>
        </row>
        <row r="239">
          <cell r="A239" t="str">
            <v>HEROES     (FOX LATIN AMERICAN CHANNELS CHILE LTDA.)</v>
          </cell>
        </row>
        <row r="240">
          <cell r="A240" t="str">
            <v>HEWLETT PACKARD     (HEWLETT PACKARD CHILE COMERCIAL LTDA.)</v>
          </cell>
        </row>
        <row r="241">
          <cell r="A241" t="str">
            <v>HOGAR DE CRISTO     (HOGAR DE CRISTO)</v>
          </cell>
        </row>
        <row r="242">
          <cell r="A242" t="str">
            <v>HOLIDAY INN     (TALBOT HOTELES S.A.)</v>
          </cell>
        </row>
        <row r="243">
          <cell r="A243" t="str">
            <v>HOMECENTER     (SODIMAC S.A.)</v>
          </cell>
        </row>
        <row r="244">
          <cell r="A244" t="str">
            <v>HOMECENTER OCTUBRE     (SODIMAC S.A.)</v>
          </cell>
        </row>
        <row r="245">
          <cell r="A245" t="str">
            <v>HOMETHEATHER     (SONY CHILE LTDA.)</v>
          </cell>
        </row>
        <row r="246">
          <cell r="A246" t="str">
            <v>HUGGIES     (KIMBERLY CLARK CHILE)</v>
          </cell>
        </row>
        <row r="247">
          <cell r="A247" t="str">
            <v>HUGGIES ALMOHADAS BAMBI(KIMBERLY CLARK CHILE)     (KIMBERLY CLARK CHILE)</v>
          </cell>
        </row>
        <row r="248">
          <cell r="A248" t="str">
            <v>HUGGIES LITTLE SWIMMER     (KIMBERLY CLARK CHILE)</v>
          </cell>
        </row>
        <row r="249">
          <cell r="A249" t="str">
            <v>HUSH PUPPIES     (FORUS S.A.)</v>
          </cell>
        </row>
        <row r="250">
          <cell r="A250" t="str">
            <v>IBERIA     (IBERIA LINEAS AEREAS)</v>
          </cell>
        </row>
        <row r="251">
          <cell r="A251" t="str">
            <v>IDEAL     (IDEAL S.A.)</v>
          </cell>
        </row>
        <row r="252">
          <cell r="A252" t="str">
            <v>ILKO     (VIRUTEX ILKO S.A.)</v>
          </cell>
        </row>
        <row r="253">
          <cell r="A253" t="str">
            <v>INACAP     (INACAP)</v>
          </cell>
        </row>
        <row r="254">
          <cell r="A254" t="str">
            <v>INAGURACION     (COMERCIAL ECCSA S.A.)</v>
          </cell>
        </row>
        <row r="255">
          <cell r="A255" t="str">
            <v>Inauguracion Tienda     (RIGG MOVIL LTDA.)</v>
          </cell>
        </row>
        <row r="256">
          <cell r="A256" t="str">
            <v>INFANTI     (COMERCIAL E INDUSTRIAL SILFA S.A.)</v>
          </cell>
        </row>
        <row r="257">
          <cell r="A257" t="str">
            <v>ING     (ING SEGUROS DE VIDA S.A.)</v>
          </cell>
        </row>
        <row r="258">
          <cell r="A258" t="str">
            <v>ING SALUD     (ING SALUD SA.)</v>
          </cell>
        </row>
        <row r="259">
          <cell r="A259" t="str">
            <v>INGRESO 2008     (UNIVERSIDAD DIEGO PORTALES)</v>
          </cell>
        </row>
        <row r="260">
          <cell r="A260" t="str">
            <v>INMOBILIARIA     (INMOBILIARIA SECURITY)</v>
          </cell>
        </row>
        <row r="261">
          <cell r="A261" t="str">
            <v>INMOBILIARIA ANDALUE S.A.     (INMOBILIARIA ANDALUE S.A.)</v>
          </cell>
        </row>
        <row r="262">
          <cell r="A262" t="str">
            <v>INMOBILIARIA LAS ACACIAS     (INMOBILIARIA E INVERSIONES LAS ACACIAS LTDA.)</v>
          </cell>
        </row>
        <row r="263">
          <cell r="A263" t="str">
            <v>INMOBILIARIA MANQUEHUE     (INMOBILIARIA  LOS BRAVOS S.A.)</v>
          </cell>
        </row>
        <row r="264">
          <cell r="A264" t="str">
            <v>INSTITUCIONAL     (ADM. DEL CENTRO COMERCIAL ALTO LAS CONDES)</v>
          </cell>
        </row>
        <row r="265">
          <cell r="A265" t="str">
            <v>INSTITUCIONAL     (COCA COLA DE CHILE S.A.)</v>
          </cell>
        </row>
        <row r="266">
          <cell r="A266" t="str">
            <v>INSTITUCIONAL     (EL BARIIO PROPIEDADES)</v>
          </cell>
        </row>
        <row r="267">
          <cell r="A267" t="str">
            <v>INSTITUCIONAL     (LOREAL CHILE S.A.)</v>
          </cell>
        </row>
        <row r="268">
          <cell r="A268" t="str">
            <v>INSTITUCIONAL     (MALL PLAZA)</v>
          </cell>
        </row>
        <row r="269">
          <cell r="A269" t="str">
            <v>INSTITUCIONAL     (MASSIVA S.A.)</v>
          </cell>
        </row>
        <row r="270">
          <cell r="A270" t="str">
            <v>INSTITUCIONAL     (PARQUE ARAUCO S.A.)</v>
          </cell>
        </row>
        <row r="271">
          <cell r="A271" t="str">
            <v>INSTITUCIONAL     (SODIMAC S.A.)</v>
          </cell>
        </row>
        <row r="272">
          <cell r="A272" t="str">
            <v>INSTITUCIONAL     (SOUND ADVISORS)</v>
          </cell>
        </row>
        <row r="273">
          <cell r="A273" t="str">
            <v>INSTITUCIONAL - TERRAZAS     (MALL PLAZA VESPUCIO)</v>
          </cell>
        </row>
        <row r="274">
          <cell r="A274" t="str">
            <v>INSTITUCIONAL JUMBO MAIPU     (CENCOSUD S.A.)</v>
          </cell>
        </row>
        <row r="275">
          <cell r="A275" t="str">
            <v>INSTITUCIONAL LOGO PORTAL LA REINA     (CENCOSUD S.A.)</v>
          </cell>
        </row>
        <row r="276">
          <cell r="A276" t="str">
            <v>INTERAMERICANA     (SEGUROS INTERAMERICANA)</v>
          </cell>
        </row>
        <row r="277">
          <cell r="A277" t="str">
            <v>INTIME     (CONFECCIONES NAZAL LTDA.)</v>
          </cell>
        </row>
        <row r="278">
          <cell r="A278" t="str">
            <v>ITALMOD     (ITALMOD S.A.)</v>
          </cell>
        </row>
        <row r="279">
          <cell r="A279" t="str">
            <v>JANSSEN     (JANSSEN S.A.)</v>
          </cell>
        </row>
        <row r="280">
          <cell r="A280" t="str">
            <v>JOHNNIE WALKER     (DIAGEO CHILE LTDA.)</v>
          </cell>
        </row>
        <row r="281">
          <cell r="A281" t="str">
            <v>JOHNSON'S     (JOHNSONS S.A.)</v>
          </cell>
        </row>
        <row r="282">
          <cell r="A282" t="str">
            <v>JUMBO Y EASY     (CENCOSUD S.A.)</v>
          </cell>
        </row>
        <row r="283">
          <cell r="A283" t="str">
            <v>KELLOGG     (KELLOGG CHILE LTDA.)</v>
          </cell>
        </row>
        <row r="284">
          <cell r="A284" t="str">
            <v>KEM PIÑA     (EMBOTELLADORA CHILENAS UNIDAS S.A.)</v>
          </cell>
        </row>
        <row r="285">
          <cell r="A285" t="str">
            <v>KENT     (COMPAÑIA CHILENA DE TABACOS S.A.)</v>
          </cell>
        </row>
        <row r="286">
          <cell r="A286" t="str">
            <v>KENT Y LUCKY     (COMPAÑIA CHILENA DE TABACOS S.A.)</v>
          </cell>
        </row>
        <row r="287">
          <cell r="A287" t="str">
            <v>KENZO     (F.G.M. AROME ET BEAUTE)</v>
          </cell>
        </row>
        <row r="288">
          <cell r="A288" t="str">
            <v>KIA     (DISTRIBUIDORA AUTOMOTRIZ SANTIAGO L)</v>
          </cell>
        </row>
        <row r="289">
          <cell r="A289" t="str">
            <v>KIA     (KIA CHILE S.A.)</v>
          </cell>
        </row>
        <row r="290">
          <cell r="A290" t="str">
            <v>KIMBERLY     (KIMBERLY CLARK CHILE)</v>
          </cell>
        </row>
        <row r="291">
          <cell r="A291" t="str">
            <v>KOLESTON     (PROCTER &amp; GAMBLE COMERCIAL LTDA.)</v>
          </cell>
        </row>
        <row r="292">
          <cell r="A292" t="str">
            <v>KOSIUKO     (PROMODA S.A.)</v>
          </cell>
        </row>
        <row r="293">
          <cell r="A293" t="str">
            <v>KOTEX     (KIMBERLY CLARK CHILE)</v>
          </cell>
        </row>
        <row r="294">
          <cell r="A294" t="str">
            <v>LA BIBLIA     (FOX LATIN AMERICAN CHANNELS CHILE LTDA.)</v>
          </cell>
        </row>
        <row r="295">
          <cell r="A295" t="str">
            <v>LA FONTANA     (ACTUAL SERVICIO S.A.)</v>
          </cell>
        </row>
        <row r="296">
          <cell r="A296" t="str">
            <v>LA GRAN GUIA     (LA GRAN GUIA S.A.)</v>
          </cell>
        </row>
        <row r="297">
          <cell r="A297" t="str">
            <v>LA RED     (COMPAÑIA CHILENA DE COMUNICACIONES S.A.)</v>
          </cell>
        </row>
        <row r="298">
          <cell r="A298" t="str">
            <v>LA TERCERA     (CONSORCIO PERIODISTICO DE CHILE S.A.)</v>
          </cell>
        </row>
        <row r="299">
          <cell r="A299" t="str">
            <v>LA TERCERA     (EMPRESA PERIODISTICA LA TERCERA S.A.)</v>
          </cell>
        </row>
        <row r="300">
          <cell r="A300" t="str">
            <v>LABORATORIO ARBEU     (LABORATORIO ARBEU LTDA.)</v>
          </cell>
        </row>
        <row r="301">
          <cell r="A301" t="str">
            <v>LACOSTE     (VESUVIO COMERCIAL Y TEXTIL CHILE LTDA.)</v>
          </cell>
        </row>
        <row r="302">
          <cell r="A302" t="str">
            <v>LAN AIRLINES     (LAN AILINES S.A.)</v>
          </cell>
        </row>
        <row r="303">
          <cell r="A303" t="str">
            <v>LARRAIN VIAL     (LARRAIN VIAL ADMINISTRADORA GENERAL)</v>
          </cell>
        </row>
        <row r="304">
          <cell r="A304" t="str">
            <v>LE SANCY     (UNILEVER CHILE S.A.)</v>
          </cell>
        </row>
        <row r="305">
          <cell r="A305" t="str">
            <v>LEMON STONE     (CERVECERA CCU CHILE LTDA.)</v>
          </cell>
        </row>
        <row r="306">
          <cell r="A306" t="str">
            <v>LENCERIA     (TEJIDOS CAFFARENA S.A.)</v>
          </cell>
        </row>
        <row r="307">
          <cell r="A307" t="str">
            <v>LENOVO     (LENOVO AGENCIA EN CHILE)</v>
          </cell>
        </row>
        <row r="308">
          <cell r="A308" t="str">
            <v>LEONISA     (LEIN S.A.)</v>
          </cell>
        </row>
        <row r="309">
          <cell r="A309" t="str">
            <v>LG ELECTRONICS INC.  LTDA     (LG ELECTRONICS INC. CHILE LTDA.)</v>
          </cell>
        </row>
        <row r="310">
          <cell r="A310" t="str">
            <v>LIDER     (DISTRIBUIDORA Y SERVICIOS D Y S S.A.)</v>
          </cell>
        </row>
        <row r="311">
          <cell r="A311" t="str">
            <v>LIMON SODA     (EMBOTELLADORA CHILENAS UNIDAS S.A.)</v>
          </cell>
        </row>
        <row r="312">
          <cell r="A312" t="str">
            <v>LIPTON     (UNILEVER BESTFOOD S.A.)</v>
          </cell>
        </row>
        <row r="313">
          <cell r="A313" t="str">
            <v>LIPTON ICE     (EMBOTELLADORA CHILENAS UNIDAS S.A.)</v>
          </cell>
        </row>
        <row r="314">
          <cell r="A314" t="str">
            <v>LIPTON ICE TEA     (UNILEVER BESTFOOD S.A.)</v>
          </cell>
        </row>
        <row r="315">
          <cell r="A315" t="str">
            <v>LIQUIDACION     (MALL PLAZA)</v>
          </cell>
        </row>
        <row r="316">
          <cell r="A316" t="str">
            <v>LIQUIDACION INVERNO     (ADM. DEL CENTRO COMERCIAL ALTO LAS CONDES)</v>
          </cell>
        </row>
        <row r="317">
          <cell r="A317" t="str">
            <v>LIQUIDACION VERANO     (ADM. DEL CENTRO COMERCIAL ALTO LAS CONDES)</v>
          </cell>
        </row>
        <row r="318">
          <cell r="A318" t="str">
            <v>LIQUIDACION VERANO     (CENCOSUD S.A.)</v>
          </cell>
        </row>
        <row r="319">
          <cell r="A319" t="str">
            <v>LIQUIDACION VERANO     (PARQUE ARAUCO S.A.)</v>
          </cell>
        </row>
        <row r="320">
          <cell r="A320" t="str">
            <v>LLEGADA CEO G.M.     (General Motors Chile ltda)</v>
          </cell>
        </row>
        <row r="321">
          <cell r="A321" t="str">
            <v>LOGO     (MALL PASEO LOS TRAPENSES)</v>
          </cell>
        </row>
        <row r="322">
          <cell r="A322" t="str">
            <v>LOMITO FIESTA     (AGROSUPER COM. DE ALIMENTOS LTDA.)</v>
          </cell>
        </row>
        <row r="323">
          <cell r="A323" t="str">
            <v>LOREAL     (LOREAL CHILE S.A.)</v>
          </cell>
        </row>
        <row r="324">
          <cell r="A324" t="str">
            <v>LOS CANELOS     (INMOBILIARIA LOS CANELOS LTDA.)</v>
          </cell>
        </row>
        <row r="325">
          <cell r="A325" t="str">
            <v>LOS MONJES     (INMOBILIARIA SOCOVESA SANTIAGO S.A.)</v>
          </cell>
        </row>
        <row r="326">
          <cell r="A326" t="str">
            <v>LUCKY     (COMPAÑIA CHILENA DE TABACOS S.A.)</v>
          </cell>
        </row>
        <row r="327">
          <cell r="A327" t="str">
            <v>M. VIÑA DEL MAR     (CORP. DE TELEVISION DE LA PONT. UNIVERSIDAD CATOLICA)</v>
          </cell>
        </row>
        <row r="328">
          <cell r="A328" t="str">
            <v>MACO     (MACO INDUSTRIAL Y COMERCIAL S.A.)</v>
          </cell>
        </row>
        <row r="329">
          <cell r="A329" t="str">
            <v>MADEMSA     (CTI CHILE)</v>
          </cell>
        </row>
        <row r="330">
          <cell r="A330" t="str">
            <v>MADEMSA, DIA DE LA MADRE     (MALL PLAZA)</v>
          </cell>
        </row>
        <row r="331">
          <cell r="A331" t="str">
            <v>MAGGI     (NESTLÉ CHILE S.A.)</v>
          </cell>
        </row>
        <row r="332">
          <cell r="A332" t="str">
            <v>MAGGI - PURINA     (NESTLÉ CHILE S.A.)</v>
          </cell>
        </row>
        <row r="333">
          <cell r="A333" t="str">
            <v>MALBORO     (PHILIP MORRIS CHILE COMERCIALIZADORA LTDA.)</v>
          </cell>
        </row>
        <row r="334">
          <cell r="A334" t="str">
            <v>MALL PLAZA     (MALL PLAZA)</v>
          </cell>
        </row>
        <row r="335">
          <cell r="A335" t="str">
            <v>MALL PLAZA     (MALL PLAZA OESTE)</v>
          </cell>
        </row>
        <row r="336">
          <cell r="A336" t="str">
            <v>MALL PLAZA  TOBALABA)     (MALL PLAZA)</v>
          </cell>
        </row>
        <row r="337">
          <cell r="A337" t="str">
            <v>MALL PLAZA  VESPUCIO     (MALL PLAZA)</v>
          </cell>
        </row>
        <row r="338">
          <cell r="A338" t="str">
            <v>MALL PLAZA OESTE     (MALL PLAZA)</v>
          </cell>
        </row>
        <row r="339">
          <cell r="A339" t="str">
            <v>MALL PLAZA VESPUCIO     (CITIBANK N.A.)</v>
          </cell>
        </row>
        <row r="340">
          <cell r="A340" t="str">
            <v>MALL SPORT     (INMOBILIARIA  ADMINISTRADORA Y COMERCIAL MALL SPORT S.A.)</v>
          </cell>
        </row>
        <row r="341">
          <cell r="A341" t="str">
            <v>MAMA     (GRUPO CALDERON)</v>
          </cell>
        </row>
        <row r="342">
          <cell r="A342" t="str">
            <v>MANGO     (FALABELLA S.A.C.I.)</v>
          </cell>
        </row>
        <row r="343">
          <cell r="A343" t="str">
            <v>MANUFACTURAS DE CALZADOS GUANT     (MANUFACTURAS DE CALZADOS GUANTE LTDA.)</v>
          </cell>
        </row>
        <row r="344">
          <cell r="A344" t="str">
            <v>MASSIVA     (MASSIVA S.A.)</v>
          </cell>
        </row>
        <row r="345">
          <cell r="A345" t="str">
            <v>MASSIVA MOVIL     (MASSIVA S.A.)</v>
          </cell>
        </row>
        <row r="346">
          <cell r="A346" t="str">
            <v>MAZDA     (DISTRIBUIDORA AUTOMOTRIZ SANTIAGO L)</v>
          </cell>
        </row>
        <row r="347">
          <cell r="A347" t="str">
            <v>MAZDA     (IMPORT. Y DISTRIBUIDORA ALAMEDA S.A.)</v>
          </cell>
        </row>
        <row r="348">
          <cell r="A348" t="str">
            <v>MC DONALD     (MC DONALD)</v>
          </cell>
        </row>
        <row r="349">
          <cell r="A349" t="str">
            <v>MC GREGOR     (MALL PLAZA)</v>
          </cell>
        </row>
        <row r="350">
          <cell r="A350" t="str">
            <v>MERMELADAS     (WATT'S S.A.)</v>
          </cell>
        </row>
        <row r="351">
          <cell r="A351" t="str">
            <v>mes del padre     (MALL PLAZA)</v>
          </cell>
        </row>
        <row r="352">
          <cell r="A352" t="str">
            <v>MILO     (NESTLÉ CHILE S.A.)</v>
          </cell>
        </row>
        <row r="353">
          <cell r="A353" t="str">
            <v>MISTRAL     (COMPAÑIA PISQUERA CHILE)</v>
          </cell>
        </row>
        <row r="354">
          <cell r="A354" t="str">
            <v>MOBIL     (CIA. DE PETROLEOS DE CHILE COPEC)</v>
          </cell>
        </row>
        <row r="355">
          <cell r="A355" t="str">
            <v>MODA OTOÑO     (CENCOSUD S.A.)</v>
          </cell>
        </row>
        <row r="356">
          <cell r="A356" t="str">
            <v>morgan     (MALL PLAZA)</v>
          </cell>
        </row>
        <row r="357">
          <cell r="A357" t="str">
            <v>MOTOROLA     (MOTOROLA)</v>
          </cell>
        </row>
        <row r="358">
          <cell r="A358" t="str">
            <v>MOVISTAR     (TELECOMUNICACIONES MOVILES DE CHILE)</v>
          </cell>
        </row>
        <row r="359">
          <cell r="A359" t="str">
            <v>MTV     (MALL PLAZA)</v>
          </cell>
        </row>
        <row r="360">
          <cell r="A360" t="str">
            <v>MUNCHIS     (TSIL CHILE LTDA.)</v>
          </cell>
        </row>
        <row r="361">
          <cell r="A361" t="str">
            <v>MUNICIPALIDAD DE VIÑA DEL MAR     (CORP. DE TELEVISION DE LA PONT. UNIVERSIDAD CATOLICA)</v>
          </cell>
        </row>
        <row r="362">
          <cell r="A362" t="str">
            <v>NAVIDAD     (CENCOSUD S.A.)</v>
          </cell>
        </row>
        <row r="363">
          <cell r="A363" t="str">
            <v>NAVIDAD     (COCA COLA DE CHILE S.A.)</v>
          </cell>
        </row>
        <row r="364">
          <cell r="A364" t="str">
            <v>NAVIDAD     (GRUPO CALDERON)</v>
          </cell>
        </row>
        <row r="365">
          <cell r="A365" t="str">
            <v>NAVIDAD     (MALL PLAZA)</v>
          </cell>
        </row>
        <row r="366">
          <cell r="A366" t="str">
            <v>NAVIDAD     (PARQUE ARAUCO S.A.)</v>
          </cell>
        </row>
        <row r="367">
          <cell r="A367" t="str">
            <v>NAVIDAD     (SCL STORES)</v>
          </cell>
        </row>
        <row r="368">
          <cell r="A368" t="str">
            <v>NESCAFE     (NESTLÉ CHILE S.A.)</v>
          </cell>
        </row>
        <row r="369">
          <cell r="A369" t="str">
            <v>NESTLE     (NESTLÉ CHILE S.A.)</v>
          </cell>
        </row>
        <row r="370">
          <cell r="A370" t="str">
            <v>NETWORK     (SONY CHILE LTDA.)</v>
          </cell>
        </row>
        <row r="371">
          <cell r="A371" t="str">
            <v>NEW BALANCE     (DISTRIBUIDORA DE ARTICULOS DEPORTIVOS LTDA.)</v>
          </cell>
        </row>
        <row r="372">
          <cell r="A372" t="str">
            <v>NEW MAN     (CONFECCIONES FEROUCH LTDA.)</v>
          </cell>
        </row>
        <row r="373">
          <cell r="A373" t="str">
            <v>NEW MAN - PRIMAVERA     (BOULEVARD SAINT GERMAIN S.A.)</v>
          </cell>
        </row>
        <row r="374">
          <cell r="A374" t="str">
            <v>NIDO     (NESTLÉ CHILE S.A.)</v>
          </cell>
        </row>
        <row r="375">
          <cell r="A375" t="str">
            <v>NIK TUP     (FOX LATIN AMERICAN CHANNELS CHILE LTDA.)</v>
          </cell>
        </row>
        <row r="376">
          <cell r="A376" t="str">
            <v>NIKE     (NIKE DE CHILE S.A.)</v>
          </cell>
        </row>
        <row r="377">
          <cell r="A377" t="str">
            <v>NINGUN OTRO TRABAJO ESTAN BIEN PAGADO     (HOGAR DE CRISTO)</v>
          </cell>
        </row>
        <row r="378">
          <cell r="A378" t="str">
            <v>NIVEA     (BEIRSDORF S.A.)</v>
          </cell>
        </row>
        <row r="379">
          <cell r="A379" t="str">
            <v>NIVEA     (MALL PLAZA)</v>
          </cell>
        </row>
        <row r="380">
          <cell r="A380" t="str">
            <v>NIVEA MEN(BEIRSDORF S.A.)     (BEIRSDORF S.A.)</v>
          </cell>
        </row>
        <row r="381">
          <cell r="A381" t="str">
            <v>NO-NO     (JET LTDA.)</v>
          </cell>
        </row>
        <row r="382">
          <cell r="A382" t="str">
            <v>NOKIA     (NOKIA S.A.)</v>
          </cell>
        </row>
        <row r="383">
          <cell r="A383" t="str">
            <v>NUTRIDORE     (LOREAL CHILE S.A.)</v>
          </cell>
        </row>
        <row r="384">
          <cell r="A384" t="str">
            <v>NUTRIGLOS     (LOREAL CHILE S.A.)</v>
          </cell>
        </row>
        <row r="385">
          <cell r="A385" t="str">
            <v>NUTRISSE DE GARNIER     (LOREAL CHILE S.A.)</v>
          </cell>
        </row>
        <row r="386">
          <cell r="A386" t="str">
            <v>OLYMPUS     (REIFSCHNEIDER S.A.)</v>
          </cell>
        </row>
        <row r="387">
          <cell r="A387" t="str">
            <v>OMO BACK TO SCHOOL     (UNILEVER CHILE S.A.)</v>
          </cell>
        </row>
        <row r="388">
          <cell r="A388" t="str">
            <v>OMO SPORT WEAR     (UNILEVER CHILE S.A.)</v>
          </cell>
        </row>
        <row r="389">
          <cell r="A389" t="str">
            <v>OMO-     (UNILEVER CHILE S.A.)</v>
          </cell>
        </row>
        <row r="390">
          <cell r="A390" t="str">
            <v>OTOÑO - INVIERNO     (CENCOSUD S.A.)</v>
          </cell>
        </row>
        <row r="391">
          <cell r="A391" t="str">
            <v>OTOÑO-INVIERNO     (CONFECCIONES FEROUCH LTDA.)</v>
          </cell>
        </row>
        <row r="392">
          <cell r="A392" t="str">
            <v>OTOÑO-INVIERNO     (GRUPO CALDERON)</v>
          </cell>
        </row>
        <row r="393">
          <cell r="A393" t="str">
            <v>PADRE 2-2     (CLARO CHILE S.A. (SmartCom))</v>
          </cell>
        </row>
        <row r="394">
          <cell r="A394" t="str">
            <v>PAISAJES     (SCL TERMINAL AEREO DE SANTIAGO S.A.)</v>
          </cell>
        </row>
        <row r="395">
          <cell r="A395" t="str">
            <v>PALTA HASS     (COMITE PALTA HASS DE CHILE)</v>
          </cell>
        </row>
        <row r="396">
          <cell r="A396" t="str">
            <v>PALUMBO     (MALL PASEO LOS TRAPENSES)</v>
          </cell>
        </row>
        <row r="397">
          <cell r="A397" t="str">
            <v>PAMPERS     (PROCTER &amp; GAMBLE COMERCIAL LTDA.)</v>
          </cell>
        </row>
        <row r="398">
          <cell r="A398" t="str">
            <v>PAMPERS     (PROCTER &amp; GAMBLE S.A.)</v>
          </cell>
        </row>
        <row r="399">
          <cell r="A399" t="str">
            <v>PAN PIERRE     (BREDENMASTER CHILE S.A.)</v>
          </cell>
        </row>
        <row r="400">
          <cell r="A400" t="str">
            <v>PANASONIC     (PANASONIC)</v>
          </cell>
        </row>
        <row r="401">
          <cell r="A401" t="str">
            <v>PARIS     (ALMACENES PARIS)</v>
          </cell>
        </row>
        <row r="402">
          <cell r="A402" t="str">
            <v>PARIS-CRUZ VERDE     (ALMACENES PARIS)</v>
          </cell>
        </row>
        <row r="403">
          <cell r="A403" t="str">
            <v>PARIS-SHELL     (ALMACENES PARIS)</v>
          </cell>
        </row>
        <row r="404">
          <cell r="A404" t="str">
            <v>PARMALAT     (VIALAT S.A.)</v>
          </cell>
        </row>
        <row r="405">
          <cell r="A405" t="str">
            <v>PARQUE ARAUCO     (PARQUE ARAUCO S.A.)</v>
          </cell>
        </row>
        <row r="406">
          <cell r="A406" t="str">
            <v>PASSAT     (MACO INDUSTRIAL Y COMERCIAL S.A.)</v>
          </cell>
        </row>
        <row r="407">
          <cell r="A407" t="str">
            <v>PATE     (CECINAS LA PREFERIDA S.A.)</v>
          </cell>
        </row>
        <row r="408">
          <cell r="A408" t="str">
            <v>PC NOTEBOOK     (COMPUTACION OLIDATA LTDA)</v>
          </cell>
        </row>
        <row r="409">
          <cell r="A409" t="str">
            <v>PEDIGREE     (MASTERFOODS CHILE LTDA.)</v>
          </cell>
        </row>
        <row r="410">
          <cell r="A410" t="str">
            <v>PEPSI     (EMBOTELLADORA CHILENAS UNIDAS S.A.)</v>
          </cell>
        </row>
        <row r="411">
          <cell r="A411" t="str">
            <v>PEPSI LIGHT     (EMBOTELLADORA CHILENAS UNIDAS S.A.)</v>
          </cell>
        </row>
        <row r="412">
          <cell r="A412" t="str">
            <v>PEPSODENT     (UNILEVER CHILE S.A.)</v>
          </cell>
        </row>
        <row r="413">
          <cell r="A413" t="str">
            <v>PERFUMES     (DISTRIBUIDORA PUIG CHILE LTDA.)</v>
          </cell>
        </row>
        <row r="414">
          <cell r="A414" t="str">
            <v>PERFUMES     (F.G.M. AROME ET BEAUTE)</v>
          </cell>
        </row>
        <row r="415">
          <cell r="A415" t="str">
            <v>PERFUMES     (LABORATORIO ARBEU LTDA.)</v>
          </cell>
        </row>
        <row r="416">
          <cell r="A416" t="str">
            <v>PHILIP MORRIS     (PHILIP MORRIS CHILE COMERCIALIZADORA LTDA.)</v>
          </cell>
        </row>
        <row r="417">
          <cell r="A417" t="str">
            <v>PINTURAS TRICOLOR     (PINTURAS TRICOLOR S.A.                               968052608)</v>
          </cell>
        </row>
        <row r="418">
          <cell r="A418" t="str">
            <v>PIZZA PIOLA     (PIZZA PIOLA)</v>
          </cell>
        </row>
        <row r="419">
          <cell r="A419" t="str">
            <v>PLAN CUENTA CONTROLADA     (ENTEL PCS TELECOMUNICACIONES S.A.)</v>
          </cell>
        </row>
        <row r="420">
          <cell r="A420" t="str">
            <v>POETT     (CLOROX CHILE SA)</v>
          </cell>
        </row>
        <row r="421">
          <cell r="A421" t="str">
            <v>POLLO - CERDO     (AGROSUPER COM. DE ALIMENTOS LTDA.)</v>
          </cell>
        </row>
        <row r="422">
          <cell r="A422" t="str">
            <v>POLO BLACK     (LOREAL CHILE S.A.)</v>
          </cell>
        </row>
        <row r="423">
          <cell r="A423" t="str">
            <v>POND'S     (UNILEVER CHILE S.A.)</v>
          </cell>
        </row>
        <row r="424">
          <cell r="A424" t="str">
            <v>PORKY TE AMO     (RED TELEVISIVA MEGAVISION S.A.)</v>
          </cell>
        </row>
        <row r="425">
          <cell r="A425" t="str">
            <v>PORTAL LA DEHESA     (CENCOSUD S.A.)</v>
          </cell>
        </row>
        <row r="426">
          <cell r="A426" t="str">
            <v>POWERADE     (COCA COLA DE CHILE S.A.)</v>
          </cell>
        </row>
        <row r="427">
          <cell r="A427" t="str">
            <v>PRECISION     (PRECISION ISPANA S.A.)</v>
          </cell>
        </row>
        <row r="428">
          <cell r="A428" t="str">
            <v>PRESTO     (ADM. DE CREDITOS COM. PRESTO LTDA.)</v>
          </cell>
        </row>
        <row r="429">
          <cell r="A429" t="str">
            <v>PRIMAVERA 2007     (CENCOSUD S.A.)</v>
          </cell>
        </row>
        <row r="430">
          <cell r="A430" t="str">
            <v>PRIMAVERA VERANO     (BATA DE CHILE S.A.)</v>
          </cell>
        </row>
        <row r="431">
          <cell r="A431" t="str">
            <v>PRIMAVERA VERANO     (PARQUE ARAUCO S.A.)</v>
          </cell>
        </row>
        <row r="432">
          <cell r="A432" t="str">
            <v>PRIMAVERA-VERANO     (ADM. DEL CENTRO COMERCIAL ALTO LAS CONDES)</v>
          </cell>
        </row>
        <row r="433">
          <cell r="A433" t="str">
            <v>PRIMAVERA-VERANO     (MALL PLAZA)</v>
          </cell>
        </row>
        <row r="434">
          <cell r="A434" t="str">
            <v>PRIS-TRIUMPH     (ALMACENES PARIS)</v>
          </cell>
        </row>
        <row r="435">
          <cell r="A435" t="str">
            <v>PRIVILEGE     (PRIVILEGE S.A.)</v>
          </cell>
        </row>
        <row r="436">
          <cell r="A436" t="str">
            <v>PRO TG     (INVERSIONES PRO-TG LTDA.)</v>
          </cell>
        </row>
        <row r="437">
          <cell r="A437" t="str">
            <v>PROCHILE     (PROCHILE)</v>
          </cell>
        </row>
        <row r="438">
          <cell r="A438" t="str">
            <v>PROCTER &amp; GAMBLE     (PROCTER &amp; GAMBLE S.A.)</v>
          </cell>
        </row>
        <row r="439">
          <cell r="A439" t="str">
            <v>PROMO HUGGIES     (KIMBERLY CLARK CHILE)</v>
          </cell>
        </row>
        <row r="440">
          <cell r="A440" t="str">
            <v>PROMO TV     (GRUPO CALDERON)</v>
          </cell>
        </row>
        <row r="441">
          <cell r="A441" t="str">
            <v>PROMOCION BLOCKBUSTER     (KIMBERLY CLARK CHILE)</v>
          </cell>
        </row>
        <row r="442">
          <cell r="A442" t="str">
            <v>PRUEBA MATERIAL     (MASSIVA S.A.)</v>
          </cell>
        </row>
        <row r="443">
          <cell r="A443" t="str">
            <v>PSYCH UNIVERSAL     (FOX LATIN AMERICAN CHANNELS CHILE LTDA.)</v>
          </cell>
        </row>
        <row r="444">
          <cell r="A444" t="str">
            <v>PUBLIETAPA     (PUBLIETAPA)</v>
          </cell>
        </row>
        <row r="445">
          <cell r="A445" t="str">
            <v>PUERTAS ABIERTA     (HOGAR DE CRISTO)</v>
          </cell>
        </row>
        <row r="446">
          <cell r="A446" t="str">
            <v>PUMA     (PUMA CHILE S.A.)</v>
          </cell>
        </row>
        <row r="447">
          <cell r="A447" t="str">
            <v>PURINA     (NESTLÉ CHILE S.A.)</v>
          </cell>
        </row>
        <row r="448">
          <cell r="A448" t="str">
            <v>PURINA DOG CHOW     (NESTLÉ CHILE S.A.)</v>
          </cell>
        </row>
        <row r="449">
          <cell r="A449" t="str">
            <v>QUESILLO     (SOC. PRODUCTORES DE LECHE S.A.)</v>
          </cell>
        </row>
        <row r="450">
          <cell r="A450" t="str">
            <v>QUIX     (UNILEVER CHILE S.A.)</v>
          </cell>
        </row>
        <row r="451">
          <cell r="A451" t="str">
            <v>RADIO CORAZON     (IBEROAMERICAN RADIO CHILE LTDA)</v>
          </cell>
        </row>
        <row r="452">
          <cell r="A452" t="str">
            <v>RADIO IMAGINA     (IBEROAMERICAN RADIO CHILE LTDA)</v>
          </cell>
        </row>
        <row r="453">
          <cell r="A453" t="str">
            <v>RADIO PUDAHUEL     (IBEROAMERICAN RADIO CHILE LTDA)</v>
          </cell>
        </row>
        <row r="454">
          <cell r="A454" t="str">
            <v>RED TV     (COMPAÑIA CHILENA DE COMUNICACIONES S.A.)</v>
          </cell>
        </row>
        <row r="455">
          <cell r="A455" t="str">
            <v>REEBOK     (REEBOK CHILE S.A.)</v>
          </cell>
        </row>
        <row r="456">
          <cell r="A456" t="str">
            <v>REEBOOK     (ADIDAS CHILE)</v>
          </cell>
        </row>
        <row r="457">
          <cell r="A457" t="str">
            <v>REFRIGERADOS / COLADOS     (NESTLÉ CHILE S.A.)</v>
          </cell>
        </row>
        <row r="458">
          <cell r="A458" t="str">
            <v>RELOJ     (H. BRIONES COMERCIAL S.A.)</v>
          </cell>
        </row>
        <row r="459">
          <cell r="A459" t="str">
            <v>RELOJERIA URZUA     (MALL PASEO LOS TRAPENSES)</v>
          </cell>
        </row>
        <row r="460">
          <cell r="A460" t="str">
            <v>RELOJERIA URZUA     (RELOJERIA URZUA)</v>
          </cell>
        </row>
        <row r="461">
          <cell r="A461" t="str">
            <v>REMIX-QUESILLOS-MARGARINA     (VIALAT S.A.)</v>
          </cell>
        </row>
        <row r="462">
          <cell r="A462" t="str">
            <v>RENAULT     (ASPILLAGA HORNAHUER)</v>
          </cell>
        </row>
        <row r="463">
          <cell r="A463" t="str">
            <v>RESCUE ME     (FOX LATIN AMERICAN CHANNELS CHILE LTDA.)</v>
          </cell>
        </row>
        <row r="464">
          <cell r="A464" t="str">
            <v>REXONA     (UNILEVER CHILE S.A.)</v>
          </cell>
        </row>
        <row r="465">
          <cell r="A465" t="str">
            <v>REXONA CHAPARRAL     (UNILEVER CHILE S.A.)</v>
          </cell>
        </row>
        <row r="466">
          <cell r="A466" t="str">
            <v>REXONA HOMBRE     (UNILEVER CHILE S.A.)</v>
          </cell>
        </row>
        <row r="467">
          <cell r="A467" t="str">
            <v>REXONA MUJER     (UNILEVER CHILE S.A.)</v>
          </cell>
        </row>
        <row r="468">
          <cell r="A468" t="str">
            <v>RINSO     (UNILEVER CHILE S.A.)</v>
          </cell>
        </row>
        <row r="469">
          <cell r="A469" t="str">
            <v>RIPLEY     (COMERCIAL ECCSA S.A.)</v>
          </cell>
        </row>
        <row r="470">
          <cell r="A470" t="str">
            <v>RIPLEY PERFIMES     (COMERCIAL ECCSA S.A.)</v>
          </cell>
        </row>
        <row r="471">
          <cell r="A471" t="str">
            <v>ROAMING     (INGENIERIA COMUNICACION Y PRODUCCIONES S.A.)</v>
          </cell>
        </row>
        <row r="472">
          <cell r="A472" t="str">
            <v>ROAMMING     (ENTEL PCS TELECOMUNICACIONES S.A.)</v>
          </cell>
        </row>
        <row r="473">
          <cell r="A473" t="str">
            <v>ROAMMING MODULO     (ENTEL PCS TELECOMUNICACIONES S.A.)</v>
          </cell>
        </row>
        <row r="474">
          <cell r="A474" t="str">
            <v>RON MITJANS     (LICORES MITJANS S.A.)</v>
          </cell>
        </row>
        <row r="475">
          <cell r="A475" t="str">
            <v>ROSEN     (COLCHONES ROSEN S.A.C.I.)</v>
          </cell>
        </row>
        <row r="476">
          <cell r="A476" t="str">
            <v>ROTTER &amp; KRAUSS     (ROTTER &amp; KRAUSS)</v>
          </cell>
        </row>
        <row r="477">
          <cell r="A477" t="str">
            <v>ROYAL GUARD     (CERVECERA CCU CHILE LTDA.)</v>
          </cell>
        </row>
        <row r="478">
          <cell r="A478" t="str">
            <v>ROYAL SUNALLIANCE     (ROYAL SUNALLIANCE)</v>
          </cell>
        </row>
        <row r="479">
          <cell r="A479" t="str">
            <v>SA     (SAMSUNG ELECTRONICS CHILE LTDA.)</v>
          </cell>
        </row>
        <row r="480">
          <cell r="A480" t="str">
            <v>SABORES DEL PARQUE     (PARQUE ARAUCO S.A.)</v>
          </cell>
        </row>
        <row r="481">
          <cell r="A481" t="str">
            <v>SAG     (SERVICIO AGRICOLA Y GANADERO)</v>
          </cell>
        </row>
        <row r="482">
          <cell r="A482" t="str">
            <v>SAGIEM     (PC A TODO INC)</v>
          </cell>
        </row>
        <row r="483">
          <cell r="A483" t="str">
            <v>SALE OFF     (CENCOSUD S.A.)</v>
          </cell>
        </row>
        <row r="484">
          <cell r="A484" t="str">
            <v>SAMSUNG     (SAMSUNG ELECTRONICS CHILE LTDA.)</v>
          </cell>
        </row>
        <row r="485">
          <cell r="A485" t="str">
            <v>SAMSUNG     (SANSUNG ELECTRICA CHILE)</v>
          </cell>
        </row>
        <row r="486">
          <cell r="A486" t="str">
            <v>SAMSUNG ELECTRONICS     (SAMSUNG ELECTRONICS CO LTDA.)</v>
          </cell>
        </row>
        <row r="487">
          <cell r="A487" t="str">
            <v>SANFIC     (UNILEVER CHILE S.A.)</v>
          </cell>
        </row>
        <row r="488">
          <cell r="A488" t="str">
            <v>SANTA ISABEL     (CENCOSUD S.A.)</v>
          </cell>
        </row>
        <row r="489">
          <cell r="A489" t="str">
            <v>SANTA ISABEL     (SANTA ISABEL S.A.)</v>
          </cell>
        </row>
        <row r="490">
          <cell r="A490" t="str">
            <v>SANTANDER BANEFE     (BANCO SANTANDER CHILE)</v>
          </cell>
        </row>
        <row r="491">
          <cell r="A491" t="str">
            <v>SAVILLE ROW     (COMERCIAL APS S.A.)</v>
          </cell>
        </row>
        <row r="492">
          <cell r="A492" t="str">
            <v>SAVORY     (NESTLÉ CHILE S.A.)</v>
          </cell>
        </row>
        <row r="493">
          <cell r="A493" t="str">
            <v>SCL     (SCL STORES)</v>
          </cell>
        </row>
        <row r="494">
          <cell r="A494" t="str">
            <v>SCL(SCL TERMINAL AEREO DE SANTIAGO S.A.)     (SCL TERMINAL AEREO DE SANTIAGO S.A.)</v>
          </cell>
        </row>
        <row r="495">
          <cell r="A495" t="str">
            <v>SCOTIABANK SUD AMERICANO     (SCOTIABANK SUD AMERICANO)</v>
          </cell>
        </row>
        <row r="496">
          <cell r="A496" t="str">
            <v>SCOTT     (KIMBERLY CLARK CHILE)</v>
          </cell>
        </row>
        <row r="497">
          <cell r="A497" t="str">
            <v>SECURITY SAT     (SEGURIDAD Y TELECOMUNICACIONES S.A.)</v>
          </cell>
        </row>
        <row r="498">
          <cell r="A498" t="str">
            <v>SEDAL     (UNILEVER CHILE S.A.)</v>
          </cell>
        </row>
        <row r="499">
          <cell r="A499" t="str">
            <v>SEGUROS DE VIDA     (BANCO ESTADO)</v>
          </cell>
        </row>
        <row r="500">
          <cell r="A500" t="str">
            <v>SEGUROS VIDA SECURITY PREVISIO     (SEGUROS VIDA SECURITY PREVISION S.A.)</v>
          </cell>
        </row>
        <row r="501">
          <cell r="A501" t="str">
            <v>SERIES     (FOX LATIN AMERICAN CHANNELS CHILE LTDA.)</v>
          </cell>
        </row>
        <row r="502">
          <cell r="A502" t="str">
            <v>SERNATUR     (MALL PLAZA)</v>
          </cell>
        </row>
        <row r="503">
          <cell r="A503" t="str">
            <v>SERNATUR     (SERNATUR)</v>
          </cell>
        </row>
        <row r="504">
          <cell r="A504" t="str">
            <v>SHAMPOO L'OREAL     (LOREAL CHILE S.A.)</v>
          </cell>
        </row>
        <row r="505">
          <cell r="A505" t="str">
            <v>SHOP DOG     (RAP S.A.)</v>
          </cell>
        </row>
        <row r="506">
          <cell r="A506" t="str">
            <v>SKECHERS     (CATECU S.A.)</v>
          </cell>
        </row>
        <row r="507">
          <cell r="A507" t="str">
            <v>SLOGGI     (TRIUMPH PH INTERNATIONAL DE CHILE LTDA)</v>
          </cell>
        </row>
        <row r="508">
          <cell r="A508" t="str">
            <v>SMARTCOM     (CLARO CHILE S.A. (SmartCom))</v>
          </cell>
        </row>
        <row r="509">
          <cell r="A509" t="str">
            <v>SMARTCOM CAMBIO IMAGEN     (CLARO CHILE S.A. (SmartCom))</v>
          </cell>
        </row>
        <row r="510">
          <cell r="A510" t="str">
            <v>SOCOVESA     (INMOBILIARIA SOCOVESA SANTIAGO S.A.)</v>
          </cell>
        </row>
        <row r="511">
          <cell r="A511" t="str">
            <v>SOFTLAND INGENIERIA     (SOFTLAND INGENIERIA LTDA.)</v>
          </cell>
        </row>
        <row r="512">
          <cell r="A512" t="str">
            <v>SOLARIUM NAVEN     (MALL PASEO LOS TRAPENSES)</v>
          </cell>
        </row>
        <row r="513">
          <cell r="A513" t="str">
            <v>SOMELA     (SOMELA S.A.)</v>
          </cell>
        </row>
        <row r="514">
          <cell r="A514" t="str">
            <v>SONY     (SONY CHILE LTDA.)</v>
          </cell>
        </row>
        <row r="515">
          <cell r="A515" t="str">
            <v>SONY BRAVIA     (SONY CHILE LTDA.)</v>
          </cell>
        </row>
        <row r="516">
          <cell r="A516" t="str">
            <v>SONY ERICKSSON     (SONY ERICKSSON)</v>
          </cell>
        </row>
        <row r="517">
          <cell r="A517" t="str">
            <v>SOPROLE     (SOC. PRODUCTORES DE LECHE S.A.)</v>
          </cell>
        </row>
        <row r="518">
          <cell r="A518" t="str">
            <v>SORBETE LETELIER     (EMBOTELLADORA CASTEL LTDA.)</v>
          </cell>
        </row>
        <row r="519">
          <cell r="A519" t="str">
            <v>SOUR BERRYS     (CERVECERA CCU CHILE LTDA.)</v>
          </cell>
        </row>
        <row r="520">
          <cell r="A520" t="str">
            <v>SPRIT     (NUEVOS ALMACENES INTERNACIONALES S.A.)</v>
          </cell>
        </row>
        <row r="521">
          <cell r="A521" t="str">
            <v>SSANYONG     (SSANYONG MOTOR CHILE S.A)</v>
          </cell>
        </row>
        <row r="522">
          <cell r="A522" t="str">
            <v>STARBUCK´S     (SUR ANDINO CAFE S.A.)</v>
          </cell>
        </row>
        <row r="523">
          <cell r="A523" t="str">
            <v>Step UP     (Bazuca Films Limitada)</v>
          </cell>
        </row>
        <row r="524">
          <cell r="A524" t="str">
            <v>SUBCENTRO LAS CONDES     (SUBCENTRO LAS CONDES)</v>
          </cell>
        </row>
        <row r="525">
          <cell r="A525" t="str">
            <v>SUN     (BEIRSDORF S.A.)</v>
          </cell>
        </row>
        <row r="526">
          <cell r="A526" t="str">
            <v>SUPER CERDO     (AGROSUPER COM. DE ALIMENTOS LTDA.)</v>
          </cell>
        </row>
        <row r="527">
          <cell r="A527" t="str">
            <v>SUZUKI     (ASPILLAGA HORNAHUER)</v>
          </cell>
        </row>
        <row r="528">
          <cell r="A528" t="str">
            <v>SVELTY     (NESTLÉ CHILE S.A.)</v>
          </cell>
        </row>
        <row r="529">
          <cell r="A529" t="str">
            <v>SWATCH     (H. BRIONES COMERCIAL S.A.)</v>
          </cell>
        </row>
        <row r="530">
          <cell r="A530" t="str">
            <v>TABLETAS     (NESTLÉ CHILE S.A.)</v>
          </cell>
        </row>
        <row r="531">
          <cell r="A531" t="str">
            <v>TARDES DE COPA     (PARQUE ARAUCO S.A.)</v>
          </cell>
        </row>
        <row r="532">
          <cell r="A532" t="str">
            <v>TARJETA     (ENTEL S.A.)</v>
          </cell>
        </row>
        <row r="533">
          <cell r="A533" t="str">
            <v>TARJETA CIRCULO MAS     (ALMACENES PARIS)</v>
          </cell>
        </row>
        <row r="534">
          <cell r="A534" t="str">
            <v>TARJETA CIRCULO MAS     (CENCOSUD S.A.)</v>
          </cell>
        </row>
        <row r="535">
          <cell r="A535" t="str">
            <v>TARJETA PARIS Y JUMBO REGALO INAGURACION     (ALMACENES PARIS)</v>
          </cell>
        </row>
        <row r="536">
          <cell r="A536" t="str">
            <v>TARJETAS     (ALMACENES PARIS)</v>
          </cell>
        </row>
        <row r="537">
          <cell r="A537" t="str">
            <v>TDK     (REIFSCHNEIDER S.A.)</v>
          </cell>
        </row>
        <row r="538">
          <cell r="A538" t="str">
            <v>TE LIVIAN     (CORPORA TRES MONTES S.A.)</v>
          </cell>
        </row>
        <row r="539">
          <cell r="A539" t="str">
            <v>TEATRO     (PARQUE ARAUCO S.A.)</v>
          </cell>
        </row>
        <row r="540">
          <cell r="A540" t="str">
            <v>TECNO PARIS     (ALMACENES PARIS)</v>
          </cell>
        </row>
        <row r="541">
          <cell r="A541" t="str">
            <v>TEJIDOS CAFFARENA     (TEJIDOS CAFFARENA S.A.)</v>
          </cell>
        </row>
        <row r="542">
          <cell r="A542" t="str">
            <v>TELEFONICA     (TELECOMUNICACIONES MOVILES DE CHILE)</v>
          </cell>
        </row>
        <row r="543">
          <cell r="A543" t="str">
            <v>TELEFONICA CTC     (TELECOMUNICACIONES MOVILES DE CHILE)</v>
          </cell>
        </row>
        <row r="544">
          <cell r="A544" t="str">
            <v>TELEFONICA MOVIL DE CHILE     (TELECOMUNICACIONES MOVILES DE CHILE)</v>
          </cell>
        </row>
        <row r="545">
          <cell r="A545" t="str">
            <v>TELEFONICA WIFI     (TELECOMUNICACIONES MOVILES DE CHILE)</v>
          </cell>
        </row>
        <row r="546">
          <cell r="A546" t="str">
            <v>TELESERIE     (CORP. DE TELEVISION DE LA PONT. UNIVERSIDAD CATOLICA)</v>
          </cell>
        </row>
        <row r="547">
          <cell r="A547" t="str">
            <v>TELESERIE     (TELEVISION NACIONAL DE CHILE)</v>
          </cell>
        </row>
        <row r="548">
          <cell r="A548" t="str">
            <v>TELESERIE COMPLICES     (TELEVISION NACIONAL DE CHILE)</v>
          </cell>
        </row>
        <row r="549">
          <cell r="A549" t="str">
            <v>TELETON     (ILUSTRE MUNICIPALIDAD DE LAS CONDES)</v>
          </cell>
        </row>
        <row r="550">
          <cell r="A550" t="str">
            <v>TELETON     (SODIMAC S.A.)</v>
          </cell>
        </row>
        <row r="551">
          <cell r="A551" t="str">
            <v>TELETON     (TELETON)</v>
          </cell>
        </row>
        <row r="552">
          <cell r="A552" t="str">
            <v>TELEVISION     (RED DE TELEVISION CHILEVISION S.A.)</v>
          </cell>
        </row>
        <row r="553">
          <cell r="A553" t="str">
            <v>TELEVISION NACIONAL DE CHILE     (TELEVISION NACIONAL DE CHILE)</v>
          </cell>
        </row>
        <row r="554">
          <cell r="A554" t="str">
            <v>TELMEX     (TELMEX SERVICIOS EMPRESARIALES)</v>
          </cell>
        </row>
        <row r="555">
          <cell r="A555" t="str">
            <v>TEMPORADA PRIMAVERA-VERANO     (PRIVILEGE S.A.)</v>
          </cell>
        </row>
        <row r="556">
          <cell r="A556" t="str">
            <v>TERRA     (TERRA NETWORKS CHILE S.A.)</v>
          </cell>
        </row>
        <row r="557">
          <cell r="A557" t="str">
            <v>THE WALT DISNEY COMPANY     (THE WALT DISNEY COMPANY CHILE S.A.)</v>
          </cell>
        </row>
        <row r="558">
          <cell r="A558" t="str">
            <v>THE WINNERS     (URBANO PRODUCCIONES LTDA.)</v>
          </cell>
        </row>
        <row r="559">
          <cell r="A559" t="str">
            <v>THERMOS     (RETAIL S.A.)</v>
          </cell>
        </row>
        <row r="560">
          <cell r="A560" t="str">
            <v>THOMAS     (LOS ROBLES S.A.)</v>
          </cell>
        </row>
        <row r="561">
          <cell r="A561" t="str">
            <v>TIMBERLAND     (SPARTA DEPORTES LTDA.)</v>
          </cell>
        </row>
        <row r="562">
          <cell r="A562" t="str">
            <v>TNT     (TNT)</v>
          </cell>
        </row>
        <row r="563">
          <cell r="A563" t="str">
            <v>TOYOTOMI     (COMERCIAL E IMPORTADORA BBR S.A.)</v>
          </cell>
        </row>
        <row r="564">
          <cell r="A564" t="str">
            <v>TRABAJOS INTERNOS     (SCL TERMINAL AEREO DE SANTIAGO S.A.)</v>
          </cell>
        </row>
        <row r="565">
          <cell r="A565" t="str">
            <v>TRANSBANK     (TRANSBANK S.A.)</v>
          </cell>
        </row>
        <row r="566">
          <cell r="A566" t="str">
            <v>TRIAL     (Fca. Confecciones Trial S.A.)</v>
          </cell>
        </row>
        <row r="567">
          <cell r="A567" t="str">
            <v>TRICOT     (TRICOT S.A.)</v>
          </cell>
        </row>
        <row r="568">
          <cell r="A568" t="str">
            <v>TRITON     (NESTLÉ CHILE S.A.)</v>
          </cell>
        </row>
        <row r="569">
          <cell r="A569" t="str">
            <v>TRIUMPH     (TRIUMPH PH INTERNATIONAL DE CHILE LTDA)</v>
          </cell>
        </row>
        <row r="570">
          <cell r="A570" t="str">
            <v>TRONWELL     (TRONWELL)</v>
          </cell>
        </row>
        <row r="571">
          <cell r="A571" t="str">
            <v>TU     (CONSORCIO NAC. SEGUROS DE VIDA S.A.)</v>
          </cell>
        </row>
        <row r="572">
          <cell r="A572" t="str">
            <v>TVN     (TELEVISION NACIONAL DE CHILE)</v>
          </cell>
        </row>
        <row r="573">
          <cell r="A573" t="str">
            <v>UCINF     (UNIVERSIDAD DE CIENCIAS DE LA INFORMATICA)</v>
          </cell>
        </row>
        <row r="574">
          <cell r="A574" t="str">
            <v>UMBRALE     (ALMACENES PARIS)</v>
          </cell>
        </row>
        <row r="575">
          <cell r="A575" t="str">
            <v>UMBRALE     (UMBRALE S.A.)</v>
          </cell>
        </row>
        <row r="576">
          <cell r="A576" t="str">
            <v>UN NIÑO, UNA CAMA     (FUNDACION INTEGRA)</v>
          </cell>
        </row>
        <row r="577">
          <cell r="A577" t="str">
            <v>UN TECHO PARA CHILE     (HOGAR DE CRISTO)</v>
          </cell>
        </row>
        <row r="578">
          <cell r="A578" t="str">
            <v>UNICA     (CANNEX)</v>
          </cell>
        </row>
        <row r="579">
          <cell r="A579" t="str">
            <v>UNILEVER     (UNILEVER CHILE S.A.)</v>
          </cell>
        </row>
        <row r="580">
          <cell r="A580" t="str">
            <v>UNIVERSIDAD     (P.U.C. CENTRO EXTENSION (UNIVERSIDADES))</v>
          </cell>
        </row>
        <row r="581">
          <cell r="A581" t="str">
            <v>UNIVERSIDAD     (UNIVERSIDAD ARTURO PRAT)</v>
          </cell>
        </row>
        <row r="582">
          <cell r="A582" t="str">
            <v>UNIVERSIDAD ADOLFO IBAÑEZ     (UNIVERSIDAD ADOLFO IBAÑEZ)</v>
          </cell>
        </row>
        <row r="583">
          <cell r="A583" t="str">
            <v>UNIVERSIDAD CATOLICA DEL NORTE     (P.U.C. CENTRO EXTENSION (UNIVERSIDADES))</v>
          </cell>
        </row>
        <row r="584">
          <cell r="A584" t="str">
            <v>UNIVERSIDAD CENTRAL     (UNIVERSIDAD CENTRAL DE CHILE)</v>
          </cell>
        </row>
        <row r="585">
          <cell r="A585" t="str">
            <v>UNIVERSIDAD DE CONCEPCION     (UNIVERSIDAD DE CONCEPCION)</v>
          </cell>
        </row>
        <row r="586">
          <cell r="A586" t="str">
            <v>UNIVERSIDAD DEL PACIFICO     (UNIVERSIDAD DEL PACIFICO)</v>
          </cell>
        </row>
        <row r="587">
          <cell r="A587" t="str">
            <v>UNIVERSIDAD DIEGO PORTALES     (UNIVERSIDAD DIEGO PORTALES)</v>
          </cell>
        </row>
        <row r="588">
          <cell r="A588" t="str">
            <v>UNIVERSIDAD FINIS TERRAE     (UNIVERSIDAD FINIS TERRAE)</v>
          </cell>
        </row>
        <row r="589">
          <cell r="A589" t="str">
            <v>UNIVERSIDAD GABRIELA MISTRAL     (UNIVERSIDAD GABRIELA MISTRAL)</v>
          </cell>
        </row>
        <row r="590">
          <cell r="A590" t="str">
            <v>VARIG     (VARIG)</v>
          </cell>
        </row>
        <row r="591">
          <cell r="A591" t="str">
            <v>VECINOS INVASORES     (UNITED INTERNATIONAL PICTURES)</v>
          </cell>
        </row>
        <row r="592">
          <cell r="A592" t="str">
            <v>VEET     (RECKITT &amp; BECKINSER)</v>
          </cell>
        </row>
        <row r="593">
          <cell r="A593" t="str">
            <v>VENTA NOCTURNA     (MALL PLAZA)</v>
          </cell>
        </row>
        <row r="594">
          <cell r="A594" t="str">
            <v>VENTA NOCTURNA     (PARQUE ARAUCO S.A.)</v>
          </cell>
        </row>
        <row r="595">
          <cell r="A595" t="str">
            <v>VERANO     (GRUPO CALDERON)</v>
          </cell>
        </row>
        <row r="596">
          <cell r="A596" t="str">
            <v>VERANO     (MALL PLAZA)</v>
          </cell>
        </row>
        <row r="597">
          <cell r="A597" t="str">
            <v>VERANO     (SODIMAC S.A.)</v>
          </cell>
        </row>
        <row r="598">
          <cell r="A598" t="str">
            <v>VIDA INTEGRA     (ISAPRE BANMEDICA)</v>
          </cell>
        </row>
        <row r="599">
          <cell r="A599" t="str">
            <v>VIDA SECURITY     (INMOBILIARIA SECURITY)</v>
          </cell>
        </row>
        <row r="600">
          <cell r="A600" t="str">
            <v>VINO SOUR     (VIÑA SAN PEDRO S.A.)</v>
          </cell>
        </row>
        <row r="601">
          <cell r="A601" t="str">
            <v>VINOS     (CENCOSUD S.A.)</v>
          </cell>
        </row>
        <row r="602">
          <cell r="A602" t="str">
            <v>VISA     (VISA)</v>
          </cell>
        </row>
        <row r="603">
          <cell r="A603" t="str">
            <v>VITALIFE     (NESTLÉ CHILE S.A.)</v>
          </cell>
        </row>
        <row r="604">
          <cell r="A604" t="str">
            <v>VOLKSWAGEN     (MACO INDUSTRIAL Y COMERCIAL S.A.)</v>
          </cell>
        </row>
        <row r="605">
          <cell r="A605" t="str">
            <v>VOLUNTARIADO     (HOGAR DE CRISTO)</v>
          </cell>
        </row>
        <row r="606">
          <cell r="A606" t="str">
            <v>VTR     (VTR BANDA ANCHA S.A.)</v>
          </cell>
        </row>
        <row r="607">
          <cell r="A607" t="str">
            <v>VTR BANDA ANCHA     (VTR BANDA ANCHA S.A.)</v>
          </cell>
        </row>
        <row r="608">
          <cell r="A608" t="str">
            <v>VTR DIGITAL     (VTR BANDA ANCHA S.A.)</v>
          </cell>
        </row>
        <row r="609">
          <cell r="A609" t="str">
            <v>VTR HOGAR SEGURO     (VTR BANDA ANCHA S.A.)</v>
          </cell>
        </row>
        <row r="610">
          <cell r="A610" t="str">
            <v>VTR TRIPLE MARZO     (VTR BANDA ANCHA S.A.)</v>
          </cell>
        </row>
        <row r="611">
          <cell r="A611" t="str">
            <v>WADDOS     (CREACIONES MELODY LTDA.)</v>
          </cell>
        </row>
        <row r="612">
          <cell r="A612" t="str">
            <v>WALKING AIR     (MANUFACTURAS DE CALZADOS GUANTE LTDA.)</v>
          </cell>
        </row>
        <row r="613">
          <cell r="A613" t="str">
            <v>WANAMA     (FALABELLA S.A.C.I.)</v>
          </cell>
        </row>
        <row r="614">
          <cell r="A614" t="str">
            <v>WATTS     (WATT'S S.A.)</v>
          </cell>
        </row>
        <row r="615">
          <cell r="A615" t="str">
            <v>WELLATON     (PROCTER &amp; GAMBLE COMERCIAL LTDA.)</v>
          </cell>
        </row>
        <row r="616">
          <cell r="A616" t="str">
            <v>WENGER     (H. BRIONES COMERCIAL S.A.)</v>
          </cell>
        </row>
        <row r="617">
          <cell r="A617" t="str">
            <v>WINE     (VIÑA SANTA RITA SA)</v>
          </cell>
        </row>
        <row r="618">
          <cell r="A618" t="str">
            <v>XXL     (LOREAL CHILE S.A.)</v>
          </cell>
        </row>
        <row r="619">
          <cell r="A619" t="str">
            <v>YOGURHT     (NESTLÉ CHILE S.A.)</v>
          </cell>
        </row>
        <row r="620">
          <cell r="A620" t="str">
            <v>YOGURHT - SVELTY     (NESTLÉ CHILE S.A.)</v>
          </cell>
        </row>
        <row r="621">
          <cell r="A621" t="str">
            <v>YSL     (F.G.M. AROME ET BEAUTE)</v>
          </cell>
        </row>
        <row r="622">
          <cell r="A622" t="str">
            <v>ZAPATILLAS     (IMPORTADORA OBJECTIFLUN)</v>
          </cell>
        </row>
        <row r="623">
          <cell r="A623" t="str">
            <v>ZAPATILLAS ADRENALIN     (COMERCIAL ADRENALIN LTDA.)</v>
          </cell>
        </row>
        <row r="624">
          <cell r="A624" t="str">
            <v>ZEBRA     (TRIUMPH PH INTERNATIONAL DE CHILE LTDA)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Diarios Santiago"/>
      <sheetName val="P_Revistas"/>
      <sheetName val="Plantilla Gráfica"/>
      <sheetName val="P_Suplementos"/>
      <sheetName val="P_Gráfica"/>
      <sheetName val="Venta"/>
      <sheetName val="Parámetros"/>
      <sheetName val="Calcular"/>
      <sheetName val="Diarios"/>
      <sheetName val="Revistas"/>
      <sheetName val="Suplementos"/>
      <sheetName val="d_Target"/>
      <sheetName val="Ingreso de GSE y +"/>
      <sheetName val="L x E, revistas"/>
      <sheetName val="LxE-Sup-LV"/>
      <sheetName val="LxE-Sup-Sáb"/>
      <sheetName val="LxE-Sup-Dom"/>
      <sheetName val="L x E, Diarios"/>
      <sheetName val="Borradorcillo"/>
      <sheetName val="Duende2"/>
      <sheetName val="Módulo1"/>
      <sheetName val="DIC'96"/>
      <sheetName val="Module1"/>
      <sheetName val="P_Diarios_Santiago"/>
      <sheetName val="Plantilla_Gráfica"/>
      <sheetName val="Ingreso_de_GSE_y_+"/>
      <sheetName val="L_x_E,_revistas"/>
      <sheetName val="L_x_E,_Diarios"/>
      <sheetName val="P_Diarios_Santiago1"/>
      <sheetName val="Plantilla_Gráfica1"/>
      <sheetName val="Ingreso_de_GSE_y_+1"/>
      <sheetName val="L_x_E,_revistas1"/>
      <sheetName val="L_x_E,_Diarios1"/>
      <sheetName val="Setup"/>
      <sheetName val="Resumen anual acumulado"/>
      <sheetName val="DIC'96.XLS"/>
      <sheetName val="Resumen_anual_acumulado"/>
      <sheetName val="Base para buscarv"/>
      <sheetName val="Resumen_anual_acumulado1"/>
      <sheetName val="PLANGENERAL"/>
      <sheetName val="\\Server-ls\datos\WKS\CLAUDIO\D"/>
      <sheetName val="Rk"/>
      <sheetName val="DATA BASE"/>
      <sheetName val="Notas"/>
      <sheetName val="Regiones Noviembre 2002"/>
      <sheetName val="Factura"/>
      <sheetName val="Personalizar"/>
      <sheetName val="\\Server-ls\datos\WKS\ENC-REV\D"/>
      <sheetName val="DATA_BASE"/>
      <sheetName val="P_Diarios_Santiago2"/>
      <sheetName val="Plantilla_Gráfica2"/>
      <sheetName val="Ingreso_de_GSE_y_+2"/>
      <sheetName val="L_x_E,_revistas2"/>
      <sheetName val="L_x_E,_Diarios2"/>
      <sheetName val="Resumen_anual_acumulado2"/>
      <sheetName val="DIC'96_XLS"/>
      <sheetName val="Base_para_buscarv"/>
      <sheetName val="DATA_BASE1"/>
      <sheetName val="\Users\administrator\Desktop\Re"/>
      <sheetName val="Cadencement Main d'Oeuvre Franc"/>
      <sheetName val="P_Diarios_Santiago3"/>
      <sheetName val="Plantilla_Gráfica3"/>
      <sheetName val="Ingreso_de_GSE_y_+3"/>
      <sheetName val="L_x_E,_revistas3"/>
      <sheetName val="L_x_E,_Diarios3"/>
      <sheetName val="Resumen_anual_acumulado3"/>
      <sheetName val="DIC'96_XLS1"/>
      <sheetName val="Base_para_buscarv1"/>
      <sheetName val="DATA_BASE2"/>
      <sheetName val="Regiones_Noviembre_2002"/>
      <sheetName val="P_Diarios_Santiago4"/>
      <sheetName val="Plantilla_Gráfica4"/>
      <sheetName val="Ingreso_de_GSE_y_+4"/>
      <sheetName val="L_x_E,_revistas4"/>
      <sheetName val="L_x_E,_Diarios4"/>
      <sheetName val="Resumen_anual_acumulado4"/>
      <sheetName val="DIC'96_XLS2"/>
      <sheetName val="Base_para_buscarv2"/>
      <sheetName val="DATA_BASE3"/>
      <sheetName val="Regiones_Noviembre_20021"/>
      <sheetName val="P_Diarios_Santiago5"/>
      <sheetName val="Plantilla_Gráfica5"/>
      <sheetName val="Ingreso_de_GSE_y_+5"/>
      <sheetName val="L_x_E,_revistas5"/>
      <sheetName val="L_x_E,_Diarios5"/>
      <sheetName val="Resumen_anual_acumulado5"/>
      <sheetName val="DIC'96_XLS3"/>
      <sheetName val="Base_para_buscarv3"/>
      <sheetName val="DATA_BASE4"/>
      <sheetName val="Regiones_Noviembre_20022"/>
      <sheetName val="#REF!"/>
      <sheetName val="\@\Server-ls\datos\WKS\CLAUDIO\"/>
      <sheetName val="\F\@\Server-ls\datos\WKS\CLAUDI"/>
      <sheetName val="\Users\Vhdaher\Library\Caches\T"/>
      <sheetName val="\C\Users\Vhdaher\Library\Caches"/>
      <sheetName val="\C\C\Users\Vhdaher\Library\Cach"/>
      <sheetName val="\Users\vicente.reyes\AppData\Lo"/>
      <sheetName val="\C\Users\vicente.reyes\AppData\"/>
      <sheetName val="\@\Server-ls\datos\WKS\ENC-REV\"/>
      <sheetName val="[DIC'96.XLS][DIC'96.XLS][DIC'96"/>
      <sheetName val="\\10.69.224.228\SMG-Mediavest\@"/>
      <sheetName val="\Grupo_MWilson\Belcorp Regional"/>
      <sheetName val="[DIC'96.XLS]\\Server-ls\datos\W"/>
      <sheetName val="[DIC'96.XLS]\Users\administrato"/>
      <sheetName val="[DIC'96.XLS]\@\Server-ls\datos\"/>
      <sheetName val="Tapa"/>
      <sheetName val="Rnk Cable"/>
      <sheetName val="RTG Radios NN Final"/>
      <sheetName val="RTG Radios Lima Final"/>
      <sheetName val="\Users\richard\Library\Containe"/>
      <sheetName val="\C\Users\richard\Library\Contai"/>
      <sheetName val="[DIC'96.XLS][DIC'96.XLS]\\Serve"/>
      <sheetName val="[DIC'96.XLS][DIC'96.XLS]\Users\"/>
      <sheetName val="[DIC'96.XLS][DIC'96.XLS]\@\Serv"/>
      <sheetName val="[DIC'96.XLS][DIC'96.XLS]\C\User"/>
      <sheetName val="[DIC'96.XLS]\Users\vicente.reye"/>
      <sheetName val="[DIC'96.XLS]\C\Users\vicente.re"/>
      <sheetName val="[DIC'96.XLS]\F\@\Server-ls\dato"/>
      <sheetName val="FINAL"/>
      <sheetName val="Resumen_anual_acumulado6"/>
      <sheetName val="Base_para_buscarv4"/>
      <sheetName val="P_Diarios_Santiago6"/>
      <sheetName val="Plantilla_Gráfica6"/>
      <sheetName val="Ingreso_de_GSE_y_+6"/>
      <sheetName val="L_x_E,_revistas6"/>
      <sheetName val="L_x_E,_Diarios6"/>
      <sheetName val="DIC'96_XLS4"/>
      <sheetName val="DATA_BASE5"/>
      <sheetName val="Regiones_Noviembre_20023"/>
      <sheetName val="Cadencement_Main_d'Oeuvre_Franc"/>
      <sheetName val="\Users\vicente_reyes\AppData\Lo"/>
      <sheetName val="\C\Users\vicente_reyes\AppData\"/>
      <sheetName val="Resumen_anual_acumulado8"/>
      <sheetName val="Base_para_buscarv6"/>
      <sheetName val="P_Diarios_Santiago8"/>
      <sheetName val="Plantilla_Gráfica8"/>
      <sheetName val="Ingreso_de_GSE_y_+8"/>
      <sheetName val="L_x_E,_revistas8"/>
      <sheetName val="L_x_E,_Diarios8"/>
      <sheetName val="DIC'96_XLS6"/>
      <sheetName val="DATA_BASE7"/>
      <sheetName val="Regiones_Noviembre_20025"/>
      <sheetName val="Cadencement_Main_d'Oeuvre_Fran2"/>
      <sheetName val="\Users\vicente_reyes\AppData\L2"/>
      <sheetName val="\C\Users\vicente_reyes\AppData2"/>
      <sheetName val="Resumen_anual_acumulado7"/>
      <sheetName val="Base_para_buscarv5"/>
      <sheetName val="P_Diarios_Santiago7"/>
      <sheetName val="Plantilla_Gráfica7"/>
      <sheetName val="Ingreso_de_GSE_y_+7"/>
      <sheetName val="L_x_E,_revistas7"/>
      <sheetName val="L_x_E,_Diarios7"/>
      <sheetName val="DIC'96_XLS5"/>
      <sheetName val="DATA_BASE6"/>
      <sheetName val="Regiones_Noviembre_20024"/>
      <sheetName val="Cadencement_Main_d'Oeuvre_Fran1"/>
      <sheetName val="\Users\vicente_reyes\AppData\L1"/>
      <sheetName val="\C\Users\vicente_reyes\AppData1"/>
      <sheetName val="Resumen_anual_acumulado10"/>
      <sheetName val="Base_para_buscarv8"/>
      <sheetName val="P_Diarios_Santiago10"/>
      <sheetName val="Plantilla_Gráfica10"/>
      <sheetName val="Ingreso_de_GSE_y_+10"/>
      <sheetName val="L_x_E,_revistas10"/>
      <sheetName val="L_x_E,_Diarios10"/>
      <sheetName val="DIC'96_XLS8"/>
      <sheetName val="DATA_BASE9"/>
      <sheetName val="Regiones_Noviembre_20027"/>
      <sheetName val="Cadencement_Main_d'Oeuvre_Fran4"/>
      <sheetName val="\Users\vicente_reyes\AppData\L4"/>
      <sheetName val="\C\Users\vicente_reyes\AppData4"/>
      <sheetName val="Resumen_anual_acumulado9"/>
      <sheetName val="Base_para_buscarv7"/>
      <sheetName val="P_Diarios_Santiago9"/>
      <sheetName val="Plantilla_Gráfica9"/>
      <sheetName val="Ingreso_de_GSE_y_+9"/>
      <sheetName val="L_x_E,_revistas9"/>
      <sheetName val="L_x_E,_Diarios9"/>
      <sheetName val="DIC'96_XLS7"/>
      <sheetName val="DATA_BASE8"/>
      <sheetName val="Regiones_Noviembre_20026"/>
      <sheetName val="Cadencement_Main_d'Oeuvre_Fran3"/>
      <sheetName val="\Users\vicente_reyes\AppData\L3"/>
      <sheetName val="\C\Users\vicente_reyes\AppData3"/>
      <sheetName val="Resumen_anual_acumulado11"/>
      <sheetName val="Base_para_buscarv9"/>
      <sheetName val="P_Diarios_Santiago11"/>
      <sheetName val="Plantilla_Gráfica11"/>
      <sheetName val="Ingreso_de_GSE_y_+11"/>
      <sheetName val="L_x_E,_revistas11"/>
      <sheetName val="L_x_E,_Diarios11"/>
      <sheetName val="DIC'96_XLS9"/>
      <sheetName val="DATA_BASE10"/>
      <sheetName val="Regiones_Noviembre_20028"/>
      <sheetName val="Cadencement_Main_d'Oeuvre_Fran5"/>
      <sheetName val="\Users\vicente_reyes\AppData\L5"/>
      <sheetName val="\C\Users\vicente_reyes\AppData5"/>
      <sheetName val="Resumen_anual_acumulado12"/>
      <sheetName val="Base_para_buscarv10"/>
      <sheetName val="P_Diarios_Santiago12"/>
      <sheetName val="Plantilla_Gráfica12"/>
      <sheetName val="Ingreso_de_GSE_y_+12"/>
      <sheetName val="L_x_E,_revistas12"/>
      <sheetName val="L_x_E,_Diarios12"/>
      <sheetName val="DIC'96_XLS10"/>
      <sheetName val="DATA_BASE11"/>
      <sheetName val="Regiones_Noviembre_20029"/>
      <sheetName val="Cadencement_Main_d'Oeuvre_Fran6"/>
      <sheetName val="\Users\vicente_reyes\AppData\L6"/>
      <sheetName val="\C\Users\vicente_reyes\AppData6"/>
      <sheetName val="\Users\Ana_Gabriela\Library\Mai"/>
      <sheetName val="Sheet16"/>
      <sheetName val="Contratos"/>
      <sheetName val="DataInternet"/>
      <sheetName val="anarev"/>
      <sheetName val="P_Diarios_Santiago13"/>
      <sheetName val="[DIC'96.XLS][DIC'96.XLS]\F\@\Se"/>
      <sheetName val="[DIC'96.XLS][DIC'96.XLS]\E\@\Se"/>
      <sheetName val="[DIC'96.XLS][DIC'96.XLS]\C\C\Us"/>
      <sheetName val="[DIC'96.XLS]\E\@\Server-ls\dato"/>
      <sheetName val="[DIC'96.XLS]\Users\Vhdaher\Libr"/>
      <sheetName val="[DIC'96.XLS]\C\Users\Vhdaher\Li"/>
      <sheetName val="[DIC'96.XLS]\C\C\Users\Vhdaher\"/>
      <sheetName val="\E\@\Server-ls\datos\WKS\CLAUDI"/>
      <sheetName val="__Server-ls_datos_WKS_CLAUDIO_D"/>
      <sheetName val="__Server-ls_datos_WKS_ENC-REV_D"/>
      <sheetName val="_@_Server-ls_datos_WKS_CLAUDIO_"/>
      <sheetName val="_F_@_Server-ls_datos_WKS_CLAUDI"/>
      <sheetName val="_Users_administrator_Desktop_Re"/>
      <sheetName val="_Users_vicente.reyes_AppData_Lo"/>
      <sheetName val="_C_Users_vicente.reyes_AppData_"/>
      <sheetName val="_@_Server-ls_datos_WKS_ENC-REV_"/>
      <sheetName val="_Users_Vhdaher_Library_Caches_T"/>
      <sheetName val="_C_Users_Vhdaher_Library_Caches"/>
      <sheetName val="_C_C_Users_Vhdaher_Library_Cach"/>
      <sheetName val="_Users_richard_Library_Containe"/>
      <sheetName val="_C_Users_richard_Library_Contai"/>
      <sheetName val="__10.69.224.228_SMG-Mediavest_@"/>
      <sheetName val="_Grupo_MWilson_Belcorp Regional"/>
      <sheetName val="_DIC'96.XLS___Server-ls_datos_W"/>
      <sheetName val="_DIC'96.XLS__Users_administrato"/>
      <sheetName val="_DIC'96.XLS__DIC'96.XLS__DIC'96"/>
      <sheetName val="_DIC'96.XLS__DIC'96.XLS___Serve"/>
      <sheetName val="_DIC'96.XLS__DIC'96.XLS__Users_"/>
      <sheetName val="_DIC'96.XLS__DIC'96.XLS__@_Serv"/>
      <sheetName val="_DIC'96.XLS__DIC'96.XLS__C_User"/>
      <sheetName val="_DIC'96.XLS__@_Server-ls_datos_"/>
      <sheetName val="_DIC'96.XLS__Users_vicente.reye"/>
      <sheetName val="_DIC'96.XLS__C_Users_vicente.re"/>
      <sheetName val="_DIC'96.XLS__F_@_Server-ls_dato"/>
      <sheetName val="Rnk_Cable1"/>
      <sheetName val="RTG_Radios_NN_Final1"/>
      <sheetName val="RTG_Radios_Lima_Final1"/>
      <sheetName val="Rnk_Cable"/>
      <sheetName val="RTG_Radios_NN_Final"/>
      <sheetName val="RTG_Radios_Lima_Final"/>
      <sheetName val="[DIC'96_XLS]\\Server-ls\datos\W"/>
      <sheetName val="[DIC'96_XLS]\Users\administrato"/>
      <sheetName val="[DIC'96_XLS]\@\Server-ls\datos\"/>
      <sheetName val="[DIC'96_XLS][DIC'96_XLS]\\Serve"/>
      <sheetName val="[DIC'96_XLS][DIC'96_XLS]\Users\"/>
      <sheetName val="[DIC'96_XLS][DIC'96_XLS]\@\Serv"/>
      <sheetName val="[DIC'96_XLS][DIC'96_XLS][DIC'96"/>
      <sheetName val="\H\Users\esilva\Library\Caches\"/>
      <sheetName val="_Users_vicente_reyes_AppData_Lo"/>
      <sheetName val="_C_Users_vicente_reyes_AppData_"/>
      <sheetName val="_Users_vicente_reyes_AppData_L2"/>
      <sheetName val="_C_Users_vicente_reyes_AppData2"/>
      <sheetName val="_Users_vicente_reyes_AppData_L1"/>
      <sheetName val="_C_Users_vicente_reyes_AppData1"/>
      <sheetName val="_Users_vicente_reyes_AppData_L4"/>
      <sheetName val="_C_Users_vicente_reyes_AppData4"/>
      <sheetName val="_Users_vicente_reyes_AppData_L3"/>
      <sheetName val="_C_Users_vicente_reyes_AppData3"/>
      <sheetName val="_Users_vicente_reyes_AppData_L5"/>
      <sheetName val="_C_Users_vicente_reyes_AppData5"/>
      <sheetName val="DATOS"/>
      <sheetName val="#REF"/>
      <sheetName val="[DIC'96.XLS][DIC'96.XLS]\\10.69"/>
      <sheetName val="[DIC'96.XLS][DIC'96.XLS]\Grupo_"/>
      <sheetName val="[DIC'96.XLS][DIC'96_XLS][DIC'96"/>
      <sheetName val="[DIC'96.XLS]__Server_ls_datos_2"/>
      <sheetName val="[DIC'96.XLS]__Server_ls_datos_3"/>
      <sheetName val="[DIC'96.XLS]___Server_ls_dato_2"/>
      <sheetName val="[DIC'96.XLS]_F___Server_ls_da_2"/>
      <sheetName val="[DIC'96.XLS]_Users_administra_2"/>
      <sheetName val="[DIC'96.XLS]_Users_richard_Li_2"/>
      <sheetName val="[DIC'96.XLS]_C_Users_richard__2"/>
      <sheetName val="[DIC'96.XLS]_E___Server_ls_da_2"/>
      <sheetName val="[DIC'96.XLS][DIC'96.XLS]__Ser_2"/>
      <sheetName val="[DIC'96.XLS][DIC'96.XLS]___Se_2"/>
      <sheetName val="[DIC'96.XLS][DIC'96.XLS]_F____2"/>
      <sheetName val="[DIC'96.XLS][DIC'96.XLS]_DIC__2"/>
      <sheetName val="[DIC'96.XLS][DIC'96.XLS]_DIC__3"/>
      <sheetName val="[DIC'96.XLS][DIC'96.XLS]_DIC__4"/>
      <sheetName val="[DIC'96.XLS]_Users_Vhdaher_Li_2"/>
      <sheetName val="[DIC'96.XLS]_C_Users_Vhdaher__2"/>
      <sheetName val="[DIC'96.XLS]_C_C_Users_Vhdahe_2"/>
      <sheetName val="[DIC'96.XLS]_Users_vicente_re_2"/>
      <sheetName val="[DIC'96.XLS]_C_Users_vicente__2"/>
      <sheetName val="[DIC'96.XLS]___Server_ls_dato_3"/>
      <sheetName val="[DIC'96.XLS][DIC'96.XLS]_DIC__5"/>
      <sheetName val="[DIC'96.XLS][DIC'96.XLS]_DIC__6"/>
      <sheetName val="[DIC'96.XLS][DIC'96.XLS]_DIC__7"/>
      <sheetName val="[DIC'96.XLS][DIC'96.XLS]_DIC__8"/>
      <sheetName val="[DIC'96.XLS][DIC'96.XLS]_E____2"/>
      <sheetName val="[DIC'96.XLS][DIC'96.XLS]_User_2"/>
      <sheetName val="[DIC'96.XLS][DIC'96.XLS]_User_3"/>
      <sheetName val="[DIC'96.XLS][DIC'96.XLS]_C_Us_2"/>
      <sheetName val="[DIC'96.XLS][DIC'96.XLS]_C_C__2"/>
      <sheetName val="Ficha Técnica"/>
      <sheetName val="P_Diarios_Santiago14"/>
      <sheetName val="P_Diarios_Santiago15"/>
      <sheetName val="P_Diarios_Santiago16"/>
      <sheetName val="Plantilla_Gráfica13"/>
      <sheetName val="Ingreso_de_GSE_y_+13"/>
      <sheetName val="L_x_E,_revistas13"/>
      <sheetName val="L_x_E,_Diarios13"/>
      <sheetName val="Resumen_anual_acumulado13"/>
      <sheetName val="DIC'96_XLS11"/>
      <sheetName val="Base_para_buscarv11"/>
      <sheetName val="DATA_BASE12"/>
      <sheetName val="Regiones_Noviembre_200210"/>
      <sheetName val="Cadencement_Main_d'Oeuvre_Fran7"/>
      <sheetName val="\Users\vicente_reyes\AppData\L7"/>
      <sheetName val="\C\Users\vicente_reyes\AppData7"/>
      <sheetName val="\\10_69_224_228\SMG-Mediavest\@"/>
      <sheetName val="\Grupo_MWilson\Belcorp_Regional"/>
      <sheetName val="[DIC'96_XLS]\F\@\Server-ls\dato"/>
      <sheetName val="[DIC'96_XLS][DIC'96_XLS]\C\User"/>
      <sheetName val="[DIC'96_XLS]\Users\vicente_reye"/>
      <sheetName val="[DIC'96_XLS]\C\Users\vicente_re"/>
      <sheetName val="[DIC'96_XLS][DIC'96_XLS]\F\@\Se"/>
      <sheetName val="[DIC'96_XLS][DIC'96_XLS]\E\@\Se"/>
      <sheetName val="[DIC'96_XLS][DIC'96_XLS]\C\C\Us"/>
      <sheetName val="[DIC'96_XLS]\E\@\Server-ls\dato"/>
      <sheetName val="[DIC'96_XLS]\Users\Vhdaher\Libr"/>
      <sheetName val="[DIC'96_XLS]\C\Users\Vhdaher\Li"/>
      <sheetName val="[DIC'96_XLS]\C\C\Users\Vhdaher\"/>
      <sheetName val="[DIC'96.XLS]\Users\richard\Libr"/>
      <sheetName val="[DIC'96.XLS]\C\Users\richard\Li"/>
      <sheetName val="Plan"/>
      <sheetName val="Comentarios"/>
      <sheetName val="Contactos "/>
      <sheetName val="Flow Campaña"/>
      <sheetName val="TV Lanzamiento"/>
      <sheetName val="Digital"/>
      <sheetName val="Plantilla_Gráfica14"/>
      <sheetName val="Ingreso_de_GSE_y_+14"/>
      <sheetName val="L_x_E,_revistas14"/>
      <sheetName val="L_x_E,_Diarios14"/>
      <sheetName val="Resumen_anual_acumulado14"/>
      <sheetName val="DIC'96_XLS12"/>
      <sheetName val="Base_para_buscarv12"/>
      <sheetName val="DATA_BASE13"/>
      <sheetName val="Regiones_Noviembre_200211"/>
      <sheetName val="Cadencement_Main_d'Oeuvre_Fran8"/>
      <sheetName val="\Users\vicente_reyes\AppData\L8"/>
      <sheetName val="\C\Users\vicente_reyes\AppData8"/>
      <sheetName val="\\10_69_224_228\SMG-Mediavest\1"/>
      <sheetName val="\Grupo_MWilson\Belcorp_Regiona1"/>
      <sheetName val="[DIC'96_XLS][DIC'96_XLS][DIC'92"/>
      <sheetName val="[DIC'96_XLS]\\Server-ls\datos\2"/>
      <sheetName val="[DIC'96_XLS]\Users\administrat2"/>
      <sheetName val="[DIC'96_XLS]\@\Server-ls\datos2"/>
      <sheetName val="[DIC'96_XLS][DIC'96_XLS]\\Serv2"/>
      <sheetName val="[DIC'96_XLS][DIC'96_XLS]\Users2"/>
      <sheetName val="[DIC'96_XLS][DIC'96_XLS]\@\Ser2"/>
      <sheetName val="RTG_Radios_NN_Final3"/>
      <sheetName val="RTG_Radios_Lima_Final3"/>
      <sheetName val="Rnk_Cable3"/>
      <sheetName val="[DIC'96_XLS]\F\@\Server-ls\dat1"/>
      <sheetName val="[DIC'96_XLS]\Users\vicente_rey1"/>
      <sheetName val="[DIC'96_XLS]\C\Users\vicente_r1"/>
      <sheetName val="[DIC'96_XLS][DIC'96_XLS]\C\Use1"/>
      <sheetName val="[DIC'96_XLS][DIC'96_XLS]\F\@\S1"/>
      <sheetName val="[DIC'96_XLS][DIC'96_XLS]\E\@\S1"/>
      <sheetName val="[DIC'96_XLS][DIC'96_XLS]\C\C\U1"/>
      <sheetName val="[DIC'96_XLS]\E\@\Server-ls\dat1"/>
      <sheetName val="[DIC'96_XLS]\Users\Vhdaher\Lib1"/>
      <sheetName val="[DIC'96_XLS]\C\Users\Vhdaher\L1"/>
      <sheetName val="[DIC'96_XLS]\C\C\Users\Vhdaher1"/>
      <sheetName val="_Users_vicente_reyes_AppData_L7"/>
      <sheetName val="_C_Users_vicente_reyes_AppData7"/>
      <sheetName val="__10_69_224_228_SMG-Mediavest_1"/>
      <sheetName val="_Grupo_MWilson_Belcorp_Regiona1"/>
      <sheetName val="_DIC'96_XLS___Server-ls_datos_1"/>
      <sheetName val="_DIC'96_XLS__Users_administrat1"/>
      <sheetName val="_DIC'96_XLS__DIC'96_XLS__DIC'91"/>
      <sheetName val="_DIC'96_XLS__DIC'96_XLS___Serv1"/>
      <sheetName val="_DIC'96_XLS__DIC'96_XLS__Users1"/>
      <sheetName val="_DIC'96_XLS__DIC'96_XLS__@_Ser1"/>
      <sheetName val="_DIC'96_XLS__DIC'96_XLS__C_Use1"/>
      <sheetName val="_DIC'96_XLS__@_Server-ls_datos1"/>
      <sheetName val="_DIC'96_XLS__Users_vicente_rey1"/>
      <sheetName val="_DIC'96_XLS__C_Users_vicente_r1"/>
      <sheetName val="_DIC'96_XLS__F_@_Server-ls_dat1"/>
      <sheetName val="[DIC'96_XLS][DIC'96_XLS][DIC'91"/>
      <sheetName val="[DIC'96_XLS]\\Server-ls\datos\1"/>
      <sheetName val="[DIC'96_XLS]\Users\administrat1"/>
      <sheetName val="[DIC'96_XLS]\@\Server-ls\datos1"/>
      <sheetName val="[DIC'96_XLS][DIC'96_XLS]\\Serv1"/>
      <sheetName val="[DIC'96_XLS][DIC'96_XLS]\Users1"/>
      <sheetName val="[DIC'96_XLS][DIC'96_XLS]\@\Ser1"/>
      <sheetName val="RTG_Radios_NN_Final2"/>
      <sheetName val="RTG_Radios_Lima_Final2"/>
      <sheetName val="Rnk_Cable2"/>
      <sheetName val="_Users_vicente_reyes_AppData_L6"/>
      <sheetName val="_C_Users_vicente_reyes_AppData6"/>
      <sheetName val="__10_69_224_228_SMG-Mediavest_@"/>
      <sheetName val="_Grupo_MWilson_Belcorp_Regional"/>
      <sheetName val="_DIC'96_XLS___Server-ls_datos_W"/>
      <sheetName val="_DIC'96_XLS__Users_administrato"/>
      <sheetName val="_DIC'96_XLS__DIC'96_XLS__DIC'96"/>
      <sheetName val="_DIC'96_XLS__DIC'96_XLS___Serve"/>
      <sheetName val="_DIC'96_XLS__DIC'96_XLS__Users_"/>
      <sheetName val="_DIC'96_XLS__DIC'96_XLS__@_Serv"/>
      <sheetName val="_DIC'96_XLS__DIC'96_XLS__C_User"/>
      <sheetName val="_DIC'96_XLS__@_Server-ls_datos_"/>
      <sheetName val="_DIC'96_XLS__Users_vicente_reye"/>
      <sheetName val="_DIC'96_XLS__C_Users_vicente_re"/>
      <sheetName val="_DIC'96_XLS__F_@_Server-ls_dato"/>
      <sheetName val="[DIC'96_XLS][DIC'96_XLS]\\10_69"/>
      <sheetName val="[DIC'96_XLS][DIC'96_XLS]\Grupo_"/>
      <sheetName val="[DIC'96_XLS][DIC'96_XLS][DIC'93"/>
      <sheetName val="[DIC'96_XLS]__Server_ls_datos_2"/>
      <sheetName val="[DIC'96_XLS]__Server_ls_datos_3"/>
      <sheetName val="[DIC'96_XLS]___Server_ls_dato_2"/>
      <sheetName val="[DIC'96_XLS]_F___Server_ls_da_2"/>
      <sheetName val="[DIC'96_XLS]_Users_administra_2"/>
      <sheetName val="[DIC'96_XLS]_Users_richard_Li_2"/>
      <sheetName val="[DIC'96_XLS]_C_Users_richard__2"/>
      <sheetName val="[DIC'96_XLS]_E___Server_ls_da_2"/>
      <sheetName val="[DIC'96_XLS][DIC'96_XLS]__Ser_2"/>
      <sheetName val="[DIC'96_XLS][DIC'96_XLS]___Se_2"/>
      <sheetName val="[DIC'96_XLS][DIC'96_XLS]_F____2"/>
      <sheetName val="[DIC'96_XLS][DIC'96_XLS]_DIC__2"/>
      <sheetName val="[DIC'96_XLS][DIC'96_XLS]_DIC__3"/>
      <sheetName val="[DIC'96_XLS][DIC'96_XLS]_DIC__4"/>
      <sheetName val="[DIC'96_XLS]_Users_Vhdaher_Li_2"/>
      <sheetName val="[DIC'96_XLS]_C_Users_Vhdaher__2"/>
      <sheetName val="[DIC'96_XLS]_C_C_Users_Vhdahe_2"/>
      <sheetName val="[DIC'96_XLS]_Users_vicente_re_2"/>
      <sheetName val="[DIC'96_XLS]_C_Users_vicente__2"/>
      <sheetName val="[DIC'96_XLS]___Server_ls_dato_3"/>
      <sheetName val="[DIC'96_XLS][DIC'96_XLS]_DIC__5"/>
      <sheetName val="[DIC'96_XLS][DIC'96_XLS]_DIC__6"/>
      <sheetName val="[DIC'96_XLS][DIC'96_XLS]_DIC__7"/>
      <sheetName val="[DIC'96_XLS][DIC'96_XLS]_DIC__8"/>
      <sheetName val="[DIC'96_XLS][DIC'96_XLS]_E____2"/>
      <sheetName val="[DIC'96_XLS][DIC'96_XLS]_User_2"/>
      <sheetName val="[DIC'96_XLS][DIC'96_XLS]_User_3"/>
      <sheetName val="[DIC'96_XLS][DIC'96_XLS]_C_Us_2"/>
      <sheetName val="[DIC'96_XLS][DIC'96_XLS]_C_C__2"/>
      <sheetName val="Ficha_Técnica"/>
      <sheetName val="P_Diarios_Santiago17"/>
      <sheetName val="Plantilla_Gráfica15"/>
      <sheetName val="Ingreso_de_GSE_y_+15"/>
      <sheetName val="L_x_E,_revistas15"/>
      <sheetName val="L_x_E,_Diarios15"/>
      <sheetName val="Resumen_anual_acumulado15"/>
      <sheetName val="DIC'96_XLS13"/>
      <sheetName val="Base_para_buscarv13"/>
      <sheetName val="DATA_BASE14"/>
      <sheetName val="Regiones_Noviembre_200212"/>
      <sheetName val="Cadencement_Main_d'Oeuvre_Fran9"/>
      <sheetName val="\Users\vicente_reyes\AppData\L9"/>
      <sheetName val="\C\Users\vicente_reyes\AppData9"/>
      <sheetName val="\\10_69_224_228\SMG-Mediavest\2"/>
      <sheetName val="\Grupo_MWilson\Belcorp_Regiona2"/>
      <sheetName val="[DIC'96_XLS][DIC'96_XLS][DIC'94"/>
      <sheetName val="[DIC'96_XLS]\\Server-ls\datos\3"/>
      <sheetName val="[DIC'96_XLS]\Users\administrat3"/>
      <sheetName val="[DIC'96_XLS]\@\Server-ls\datos3"/>
      <sheetName val="[DIC'96_XLS][DIC'96_XLS]\\Serv3"/>
      <sheetName val="[DIC'96_XLS][DIC'96_XLS]\Users3"/>
      <sheetName val="[DIC'96_XLS][DIC'96_XLS]\@\Ser3"/>
      <sheetName val="RTG_Radios_NN_Final4"/>
      <sheetName val="RTG_Radios_Lima_Final4"/>
      <sheetName val="Rnk_Cable4"/>
      <sheetName val="[DIC'96_XLS]\F\@\Server-ls\dat2"/>
      <sheetName val="[DIC'96_XLS]\Users\vicente_rey2"/>
      <sheetName val="[DIC'96_XLS]\C\Users\vicente_r2"/>
      <sheetName val="[DIC'96_XLS][DIC'96_XLS]\C\Use2"/>
      <sheetName val="[DIC'96_XLS][DIC'96_XLS]\F\@\S2"/>
      <sheetName val="[DIC'96_XLS][DIC'96_XLS]\E\@\S2"/>
      <sheetName val="[DIC'96_XLS][DIC'96_XLS]\C\C\U2"/>
      <sheetName val="[DIC'96_XLS]\E\@\Server-ls\dat2"/>
      <sheetName val="[DIC'96_XLS]\Users\Vhdaher\Lib2"/>
      <sheetName val="[DIC'96_XLS]\C\Users\Vhdaher\L2"/>
      <sheetName val="[DIC'96_XLS]\C\C\Users\Vhdaher2"/>
      <sheetName val="_Users_vicente_reyes_AppData_L8"/>
      <sheetName val="_C_Users_vicente_reyes_AppData8"/>
      <sheetName val="__10_69_224_228_SMG-Mediavest_2"/>
      <sheetName val="_Grupo_MWilson_Belcorp_Regiona2"/>
      <sheetName val="_DIC'96_XLS___Server-ls_datos_2"/>
      <sheetName val="_DIC'96_XLS__Users_administrat2"/>
      <sheetName val="_DIC'96_XLS__DIC'96_XLS__DIC'92"/>
      <sheetName val="_DIC'96_XLS__DIC'96_XLS___Serv2"/>
      <sheetName val="_DIC'96_XLS__DIC'96_XLS__Users2"/>
      <sheetName val="_DIC'96_XLS__DIC'96_XLS__@_Ser2"/>
      <sheetName val="_DIC'96_XLS__DIC'96_XLS__C_Use2"/>
      <sheetName val="_DIC'96_XLS__@_Server-ls_datos2"/>
      <sheetName val="_DIC'96_XLS__Users_vicente_rey2"/>
      <sheetName val="_DIC'96_XLS__C_Users_vicente_r2"/>
      <sheetName val="_DIC'96_XLS__F_@_Server-ls_dat2"/>
      <sheetName val="P_Diarios_Santiago18"/>
      <sheetName val="Plantilla_Gráfica16"/>
      <sheetName val="Ingreso_de_GSE_y_+16"/>
      <sheetName val="L_x_E,_revistas16"/>
      <sheetName val="L_x_E,_Diarios16"/>
      <sheetName val="Resumen_anual_acumulado16"/>
      <sheetName val="DIC'96_XLS14"/>
      <sheetName val="Base_para_buscarv14"/>
      <sheetName val="DATA_BASE15"/>
      <sheetName val="Regiones_Noviembre_200213"/>
      <sheetName val="Cadencement_Main_d'Oeuvre_Fra10"/>
      <sheetName val="\Users\vicente_reyes\AppData\10"/>
      <sheetName val="\C\Users\vicente_reyes\AppDat10"/>
      <sheetName val="\\10_69_224_228\SMG-Mediavest\3"/>
      <sheetName val="\Grupo_MWilson\Belcorp_Regiona3"/>
      <sheetName val="[DIC'96_XLS][DIC'96_XLS][DIC'95"/>
      <sheetName val="[DIC'96_XLS]\\Server-ls\datos\4"/>
      <sheetName val="[DIC'96_XLS]\Users\administrat4"/>
      <sheetName val="[DIC'96_XLS]\@\Server-ls\datos4"/>
      <sheetName val="[DIC'96_XLS][DIC'96_XLS]\\Serv4"/>
      <sheetName val="[DIC'96_XLS][DIC'96_XLS]\Users4"/>
      <sheetName val="[DIC'96_XLS][DIC'96_XLS]\@\Ser4"/>
      <sheetName val="RTG_Radios_NN_Final5"/>
      <sheetName val="RTG_Radios_Lima_Final5"/>
      <sheetName val="Rnk_Cable5"/>
      <sheetName val="[DIC'96_XLS]\F\@\Server-ls\dat3"/>
      <sheetName val="[DIC'96_XLS]\Users\vicente_rey3"/>
      <sheetName val="[DIC'96_XLS]\C\Users\vicente_r3"/>
      <sheetName val="[DIC'96_XLS][DIC'96_XLS]\C\Use3"/>
      <sheetName val="[DIC'96_XLS][DIC'96_XLS]\F\@\S3"/>
      <sheetName val="[DIC'96_XLS][DIC'96_XLS]\E\@\S3"/>
      <sheetName val="[DIC'96_XLS][DIC'96_XLS]\C\C\U3"/>
      <sheetName val="[DIC'96_XLS]\E\@\Server-ls\dat3"/>
      <sheetName val="[DIC'96_XLS]\Users\Vhdaher\Lib3"/>
      <sheetName val="[DIC'96_XLS]\C\Users\Vhdaher\L3"/>
      <sheetName val="[DIC'96_XLS]\C\C\Users\Vhdaher3"/>
      <sheetName val="_Users_vicente_reyes_AppData_L9"/>
      <sheetName val="_C_Users_vicente_reyes_AppData9"/>
      <sheetName val="__10_69_224_228_SMG-Mediavest_3"/>
      <sheetName val="_Grupo_MWilson_Belcorp_Regiona3"/>
      <sheetName val="_DIC'96_XLS___Server-ls_datos_3"/>
      <sheetName val="_DIC'96_XLS__Users_administrat3"/>
      <sheetName val="_DIC'96_XLS__DIC'96_XLS__DIC'93"/>
      <sheetName val="_DIC'96_XLS__DIC'96_XLS___Serv3"/>
      <sheetName val="_DIC'96_XLS__DIC'96_XLS__Users3"/>
      <sheetName val="_DIC'96_XLS__DIC'96_XLS__@_Ser3"/>
      <sheetName val="_DIC'96_XLS__DIC'96_XLS__C_Use3"/>
      <sheetName val="_DIC'96_XLS__@_Server-ls_datos3"/>
      <sheetName val="_DIC'96_XLS__Users_vicente_rey3"/>
      <sheetName val="_DIC'96_XLS__C_Users_vicente_r3"/>
      <sheetName val="_DIC'96_XLS__F_@_Server-ls_dat3"/>
      <sheetName val="[DIC'96_XLS][DIC'96_XLS]\\10_61"/>
      <sheetName val="[DIC'96_XLS][DIC'96_XLS]\Grupo1"/>
      <sheetName val="[DIC'96_XLS][DIC'96_XLS][DIC'97"/>
      <sheetName val="[DIC'96_XLS]__Server_ls_datos_1"/>
      <sheetName val="[DIC'96_XLS]__Server_ls_datos_4"/>
      <sheetName val="[DIC'96_XLS]___Server_ls_dato_1"/>
      <sheetName val="[DIC'96_XLS]_F___Server_ls_da_1"/>
      <sheetName val="[DIC'96_XLS]_Users_administra_1"/>
      <sheetName val="[DIC'96_XLS]_Users_richard_Li_1"/>
      <sheetName val="[DIC'96_XLS]_C_Users_richard__1"/>
      <sheetName val="[DIC'96_XLS]_E___Server_ls_da_1"/>
      <sheetName val="[DIC'96_XLS][DIC'96_XLS]__Ser_1"/>
      <sheetName val="[DIC'96_XLS][DIC'96_XLS]___Se_1"/>
      <sheetName val="[DIC'96_XLS][DIC'96_XLS]_F____1"/>
      <sheetName val="[DIC'96_XLS][DIC'96_XLS]_DIC__1"/>
      <sheetName val="[DIC'96_XLS][DIC'96_XLS]_DIC__9"/>
      <sheetName val="[DIC'96_XLS][DIC'96_XLS]_DIC_10"/>
      <sheetName val="[DIC'96_XLS]_Users_Vhdaher_Li_1"/>
      <sheetName val="[DIC'96_XLS]_C_Users_Vhdaher__1"/>
      <sheetName val="[DIC'96_XLS]_C_C_Users_Vhdahe_1"/>
      <sheetName val="[DIC'96_XLS]_Users_vicente_re_1"/>
      <sheetName val="[DIC'96_XLS]_C_Users_vicente__1"/>
      <sheetName val="[DIC'96_XLS]___Server_ls_dato_4"/>
      <sheetName val="[DIC'96_XLS][DIC'96_XLS]_DIC_11"/>
      <sheetName val="[DIC'96_XLS][DIC'96_XLS]_DIC_12"/>
      <sheetName val="[DIC'96_XLS][DIC'96_XLS]_DIC_13"/>
      <sheetName val="[DIC'96_XLS][DIC'96_XLS]_DIC_14"/>
      <sheetName val="[DIC'96_XLS][DIC'96_XLS]_E____1"/>
      <sheetName val="[DIC'96_XLS][DIC'96_XLS]_User_1"/>
      <sheetName val="[DIC'96_XLS][DIC'96_XLS]_User_4"/>
      <sheetName val="[DIC'96_XLS][DIC'96_XLS]_C_Us_1"/>
      <sheetName val="[DIC'96_XLS][DIC'96_XLS]_C_C__1"/>
      <sheetName val="Ficha_Técnica1"/>
      <sheetName val="analisis"/>
      <sheetName val="negociaciones1"/>
      <sheetName val="KPMG"/>
      <sheetName val="negociaciones"/>
      <sheetName val="1"/>
      <sheetName val="Tarifas"/>
      <sheetName val="ranking"/>
      <sheetName val="LISTAS"/>
      <sheetName val="RESUMEN FLOW"/>
      <sheetName val="TV "/>
      <sheetName val="CABLE"/>
      <sheetName val="FALABELLA"/>
      <sheetName val="HUAWEI"/>
      <sheetName val="SAMSUNG"/>
      <sheetName val="APPLE"/>
      <sheetName val="Rankeo Radio Ciudades"/>
      <sheetName val="CALENP"/>
      <sheetName val="mq remnant5-17"/>
      <sheetName val="[DIC'96_XLS]\Users\richard\Libr"/>
      <sheetName val="[DIC'96_XLS]\C\Users\richard\Li"/>
      <sheetName val="Contactos_"/>
      <sheetName val="Flow_Campaña"/>
      <sheetName val="TV_Lanzamiento"/>
      <sheetName val="\Documents and Settings\User\De"/>
      <sheetName val="\Users\JuanJose\Desktop\Server-"/>
      <sheetName val="NEWS PREV"/>
      <sheetName val="P_Diarios_Santiago19"/>
      <sheetName val="Plantilla_Gráfica17"/>
      <sheetName val="Ingreso_de_GSE_y_+17"/>
      <sheetName val="L_x_E,_revistas17"/>
      <sheetName val="L_x_E,_Diarios17"/>
      <sheetName val="Resumen_anual_acumulado17"/>
      <sheetName val="DIC'96_XLS15"/>
      <sheetName val="Base_para_buscarv15"/>
      <sheetName val="DATA_BASE16"/>
      <sheetName val="Regiones_Noviembre_200214"/>
      <sheetName val="Cadencement_Main_d'Oeuvre_Fra11"/>
      <sheetName val="\Users\vicente_reyes\AppData\11"/>
      <sheetName val="\C\Users\vicente_reyes\AppDat11"/>
      <sheetName val="\\10_69_224_228\SMG-Mediavest\4"/>
      <sheetName val="\Grupo_MWilson\Belcorp_Regiona4"/>
      <sheetName val="[DIC'96_XLS]\\Server-ls\datos\5"/>
      <sheetName val="[DIC'96_XLS]\@\Server-ls\datos5"/>
      <sheetName val="[DIC'96_XLS]\Users\administrat5"/>
      <sheetName val="[DIC'96_XLS]\Users\vicente_rey4"/>
      <sheetName val="[DIC'96_XLS]\C\Users\vicente_r4"/>
      <sheetName val="Rnk_Cable6"/>
      <sheetName val="RTG_Radios_NN_Final6"/>
      <sheetName val="RTG_Radios_Lima_Final6"/>
      <sheetName val="[DIC'96_XLS]\F\@\Server-ls\dat4"/>
      <sheetName val="[DIC'96_XLS][DIC'96_XLS][DIC'98"/>
      <sheetName val="[DIC'96_XLS][DIC'96_XLS]\\Serv5"/>
      <sheetName val="[DIC'96_XLS][DIC'96_XLS]\Users5"/>
      <sheetName val="[DIC'96_XLS][DIC'96_XLS]\@\Ser5"/>
      <sheetName val="[DIC'96_XLS][DIC'96_XLS]\C\Use4"/>
      <sheetName val="[DIC'96_XLS][DIC'96_XLS]\F\@\S4"/>
      <sheetName val="[DIC'96_XLS][DIC'96_XLS]\E\@\S4"/>
      <sheetName val="[DIC'96_XLS][DIC'96_XLS]\C\C\U4"/>
      <sheetName val="[DIC'96_XLS]\E\@\Server-ls\dat4"/>
      <sheetName val="[DIC'96_XLS]\Users\Vhdaher\Lib4"/>
      <sheetName val="[DIC'96_XLS]\C\Users\Vhdaher\L4"/>
      <sheetName val="[DIC'96_XLS]\C\C\Users\Vhdaher4"/>
      <sheetName val="_Users_vicente_reyes_AppData_10"/>
      <sheetName val="_C_Users_vicente_reyes_AppDat10"/>
      <sheetName val="__10_69_224_228_SMG-Mediavest_4"/>
      <sheetName val="_Grupo_MWilson_Belcorp_Regiona4"/>
      <sheetName val="_DIC'96_XLS___Server-ls_datos_4"/>
      <sheetName val="_DIC'96_XLS__Users_administrat4"/>
      <sheetName val="_DIC'96_XLS__DIC'96_XLS__DIC'94"/>
      <sheetName val="_DIC'96_XLS__DIC'96_XLS___Serv4"/>
      <sheetName val="_DIC'96_XLS__DIC'96_XLS__Users4"/>
      <sheetName val="_DIC'96_XLS__DIC'96_XLS__@_Ser4"/>
      <sheetName val="_DIC'96_XLS__DIC'96_XLS__C_Use4"/>
      <sheetName val="_DIC'96_XLS__@_Server-ls_datos4"/>
      <sheetName val="_DIC'96_XLS__Users_vicente_rey4"/>
      <sheetName val="_DIC'96_XLS__C_Users_vicente_r4"/>
      <sheetName val="_DIC'96_XLS__F_@_Server-ls_dat4"/>
      <sheetName val="[DIC'96_XLS][DIC'96_XLS]\\10_62"/>
      <sheetName val="[DIC'96_XLS][DIC'96_XLS]\Grupo2"/>
      <sheetName val="[DIC'96_XLS][DIC'96_XLS][DIC'99"/>
      <sheetName val="[DIC'96_XLS]__Server_ls_datos_5"/>
      <sheetName val="[DIC'96_XLS]__Server_ls_datos_6"/>
      <sheetName val="[DIC'96_XLS]___Server_ls_dato_5"/>
      <sheetName val="[DIC'96_XLS]_F___Server_ls_da_3"/>
      <sheetName val="[DIC'96_XLS]_Users_administra_3"/>
      <sheetName val="[DIC'96_XLS]_Users_richard_Li_3"/>
      <sheetName val="[DIC'96_XLS]_C_Users_richard__3"/>
      <sheetName val="[DIC'96_XLS]_E___Server_ls_da_3"/>
      <sheetName val="[DIC'96_XLS][DIC'96_XLS]__Ser_3"/>
      <sheetName val="[DIC'96_XLS][DIC'96_XLS]___Se_3"/>
      <sheetName val="[DIC'96_XLS][DIC'96_XLS]_F____3"/>
      <sheetName val="[DIC'96_XLS][DIC'96_XLS]_DIC_15"/>
      <sheetName val="[DIC'96_XLS][DIC'96_XLS]_DIC_16"/>
      <sheetName val="[DIC'96_XLS][DIC'96_XLS]_DIC_17"/>
      <sheetName val="[DIC'96_XLS]_Users_Vhdaher_Li_3"/>
      <sheetName val="[DIC'96_XLS]_C_Users_Vhdaher__3"/>
      <sheetName val="[DIC'96_XLS]_C_C_Users_Vhdahe_3"/>
      <sheetName val="[DIC'96_XLS]_Users_vicente_re_3"/>
      <sheetName val="[DIC'96_XLS]_C_Users_vicente__3"/>
      <sheetName val="[DIC'96_XLS]___Server_ls_dato_6"/>
      <sheetName val="[DIC'96_XLS][DIC'96_XLS]_DIC_18"/>
      <sheetName val="[DIC'96_XLS][DIC'96_XLS]_DIC_19"/>
      <sheetName val="[DIC'96_XLS][DIC'96_XLS]_DIC_20"/>
      <sheetName val="[DIC'96_XLS][DIC'96_XLS]_DIC_21"/>
      <sheetName val="[DIC'96_XLS][DIC'96_XLS]_E____3"/>
      <sheetName val="[DIC'96_XLS][DIC'96_XLS]_User_5"/>
      <sheetName val="[DIC'96_XLS][DIC'96_XLS]_User_6"/>
      <sheetName val="[DIC'96_XLS][DIC'96_XLS]_C_Us_3"/>
      <sheetName val="[DIC'96_XLS][DIC'96_XLS]_C_C__3"/>
      <sheetName val="Ficha_Técnica2"/>
      <sheetName val="RESUMEN_FLOW"/>
      <sheetName val="TV_"/>
      <sheetName val="Rankeo_Radio_Ciudades"/>
      <sheetName val="Tarifas Enero 2009"/>
      <sheetName val="Rating"/>
      <sheetName val="tablas final 2°sem 2008"/>
      <sheetName val="Flowchart"/>
      <sheetName val="CoberturaMax"/>
      <sheetName val="P_Diarios_Santiago20"/>
      <sheetName val="Plantilla_Gráfica18"/>
      <sheetName val="Ingreso_de_GSE_y_+18"/>
      <sheetName val="L_x_E,_revistas18"/>
      <sheetName val="L_x_E,_Diarios18"/>
      <sheetName val="Resumen_anual_acumulado18"/>
      <sheetName val="DIC'96_XLS16"/>
      <sheetName val="Base_para_buscarv16"/>
      <sheetName val="DATA_BASE17"/>
      <sheetName val="Regiones_Noviembre_200215"/>
      <sheetName val="Cadencement_Main_d'Oeuvre_Fra12"/>
      <sheetName val="\Users\vicente_reyes\AppData\12"/>
      <sheetName val="\C\Users\vicente_reyes\AppDat12"/>
      <sheetName val="Rnk_Cable7"/>
      <sheetName val="RTG_Radios_NN_Final7"/>
      <sheetName val="RTG_Radios_Lima_Final7"/>
      <sheetName val="[DIC'96_XLS][DIC'96_XLS][DIC'10"/>
      <sheetName val="[DIC'96_XLS]\\Server-ls\datos\6"/>
      <sheetName val="[DIC'96_XLS]\@\Server-ls\datos6"/>
      <sheetName val="[DIC'96_XLS]\F\@\Server-ls\dat5"/>
      <sheetName val="[DIC'96_XLS]\Users\administrat6"/>
      <sheetName val="[DIC'96_XLS][DIC'96_XLS]\\Serv6"/>
      <sheetName val="[DIC'96_XLS][DIC'96_XLS]\@\Ser6"/>
      <sheetName val="[DIC'96_XLS][DIC'96_XLS]\F\@\S5"/>
      <sheetName val="[DIC'96_XLS][DIC'96_XLS]\Users6"/>
      <sheetName val="[DIC'96_XLS][DIC'96_XLS]\C\Use5"/>
      <sheetName val="\\10_69_224_228\SMG-Mediavest\5"/>
      <sheetName val="\Grupo_MWilson\Belcorp_Regiona5"/>
      <sheetName val="[DIC'96_XLS]\Users\vicente_rey5"/>
      <sheetName val="[DIC'96_XLS]\C\Users\vicente_r5"/>
      <sheetName val="[DIC'96_XLS][DIC'96_XLS]\E\@\S5"/>
      <sheetName val="[DIC'96_XLS][DIC'96_XLS]\C\C\U5"/>
      <sheetName val="[DIC'96_XLS]\E\@\Server-ls\dat5"/>
      <sheetName val="[DIC'96_XLS]\Users\Vhdaher\Lib5"/>
      <sheetName val="[DIC'96_XLS]\C\Users\Vhdaher\L5"/>
      <sheetName val="[DIC'96_XLS]\C\C\Users\Vhdaher5"/>
      <sheetName val="_Users_vicente_reyes_AppData_11"/>
      <sheetName val="_C_Users_vicente_reyes_AppDat11"/>
      <sheetName val="__10_69_224_228_SMG-Mediavest_5"/>
      <sheetName val="_Grupo_MWilson_Belcorp_Regiona5"/>
      <sheetName val="_DIC'96_XLS___Server-ls_datos_5"/>
      <sheetName val="_DIC'96_XLS__Users_administrat5"/>
      <sheetName val="_DIC'96_XLS__DIC'96_XLS__DIC'95"/>
      <sheetName val="_DIC'96_XLS__DIC'96_XLS___Serv5"/>
      <sheetName val="_DIC'96_XLS__DIC'96_XLS__Users5"/>
      <sheetName val="_DIC'96_XLS__DIC'96_XLS__@_Ser5"/>
      <sheetName val="_DIC'96_XLS__DIC'96_XLS__C_Use5"/>
      <sheetName val="_DIC'96_XLS__@_Server-ls_datos5"/>
      <sheetName val="_DIC'96_XLS__Users_vicente_rey5"/>
      <sheetName val="_DIC'96_XLS__C_Users_vicente_r5"/>
      <sheetName val="_DIC'96_XLS__F_@_Server-ls_dat5"/>
      <sheetName val="[DIC'96_XLS][DIC'96_XLS]\\10_63"/>
      <sheetName val="[DIC'96_XLS][DIC'96_XLS]\Grupo3"/>
      <sheetName val="[DIC'96_XLS][DIC'96_XLS][DIC'11"/>
      <sheetName val="[DIC'96_XLS]\Users\richard\Lib1"/>
      <sheetName val="[DIC'96_XLS]\C\Users\richard\L1"/>
      <sheetName val="Contactos_1"/>
      <sheetName val="Flow_Campaña1"/>
      <sheetName val="TV_Lanzamiento1"/>
      <sheetName val="[DIC'96_XLS]__Server_ls_datos_7"/>
      <sheetName val="[DIC'96_XLS]__Server_ls_datos_8"/>
      <sheetName val="[DIC'96_XLS]___Server_ls_dato_7"/>
      <sheetName val="[DIC'96_XLS]_F___Server_ls_da_4"/>
      <sheetName val="[DIC'96_XLS]_Users_administra_4"/>
      <sheetName val="[DIC'96_XLS]_Users_richard_Li_4"/>
      <sheetName val="[DIC'96_XLS]_C_Users_richard__4"/>
      <sheetName val="[DIC'96_XLS]_E___Server_ls_da_4"/>
      <sheetName val="[DIC'96_XLS][DIC'96_XLS]__Ser_4"/>
      <sheetName val="[DIC'96_XLS][DIC'96_XLS]___Se_4"/>
      <sheetName val="[DIC'96_XLS][DIC'96_XLS]_F____4"/>
      <sheetName val="[DIC'96_XLS][DIC'96_XLS]_DIC_22"/>
      <sheetName val="[DIC'96_XLS][DIC'96_XLS]_DIC_23"/>
      <sheetName val="[DIC'96_XLS][DIC'96_XLS]_DIC_24"/>
      <sheetName val="[DIC'96_XLS]_Users_Vhdaher_Li_4"/>
      <sheetName val="[DIC'96_XLS]_C_Users_Vhdaher__4"/>
      <sheetName val="[DIC'96_XLS]_C_C_Users_Vhdahe_4"/>
      <sheetName val="[DIC'96_XLS]_Users_vicente_re_4"/>
      <sheetName val="[DIC'96_XLS]_C_Users_vicente__4"/>
      <sheetName val="[DIC'96_XLS]___Server_ls_dato_8"/>
      <sheetName val="[DIC'96_XLS][DIC'96_XLS]_DIC_25"/>
      <sheetName val="[DIC'96_XLS][DIC'96_XLS]_DIC_26"/>
      <sheetName val="[DIC'96_XLS][DIC'96_XLS]_DIC_27"/>
      <sheetName val="[DIC'96_XLS][DIC'96_XLS]_DIC_28"/>
      <sheetName val="[DIC'96_XLS][DIC'96_XLS]_E____4"/>
      <sheetName val="[DIC'96_XLS][DIC'96_XLS]_User_7"/>
      <sheetName val="[DIC'96_XLS][DIC'96_XLS]_User_8"/>
      <sheetName val="[DIC'96_XLS][DIC'96_XLS]_C_Us_4"/>
      <sheetName val="[DIC'96_XLS][DIC'96_XLS]_C_C__4"/>
      <sheetName val="Ficha_Técnica3"/>
      <sheetName val="RESUMEN_FLOW1"/>
      <sheetName val="TV_1"/>
      <sheetName val="Rankeo_Radio_Ciudades1"/>
      <sheetName val="mq_remnant5-17"/>
      <sheetName val="\Documents_and_Settings\User\De"/>
      <sheetName val="NEWS_PREV"/>
      <sheetName val="P_Diarios_Santiago21"/>
      <sheetName val="Plantilla_Gráfica19"/>
      <sheetName val="Ingreso_de_GSE_y_+19"/>
      <sheetName val="L_x_E,_revistas19"/>
      <sheetName val="L_x_E,_Diarios19"/>
      <sheetName val="Resumen_anual_acumulado19"/>
      <sheetName val="DIC'96_XLS17"/>
      <sheetName val="Base_para_buscarv17"/>
      <sheetName val="DATA_BASE18"/>
      <sheetName val="Regiones_Noviembre_200216"/>
      <sheetName val="Cadencement_Main_d'Oeuvre_Fra13"/>
      <sheetName val="\Users\vicente_reyes\AppData\13"/>
      <sheetName val="\C\Users\vicente_reyes\AppDat13"/>
      <sheetName val="Rnk_Cable8"/>
      <sheetName val="RTG_Radios_NN_Final8"/>
      <sheetName val="RTG_Radios_Lima_Final8"/>
      <sheetName val="[DIC'96_XLS][DIC'96_XLS][DIC'12"/>
      <sheetName val="[DIC'96_XLS]\\Server-ls\datos\7"/>
      <sheetName val="[DIC'96_XLS]\@\Server-ls\datos7"/>
      <sheetName val="[DIC'96_XLS]\F\@\Server-ls\dat6"/>
      <sheetName val="[DIC'96_XLS]\Users\administrat7"/>
      <sheetName val="[DIC'96_XLS][DIC'96_XLS]\\Serv7"/>
      <sheetName val="[DIC'96_XLS][DIC'96_XLS]\@\Ser7"/>
      <sheetName val="[DIC'96_XLS][DIC'96_XLS]\F\@\S6"/>
      <sheetName val="[DIC'96_XLS][DIC'96_XLS]\Users7"/>
      <sheetName val="[DIC'96_XLS][DIC'96_XLS]\C\Use6"/>
      <sheetName val="\\10_69_224_228\SMG-Mediavest\6"/>
      <sheetName val="\Grupo_MWilson\Belcorp_Regiona6"/>
      <sheetName val="[DIC'96_XLS]\Users\vicente_rey6"/>
      <sheetName val="[DIC'96_XLS]\C\Users\vicente_r6"/>
      <sheetName val="[DIC'96_XLS][DIC'96_XLS]\E\@\S6"/>
      <sheetName val="[DIC'96_XLS][DIC'96_XLS]\C\C\U6"/>
      <sheetName val="[DIC'96_XLS]\E\@\Server-ls\dat6"/>
      <sheetName val="[DIC'96_XLS]\Users\Vhdaher\Lib6"/>
      <sheetName val="[DIC'96_XLS]\C\Users\Vhdaher\L6"/>
      <sheetName val="[DIC'96_XLS]\C\C\Users\Vhdaher6"/>
      <sheetName val="_Users_vicente_reyes_AppData_12"/>
      <sheetName val="_C_Users_vicente_reyes_AppDat12"/>
      <sheetName val="__10_69_224_228_SMG-Mediavest_6"/>
      <sheetName val="_Grupo_MWilson_Belcorp_Regiona6"/>
      <sheetName val="_DIC'96_XLS___Server-ls_datos_6"/>
      <sheetName val="_DIC'96_XLS__Users_administrat6"/>
      <sheetName val="_DIC'96_XLS__DIC'96_XLS__DIC'97"/>
      <sheetName val="_DIC'96_XLS__DIC'96_XLS___Serv6"/>
      <sheetName val="_DIC'96_XLS__DIC'96_XLS__Users6"/>
      <sheetName val="_DIC'96_XLS__DIC'96_XLS__@_Ser6"/>
      <sheetName val="_DIC'96_XLS__DIC'96_XLS__C_Use6"/>
      <sheetName val="_DIC'96_XLS__@_Server-ls_datos6"/>
      <sheetName val="_DIC'96_XLS__Users_vicente_rey6"/>
      <sheetName val="_DIC'96_XLS__C_Users_vicente_r6"/>
      <sheetName val="_DIC'96_XLS__F_@_Server-ls_dat6"/>
      <sheetName val="[DIC'96_XLS][DIC'96_XLS]\\10_64"/>
      <sheetName val="[DIC'96_XLS][DIC'96_XLS]\Grupo4"/>
      <sheetName val="[DIC'96_XLS][DIC'96_XLS][DIC'13"/>
      <sheetName val="[DIC'96_XLS]\Users\richard\Lib2"/>
      <sheetName val="[DIC'96_XLS]\C\Users\richard\L2"/>
      <sheetName val="Contactos_2"/>
      <sheetName val="Flow_Campaña2"/>
      <sheetName val="TV_Lanzamiento2"/>
      <sheetName val="[DIC'96_XLS]__Server_ls_datos_9"/>
      <sheetName val="[DIC'96_XLS]__Server_ls_datos10"/>
      <sheetName val="[DIC'96_XLS]___Server_ls_dato_9"/>
      <sheetName val="[DIC'96_XLS]_F___Server_ls_da_5"/>
      <sheetName val="[DIC'96_XLS]_Users_administra_5"/>
      <sheetName val="[DIC'96_XLS]_Users_richard_Li_5"/>
      <sheetName val="[DIC'96_XLS]_C_Users_richard__5"/>
      <sheetName val="[DIC'96_XLS]_E___Server_ls_da_5"/>
      <sheetName val="[DIC'96_XLS][DIC'96_XLS]__Ser_5"/>
      <sheetName val="[DIC'96_XLS][DIC'96_XLS]___Se_5"/>
      <sheetName val="[DIC'96_XLS][DIC'96_XLS]_F____5"/>
      <sheetName val="[DIC'96_XLS][DIC'96_XLS]_DIC_29"/>
      <sheetName val="[DIC'96_XLS][DIC'96_XLS]_DIC_30"/>
      <sheetName val="[DIC'96_XLS][DIC'96_XLS]_DIC_31"/>
      <sheetName val="[DIC'96_XLS]_Users_Vhdaher_Li_5"/>
      <sheetName val="[DIC'96_XLS]_C_Users_Vhdaher__5"/>
      <sheetName val="[DIC'96_XLS]_C_C_Users_Vhdahe_5"/>
      <sheetName val="[DIC'96_XLS]_Users_vicente_re_5"/>
      <sheetName val="[DIC'96_XLS]_C_Users_vicente__5"/>
      <sheetName val="[DIC'96_XLS]___Server_ls_dato10"/>
      <sheetName val="[DIC'96_XLS][DIC'96_XLS]_DIC_32"/>
      <sheetName val="[DIC'96_XLS][DIC'96_XLS]_DIC_33"/>
      <sheetName val="[DIC'96_XLS][DIC'96_XLS]_DIC_34"/>
      <sheetName val="[DIC'96_XLS][DIC'96_XLS]_DIC_35"/>
      <sheetName val="[DIC'96_XLS][DIC'96_XLS]_E____5"/>
      <sheetName val="[DIC'96_XLS][DIC'96_XLS]_User_9"/>
      <sheetName val="[DIC'96_XLS][DIC'96_XLS]_User10"/>
      <sheetName val="[DIC'96_XLS][DIC'96_XLS]_C_Us_5"/>
      <sheetName val="[DIC'96_XLS][DIC'96_XLS]_C_C__5"/>
      <sheetName val="Ficha_Técnica4"/>
      <sheetName val="RESUMEN_FLOW2"/>
      <sheetName val="TV_2"/>
      <sheetName val="Rankeo_Radio_Ciudades2"/>
      <sheetName val="mq_remnant5-171"/>
      <sheetName val="\Documents_and_Settings\User\D1"/>
      <sheetName val="NEWS_PREV1"/>
      <sheetName val="P_Diarios_Santiago22"/>
      <sheetName val="Plantilla_Gráfica20"/>
      <sheetName val="Ingreso_de_GSE_y_+20"/>
      <sheetName val="L_x_E,_revistas20"/>
      <sheetName val="L_x_E,_Diarios20"/>
      <sheetName val="Resumen_anual_acumulado20"/>
      <sheetName val="DIC'96_XLS18"/>
      <sheetName val="Base_para_buscarv18"/>
      <sheetName val="DATA_BASE19"/>
      <sheetName val="Regiones_Noviembre_200217"/>
      <sheetName val="Cadencement_Main_d'Oeuvre_Fra14"/>
      <sheetName val="\Users\vicente_reyes\AppData\14"/>
      <sheetName val="\C\Users\vicente_reyes\AppDat14"/>
      <sheetName val="Rnk_Cable9"/>
      <sheetName val="RTG_Radios_NN_Final9"/>
      <sheetName val="RTG_Radios_Lima_Final9"/>
      <sheetName val="[DIC'96_XLS][DIC'96_XLS][DIC'14"/>
      <sheetName val="[DIC'96_XLS]\\Server-ls\datos\8"/>
      <sheetName val="[DIC'96_XLS]\@\Server-ls\datos8"/>
      <sheetName val="[DIC'96_XLS]\F\@\Server-ls\dat7"/>
      <sheetName val="[DIC'96_XLS]\Users\administrat8"/>
      <sheetName val="[DIC'96_XLS][DIC'96_XLS]\\Serv8"/>
      <sheetName val="[DIC'96_XLS][DIC'96_XLS]\@\Ser8"/>
      <sheetName val="[DIC'96_XLS][DIC'96_XLS]\F\@\S7"/>
      <sheetName val="[DIC'96_XLS][DIC'96_XLS]\Users8"/>
      <sheetName val="[DIC'96_XLS][DIC'96_XLS]\C\Use7"/>
      <sheetName val="\\10_69_224_228\SMG-Mediavest\7"/>
      <sheetName val="\Grupo_MWilson\Belcorp_Regiona7"/>
      <sheetName val="[DIC'96_XLS]\Users\vicente_rey7"/>
      <sheetName val="[DIC'96_XLS]\C\Users\vicente_r7"/>
      <sheetName val="[DIC'96_XLS][DIC'96_XLS]\E\@\S7"/>
      <sheetName val="[DIC'96_XLS][DIC'96_XLS]\C\C\U7"/>
      <sheetName val="[DIC'96_XLS]\E\@\Server-ls\dat7"/>
      <sheetName val="[DIC'96_XLS]\Users\Vhdaher\Lib7"/>
      <sheetName val="[DIC'96_XLS]\C\Users\Vhdaher\L7"/>
      <sheetName val="[DIC'96_XLS]\C\C\Users\Vhdaher7"/>
      <sheetName val="_Users_vicente_reyes_AppData_13"/>
      <sheetName val="_C_Users_vicente_reyes_AppDat13"/>
      <sheetName val="__10_69_224_228_SMG-Mediavest_7"/>
      <sheetName val="_Grupo_MWilson_Belcorp_Regiona7"/>
      <sheetName val="_DIC'96_XLS___Server-ls_datos_7"/>
      <sheetName val="_DIC'96_XLS__Users_administrat7"/>
      <sheetName val="_DIC'96_XLS__DIC'96_XLS__DIC'98"/>
      <sheetName val="_DIC'96_XLS__DIC'96_XLS___Serv7"/>
      <sheetName val="_DIC'96_XLS__DIC'96_XLS__Users7"/>
      <sheetName val="_DIC'96_XLS__DIC'96_XLS__@_Ser7"/>
      <sheetName val="_DIC'96_XLS__DIC'96_XLS__C_Use7"/>
      <sheetName val="_DIC'96_XLS__@_Server-ls_datos7"/>
      <sheetName val="_DIC'96_XLS__Users_vicente_rey7"/>
      <sheetName val="_DIC'96_XLS__C_Users_vicente_r7"/>
      <sheetName val="_DIC'96_XLS__F_@_Server-ls_dat7"/>
      <sheetName val="[DIC'96_XLS][DIC'96_XLS]\\10_65"/>
      <sheetName val="[DIC'96_XLS][DIC'96_XLS]\Grupo5"/>
      <sheetName val="[DIC'96_XLS][DIC'96_XLS][DIC'15"/>
      <sheetName val="[DIC'96_XLS]\Users\richard\Lib3"/>
      <sheetName val="[DIC'96_XLS]\C\Users\richard\L3"/>
      <sheetName val="Contactos_3"/>
      <sheetName val="Flow_Campaña3"/>
      <sheetName val="TV_Lanzamiento3"/>
      <sheetName val="[DIC'96_XLS]__Server_ls_datos11"/>
      <sheetName val="[DIC'96_XLS]__Server_ls_datos12"/>
      <sheetName val="[DIC'96_XLS]___Server_ls_dato11"/>
      <sheetName val="[DIC'96_XLS]_F___Server_ls_da_6"/>
      <sheetName val="[DIC'96_XLS]_Users_administra_6"/>
      <sheetName val="[DIC'96_XLS]_Users_richard_Li_6"/>
      <sheetName val="[DIC'96_XLS]_C_Users_richard__6"/>
      <sheetName val="[DIC'96_XLS]_E___Server_ls_da_6"/>
      <sheetName val="[DIC'96_XLS][DIC'96_XLS]__Ser_6"/>
      <sheetName val="[DIC'96_XLS][DIC'96_XLS]___Se_6"/>
      <sheetName val="[DIC'96_XLS][DIC'96_XLS]_F____6"/>
      <sheetName val="[DIC'96_XLS][DIC'96_XLS]_DIC_36"/>
      <sheetName val="[DIC'96_XLS][DIC'96_XLS]_DIC_37"/>
      <sheetName val="[DIC'96_XLS][DIC'96_XLS]_DIC_38"/>
      <sheetName val="[DIC'96_XLS]_Users_Vhdaher_Li_6"/>
      <sheetName val="[DIC'96_XLS]_C_Users_Vhdaher__6"/>
      <sheetName val="[DIC'96_XLS]_C_C_Users_Vhdahe_6"/>
      <sheetName val="[DIC'96_XLS]_Users_vicente_re_6"/>
      <sheetName val="[DIC'96_XLS]_C_Users_vicente__6"/>
      <sheetName val="[DIC'96_XLS]___Server_ls_dato12"/>
      <sheetName val="[DIC'96_XLS][DIC'96_XLS]_DIC_39"/>
      <sheetName val="[DIC'96_XLS][DIC'96_XLS]_DIC_40"/>
      <sheetName val="[DIC'96_XLS][DIC'96_XLS]_DIC_41"/>
      <sheetName val="[DIC'96_XLS][DIC'96_XLS]_DIC_42"/>
      <sheetName val="[DIC'96_XLS][DIC'96_XLS]_E____6"/>
      <sheetName val="[DIC'96_XLS][DIC'96_XLS]_User11"/>
      <sheetName val="[DIC'96_XLS][DIC'96_XLS]_User12"/>
      <sheetName val="[DIC'96_XLS][DIC'96_XLS]_C_Us_6"/>
      <sheetName val="[DIC'96_XLS][DIC'96_XLS]_C_C__6"/>
      <sheetName val="Ficha_Técnica5"/>
      <sheetName val="RESUMEN_FLOW3"/>
      <sheetName val="TV_3"/>
      <sheetName val="Rankeo_Radio_Ciudades3"/>
      <sheetName val="mq_remnant5-172"/>
      <sheetName val="\Documents_and_Settings\User\D2"/>
      <sheetName val="NEWS_PREV2"/>
      <sheetName val="AUT-HOG"/>
      <sheetName val="REPS-PEDIDOS"/>
      <sheetName val="[DIC'96.XLS]__globalappsporta_2"/>
    </sheetNames>
    <definedNames>
      <definedName name="Calcular.Calcular" sheetId="0"/>
      <definedName name="Define_target"/>
      <definedName name="Ordena" sheetId="59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 refreshError="1"/>
      <sheetData sheetId="994" refreshError="1"/>
      <sheetData sheetId="99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lo"/>
      <sheetName val="Libro1"/>
      <sheetName val="Libro1.xlsx"/>
      <sheetName val="Distribución de frecuencias2"/>
      <sheetName val="Consideraciones del plan"/>
      <sheetName val="Hoja1"/>
      <sheetName val="Hoja2"/>
      <sheetName val=""/>
    </sheetNames>
    <definedNames>
      <definedName name="ass" refersTo="#¡REF!"/>
      <definedName name="Julio" refersTo="#¡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giones Noviembre 2002"/>
      <sheetName val="tablas final 2°sem"/>
      <sheetName val="tablas final"/>
      <sheetName val="Cómo se ocupan estas listas"/>
      <sheetName val="Cuantificador"/>
      <sheetName val="actual May03"/>
      <sheetName val="datos universos"/>
      <sheetName val="regiones Nov02"/>
      <sheetName val="ANEXOS"/>
      <sheetName val="rating "/>
      <sheetName val="tablas"/>
      <sheetName val="HM 25-64"/>
      <sheetName val="Anunciantes"/>
      <sheetName val="Marcas"/>
      <sheetName val="MarcasCli"/>
      <sheetName val="Rubros"/>
      <sheetName val="Portada"/>
      <sheetName val="Propuesta"/>
      <sheetName val="tarificacion"/>
      <sheetName val="Resumen Rt"/>
      <sheetName val="INDICADORES"/>
      <sheetName val="CNN (noticias)"/>
      <sheetName val="Disc H&amp;H (discovery)"/>
      <sheetName val="13C 2"/>
      <sheetName val="CINEMAX"/>
      <sheetName val="13c"/>
      <sheetName val="MTV"/>
      <sheetName val="Regiones_Noviembre_2002"/>
      <sheetName val="tablas_final_2°sem"/>
      <sheetName val="tablas_final"/>
      <sheetName val="Cómo_se_ocupan_estas_listas"/>
      <sheetName val="actual_May03"/>
      <sheetName val="datos_universos"/>
      <sheetName val="regiones_Nov02"/>
      <sheetName val="rating_"/>
      <sheetName val="HM_25-64"/>
      <sheetName val="Resumen_Rt"/>
      <sheetName val="CNN_(noticias)"/>
      <sheetName val="Disc_H&amp;H_(discovery)"/>
      <sheetName val="13C_2"/>
      <sheetName val="Regiones_Noviembre_20022"/>
      <sheetName val="tablas_final_2°sem2"/>
      <sheetName val="tablas_final2"/>
      <sheetName val="Cómo_se_ocupan_estas_listas2"/>
      <sheetName val="actual_May032"/>
      <sheetName val="datos_universos2"/>
      <sheetName val="regiones_Nov022"/>
      <sheetName val="rating_2"/>
      <sheetName val="HM_25-642"/>
      <sheetName val="Resumen_Rt2"/>
      <sheetName val="CNN_(noticias)2"/>
      <sheetName val="Disc_H&amp;H_(discovery)2"/>
      <sheetName val="13C_22"/>
      <sheetName val="Regiones_Noviembre_20021"/>
      <sheetName val="tablas_final_2°sem1"/>
      <sheetName val="tablas_final1"/>
      <sheetName val="Cómo_se_ocupan_estas_listas1"/>
      <sheetName val="actual_May031"/>
      <sheetName val="datos_universos1"/>
      <sheetName val="regiones_Nov021"/>
      <sheetName val="rating_1"/>
      <sheetName val="HM_25-641"/>
      <sheetName val="Resumen_Rt1"/>
      <sheetName val="CNN_(noticias)1"/>
      <sheetName val="Disc_H&amp;H_(discovery)1"/>
      <sheetName val="13C_21"/>
      <sheetName val="Regiones_Noviembre_20023"/>
      <sheetName val="tablas_final_2°sem3"/>
      <sheetName val="tablas_final3"/>
      <sheetName val="Cómo_se_ocupan_estas_listas3"/>
      <sheetName val="actual_May033"/>
      <sheetName val="datos_universos3"/>
      <sheetName val="regiones_Nov023"/>
      <sheetName val="rating_3"/>
      <sheetName val="HM_25-643"/>
      <sheetName val="Resumen_Rt3"/>
      <sheetName val="CNN_(noticias)3"/>
      <sheetName val="Disc_H&amp;H_(discovery)3"/>
      <sheetName val="13C_23"/>
      <sheetName val="Regiones_Noviembre_20024"/>
      <sheetName val="tablas_final_2°sem4"/>
      <sheetName val="tablas_final4"/>
      <sheetName val="Cómo_se_ocupan_estas_listas4"/>
      <sheetName val="actual_May034"/>
      <sheetName val="datos_universos4"/>
      <sheetName val="regiones_Nov024"/>
      <sheetName val="rating_4"/>
      <sheetName val="HM_25-644"/>
      <sheetName val="Resumen_Rt4"/>
      <sheetName val="CNN_(noticias)4"/>
      <sheetName val="Disc_H&amp;H_(discovery)4"/>
      <sheetName val="13C_24"/>
      <sheetName val="ADS"/>
      <sheetName val="Tarifas Enero 2009"/>
      <sheetName val="Rating"/>
      <sheetName val="tablas final 2°sem 2008"/>
      <sheetName val="Regiones_Noviembre_20025"/>
      <sheetName val="tablas_final_2°sem5"/>
      <sheetName val="tablas_final5"/>
      <sheetName val="Cómo_se_ocupan_estas_listas5"/>
      <sheetName val="actual_May035"/>
      <sheetName val="datos_universos5"/>
      <sheetName val="regiones_Nov025"/>
      <sheetName val="rating_5"/>
      <sheetName val="HM_25-645"/>
      <sheetName val="Resumen_Rt5"/>
      <sheetName val="CNN_(noticias)5"/>
      <sheetName val="Disc_H&amp;H_(discovery)5"/>
      <sheetName val="13C_25"/>
      <sheetName val="Regiones_Noviembre_20026"/>
      <sheetName val="tablas_final_2°sem6"/>
      <sheetName val="tablas_final6"/>
      <sheetName val="Cómo_se_ocupan_estas_listas6"/>
      <sheetName val="actual_May036"/>
      <sheetName val="datos_universos6"/>
      <sheetName val="regiones_Nov026"/>
      <sheetName val="rating_6"/>
      <sheetName val="HM_25-646"/>
      <sheetName val="Resumen_Rt6"/>
      <sheetName val="CNN_(noticias)6"/>
      <sheetName val="Disc_H&amp;H_(discovery)6"/>
      <sheetName val="13C_26"/>
      <sheetName val="Regiones_Noviembre_20027"/>
      <sheetName val="tablas_final_2°sem7"/>
      <sheetName val="tablas_final7"/>
      <sheetName val="Cómo_se_ocupan_estas_listas7"/>
      <sheetName val="actual_May037"/>
      <sheetName val="datos_universos7"/>
      <sheetName val="regiones_Nov027"/>
      <sheetName val="rating_7"/>
      <sheetName val="HM_25-647"/>
      <sheetName val="Resumen_Rt7"/>
      <sheetName val="CNN_(noticias)7"/>
      <sheetName val="Disc_H&amp;H_(discovery)7"/>
      <sheetName val="13C_27"/>
    </sheetNames>
    <sheetDataSet>
      <sheetData sheetId="0">
        <row r="69">
          <cell r="BQ69" t="str">
            <v>5"</v>
          </cell>
        </row>
      </sheetData>
      <sheetData sheetId="1">
        <row r="7">
          <cell r="A7">
            <v>1</v>
          </cell>
        </row>
        <row r="69">
          <cell r="BQ69" t="str">
            <v>5"</v>
          </cell>
          <cell r="BR69" t="str">
            <v>10"</v>
          </cell>
          <cell r="BS69" t="str">
            <v>15"</v>
          </cell>
          <cell r="BT69" t="str">
            <v>20"</v>
          </cell>
          <cell r="BU69" t="str">
            <v>25"</v>
          </cell>
          <cell r="BV69" t="str">
            <v>30"</v>
          </cell>
          <cell r="BW69" t="str">
            <v>35"</v>
          </cell>
          <cell r="BX69" t="str">
            <v>40"</v>
          </cell>
          <cell r="BY69" t="str">
            <v>45"</v>
          </cell>
          <cell r="CB69" t="str">
            <v>5"</v>
          </cell>
          <cell r="CC69" t="str">
            <v>10"</v>
          </cell>
          <cell r="CD69" t="str">
            <v>15"</v>
          </cell>
          <cell r="CE69" t="str">
            <v>20"</v>
          </cell>
          <cell r="CF69" t="str">
            <v>25"</v>
          </cell>
          <cell r="CG69" t="str">
            <v>30"</v>
          </cell>
          <cell r="CH69" t="str">
            <v>35"</v>
          </cell>
          <cell r="CI69" t="str">
            <v>40"</v>
          </cell>
          <cell r="CJ69" t="str">
            <v>45"</v>
          </cell>
        </row>
        <row r="70">
          <cell r="BP70" t="str">
            <v>X0</v>
          </cell>
          <cell r="BQ70">
            <v>800</v>
          </cell>
          <cell r="BR70">
            <v>1600</v>
          </cell>
          <cell r="BS70">
            <v>2000</v>
          </cell>
          <cell r="BT70">
            <v>2100</v>
          </cell>
          <cell r="BU70">
            <v>2700</v>
          </cell>
          <cell r="BV70">
            <v>3200</v>
          </cell>
          <cell r="BW70">
            <v>4900</v>
          </cell>
          <cell r="BX70">
            <v>6400</v>
          </cell>
          <cell r="BY70">
            <v>8200</v>
          </cell>
          <cell r="CA70" t="str">
            <v>X0</v>
          </cell>
          <cell r="CB70">
            <v>300</v>
          </cell>
          <cell r="CC70">
            <v>600</v>
          </cell>
          <cell r="CD70">
            <v>800</v>
          </cell>
          <cell r="CE70">
            <v>900</v>
          </cell>
          <cell r="CF70">
            <v>1000</v>
          </cell>
          <cell r="CG70">
            <v>1200</v>
          </cell>
          <cell r="CH70">
            <v>1800</v>
          </cell>
          <cell r="CI70">
            <v>2400</v>
          </cell>
          <cell r="CJ70">
            <v>3100</v>
          </cell>
        </row>
        <row r="71">
          <cell r="BP71" t="str">
            <v>X1</v>
          </cell>
          <cell r="BQ71">
            <v>1000</v>
          </cell>
          <cell r="BR71">
            <v>2000</v>
          </cell>
          <cell r="BS71">
            <v>2500</v>
          </cell>
          <cell r="BT71">
            <v>2700</v>
          </cell>
          <cell r="BU71">
            <v>3300</v>
          </cell>
          <cell r="BV71">
            <v>4000</v>
          </cell>
          <cell r="BW71">
            <v>6100</v>
          </cell>
          <cell r="BX71">
            <v>8000</v>
          </cell>
          <cell r="BY71">
            <v>10200</v>
          </cell>
          <cell r="CA71" t="str">
            <v>X1</v>
          </cell>
          <cell r="CB71">
            <v>400</v>
          </cell>
          <cell r="CC71">
            <v>800</v>
          </cell>
          <cell r="CD71">
            <v>900</v>
          </cell>
          <cell r="CE71">
            <v>1000</v>
          </cell>
          <cell r="CF71">
            <v>1300</v>
          </cell>
          <cell r="CG71">
            <v>1500</v>
          </cell>
          <cell r="CH71">
            <v>2300</v>
          </cell>
          <cell r="CI71">
            <v>3000</v>
          </cell>
          <cell r="CJ71">
            <v>3800</v>
          </cell>
        </row>
        <row r="72">
          <cell r="BP72" t="str">
            <v>X2</v>
          </cell>
          <cell r="BQ72">
            <v>1200</v>
          </cell>
          <cell r="BR72">
            <v>2500</v>
          </cell>
          <cell r="BS72">
            <v>3100</v>
          </cell>
          <cell r="BT72">
            <v>3300</v>
          </cell>
          <cell r="BU72">
            <v>4100</v>
          </cell>
          <cell r="BV72">
            <v>4900</v>
          </cell>
          <cell r="BW72">
            <v>7400</v>
          </cell>
          <cell r="BX72">
            <v>9800</v>
          </cell>
          <cell r="BY72">
            <v>12500</v>
          </cell>
          <cell r="CA72" t="str">
            <v>X2</v>
          </cell>
          <cell r="CB72">
            <v>500</v>
          </cell>
          <cell r="CC72">
            <v>1000</v>
          </cell>
          <cell r="CD72">
            <v>1200</v>
          </cell>
          <cell r="CE72">
            <v>1300</v>
          </cell>
          <cell r="CF72">
            <v>1600</v>
          </cell>
          <cell r="CG72">
            <v>1900</v>
          </cell>
          <cell r="CH72">
            <v>2900</v>
          </cell>
          <cell r="CI72">
            <v>3800</v>
          </cell>
          <cell r="CJ72">
            <v>4800</v>
          </cell>
        </row>
        <row r="73">
          <cell r="BP73" t="str">
            <v>X3</v>
          </cell>
          <cell r="BQ73">
            <v>1500</v>
          </cell>
          <cell r="BR73">
            <v>2900</v>
          </cell>
          <cell r="BS73">
            <v>3600</v>
          </cell>
          <cell r="BT73">
            <v>3900</v>
          </cell>
          <cell r="BU73">
            <v>4800</v>
          </cell>
          <cell r="BV73">
            <v>5800</v>
          </cell>
          <cell r="BW73">
            <v>8800</v>
          </cell>
          <cell r="BX73">
            <v>11600</v>
          </cell>
          <cell r="BY73">
            <v>14800</v>
          </cell>
          <cell r="CA73" t="str">
            <v>X3</v>
          </cell>
          <cell r="CB73">
            <v>600</v>
          </cell>
          <cell r="CC73">
            <v>1100</v>
          </cell>
          <cell r="CD73">
            <v>1400</v>
          </cell>
          <cell r="CE73">
            <v>1500</v>
          </cell>
          <cell r="CF73">
            <v>1800</v>
          </cell>
          <cell r="CG73">
            <v>2200</v>
          </cell>
          <cell r="CH73">
            <v>3300</v>
          </cell>
          <cell r="CI73">
            <v>4400</v>
          </cell>
          <cell r="CJ73">
            <v>5600</v>
          </cell>
        </row>
        <row r="74">
          <cell r="BP74" t="str">
            <v>X4</v>
          </cell>
          <cell r="BQ74">
            <v>1600</v>
          </cell>
          <cell r="BR74">
            <v>3200</v>
          </cell>
          <cell r="BS74">
            <v>4000</v>
          </cell>
          <cell r="BT74">
            <v>4300</v>
          </cell>
          <cell r="BU74">
            <v>5300</v>
          </cell>
          <cell r="BV74">
            <v>6400</v>
          </cell>
          <cell r="BW74">
            <v>9700</v>
          </cell>
          <cell r="BX74">
            <v>12800</v>
          </cell>
          <cell r="BY74">
            <v>16300</v>
          </cell>
          <cell r="CA74" t="str">
            <v>X4</v>
          </cell>
          <cell r="CB74">
            <v>650</v>
          </cell>
          <cell r="CC74">
            <v>1200</v>
          </cell>
          <cell r="CD74">
            <v>1500</v>
          </cell>
          <cell r="CE74">
            <v>1600</v>
          </cell>
          <cell r="CF74">
            <v>2000</v>
          </cell>
          <cell r="CG74">
            <v>2400</v>
          </cell>
          <cell r="CH74">
            <v>3600</v>
          </cell>
          <cell r="CI74">
            <v>4800</v>
          </cell>
          <cell r="CJ74">
            <v>6100</v>
          </cell>
        </row>
        <row r="75">
          <cell r="BP75" t="str">
            <v>X5</v>
          </cell>
          <cell r="BQ75">
            <v>1800</v>
          </cell>
          <cell r="BR75">
            <v>3600</v>
          </cell>
          <cell r="BS75">
            <v>4400</v>
          </cell>
          <cell r="BT75">
            <v>4700</v>
          </cell>
          <cell r="BU75">
            <v>5900</v>
          </cell>
          <cell r="BV75">
            <v>7100</v>
          </cell>
          <cell r="BW75">
            <v>10800</v>
          </cell>
          <cell r="BX75">
            <v>14200</v>
          </cell>
          <cell r="BY75">
            <v>18100</v>
          </cell>
          <cell r="CA75" t="str">
            <v>X5</v>
          </cell>
          <cell r="CB75">
            <v>700</v>
          </cell>
          <cell r="CC75">
            <v>1400</v>
          </cell>
          <cell r="CD75">
            <v>1700</v>
          </cell>
          <cell r="CE75">
            <v>1800</v>
          </cell>
          <cell r="CF75">
            <v>2300</v>
          </cell>
          <cell r="CG75">
            <v>2700</v>
          </cell>
          <cell r="CH75">
            <v>4100</v>
          </cell>
          <cell r="CI75">
            <v>5400</v>
          </cell>
          <cell r="CJ75">
            <v>6900</v>
          </cell>
        </row>
        <row r="76">
          <cell r="BP76" t="str">
            <v>X6</v>
          </cell>
          <cell r="BQ76">
            <v>2000</v>
          </cell>
          <cell r="BR76">
            <v>3900</v>
          </cell>
          <cell r="BS76">
            <v>4900</v>
          </cell>
          <cell r="BT76">
            <v>5200</v>
          </cell>
          <cell r="BU76">
            <v>6500</v>
          </cell>
          <cell r="BV76">
            <v>7800</v>
          </cell>
          <cell r="BW76">
            <v>11800</v>
          </cell>
          <cell r="BX76">
            <v>15600</v>
          </cell>
          <cell r="BY76">
            <v>19900</v>
          </cell>
          <cell r="CA76" t="str">
            <v>X6</v>
          </cell>
          <cell r="CB76">
            <v>750</v>
          </cell>
          <cell r="CC76">
            <v>1500</v>
          </cell>
          <cell r="CD76">
            <v>1800</v>
          </cell>
          <cell r="CE76">
            <v>1900</v>
          </cell>
          <cell r="CF76">
            <v>2400</v>
          </cell>
          <cell r="CG76">
            <v>2900</v>
          </cell>
          <cell r="CH76">
            <v>4400</v>
          </cell>
          <cell r="CI76">
            <v>5800</v>
          </cell>
          <cell r="CJ76">
            <v>7400</v>
          </cell>
        </row>
        <row r="77">
          <cell r="BP77" t="str">
            <v>X7</v>
          </cell>
          <cell r="BQ77">
            <v>2100</v>
          </cell>
          <cell r="BR77">
            <v>4300</v>
          </cell>
          <cell r="BS77">
            <v>5300</v>
          </cell>
          <cell r="BT77">
            <v>5700</v>
          </cell>
          <cell r="BU77">
            <v>7100</v>
          </cell>
          <cell r="BV77">
            <v>8500</v>
          </cell>
          <cell r="BW77">
            <v>12900</v>
          </cell>
          <cell r="BX77">
            <v>17000</v>
          </cell>
          <cell r="BY77">
            <v>21700</v>
          </cell>
          <cell r="CA77" t="str">
            <v>X7</v>
          </cell>
          <cell r="CB77">
            <v>800</v>
          </cell>
          <cell r="CC77">
            <v>1600</v>
          </cell>
          <cell r="CD77">
            <v>2000</v>
          </cell>
          <cell r="CE77">
            <v>2100</v>
          </cell>
          <cell r="CF77">
            <v>2700</v>
          </cell>
          <cell r="CG77">
            <v>3200</v>
          </cell>
          <cell r="CH77">
            <v>4900</v>
          </cell>
          <cell r="CI77">
            <v>6400</v>
          </cell>
          <cell r="CJ77">
            <v>8200</v>
          </cell>
        </row>
        <row r="78">
          <cell r="BP78" t="str">
            <v>X8</v>
          </cell>
          <cell r="BQ78">
            <v>2400</v>
          </cell>
          <cell r="BR78">
            <v>4700</v>
          </cell>
          <cell r="BS78">
            <v>5900</v>
          </cell>
          <cell r="BT78">
            <v>6300</v>
          </cell>
          <cell r="BU78">
            <v>7800</v>
          </cell>
          <cell r="BV78">
            <v>9400</v>
          </cell>
          <cell r="BW78">
            <v>14300</v>
          </cell>
          <cell r="BX78">
            <v>18800</v>
          </cell>
          <cell r="BY78">
            <v>24000</v>
          </cell>
          <cell r="CA78" t="str">
            <v>X8</v>
          </cell>
          <cell r="CB78">
            <v>900</v>
          </cell>
          <cell r="CC78">
            <v>1800</v>
          </cell>
          <cell r="CD78">
            <v>2200</v>
          </cell>
          <cell r="CE78">
            <v>2300</v>
          </cell>
          <cell r="CF78">
            <v>2900</v>
          </cell>
          <cell r="CG78">
            <v>3500</v>
          </cell>
          <cell r="CH78">
            <v>5300</v>
          </cell>
          <cell r="CI78">
            <v>7000</v>
          </cell>
          <cell r="CJ78">
            <v>8900</v>
          </cell>
        </row>
        <row r="79">
          <cell r="BP79" t="str">
            <v>X9</v>
          </cell>
          <cell r="BQ79">
            <v>2600</v>
          </cell>
          <cell r="BR79">
            <v>5200</v>
          </cell>
          <cell r="BS79">
            <v>6500</v>
          </cell>
          <cell r="BT79">
            <v>6900</v>
          </cell>
          <cell r="BU79">
            <v>8700</v>
          </cell>
          <cell r="BV79">
            <v>10400</v>
          </cell>
          <cell r="BW79">
            <v>15800</v>
          </cell>
          <cell r="BX79">
            <v>20800</v>
          </cell>
          <cell r="BY79">
            <v>26500</v>
          </cell>
          <cell r="CA79" t="str">
            <v>X9</v>
          </cell>
          <cell r="CB79">
            <v>1000</v>
          </cell>
          <cell r="CC79">
            <v>2000</v>
          </cell>
          <cell r="CD79">
            <v>2400</v>
          </cell>
          <cell r="CE79">
            <v>2600</v>
          </cell>
          <cell r="CF79">
            <v>3300</v>
          </cell>
          <cell r="CG79">
            <v>3900</v>
          </cell>
          <cell r="CH79">
            <v>5900</v>
          </cell>
          <cell r="CI79">
            <v>7800</v>
          </cell>
          <cell r="CJ79">
            <v>9900</v>
          </cell>
        </row>
        <row r="80">
          <cell r="BP80" t="str">
            <v>X10</v>
          </cell>
          <cell r="BQ80">
            <v>2900</v>
          </cell>
          <cell r="BR80">
            <v>5700</v>
          </cell>
          <cell r="BS80">
            <v>7100</v>
          </cell>
          <cell r="BT80">
            <v>7600</v>
          </cell>
          <cell r="BU80">
            <v>9500</v>
          </cell>
          <cell r="BV80">
            <v>11400</v>
          </cell>
          <cell r="BW80">
            <v>17300</v>
          </cell>
          <cell r="BX80">
            <v>22800</v>
          </cell>
          <cell r="BY80">
            <v>29100</v>
          </cell>
          <cell r="CA80" t="str">
            <v>X10</v>
          </cell>
          <cell r="CB80">
            <v>1100</v>
          </cell>
          <cell r="CC80">
            <v>2200</v>
          </cell>
          <cell r="CD80">
            <v>2700</v>
          </cell>
          <cell r="CE80">
            <v>2900</v>
          </cell>
          <cell r="CF80">
            <v>3600</v>
          </cell>
          <cell r="CG80">
            <v>4300</v>
          </cell>
          <cell r="CH80">
            <v>6500</v>
          </cell>
          <cell r="CI80">
            <v>8600</v>
          </cell>
          <cell r="CJ80">
            <v>11000</v>
          </cell>
        </row>
        <row r="81">
          <cell r="BP81" t="str">
            <v>X11</v>
          </cell>
          <cell r="BQ81">
            <v>3100</v>
          </cell>
          <cell r="BR81">
            <v>6300</v>
          </cell>
          <cell r="BS81">
            <v>7800</v>
          </cell>
          <cell r="BT81">
            <v>8300</v>
          </cell>
          <cell r="BU81">
            <v>10400</v>
          </cell>
          <cell r="BV81">
            <v>12500</v>
          </cell>
          <cell r="BW81">
            <v>19000</v>
          </cell>
          <cell r="BX81">
            <v>25000</v>
          </cell>
          <cell r="BY81">
            <v>31900</v>
          </cell>
          <cell r="CA81" t="str">
            <v>X11</v>
          </cell>
          <cell r="CB81">
            <v>1200</v>
          </cell>
          <cell r="CC81">
            <v>2400</v>
          </cell>
          <cell r="CD81">
            <v>2900</v>
          </cell>
          <cell r="CE81">
            <v>3100</v>
          </cell>
          <cell r="CF81">
            <v>3900</v>
          </cell>
          <cell r="CG81">
            <v>4700</v>
          </cell>
          <cell r="CH81">
            <v>7100</v>
          </cell>
          <cell r="CI81">
            <v>9400</v>
          </cell>
          <cell r="CJ81">
            <v>12000</v>
          </cell>
        </row>
        <row r="82">
          <cell r="BP82" t="str">
            <v>X12</v>
          </cell>
          <cell r="BQ82">
            <v>3500</v>
          </cell>
          <cell r="BR82">
            <v>6900</v>
          </cell>
          <cell r="BS82">
            <v>8600</v>
          </cell>
          <cell r="BT82">
            <v>9200</v>
          </cell>
          <cell r="BU82">
            <v>11500</v>
          </cell>
          <cell r="BV82">
            <v>13800</v>
          </cell>
          <cell r="BW82">
            <v>20900</v>
          </cell>
          <cell r="BX82">
            <v>27600</v>
          </cell>
          <cell r="BY82">
            <v>35200</v>
          </cell>
          <cell r="CA82" t="str">
            <v>X12</v>
          </cell>
          <cell r="CB82">
            <v>1300</v>
          </cell>
          <cell r="CC82">
            <v>2600</v>
          </cell>
          <cell r="CD82">
            <v>3300</v>
          </cell>
          <cell r="CE82">
            <v>3500</v>
          </cell>
          <cell r="CF82">
            <v>4300</v>
          </cell>
          <cell r="CG82">
            <v>5200</v>
          </cell>
          <cell r="CH82">
            <v>7900</v>
          </cell>
          <cell r="CI82">
            <v>10400</v>
          </cell>
          <cell r="CJ82">
            <v>13300</v>
          </cell>
        </row>
        <row r="83">
          <cell r="BP83" t="str">
            <v>X13</v>
          </cell>
          <cell r="BQ83">
            <v>3800</v>
          </cell>
          <cell r="BR83">
            <v>7600</v>
          </cell>
          <cell r="BS83">
            <v>9500</v>
          </cell>
          <cell r="BT83">
            <v>10100</v>
          </cell>
          <cell r="BU83">
            <v>12700</v>
          </cell>
          <cell r="BV83">
            <v>15200</v>
          </cell>
          <cell r="BW83">
            <v>23100</v>
          </cell>
          <cell r="BX83">
            <v>30400</v>
          </cell>
          <cell r="BY83">
            <v>38800</v>
          </cell>
          <cell r="CA83" t="str">
            <v>X13</v>
          </cell>
          <cell r="CB83">
            <v>1400</v>
          </cell>
          <cell r="CC83">
            <v>2900</v>
          </cell>
          <cell r="CD83">
            <v>3600</v>
          </cell>
          <cell r="CE83">
            <v>3800</v>
          </cell>
          <cell r="CF83">
            <v>4800</v>
          </cell>
          <cell r="CG83">
            <v>5700</v>
          </cell>
          <cell r="CH83">
            <v>8600</v>
          </cell>
          <cell r="CI83">
            <v>11400</v>
          </cell>
          <cell r="CJ83">
            <v>14500</v>
          </cell>
        </row>
        <row r="84">
          <cell r="BP84" t="str">
            <v>X14</v>
          </cell>
          <cell r="BQ84">
            <v>4200</v>
          </cell>
          <cell r="BR84">
            <v>8400</v>
          </cell>
          <cell r="BS84">
            <v>10400</v>
          </cell>
          <cell r="BT84">
            <v>11100</v>
          </cell>
          <cell r="BU84">
            <v>13900</v>
          </cell>
          <cell r="BV84">
            <v>16700</v>
          </cell>
          <cell r="BW84">
            <v>25300</v>
          </cell>
          <cell r="BX84">
            <v>33400</v>
          </cell>
          <cell r="BY84">
            <v>42600</v>
          </cell>
          <cell r="CA84" t="str">
            <v>X14</v>
          </cell>
          <cell r="CB84">
            <v>1600</v>
          </cell>
          <cell r="CC84">
            <v>3200</v>
          </cell>
          <cell r="CD84">
            <v>3900</v>
          </cell>
          <cell r="CE84">
            <v>4200</v>
          </cell>
          <cell r="CF84">
            <v>5300</v>
          </cell>
          <cell r="CG84">
            <v>6300</v>
          </cell>
          <cell r="CH84">
            <v>9600</v>
          </cell>
          <cell r="CI84">
            <v>12600</v>
          </cell>
          <cell r="CJ84">
            <v>16100</v>
          </cell>
        </row>
        <row r="85">
          <cell r="BP85" t="str">
            <v>X15</v>
          </cell>
          <cell r="BQ85">
            <v>4600</v>
          </cell>
          <cell r="BR85">
            <v>9200</v>
          </cell>
          <cell r="BS85">
            <v>11400</v>
          </cell>
          <cell r="BT85">
            <v>12200</v>
          </cell>
          <cell r="BU85">
            <v>15300</v>
          </cell>
          <cell r="BV85">
            <v>18300</v>
          </cell>
          <cell r="BW85">
            <v>27800</v>
          </cell>
          <cell r="BX85">
            <v>36600</v>
          </cell>
          <cell r="BY85">
            <v>46700</v>
          </cell>
          <cell r="CA85" t="str">
            <v>X15</v>
          </cell>
          <cell r="CB85">
            <v>1700</v>
          </cell>
          <cell r="CC85">
            <v>3500</v>
          </cell>
          <cell r="CD85">
            <v>4300</v>
          </cell>
          <cell r="CE85">
            <v>4600</v>
          </cell>
          <cell r="CF85">
            <v>5800</v>
          </cell>
          <cell r="CG85">
            <v>6900</v>
          </cell>
          <cell r="CH85">
            <v>10500</v>
          </cell>
          <cell r="CI85">
            <v>13800</v>
          </cell>
          <cell r="CJ85">
            <v>17600</v>
          </cell>
        </row>
        <row r="86">
          <cell r="BP86" t="str">
            <v>X16</v>
          </cell>
          <cell r="BQ86">
            <v>5100</v>
          </cell>
          <cell r="BR86">
            <v>10100</v>
          </cell>
          <cell r="BS86">
            <v>12600</v>
          </cell>
          <cell r="BT86">
            <v>13500</v>
          </cell>
          <cell r="BU86">
            <v>16800</v>
          </cell>
          <cell r="BV86">
            <v>20200</v>
          </cell>
          <cell r="BW86">
            <v>30600</v>
          </cell>
          <cell r="BX86">
            <v>40400</v>
          </cell>
          <cell r="BY86">
            <v>51500</v>
          </cell>
          <cell r="CA86" t="str">
            <v>X16</v>
          </cell>
          <cell r="CB86">
            <v>1900</v>
          </cell>
          <cell r="CC86">
            <v>3800</v>
          </cell>
          <cell r="CD86">
            <v>4800</v>
          </cell>
          <cell r="CE86">
            <v>5100</v>
          </cell>
          <cell r="CF86">
            <v>6300</v>
          </cell>
          <cell r="CG86">
            <v>7600</v>
          </cell>
          <cell r="CH86">
            <v>11500</v>
          </cell>
          <cell r="CI86">
            <v>15200</v>
          </cell>
          <cell r="CJ86">
            <v>19400</v>
          </cell>
        </row>
        <row r="87">
          <cell r="BP87" t="str">
            <v>X17</v>
          </cell>
          <cell r="BQ87">
            <v>5600</v>
          </cell>
          <cell r="BR87">
            <v>11100</v>
          </cell>
          <cell r="BS87">
            <v>13900</v>
          </cell>
          <cell r="BT87">
            <v>14800</v>
          </cell>
          <cell r="BU87">
            <v>18500</v>
          </cell>
          <cell r="BV87">
            <v>22200</v>
          </cell>
          <cell r="BW87">
            <v>33700</v>
          </cell>
          <cell r="BX87">
            <v>44400</v>
          </cell>
          <cell r="BY87">
            <v>56600</v>
          </cell>
          <cell r="CA87" t="str">
            <v>X17</v>
          </cell>
          <cell r="CB87">
            <v>2100</v>
          </cell>
          <cell r="CC87">
            <v>4200</v>
          </cell>
          <cell r="CD87">
            <v>5300</v>
          </cell>
          <cell r="CE87">
            <v>5600</v>
          </cell>
          <cell r="CF87">
            <v>7000</v>
          </cell>
          <cell r="CG87">
            <v>8400</v>
          </cell>
          <cell r="CH87">
            <v>12700</v>
          </cell>
          <cell r="CI87">
            <v>16800</v>
          </cell>
          <cell r="CJ87">
            <v>21400</v>
          </cell>
        </row>
        <row r="88">
          <cell r="BP88" t="str">
            <v>X18</v>
          </cell>
          <cell r="BQ88">
            <v>6100</v>
          </cell>
          <cell r="BR88">
            <v>12200</v>
          </cell>
          <cell r="BS88">
            <v>15300</v>
          </cell>
          <cell r="BT88">
            <v>16300</v>
          </cell>
          <cell r="BU88">
            <v>20300</v>
          </cell>
          <cell r="BV88">
            <v>24400</v>
          </cell>
          <cell r="BW88">
            <v>37000</v>
          </cell>
          <cell r="BX88">
            <v>48800</v>
          </cell>
          <cell r="BY88">
            <v>62200</v>
          </cell>
          <cell r="CA88" t="str">
            <v>X18</v>
          </cell>
          <cell r="CB88">
            <v>2300</v>
          </cell>
          <cell r="CC88">
            <v>4600</v>
          </cell>
          <cell r="CD88">
            <v>5800</v>
          </cell>
          <cell r="CE88">
            <v>6100</v>
          </cell>
          <cell r="CF88">
            <v>7700</v>
          </cell>
          <cell r="CG88">
            <v>9200</v>
          </cell>
          <cell r="CH88">
            <v>14000</v>
          </cell>
          <cell r="CI88">
            <v>18400</v>
          </cell>
          <cell r="CJ88">
            <v>23500</v>
          </cell>
        </row>
        <row r="89">
          <cell r="BP89" t="str">
            <v>X19</v>
          </cell>
          <cell r="BQ89">
            <v>6700</v>
          </cell>
          <cell r="BR89">
            <v>13400</v>
          </cell>
          <cell r="BS89">
            <v>16800</v>
          </cell>
          <cell r="BT89">
            <v>17900</v>
          </cell>
          <cell r="BU89">
            <v>22300</v>
          </cell>
          <cell r="BV89">
            <v>26800</v>
          </cell>
          <cell r="BW89">
            <v>40600</v>
          </cell>
          <cell r="BX89">
            <v>53600</v>
          </cell>
          <cell r="BY89">
            <v>68300</v>
          </cell>
          <cell r="CA89" t="str">
            <v>X19</v>
          </cell>
          <cell r="CB89">
            <v>2500</v>
          </cell>
          <cell r="CC89">
            <v>5100</v>
          </cell>
          <cell r="CD89">
            <v>6300</v>
          </cell>
          <cell r="CE89">
            <v>6700</v>
          </cell>
          <cell r="CF89">
            <v>8400</v>
          </cell>
          <cell r="CG89">
            <v>10100</v>
          </cell>
          <cell r="CH89">
            <v>15300</v>
          </cell>
          <cell r="CI89">
            <v>20200</v>
          </cell>
          <cell r="CJ89">
            <v>25800</v>
          </cell>
        </row>
        <row r="90">
          <cell r="BP90" t="str">
            <v>X20</v>
          </cell>
          <cell r="BQ90">
            <v>7400</v>
          </cell>
          <cell r="BR90">
            <v>14800</v>
          </cell>
          <cell r="BS90">
            <v>18400</v>
          </cell>
          <cell r="BT90">
            <v>19700</v>
          </cell>
          <cell r="BU90">
            <v>24600</v>
          </cell>
          <cell r="BV90">
            <v>29500</v>
          </cell>
          <cell r="BW90">
            <v>44700</v>
          </cell>
          <cell r="BX90">
            <v>59000</v>
          </cell>
          <cell r="BY90">
            <v>75200</v>
          </cell>
          <cell r="CA90" t="str">
            <v>X20</v>
          </cell>
          <cell r="CB90">
            <v>2800</v>
          </cell>
          <cell r="CC90">
            <v>5600</v>
          </cell>
          <cell r="CD90">
            <v>6900</v>
          </cell>
          <cell r="CE90">
            <v>7400</v>
          </cell>
          <cell r="CF90">
            <v>9300</v>
          </cell>
          <cell r="CG90">
            <v>11100</v>
          </cell>
          <cell r="CH90">
            <v>16800</v>
          </cell>
          <cell r="CI90">
            <v>22200</v>
          </cell>
          <cell r="CJ90">
            <v>28300</v>
          </cell>
        </row>
        <row r="91">
          <cell r="BP91" t="str">
            <v>X21</v>
          </cell>
          <cell r="BQ91">
            <v>8100</v>
          </cell>
          <cell r="BR91">
            <v>16300</v>
          </cell>
          <cell r="BS91">
            <v>20300</v>
          </cell>
          <cell r="BT91">
            <v>21700</v>
          </cell>
          <cell r="BU91">
            <v>27100</v>
          </cell>
          <cell r="BV91">
            <v>32500</v>
          </cell>
          <cell r="BW91">
            <v>49300</v>
          </cell>
          <cell r="BX91">
            <v>65000</v>
          </cell>
          <cell r="BY91">
            <v>82900</v>
          </cell>
          <cell r="CA91" t="str">
            <v>X21</v>
          </cell>
          <cell r="CB91">
            <v>3100</v>
          </cell>
          <cell r="CC91">
            <v>6100</v>
          </cell>
          <cell r="CD91">
            <v>7600</v>
          </cell>
          <cell r="CE91">
            <v>8100</v>
          </cell>
          <cell r="CF91">
            <v>10200</v>
          </cell>
          <cell r="CG91">
            <v>12200</v>
          </cell>
          <cell r="CH91">
            <v>18500</v>
          </cell>
          <cell r="CI91">
            <v>24400</v>
          </cell>
          <cell r="CJ91">
            <v>31100</v>
          </cell>
        </row>
        <row r="92">
          <cell r="BP92" t="str">
            <v>X22</v>
          </cell>
          <cell r="BQ92">
            <v>8900</v>
          </cell>
          <cell r="BR92">
            <v>17900</v>
          </cell>
          <cell r="BS92">
            <v>22300</v>
          </cell>
          <cell r="BT92">
            <v>23800</v>
          </cell>
          <cell r="BU92">
            <v>29800</v>
          </cell>
          <cell r="BV92">
            <v>35700</v>
          </cell>
          <cell r="BW92">
            <v>54100</v>
          </cell>
          <cell r="BX92">
            <v>71400</v>
          </cell>
          <cell r="BY92">
            <v>91000</v>
          </cell>
          <cell r="CA92" t="str">
            <v>X22</v>
          </cell>
          <cell r="CB92">
            <v>3400</v>
          </cell>
          <cell r="CC92">
            <v>6800</v>
          </cell>
          <cell r="CD92">
            <v>8400</v>
          </cell>
          <cell r="CE92">
            <v>9000</v>
          </cell>
          <cell r="CF92">
            <v>11300</v>
          </cell>
          <cell r="CG92">
            <v>13500</v>
          </cell>
          <cell r="CH92">
            <v>20500</v>
          </cell>
          <cell r="CI92">
            <v>27000</v>
          </cell>
          <cell r="CJ92">
            <v>34400</v>
          </cell>
        </row>
        <row r="93">
          <cell r="BP93" t="str">
            <v>X23</v>
          </cell>
          <cell r="BQ93">
            <v>9800</v>
          </cell>
          <cell r="BR93">
            <v>19700</v>
          </cell>
          <cell r="BS93">
            <v>24600</v>
          </cell>
          <cell r="BT93">
            <v>26200</v>
          </cell>
          <cell r="BU93">
            <v>32800</v>
          </cell>
          <cell r="BV93">
            <v>39300</v>
          </cell>
          <cell r="BW93">
            <v>59600</v>
          </cell>
          <cell r="BX93">
            <v>78600</v>
          </cell>
          <cell r="BY93">
            <v>100200</v>
          </cell>
          <cell r="CA93" t="str">
            <v>X23</v>
          </cell>
          <cell r="CB93">
            <v>3700</v>
          </cell>
          <cell r="CC93">
            <v>7400</v>
          </cell>
          <cell r="CD93">
            <v>9300</v>
          </cell>
          <cell r="CE93">
            <v>9900</v>
          </cell>
          <cell r="CF93">
            <v>12300</v>
          </cell>
          <cell r="CG93">
            <v>14800</v>
          </cell>
          <cell r="CH93">
            <v>22400</v>
          </cell>
          <cell r="CI93">
            <v>29600</v>
          </cell>
          <cell r="CJ93">
            <v>37700</v>
          </cell>
        </row>
        <row r="94">
          <cell r="BP94" t="str">
            <v>X24</v>
          </cell>
          <cell r="BQ94">
            <v>10800</v>
          </cell>
          <cell r="BR94">
            <v>21600</v>
          </cell>
          <cell r="BS94">
            <v>27000</v>
          </cell>
          <cell r="BT94">
            <v>28800</v>
          </cell>
          <cell r="BU94">
            <v>36000</v>
          </cell>
          <cell r="BV94">
            <v>43200</v>
          </cell>
          <cell r="BW94">
            <v>65500</v>
          </cell>
          <cell r="BX94">
            <v>86400</v>
          </cell>
          <cell r="BY94">
            <v>110200</v>
          </cell>
          <cell r="CA94" t="str">
            <v>X24</v>
          </cell>
          <cell r="CB94">
            <v>4100</v>
          </cell>
          <cell r="CC94">
            <v>8200</v>
          </cell>
          <cell r="CD94">
            <v>10200</v>
          </cell>
          <cell r="CE94">
            <v>10900</v>
          </cell>
          <cell r="CF94">
            <v>13600</v>
          </cell>
          <cell r="CG94">
            <v>16300</v>
          </cell>
          <cell r="CH94">
            <v>24700</v>
          </cell>
          <cell r="CI94">
            <v>32600</v>
          </cell>
          <cell r="CJ94">
            <v>41600</v>
          </cell>
        </row>
        <row r="95">
          <cell r="BP95" t="str">
            <v>X25</v>
          </cell>
          <cell r="BQ95">
            <v>11900</v>
          </cell>
          <cell r="BR95">
            <v>23800</v>
          </cell>
          <cell r="BS95">
            <v>29700</v>
          </cell>
          <cell r="BT95">
            <v>31700</v>
          </cell>
          <cell r="BU95">
            <v>39600</v>
          </cell>
          <cell r="BV95">
            <v>47500</v>
          </cell>
          <cell r="BW95">
            <v>72000</v>
          </cell>
          <cell r="BX95">
            <v>95000</v>
          </cell>
          <cell r="BY95">
            <v>121100</v>
          </cell>
          <cell r="CA95" t="str">
            <v>X25</v>
          </cell>
          <cell r="CB95">
            <v>4500</v>
          </cell>
          <cell r="CC95">
            <v>9000</v>
          </cell>
          <cell r="CD95">
            <v>11200</v>
          </cell>
          <cell r="CE95">
            <v>11900</v>
          </cell>
          <cell r="CF95">
            <v>14900</v>
          </cell>
          <cell r="CG95">
            <v>17900</v>
          </cell>
          <cell r="CH95">
            <v>27100</v>
          </cell>
          <cell r="CI95">
            <v>35800</v>
          </cell>
          <cell r="CJ95">
            <v>45600</v>
          </cell>
        </row>
        <row r="96">
          <cell r="BP96" t="str">
            <v>X26</v>
          </cell>
          <cell r="BQ96">
            <v>13100</v>
          </cell>
          <cell r="BR96">
            <v>26200</v>
          </cell>
          <cell r="BS96">
            <v>32700</v>
          </cell>
          <cell r="BT96">
            <v>34900</v>
          </cell>
          <cell r="BU96">
            <v>43600</v>
          </cell>
          <cell r="BV96">
            <v>52300</v>
          </cell>
          <cell r="BW96">
            <v>79300</v>
          </cell>
          <cell r="BX96">
            <v>104600</v>
          </cell>
          <cell r="BY96">
            <v>133400</v>
          </cell>
          <cell r="CA96" t="str">
            <v>X26</v>
          </cell>
          <cell r="CB96">
            <v>4900</v>
          </cell>
          <cell r="CC96">
            <v>9900</v>
          </cell>
          <cell r="CD96">
            <v>12300</v>
          </cell>
          <cell r="CE96">
            <v>13100</v>
          </cell>
          <cell r="CF96">
            <v>16400</v>
          </cell>
          <cell r="CG96">
            <v>19700</v>
          </cell>
          <cell r="CH96">
            <v>29900</v>
          </cell>
          <cell r="CI96">
            <v>39400</v>
          </cell>
          <cell r="CJ96">
            <v>50200</v>
          </cell>
        </row>
        <row r="97">
          <cell r="BP97" t="str">
            <v>X27</v>
          </cell>
          <cell r="BQ97">
            <v>14400</v>
          </cell>
          <cell r="BR97">
            <v>28800</v>
          </cell>
          <cell r="BS97">
            <v>35900</v>
          </cell>
          <cell r="BT97">
            <v>38300</v>
          </cell>
          <cell r="BU97">
            <v>47900</v>
          </cell>
          <cell r="BV97">
            <v>57500</v>
          </cell>
          <cell r="BW97">
            <v>87200</v>
          </cell>
          <cell r="BX97">
            <v>115000</v>
          </cell>
          <cell r="BY97">
            <v>146600</v>
          </cell>
          <cell r="CA97" t="str">
            <v>X27</v>
          </cell>
          <cell r="CB97">
            <v>5400</v>
          </cell>
          <cell r="CC97">
            <v>10900</v>
          </cell>
          <cell r="CD97">
            <v>13600</v>
          </cell>
          <cell r="CE97">
            <v>14500</v>
          </cell>
          <cell r="CF97">
            <v>18100</v>
          </cell>
          <cell r="CG97">
            <v>21700</v>
          </cell>
          <cell r="CH97">
            <v>32900</v>
          </cell>
          <cell r="CI97">
            <v>43400</v>
          </cell>
          <cell r="CJ97">
            <v>55300</v>
          </cell>
        </row>
        <row r="98">
          <cell r="BP98" t="str">
            <v>X28</v>
          </cell>
          <cell r="BQ98">
            <v>15800</v>
          </cell>
          <cell r="BR98">
            <v>31700</v>
          </cell>
          <cell r="BS98">
            <v>39600</v>
          </cell>
          <cell r="BT98">
            <v>42200</v>
          </cell>
          <cell r="BU98">
            <v>52800</v>
          </cell>
          <cell r="BV98">
            <v>63300</v>
          </cell>
          <cell r="BW98">
            <v>96000</v>
          </cell>
          <cell r="BX98">
            <v>126600</v>
          </cell>
          <cell r="BY98">
            <v>161400</v>
          </cell>
          <cell r="CA98" t="str">
            <v>X28</v>
          </cell>
          <cell r="CB98">
            <v>6000</v>
          </cell>
          <cell r="CC98">
            <v>12000</v>
          </cell>
          <cell r="CD98">
            <v>14900</v>
          </cell>
          <cell r="CE98">
            <v>15900</v>
          </cell>
          <cell r="CF98">
            <v>19900</v>
          </cell>
          <cell r="CG98">
            <v>23900</v>
          </cell>
          <cell r="CH98">
            <v>36200</v>
          </cell>
          <cell r="CI98">
            <v>47800</v>
          </cell>
          <cell r="CJ98">
            <v>60900</v>
          </cell>
        </row>
        <row r="99">
          <cell r="BP99" t="str">
            <v>X29</v>
          </cell>
          <cell r="BQ99">
            <v>17400</v>
          </cell>
          <cell r="BR99">
            <v>34800</v>
          </cell>
          <cell r="BS99">
            <v>43500</v>
          </cell>
          <cell r="BT99">
            <v>46400</v>
          </cell>
          <cell r="BU99">
            <v>58000</v>
          </cell>
          <cell r="BV99">
            <v>69600</v>
          </cell>
          <cell r="BW99">
            <v>105600</v>
          </cell>
          <cell r="BX99">
            <v>139200</v>
          </cell>
          <cell r="BY99">
            <v>177500</v>
          </cell>
          <cell r="CA99" t="str">
            <v>X29</v>
          </cell>
          <cell r="CB99">
            <v>6600</v>
          </cell>
          <cell r="CC99">
            <v>13100</v>
          </cell>
          <cell r="CD99">
            <v>16400</v>
          </cell>
          <cell r="CE99">
            <v>17500</v>
          </cell>
          <cell r="CF99">
            <v>21800</v>
          </cell>
          <cell r="CG99">
            <v>26200</v>
          </cell>
          <cell r="CH99">
            <v>39700</v>
          </cell>
          <cell r="CI99">
            <v>52400</v>
          </cell>
          <cell r="CJ99">
            <v>66800</v>
          </cell>
        </row>
        <row r="100">
          <cell r="BP100" t="str">
            <v>X30</v>
          </cell>
          <cell r="BQ100">
            <v>19200</v>
          </cell>
          <cell r="BR100">
            <v>38300</v>
          </cell>
          <cell r="BS100">
            <v>47900</v>
          </cell>
          <cell r="BT100">
            <v>51100</v>
          </cell>
          <cell r="BU100">
            <v>63800</v>
          </cell>
          <cell r="BV100">
            <v>76600</v>
          </cell>
          <cell r="BW100">
            <v>116200</v>
          </cell>
          <cell r="BX100">
            <v>153200</v>
          </cell>
          <cell r="BY100">
            <v>195300</v>
          </cell>
          <cell r="CA100" t="str">
            <v>X30</v>
          </cell>
          <cell r="CB100">
            <v>7200</v>
          </cell>
          <cell r="CC100">
            <v>14500</v>
          </cell>
          <cell r="CD100">
            <v>18100</v>
          </cell>
          <cell r="CE100">
            <v>19300</v>
          </cell>
          <cell r="CF100">
            <v>24100</v>
          </cell>
          <cell r="CG100">
            <v>28900</v>
          </cell>
          <cell r="CH100">
            <v>43800</v>
          </cell>
          <cell r="CI100">
            <v>57800</v>
          </cell>
          <cell r="CJ100">
            <v>73700</v>
          </cell>
        </row>
        <row r="101">
          <cell r="BP101" t="str">
            <v>X31</v>
          </cell>
          <cell r="BQ101">
            <v>21100</v>
          </cell>
          <cell r="BR101">
            <v>42100</v>
          </cell>
          <cell r="BS101">
            <v>52600</v>
          </cell>
          <cell r="BT101">
            <v>56100</v>
          </cell>
          <cell r="BU101">
            <v>70200</v>
          </cell>
          <cell r="BV101">
            <v>84200</v>
          </cell>
          <cell r="BW101">
            <v>127700</v>
          </cell>
          <cell r="BX101">
            <v>168400</v>
          </cell>
          <cell r="BY101">
            <v>214700</v>
          </cell>
          <cell r="CA101" t="str">
            <v>X31</v>
          </cell>
          <cell r="CB101">
            <v>7900</v>
          </cell>
          <cell r="CC101">
            <v>15900</v>
          </cell>
          <cell r="CD101">
            <v>19800</v>
          </cell>
          <cell r="CE101">
            <v>21100</v>
          </cell>
          <cell r="CF101">
            <v>26400</v>
          </cell>
          <cell r="CG101">
            <v>31700</v>
          </cell>
          <cell r="CH101">
            <v>48100</v>
          </cell>
          <cell r="CI101">
            <v>63400</v>
          </cell>
          <cell r="CJ101">
            <v>80800</v>
          </cell>
        </row>
        <row r="102">
          <cell r="BP102" t="str">
            <v>X32</v>
          </cell>
          <cell r="BQ102">
            <v>23200</v>
          </cell>
          <cell r="BR102">
            <v>46400</v>
          </cell>
          <cell r="BS102">
            <v>57900</v>
          </cell>
          <cell r="BT102">
            <v>61800</v>
          </cell>
          <cell r="BU102">
            <v>77300</v>
          </cell>
          <cell r="BV102">
            <v>92700</v>
          </cell>
          <cell r="BW102">
            <v>140600</v>
          </cell>
          <cell r="BX102">
            <v>185400</v>
          </cell>
          <cell r="BY102">
            <v>236400</v>
          </cell>
          <cell r="CA102" t="str">
            <v>X32</v>
          </cell>
          <cell r="CB102">
            <v>8700</v>
          </cell>
          <cell r="CC102">
            <v>17500</v>
          </cell>
          <cell r="CD102">
            <v>21800</v>
          </cell>
          <cell r="CE102">
            <v>23300</v>
          </cell>
          <cell r="CF102">
            <v>29100</v>
          </cell>
          <cell r="CG102">
            <v>34900</v>
          </cell>
          <cell r="CH102">
            <v>52900</v>
          </cell>
          <cell r="CI102">
            <v>69800</v>
          </cell>
          <cell r="CJ102">
            <v>89000</v>
          </cell>
        </row>
        <row r="103">
          <cell r="BP103" t="str">
            <v>X33</v>
          </cell>
          <cell r="BQ103">
            <v>25500</v>
          </cell>
          <cell r="BR103">
            <v>51000</v>
          </cell>
          <cell r="BS103">
            <v>63700</v>
          </cell>
          <cell r="BT103">
            <v>67900</v>
          </cell>
          <cell r="BU103">
            <v>84900</v>
          </cell>
          <cell r="BV103">
            <v>101900</v>
          </cell>
          <cell r="BW103">
            <v>154500</v>
          </cell>
          <cell r="BX103">
            <v>203800</v>
          </cell>
          <cell r="BY103">
            <v>259800</v>
          </cell>
          <cell r="CA103" t="str">
            <v>X33</v>
          </cell>
          <cell r="CB103">
            <v>9600</v>
          </cell>
          <cell r="CC103">
            <v>19200</v>
          </cell>
          <cell r="CD103">
            <v>24000</v>
          </cell>
          <cell r="CE103">
            <v>25600</v>
          </cell>
          <cell r="CF103">
            <v>32000</v>
          </cell>
          <cell r="CG103">
            <v>38400</v>
          </cell>
          <cell r="CH103">
            <v>58200</v>
          </cell>
          <cell r="CI103">
            <v>76800</v>
          </cell>
          <cell r="CJ103">
            <v>97900</v>
          </cell>
        </row>
        <row r="104">
          <cell r="BP104" t="str">
            <v>X34</v>
          </cell>
          <cell r="BQ104">
            <v>28000</v>
          </cell>
          <cell r="BR104">
            <v>56100</v>
          </cell>
          <cell r="BS104">
            <v>70100</v>
          </cell>
          <cell r="BT104">
            <v>74700</v>
          </cell>
          <cell r="BU104">
            <v>93400</v>
          </cell>
          <cell r="BV104">
            <v>112100</v>
          </cell>
          <cell r="BW104">
            <v>170000</v>
          </cell>
          <cell r="BX104">
            <v>224200</v>
          </cell>
          <cell r="BY104">
            <v>285900</v>
          </cell>
          <cell r="CA104" t="str">
            <v>X34</v>
          </cell>
          <cell r="CB104">
            <v>10600</v>
          </cell>
          <cell r="CC104">
            <v>21200</v>
          </cell>
          <cell r="CD104">
            <v>26400</v>
          </cell>
          <cell r="CE104">
            <v>28200</v>
          </cell>
          <cell r="CF104">
            <v>35300</v>
          </cell>
          <cell r="CG104">
            <v>42300</v>
          </cell>
          <cell r="CH104">
            <v>64200</v>
          </cell>
          <cell r="CI104">
            <v>84600</v>
          </cell>
          <cell r="CJ104">
            <v>107900</v>
          </cell>
        </row>
        <row r="105">
          <cell r="BP105" t="str">
            <v>X35</v>
          </cell>
          <cell r="BQ105">
            <v>30800</v>
          </cell>
          <cell r="BR105">
            <v>61700</v>
          </cell>
          <cell r="BS105">
            <v>77100</v>
          </cell>
          <cell r="BT105">
            <v>82200</v>
          </cell>
          <cell r="BU105">
            <v>102800</v>
          </cell>
          <cell r="BV105">
            <v>123300</v>
          </cell>
          <cell r="BW105">
            <v>187000</v>
          </cell>
          <cell r="BX105">
            <v>246600</v>
          </cell>
          <cell r="BY105">
            <v>314400</v>
          </cell>
          <cell r="CA105" t="str">
            <v>X35</v>
          </cell>
          <cell r="CB105">
            <v>11600</v>
          </cell>
          <cell r="CC105">
            <v>23300</v>
          </cell>
          <cell r="CD105">
            <v>29100</v>
          </cell>
          <cell r="CE105">
            <v>31000</v>
          </cell>
          <cell r="CF105">
            <v>38800</v>
          </cell>
          <cell r="CG105">
            <v>46500</v>
          </cell>
          <cell r="CH105">
            <v>70500</v>
          </cell>
          <cell r="CI105">
            <v>93000</v>
          </cell>
          <cell r="CJ105">
            <v>118600</v>
          </cell>
        </row>
        <row r="106">
          <cell r="BP106" t="str">
            <v>X36</v>
          </cell>
          <cell r="BQ106">
            <v>33900</v>
          </cell>
          <cell r="BR106">
            <v>67900</v>
          </cell>
          <cell r="BS106">
            <v>84800</v>
          </cell>
          <cell r="BT106">
            <v>90500</v>
          </cell>
          <cell r="BU106">
            <v>113100</v>
          </cell>
          <cell r="BV106">
            <v>135700</v>
          </cell>
          <cell r="BW106">
            <v>205800</v>
          </cell>
          <cell r="BX106">
            <v>271400</v>
          </cell>
          <cell r="BY106">
            <v>346000</v>
          </cell>
          <cell r="CA106" t="str">
            <v>X36</v>
          </cell>
          <cell r="CB106">
            <v>12800</v>
          </cell>
          <cell r="CC106">
            <v>25600</v>
          </cell>
          <cell r="CD106">
            <v>31900</v>
          </cell>
          <cell r="CE106">
            <v>34100</v>
          </cell>
          <cell r="CF106">
            <v>42600</v>
          </cell>
          <cell r="CG106">
            <v>51100</v>
          </cell>
          <cell r="CH106">
            <v>77500</v>
          </cell>
          <cell r="CI106">
            <v>102200</v>
          </cell>
          <cell r="CJ106">
            <v>130300</v>
          </cell>
        </row>
        <row r="107">
          <cell r="BP107" t="str">
            <v>X37</v>
          </cell>
          <cell r="BQ107">
            <v>37300</v>
          </cell>
          <cell r="BR107">
            <v>74600</v>
          </cell>
          <cell r="BS107">
            <v>93300</v>
          </cell>
          <cell r="BT107">
            <v>99500</v>
          </cell>
          <cell r="BU107">
            <v>124300</v>
          </cell>
          <cell r="BV107">
            <v>149200</v>
          </cell>
          <cell r="BW107">
            <v>226300</v>
          </cell>
          <cell r="BX107">
            <v>298400</v>
          </cell>
          <cell r="BY107">
            <v>380500</v>
          </cell>
          <cell r="CA107" t="str">
            <v>X37</v>
          </cell>
          <cell r="CB107">
            <v>14100</v>
          </cell>
          <cell r="CC107">
            <v>28100</v>
          </cell>
          <cell r="CD107">
            <v>35100</v>
          </cell>
          <cell r="CE107">
            <v>37500</v>
          </cell>
          <cell r="CF107">
            <v>46800</v>
          </cell>
          <cell r="CG107">
            <v>56200</v>
          </cell>
          <cell r="CH107">
            <v>85200</v>
          </cell>
          <cell r="CI107">
            <v>112400</v>
          </cell>
          <cell r="CJ107">
            <v>143300</v>
          </cell>
        </row>
        <row r="108">
          <cell r="BP108" t="str">
            <v>X38</v>
          </cell>
          <cell r="BQ108">
            <v>41000</v>
          </cell>
          <cell r="BR108">
            <v>82100</v>
          </cell>
          <cell r="BS108">
            <v>102600</v>
          </cell>
          <cell r="BT108">
            <v>109400</v>
          </cell>
          <cell r="BU108">
            <v>136800</v>
          </cell>
          <cell r="BV108">
            <v>164100</v>
          </cell>
          <cell r="BW108">
            <v>248900</v>
          </cell>
          <cell r="BX108">
            <v>328200</v>
          </cell>
          <cell r="BY108">
            <v>418500</v>
          </cell>
          <cell r="CA108" t="str">
            <v>X38</v>
          </cell>
          <cell r="CB108">
            <v>15500</v>
          </cell>
          <cell r="CC108">
            <v>31000</v>
          </cell>
          <cell r="CD108">
            <v>38700</v>
          </cell>
          <cell r="CE108">
            <v>41300</v>
          </cell>
          <cell r="CF108">
            <v>51600</v>
          </cell>
          <cell r="CG108">
            <v>61900</v>
          </cell>
          <cell r="CH108">
            <v>93900</v>
          </cell>
          <cell r="CI108">
            <v>123800</v>
          </cell>
          <cell r="CJ108">
            <v>157800</v>
          </cell>
        </row>
        <row r="109">
          <cell r="BP109" t="str">
            <v>X39</v>
          </cell>
          <cell r="BQ109">
            <v>45100</v>
          </cell>
          <cell r="BR109">
            <v>90300</v>
          </cell>
          <cell r="BS109">
            <v>112800</v>
          </cell>
          <cell r="BT109">
            <v>120300</v>
          </cell>
          <cell r="BU109">
            <v>150400</v>
          </cell>
          <cell r="BV109">
            <v>180500</v>
          </cell>
          <cell r="BW109">
            <v>273800</v>
          </cell>
          <cell r="BX109">
            <v>361000</v>
          </cell>
          <cell r="BY109">
            <v>460300</v>
          </cell>
          <cell r="CA109" t="str">
            <v>X39</v>
          </cell>
          <cell r="CB109">
            <v>17000</v>
          </cell>
          <cell r="CC109">
            <v>34100</v>
          </cell>
          <cell r="CD109">
            <v>42600</v>
          </cell>
          <cell r="CE109">
            <v>45400</v>
          </cell>
          <cell r="CF109">
            <v>56800</v>
          </cell>
          <cell r="CG109">
            <v>68100</v>
          </cell>
          <cell r="CH109">
            <v>103300</v>
          </cell>
          <cell r="CI109">
            <v>136200</v>
          </cell>
          <cell r="CJ109">
            <v>173700</v>
          </cell>
        </row>
        <row r="110">
          <cell r="BP110" t="str">
            <v>X40</v>
          </cell>
          <cell r="BQ110">
            <v>49700</v>
          </cell>
          <cell r="BR110">
            <v>99300</v>
          </cell>
          <cell r="BS110">
            <v>124100</v>
          </cell>
          <cell r="BT110">
            <v>132400</v>
          </cell>
          <cell r="BU110">
            <v>165500</v>
          </cell>
          <cell r="BV110">
            <v>198600</v>
          </cell>
          <cell r="BW110">
            <v>301200</v>
          </cell>
          <cell r="BX110">
            <v>397200</v>
          </cell>
          <cell r="BY110">
            <v>506400</v>
          </cell>
          <cell r="CA110" t="str">
            <v>X40</v>
          </cell>
          <cell r="CB110">
            <v>18700</v>
          </cell>
          <cell r="CC110">
            <v>37500</v>
          </cell>
          <cell r="CD110">
            <v>46800</v>
          </cell>
          <cell r="CE110">
            <v>49900</v>
          </cell>
          <cell r="CF110">
            <v>62400</v>
          </cell>
          <cell r="CG110">
            <v>74900</v>
          </cell>
          <cell r="CH110">
            <v>113600</v>
          </cell>
          <cell r="CI110">
            <v>149800</v>
          </cell>
          <cell r="CJ110">
            <v>191000</v>
          </cell>
        </row>
        <row r="111">
          <cell r="BP111" t="str">
            <v>X41</v>
          </cell>
          <cell r="BQ111">
            <v>54600</v>
          </cell>
          <cell r="BR111">
            <v>109300</v>
          </cell>
          <cell r="BS111">
            <v>136600</v>
          </cell>
          <cell r="BT111">
            <v>145700</v>
          </cell>
          <cell r="BU111">
            <v>182100</v>
          </cell>
          <cell r="BV111">
            <v>218500</v>
          </cell>
          <cell r="BW111">
            <v>331400</v>
          </cell>
          <cell r="BX111">
            <v>437000</v>
          </cell>
          <cell r="BY111">
            <v>557200</v>
          </cell>
          <cell r="CA111" t="str">
            <v>X41</v>
          </cell>
          <cell r="CB111">
            <v>20600</v>
          </cell>
          <cell r="CC111">
            <v>41200</v>
          </cell>
          <cell r="CD111">
            <v>51500</v>
          </cell>
          <cell r="CE111">
            <v>54900</v>
          </cell>
          <cell r="CF111">
            <v>68700</v>
          </cell>
          <cell r="CG111">
            <v>82400</v>
          </cell>
          <cell r="CH111">
            <v>125000</v>
          </cell>
          <cell r="CI111">
            <v>164800</v>
          </cell>
          <cell r="CJ111">
            <v>210100</v>
          </cell>
        </row>
        <row r="112">
          <cell r="BP112" t="str">
            <v>X42</v>
          </cell>
          <cell r="BQ112">
            <v>60100</v>
          </cell>
          <cell r="BR112">
            <v>120200</v>
          </cell>
          <cell r="BS112">
            <v>150200</v>
          </cell>
          <cell r="BT112">
            <v>160200</v>
          </cell>
          <cell r="BU112">
            <v>200300</v>
          </cell>
          <cell r="BV112">
            <v>240300</v>
          </cell>
          <cell r="BW112">
            <v>364500</v>
          </cell>
          <cell r="BX112">
            <v>480600</v>
          </cell>
          <cell r="BY112">
            <v>612800</v>
          </cell>
          <cell r="CA112" t="str">
            <v>X42</v>
          </cell>
          <cell r="CB112">
            <v>22700</v>
          </cell>
          <cell r="CC112">
            <v>45300</v>
          </cell>
          <cell r="CD112">
            <v>56600</v>
          </cell>
          <cell r="CE112">
            <v>60400</v>
          </cell>
          <cell r="CF112">
            <v>75500</v>
          </cell>
          <cell r="CG112">
            <v>90600</v>
          </cell>
          <cell r="CH112">
            <v>137400</v>
          </cell>
          <cell r="CI112">
            <v>181200</v>
          </cell>
          <cell r="CJ112">
            <v>231000</v>
          </cell>
        </row>
        <row r="113">
          <cell r="BP113" t="str">
            <v>X43</v>
          </cell>
          <cell r="BQ113">
            <v>66100</v>
          </cell>
          <cell r="BR113">
            <v>132200</v>
          </cell>
          <cell r="BS113">
            <v>165200</v>
          </cell>
          <cell r="BT113">
            <v>176200</v>
          </cell>
          <cell r="BU113">
            <v>220300</v>
          </cell>
          <cell r="BV113">
            <v>264300</v>
          </cell>
          <cell r="BW113">
            <v>401000</v>
          </cell>
          <cell r="BX113">
            <v>528700</v>
          </cell>
          <cell r="BY113">
            <v>674100</v>
          </cell>
          <cell r="CA113" t="str">
            <v>X43</v>
          </cell>
          <cell r="CB113">
            <v>25000</v>
          </cell>
          <cell r="CC113">
            <v>49800</v>
          </cell>
          <cell r="CD113">
            <v>62300</v>
          </cell>
          <cell r="CE113">
            <v>66400</v>
          </cell>
          <cell r="CF113">
            <v>83100</v>
          </cell>
          <cell r="CG113">
            <v>99700</v>
          </cell>
          <cell r="CH113">
            <v>151100</v>
          </cell>
          <cell r="CI113">
            <v>199300</v>
          </cell>
          <cell r="CJ113">
            <v>254100</v>
          </cell>
        </row>
        <row r="114">
          <cell r="BP114" t="str">
            <v>X44</v>
          </cell>
          <cell r="BQ114">
            <v>72700</v>
          </cell>
          <cell r="BR114">
            <v>145400</v>
          </cell>
          <cell r="BS114">
            <v>181700</v>
          </cell>
          <cell r="BT114">
            <v>193800</v>
          </cell>
          <cell r="BU114">
            <v>242300</v>
          </cell>
          <cell r="BV114">
            <v>290700</v>
          </cell>
          <cell r="BW114">
            <v>441100</v>
          </cell>
          <cell r="BX114">
            <v>581600</v>
          </cell>
          <cell r="BY114">
            <v>741500</v>
          </cell>
          <cell r="CA114" t="str">
            <v>X44</v>
          </cell>
          <cell r="CB114">
            <v>27500</v>
          </cell>
          <cell r="CC114">
            <v>54800</v>
          </cell>
          <cell r="CD114">
            <v>68500</v>
          </cell>
          <cell r="CE114">
            <v>73000</v>
          </cell>
          <cell r="CF114">
            <v>91400</v>
          </cell>
          <cell r="CG114">
            <v>109700</v>
          </cell>
          <cell r="CH114">
            <v>166200</v>
          </cell>
          <cell r="CI114">
            <v>219200</v>
          </cell>
          <cell r="CJ114">
            <v>279500</v>
          </cell>
        </row>
        <row r="115">
          <cell r="BP115" t="str">
            <v>X45</v>
          </cell>
          <cell r="BQ115">
            <v>80000</v>
          </cell>
          <cell r="BR115">
            <v>159900</v>
          </cell>
          <cell r="BS115">
            <v>199900</v>
          </cell>
          <cell r="BT115">
            <v>213200</v>
          </cell>
          <cell r="BU115">
            <v>266500</v>
          </cell>
          <cell r="BV115">
            <v>319800</v>
          </cell>
          <cell r="BW115">
            <v>485200</v>
          </cell>
          <cell r="BX115">
            <v>639800</v>
          </cell>
          <cell r="BY115">
            <v>815700</v>
          </cell>
          <cell r="CA115" t="str">
            <v>X45</v>
          </cell>
          <cell r="CB115">
            <v>30300</v>
          </cell>
          <cell r="CC115">
            <v>60300</v>
          </cell>
          <cell r="CD115">
            <v>75400</v>
          </cell>
          <cell r="CE115">
            <v>80300</v>
          </cell>
          <cell r="CF115">
            <v>100500</v>
          </cell>
          <cell r="CG115">
            <v>120700</v>
          </cell>
          <cell r="CH115">
            <v>182800</v>
          </cell>
          <cell r="CI115">
            <v>241100</v>
          </cell>
          <cell r="CJ115">
            <v>307500</v>
          </cell>
        </row>
        <row r="116">
          <cell r="BP116" t="str">
            <v>X46</v>
          </cell>
          <cell r="BQ116">
            <v>88000</v>
          </cell>
          <cell r="BR116">
            <v>175900</v>
          </cell>
          <cell r="BS116">
            <v>219900</v>
          </cell>
          <cell r="BT116">
            <v>234500</v>
          </cell>
          <cell r="BU116">
            <v>293200</v>
          </cell>
          <cell r="BV116">
            <v>351800</v>
          </cell>
          <cell r="BW116">
            <v>533700</v>
          </cell>
          <cell r="BX116">
            <v>703800</v>
          </cell>
          <cell r="BY116">
            <v>897300</v>
          </cell>
          <cell r="CA116" t="str">
            <v>X46</v>
          </cell>
          <cell r="CB116">
            <v>33300</v>
          </cell>
          <cell r="CC116">
            <v>66300</v>
          </cell>
          <cell r="CD116">
            <v>82900</v>
          </cell>
          <cell r="CE116">
            <v>88300</v>
          </cell>
          <cell r="CF116">
            <v>110600</v>
          </cell>
          <cell r="CG116">
            <v>132800</v>
          </cell>
          <cell r="CH116">
            <v>201100</v>
          </cell>
          <cell r="CI116">
            <v>265200</v>
          </cell>
          <cell r="CJ116">
            <v>338300</v>
          </cell>
        </row>
        <row r="117">
          <cell r="BP117" t="str">
            <v>X47</v>
          </cell>
          <cell r="BQ117">
            <v>96800</v>
          </cell>
          <cell r="BR117">
            <v>193500</v>
          </cell>
          <cell r="BS117">
            <v>241900</v>
          </cell>
          <cell r="BT117">
            <v>258000</v>
          </cell>
          <cell r="BU117">
            <v>322500</v>
          </cell>
          <cell r="BV117">
            <v>387000</v>
          </cell>
          <cell r="BW117">
            <v>587100</v>
          </cell>
          <cell r="BX117">
            <v>774200</v>
          </cell>
          <cell r="BY117">
            <v>987000</v>
          </cell>
          <cell r="CA117" t="str">
            <v>X47</v>
          </cell>
          <cell r="CB117">
            <v>36600</v>
          </cell>
          <cell r="CC117">
            <v>72900</v>
          </cell>
          <cell r="CD117">
            <v>91200</v>
          </cell>
          <cell r="CE117">
            <v>97100</v>
          </cell>
          <cell r="CF117">
            <v>121700</v>
          </cell>
          <cell r="CG117">
            <v>146100</v>
          </cell>
          <cell r="CH117">
            <v>221200</v>
          </cell>
          <cell r="CI117">
            <v>291700</v>
          </cell>
          <cell r="CJ117">
            <v>372100</v>
          </cell>
        </row>
        <row r="118">
          <cell r="BP118" t="str">
            <v>X48</v>
          </cell>
          <cell r="BQ118">
            <v>106500</v>
          </cell>
          <cell r="BR118">
            <v>212900</v>
          </cell>
          <cell r="BS118">
            <v>266100</v>
          </cell>
          <cell r="BT118">
            <v>283800</v>
          </cell>
          <cell r="BU118">
            <v>354800</v>
          </cell>
          <cell r="BV118">
            <v>425700</v>
          </cell>
          <cell r="BW118">
            <v>645800</v>
          </cell>
          <cell r="BX118">
            <v>851600</v>
          </cell>
          <cell r="BY118">
            <v>1085700</v>
          </cell>
          <cell r="CA118" t="str">
            <v>X48</v>
          </cell>
          <cell r="CB118">
            <v>40300</v>
          </cell>
          <cell r="CC118">
            <v>80200</v>
          </cell>
          <cell r="CD118">
            <v>100300</v>
          </cell>
          <cell r="CE118">
            <v>106800</v>
          </cell>
          <cell r="CF118">
            <v>133900</v>
          </cell>
          <cell r="CG118">
            <v>160700</v>
          </cell>
          <cell r="CH118">
            <v>243300</v>
          </cell>
          <cell r="CI118">
            <v>320900</v>
          </cell>
          <cell r="CJ118">
            <v>409300</v>
          </cell>
        </row>
        <row r="119">
          <cell r="BP119" t="str">
            <v>X49</v>
          </cell>
          <cell r="BQ119">
            <v>117200</v>
          </cell>
          <cell r="BR119">
            <v>234200</v>
          </cell>
          <cell r="BS119">
            <v>292700</v>
          </cell>
          <cell r="BT119">
            <v>312200</v>
          </cell>
          <cell r="BU119">
            <v>390300</v>
          </cell>
          <cell r="BV119">
            <v>468300</v>
          </cell>
          <cell r="BW119">
            <v>710400</v>
          </cell>
          <cell r="BX119">
            <v>936800</v>
          </cell>
          <cell r="BY119">
            <v>1194300</v>
          </cell>
          <cell r="CA119" t="str">
            <v>X49</v>
          </cell>
          <cell r="CB119">
            <v>44300</v>
          </cell>
          <cell r="CC119">
            <v>88200</v>
          </cell>
          <cell r="CD119">
            <v>110300</v>
          </cell>
          <cell r="CE119">
            <v>117500</v>
          </cell>
          <cell r="CF119">
            <v>147300</v>
          </cell>
          <cell r="CG119">
            <v>176800</v>
          </cell>
          <cell r="CH119">
            <v>267600</v>
          </cell>
          <cell r="CI119">
            <v>353000</v>
          </cell>
          <cell r="CJ119">
            <v>450200</v>
          </cell>
        </row>
        <row r="120">
          <cell r="BP120" t="str">
            <v>X50</v>
          </cell>
          <cell r="BQ120">
            <v>128900</v>
          </cell>
          <cell r="BR120">
            <v>257600</v>
          </cell>
          <cell r="BS120">
            <v>322000</v>
          </cell>
          <cell r="BT120">
            <v>343400</v>
          </cell>
          <cell r="BU120">
            <v>429300</v>
          </cell>
          <cell r="BV120">
            <v>515100</v>
          </cell>
          <cell r="BW120">
            <v>781400</v>
          </cell>
          <cell r="BX120">
            <v>1030500</v>
          </cell>
          <cell r="BY120">
            <v>1313700</v>
          </cell>
          <cell r="CA120" t="str">
            <v>X50</v>
          </cell>
          <cell r="CB120">
            <v>48700</v>
          </cell>
          <cell r="CC120">
            <v>97000</v>
          </cell>
          <cell r="CD120">
            <v>121300</v>
          </cell>
          <cell r="CE120">
            <v>129300</v>
          </cell>
          <cell r="CF120">
            <v>162000</v>
          </cell>
          <cell r="CG120">
            <v>194500</v>
          </cell>
          <cell r="CH120">
            <v>294400</v>
          </cell>
          <cell r="CI120">
            <v>388300</v>
          </cell>
          <cell r="CJ120">
            <v>495200</v>
          </cell>
        </row>
        <row r="121">
          <cell r="BP121" t="str">
            <v>X51</v>
          </cell>
          <cell r="BQ121">
            <v>141800</v>
          </cell>
          <cell r="BR121">
            <v>283400</v>
          </cell>
          <cell r="BS121">
            <v>354200</v>
          </cell>
          <cell r="BT121">
            <v>377700</v>
          </cell>
          <cell r="BU121">
            <v>472200</v>
          </cell>
          <cell r="BV121">
            <v>566600</v>
          </cell>
          <cell r="BW121">
            <v>859500</v>
          </cell>
          <cell r="BX121">
            <v>1133600</v>
          </cell>
          <cell r="BY121">
            <v>1445100</v>
          </cell>
          <cell r="CA121" t="str">
            <v>X51</v>
          </cell>
          <cell r="CB121">
            <v>53600</v>
          </cell>
          <cell r="CC121">
            <v>106700</v>
          </cell>
          <cell r="CD121">
            <v>133400</v>
          </cell>
          <cell r="CE121">
            <v>142200</v>
          </cell>
          <cell r="CF121">
            <v>178200</v>
          </cell>
          <cell r="CG121">
            <v>214000</v>
          </cell>
          <cell r="CH121">
            <v>323800</v>
          </cell>
          <cell r="CI121">
            <v>427100</v>
          </cell>
          <cell r="CJ121">
            <v>544700</v>
          </cell>
        </row>
        <row r="122">
          <cell r="BP122" t="str">
            <v>X52</v>
          </cell>
          <cell r="BQ122">
            <v>156000</v>
          </cell>
          <cell r="BR122">
            <v>311700</v>
          </cell>
          <cell r="BS122">
            <v>389600</v>
          </cell>
          <cell r="BT122">
            <v>415500</v>
          </cell>
          <cell r="BU122">
            <v>519400</v>
          </cell>
          <cell r="BV122">
            <v>623300</v>
          </cell>
          <cell r="BW122">
            <v>945500</v>
          </cell>
          <cell r="BX122">
            <v>1247000</v>
          </cell>
          <cell r="BY122">
            <v>1589600</v>
          </cell>
          <cell r="CA122" t="str">
            <v>X52</v>
          </cell>
          <cell r="CB122">
            <v>59000</v>
          </cell>
          <cell r="CC122">
            <v>117400</v>
          </cell>
          <cell r="CD122">
            <v>146700</v>
          </cell>
          <cell r="CE122">
            <v>156400</v>
          </cell>
          <cell r="CF122">
            <v>196000</v>
          </cell>
          <cell r="CG122">
            <v>235400</v>
          </cell>
          <cell r="CH122">
            <v>356200</v>
          </cell>
          <cell r="CI122">
            <v>469800</v>
          </cell>
          <cell r="CJ122">
            <v>599200</v>
          </cell>
        </row>
      </sheetData>
      <sheetData sheetId="2">
        <row r="7">
          <cell r="A7">
            <v>1</v>
          </cell>
          <cell r="B7" t="str">
            <v>6:00 a 12:00</v>
          </cell>
          <cell r="C7" t="str">
            <v>L-V</v>
          </cell>
          <cell r="D7">
            <v>0.41</v>
          </cell>
          <cell r="E7">
            <v>0.28699999999999998</v>
          </cell>
          <cell r="F7">
            <v>0.40899999999999997</v>
          </cell>
          <cell r="G7">
            <v>0.32900000000000001</v>
          </cell>
          <cell r="H7">
            <v>0.26</v>
          </cell>
        </row>
        <row r="8">
          <cell r="A8">
            <v>2</v>
          </cell>
          <cell r="B8" t="str">
            <v>12:00 a 16:00</v>
          </cell>
          <cell r="C8" t="str">
            <v>L-V</v>
          </cell>
          <cell r="D8">
            <v>0.248</v>
          </cell>
          <cell r="E8">
            <v>0.19500000000000001</v>
          </cell>
          <cell r="F8">
            <v>0.23100000000000001</v>
          </cell>
          <cell r="G8">
            <v>0.32600000000000001</v>
          </cell>
          <cell r="H8">
            <v>0.16900000000000001</v>
          </cell>
        </row>
        <row r="9">
          <cell r="A9">
            <v>3</v>
          </cell>
          <cell r="B9" t="str">
            <v>16:00 a 19:30</v>
          </cell>
          <cell r="C9" t="str">
            <v>L-V</v>
          </cell>
          <cell r="D9">
            <v>0.46</v>
          </cell>
          <cell r="E9">
            <v>0.36699999999999999</v>
          </cell>
          <cell r="F9">
            <v>0.58399999999999996</v>
          </cell>
          <cell r="G9">
            <v>0.40500000000000003</v>
          </cell>
          <cell r="H9">
            <v>0.33300000000000002</v>
          </cell>
        </row>
        <row r="10">
          <cell r="A10">
            <v>4</v>
          </cell>
          <cell r="B10" t="str">
            <v>19:30 a 21:00</v>
          </cell>
          <cell r="C10" t="str">
            <v>L-V</v>
          </cell>
          <cell r="D10">
            <v>0.61399999999999999</v>
          </cell>
          <cell r="E10">
            <v>0.34</v>
          </cell>
          <cell r="F10">
            <v>0.59699999999999998</v>
          </cell>
          <cell r="G10">
            <v>0.61099999999999999</v>
          </cell>
          <cell r="H10">
            <v>0.36099999999999999</v>
          </cell>
        </row>
        <row r="11">
          <cell r="A11">
            <v>5</v>
          </cell>
          <cell r="B11" t="str">
            <v>21:00 a 22:00</v>
          </cell>
          <cell r="C11" t="str">
            <v>L-D</v>
          </cell>
          <cell r="D11">
            <v>0.47299999999999998</v>
          </cell>
          <cell r="E11">
            <v>0.33200000000000002</v>
          </cell>
          <cell r="F11">
            <v>0.29299999999999998</v>
          </cell>
          <cell r="G11">
            <v>0.45400000000000001</v>
          </cell>
          <cell r="H11">
            <v>0.26</v>
          </cell>
        </row>
        <row r="12">
          <cell r="A12">
            <v>6</v>
          </cell>
          <cell r="B12" t="str">
            <v>22:00 a 24:00</v>
          </cell>
          <cell r="C12" t="str">
            <v>L-D</v>
          </cell>
          <cell r="D12">
            <v>0.25800000000000001</v>
          </cell>
          <cell r="E12">
            <v>0.21</v>
          </cell>
          <cell r="F12">
            <v>0.29599999999999999</v>
          </cell>
          <cell r="G12">
            <v>0.26100000000000001</v>
          </cell>
          <cell r="H12">
            <v>0.224</v>
          </cell>
        </row>
        <row r="13">
          <cell r="A13">
            <v>7</v>
          </cell>
          <cell r="B13" t="str">
            <v>24:00 a 02:00</v>
          </cell>
          <cell r="C13" t="str">
            <v>L-D</v>
          </cell>
          <cell r="D13">
            <v>0.182</v>
          </cell>
          <cell r="E13">
            <v>0.114</v>
          </cell>
          <cell r="F13">
            <v>0.57199999999999995</v>
          </cell>
          <cell r="G13">
            <v>0.245</v>
          </cell>
          <cell r="H13">
            <v>0.20300000000000001</v>
          </cell>
        </row>
        <row r="14">
          <cell r="A14">
            <v>8</v>
          </cell>
          <cell r="B14" t="str">
            <v>09:00 a 21:00</v>
          </cell>
          <cell r="C14" t="str">
            <v>S-D</v>
          </cell>
          <cell r="D14">
            <v>0.41499999999999998</v>
          </cell>
          <cell r="E14">
            <v>0.25600000000000001</v>
          </cell>
          <cell r="F14">
            <v>0.439</v>
          </cell>
          <cell r="G14">
            <v>0.38</v>
          </cell>
          <cell r="H14">
            <v>0.23799999999999999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9">
          <cell r="B9" t="str">
            <v>Cliente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9">
          <cell r="BQ69" t="str">
            <v>5"</v>
          </cell>
        </row>
      </sheetData>
      <sheetData sheetId="29">
        <row r="7">
          <cell r="A7">
            <v>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9">
          <cell r="BQ69" t="str">
            <v>5"</v>
          </cell>
        </row>
      </sheetData>
      <sheetData sheetId="42">
        <row r="7">
          <cell r="A7">
            <v>1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69">
          <cell r="BQ69" t="str">
            <v>5"</v>
          </cell>
        </row>
      </sheetData>
      <sheetData sheetId="55">
        <row r="7">
          <cell r="A7">
            <v>1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69">
          <cell r="BQ69" t="str">
            <v>5"</v>
          </cell>
        </row>
      </sheetData>
      <sheetData sheetId="68">
        <row r="7">
          <cell r="A7">
            <v>1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9">
          <cell r="BQ69" t="str">
            <v>5"</v>
          </cell>
        </row>
      </sheetData>
      <sheetData sheetId="81">
        <row r="7">
          <cell r="A7">
            <v>1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>
        <row r="69">
          <cell r="BQ69" t="str">
            <v>5"</v>
          </cell>
        </row>
      </sheetData>
      <sheetData sheetId="98">
        <row r="7">
          <cell r="A7">
            <v>1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69">
          <cell r="BQ69" t="str">
            <v>5"</v>
          </cell>
        </row>
      </sheetData>
      <sheetData sheetId="111">
        <row r="7">
          <cell r="A7">
            <v>1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69">
          <cell r="BQ69" t="str">
            <v>5"</v>
          </cell>
        </row>
      </sheetData>
      <sheetData sheetId="124">
        <row r="7">
          <cell r="A7">
            <v>1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nov00"/>
      <sheetName val="datos universos"/>
      <sheetName val="rating "/>
      <sheetName val="regiones"/>
      <sheetName val="jun red-nov00"/>
      <sheetName val="1"/>
      <sheetName val="Hoja1"/>
      <sheetName val="actual_nov00"/>
      <sheetName val="datos_universos"/>
      <sheetName val="rating_"/>
      <sheetName val="jun_red-nov00"/>
      <sheetName val="actual_nov001"/>
      <sheetName val="datos_universos1"/>
      <sheetName val="rating_1"/>
      <sheetName val="jun_red-nov001"/>
      <sheetName val="actual_nov002"/>
      <sheetName val="datos_universos2"/>
      <sheetName val="rating_2"/>
      <sheetName val="jun_red-nov002"/>
      <sheetName val="Promedio"/>
      <sheetName val="AUT-HOG"/>
      <sheetName val="p_diarios santiago"/>
      <sheetName val="Sheet1"/>
      <sheetName val="ADS"/>
      <sheetName val="actual_nov003"/>
      <sheetName val="datos_universos3"/>
      <sheetName val="rating_3"/>
      <sheetName val="jun_red-nov003"/>
      <sheetName val="actual_nov005"/>
      <sheetName val="datos_universos5"/>
      <sheetName val="rating_5"/>
      <sheetName val="jun_red-nov005"/>
      <sheetName val="actual_nov004"/>
      <sheetName val="datos_universos4"/>
      <sheetName val="rating_4"/>
      <sheetName val="jun_red-nov004"/>
      <sheetName val="actual_nov007"/>
      <sheetName val="datos_universos7"/>
      <sheetName val="rating_7"/>
      <sheetName val="jun_red-nov007"/>
      <sheetName val="actual_nov006"/>
      <sheetName val="datos_universos6"/>
      <sheetName val="rating_6"/>
      <sheetName val="jun_red-nov006"/>
      <sheetName val="actual_nov008"/>
      <sheetName val="datos_universos8"/>
      <sheetName val="rating_8"/>
      <sheetName val="jun_red-nov008"/>
      <sheetName val="actual_nov009"/>
      <sheetName val="datos_universos9"/>
      <sheetName val="rating_9"/>
      <sheetName val="jun_red-nov009"/>
      <sheetName val="Master"/>
      <sheetName val="MACMASK1"/>
      <sheetName val="aca-"/>
      <sheetName val="actual_nov0010"/>
      <sheetName val="datos_universos10"/>
      <sheetName val="rating_10"/>
      <sheetName val="jun_red-nov0010"/>
      <sheetName val="p_diarios_santiago"/>
    </sheetNames>
    <sheetDataSet>
      <sheetData sheetId="0" refreshError="1"/>
      <sheetData sheetId="1" refreshError="1"/>
      <sheetData sheetId="2">
        <row r="10">
          <cell r="D10">
            <v>1</v>
          </cell>
        </row>
      </sheetData>
      <sheetData sheetId="3">
        <row r="10">
          <cell r="D10">
            <v>1</v>
          </cell>
        </row>
        <row r="61">
          <cell r="X61" t="str">
            <v>X0</v>
          </cell>
          <cell r="Y61">
            <v>2800</v>
          </cell>
          <cell r="Z61">
            <v>5500</v>
          </cell>
          <cell r="AA61">
            <v>6900</v>
          </cell>
          <cell r="AB61">
            <v>7300</v>
          </cell>
          <cell r="AC61">
            <v>9200</v>
          </cell>
          <cell r="AD61">
            <v>11000</v>
          </cell>
          <cell r="AE61">
            <v>16700</v>
          </cell>
          <cell r="AF61">
            <v>22000</v>
          </cell>
          <cell r="AG61">
            <v>28100</v>
          </cell>
        </row>
        <row r="62">
          <cell r="X62" t="str">
            <v>X1</v>
          </cell>
          <cell r="Y62">
            <v>3400</v>
          </cell>
          <cell r="Z62">
            <v>6900</v>
          </cell>
          <cell r="AA62">
            <v>8600</v>
          </cell>
          <cell r="AB62">
            <v>9100</v>
          </cell>
          <cell r="AC62">
            <v>11400</v>
          </cell>
          <cell r="AD62">
            <v>13700</v>
          </cell>
          <cell r="AE62">
            <v>20800</v>
          </cell>
          <cell r="AF62">
            <v>27400</v>
          </cell>
          <cell r="AG62">
            <v>34900</v>
          </cell>
        </row>
        <row r="63">
          <cell r="X63" t="str">
            <v>X2</v>
          </cell>
          <cell r="Y63">
            <v>4300</v>
          </cell>
          <cell r="Z63">
            <v>8600</v>
          </cell>
          <cell r="AA63">
            <v>10700</v>
          </cell>
          <cell r="AB63">
            <v>11400</v>
          </cell>
          <cell r="AC63">
            <v>14300</v>
          </cell>
          <cell r="AD63">
            <v>17100</v>
          </cell>
          <cell r="AE63">
            <v>25900</v>
          </cell>
          <cell r="AF63">
            <v>34200</v>
          </cell>
          <cell r="AG63">
            <v>43600</v>
          </cell>
        </row>
        <row r="64">
          <cell r="X64" t="str">
            <v>X3</v>
          </cell>
          <cell r="Y64">
            <v>5100</v>
          </cell>
          <cell r="Z64">
            <v>10100</v>
          </cell>
          <cell r="AA64">
            <v>12600</v>
          </cell>
          <cell r="AB64">
            <v>13500</v>
          </cell>
          <cell r="AC64">
            <v>16800</v>
          </cell>
          <cell r="AD64">
            <v>20200</v>
          </cell>
          <cell r="AE64">
            <v>30600</v>
          </cell>
          <cell r="AF64">
            <v>40400</v>
          </cell>
          <cell r="AG64">
            <v>51500</v>
          </cell>
        </row>
        <row r="65">
          <cell r="X65" t="str">
            <v>X4</v>
          </cell>
          <cell r="Y65">
            <v>5600</v>
          </cell>
          <cell r="Z65">
            <v>11200</v>
          </cell>
          <cell r="AA65">
            <v>13900</v>
          </cell>
          <cell r="AB65">
            <v>14900</v>
          </cell>
          <cell r="AC65">
            <v>18600</v>
          </cell>
          <cell r="AD65">
            <v>22300</v>
          </cell>
          <cell r="AE65">
            <v>33800</v>
          </cell>
          <cell r="AF65">
            <v>44600</v>
          </cell>
          <cell r="AG65">
            <v>56900</v>
          </cell>
        </row>
        <row r="66">
          <cell r="X66" t="str">
            <v>X5</v>
          </cell>
          <cell r="Y66">
            <v>6100</v>
          </cell>
          <cell r="Z66">
            <v>12300</v>
          </cell>
          <cell r="AA66">
            <v>15300</v>
          </cell>
          <cell r="AB66">
            <v>16300</v>
          </cell>
          <cell r="AC66">
            <v>20400</v>
          </cell>
          <cell r="AD66">
            <v>24500</v>
          </cell>
          <cell r="AE66">
            <v>37200</v>
          </cell>
          <cell r="AF66">
            <v>49000</v>
          </cell>
          <cell r="AG66">
            <v>62500</v>
          </cell>
        </row>
        <row r="67">
          <cell r="X67" t="str">
            <v>X6</v>
          </cell>
          <cell r="Y67">
            <v>6700</v>
          </cell>
          <cell r="Z67">
            <v>13500</v>
          </cell>
          <cell r="AA67">
            <v>16800</v>
          </cell>
          <cell r="AB67">
            <v>17900</v>
          </cell>
          <cell r="AC67">
            <v>22400</v>
          </cell>
          <cell r="AD67">
            <v>26900</v>
          </cell>
          <cell r="AE67">
            <v>40800</v>
          </cell>
          <cell r="AF67">
            <v>53800</v>
          </cell>
          <cell r="AG67">
            <v>68600</v>
          </cell>
        </row>
        <row r="68">
          <cell r="X68" t="str">
            <v>X7</v>
          </cell>
          <cell r="Y68">
            <v>7400</v>
          </cell>
          <cell r="Z68">
            <v>14800</v>
          </cell>
          <cell r="AA68">
            <v>18500</v>
          </cell>
          <cell r="AB68">
            <v>19700</v>
          </cell>
          <cell r="AC68">
            <v>24700</v>
          </cell>
          <cell r="AD68">
            <v>29600</v>
          </cell>
          <cell r="AE68">
            <v>44900</v>
          </cell>
          <cell r="AF68">
            <v>59200</v>
          </cell>
          <cell r="AG68">
            <v>75500</v>
          </cell>
        </row>
        <row r="69">
          <cell r="X69" t="str">
            <v>X8</v>
          </cell>
          <cell r="Y69">
            <v>8200</v>
          </cell>
          <cell r="Z69">
            <v>16300</v>
          </cell>
          <cell r="AA69">
            <v>20400</v>
          </cell>
          <cell r="AB69">
            <v>21700</v>
          </cell>
          <cell r="AC69">
            <v>27200</v>
          </cell>
          <cell r="AD69">
            <v>32600</v>
          </cell>
          <cell r="AE69">
            <v>49400</v>
          </cell>
          <cell r="AF69">
            <v>65200</v>
          </cell>
          <cell r="AG69">
            <v>83100</v>
          </cell>
        </row>
        <row r="70">
          <cell r="X70" t="str">
            <v>X9</v>
          </cell>
          <cell r="Y70">
            <v>9000</v>
          </cell>
          <cell r="Z70">
            <v>18000</v>
          </cell>
          <cell r="AA70">
            <v>22400</v>
          </cell>
          <cell r="AB70">
            <v>23900</v>
          </cell>
          <cell r="AC70">
            <v>29900</v>
          </cell>
          <cell r="AD70">
            <v>35900</v>
          </cell>
          <cell r="AE70">
            <v>54400</v>
          </cell>
          <cell r="AF70">
            <v>71800</v>
          </cell>
          <cell r="AG70">
            <v>91500</v>
          </cell>
        </row>
        <row r="71">
          <cell r="X71" t="str">
            <v>X10</v>
          </cell>
          <cell r="Y71">
            <v>9900</v>
          </cell>
          <cell r="Z71">
            <v>19700</v>
          </cell>
          <cell r="AA71">
            <v>24600</v>
          </cell>
          <cell r="AB71">
            <v>26300</v>
          </cell>
          <cell r="AC71">
            <v>32800</v>
          </cell>
          <cell r="AD71">
            <v>39400</v>
          </cell>
          <cell r="AE71">
            <v>59800</v>
          </cell>
          <cell r="AF71">
            <v>78800</v>
          </cell>
          <cell r="AG71">
            <v>100500</v>
          </cell>
        </row>
        <row r="72">
          <cell r="X72" t="str">
            <v>X11</v>
          </cell>
          <cell r="Y72">
            <v>10900</v>
          </cell>
          <cell r="Z72">
            <v>21700</v>
          </cell>
          <cell r="AA72">
            <v>27100</v>
          </cell>
          <cell r="AB72">
            <v>28900</v>
          </cell>
          <cell r="AC72">
            <v>36200</v>
          </cell>
          <cell r="AD72">
            <v>43400</v>
          </cell>
          <cell r="AE72">
            <v>65800</v>
          </cell>
          <cell r="AF72">
            <v>86800</v>
          </cell>
          <cell r="AG72">
            <v>110700</v>
          </cell>
        </row>
        <row r="73">
          <cell r="X73" t="str">
            <v>X12</v>
          </cell>
          <cell r="Y73">
            <v>12000</v>
          </cell>
          <cell r="Z73">
            <v>23900</v>
          </cell>
          <cell r="AA73">
            <v>29900</v>
          </cell>
          <cell r="AB73">
            <v>31900</v>
          </cell>
          <cell r="AC73">
            <v>39800</v>
          </cell>
          <cell r="AD73">
            <v>47800</v>
          </cell>
          <cell r="AE73">
            <v>72500</v>
          </cell>
          <cell r="AF73">
            <v>95600</v>
          </cell>
          <cell r="AG73">
            <v>121900</v>
          </cell>
        </row>
        <row r="74">
          <cell r="X74" t="str">
            <v>X13</v>
          </cell>
          <cell r="Y74">
            <v>13100</v>
          </cell>
          <cell r="Z74">
            <v>26300</v>
          </cell>
          <cell r="AA74">
            <v>32800</v>
          </cell>
          <cell r="AB74">
            <v>35000</v>
          </cell>
          <cell r="AC74">
            <v>43800</v>
          </cell>
          <cell r="AD74">
            <v>52500</v>
          </cell>
          <cell r="AE74">
            <v>79600</v>
          </cell>
          <cell r="AF74">
            <v>105000</v>
          </cell>
          <cell r="AG74">
            <v>133900</v>
          </cell>
        </row>
        <row r="75">
          <cell r="X75" t="str">
            <v>X14</v>
          </cell>
          <cell r="Y75">
            <v>14400</v>
          </cell>
          <cell r="Z75">
            <v>28900</v>
          </cell>
          <cell r="AA75">
            <v>36100</v>
          </cell>
          <cell r="AB75">
            <v>38500</v>
          </cell>
          <cell r="AC75">
            <v>48100</v>
          </cell>
          <cell r="AD75">
            <v>57700</v>
          </cell>
          <cell r="AE75">
            <v>87500</v>
          </cell>
          <cell r="AF75">
            <v>115400</v>
          </cell>
          <cell r="AG75">
            <v>147100</v>
          </cell>
        </row>
        <row r="76">
          <cell r="X76" t="str">
            <v>X15</v>
          </cell>
          <cell r="Y76">
            <v>15900</v>
          </cell>
          <cell r="Z76">
            <v>31800</v>
          </cell>
          <cell r="AA76">
            <v>39700</v>
          </cell>
          <cell r="AB76">
            <v>42300</v>
          </cell>
          <cell r="AC76">
            <v>52900</v>
          </cell>
          <cell r="AD76">
            <v>63500</v>
          </cell>
          <cell r="AE76">
            <v>96300</v>
          </cell>
          <cell r="AF76">
            <v>127000</v>
          </cell>
          <cell r="AG76">
            <v>161900</v>
          </cell>
        </row>
        <row r="77">
          <cell r="X77" t="str">
            <v>X16</v>
          </cell>
          <cell r="Y77">
            <v>17500</v>
          </cell>
          <cell r="Z77">
            <v>34900</v>
          </cell>
          <cell r="AA77">
            <v>43600</v>
          </cell>
          <cell r="AB77">
            <v>46500</v>
          </cell>
          <cell r="AC77">
            <v>58200</v>
          </cell>
          <cell r="AD77">
            <v>69800</v>
          </cell>
          <cell r="AE77">
            <v>105900</v>
          </cell>
          <cell r="AF77">
            <v>139600</v>
          </cell>
          <cell r="AG77">
            <v>178000</v>
          </cell>
        </row>
        <row r="78">
          <cell r="X78" t="str">
            <v>X17</v>
          </cell>
          <cell r="Y78">
            <v>19200</v>
          </cell>
          <cell r="Z78">
            <v>38400</v>
          </cell>
          <cell r="AA78">
            <v>48000</v>
          </cell>
          <cell r="AB78">
            <v>51200</v>
          </cell>
          <cell r="AC78">
            <v>64000</v>
          </cell>
          <cell r="AD78">
            <v>76800</v>
          </cell>
          <cell r="AE78">
            <v>116500</v>
          </cell>
          <cell r="AF78">
            <v>153600</v>
          </cell>
          <cell r="AG78">
            <v>195800</v>
          </cell>
        </row>
        <row r="79">
          <cell r="X79" t="str">
            <v>X18</v>
          </cell>
          <cell r="Y79">
            <v>21100</v>
          </cell>
          <cell r="Z79">
            <v>42300</v>
          </cell>
          <cell r="AA79">
            <v>52800</v>
          </cell>
          <cell r="AB79">
            <v>56300</v>
          </cell>
          <cell r="AC79">
            <v>70400</v>
          </cell>
          <cell r="AD79">
            <v>84500</v>
          </cell>
          <cell r="AE79">
            <v>128200</v>
          </cell>
          <cell r="AF79">
            <v>169000</v>
          </cell>
          <cell r="AG79">
            <v>215500</v>
          </cell>
        </row>
        <row r="80">
          <cell r="X80" t="str">
            <v>X19</v>
          </cell>
          <cell r="Y80">
            <v>23300</v>
          </cell>
          <cell r="Z80">
            <v>46500</v>
          </cell>
          <cell r="AA80">
            <v>58100</v>
          </cell>
          <cell r="AB80">
            <v>62000</v>
          </cell>
          <cell r="AC80">
            <v>77500</v>
          </cell>
          <cell r="AD80">
            <v>93000</v>
          </cell>
          <cell r="AE80">
            <v>141100</v>
          </cell>
          <cell r="AF80">
            <v>186000</v>
          </cell>
          <cell r="AG80">
            <v>237200</v>
          </cell>
        </row>
        <row r="81">
          <cell r="X81" t="str">
            <v>X20</v>
          </cell>
          <cell r="Y81">
            <v>25600</v>
          </cell>
          <cell r="Z81">
            <v>51200</v>
          </cell>
          <cell r="AA81">
            <v>63900</v>
          </cell>
          <cell r="AB81">
            <v>68200</v>
          </cell>
          <cell r="AC81">
            <v>85300</v>
          </cell>
          <cell r="AD81">
            <v>102300</v>
          </cell>
          <cell r="AE81">
            <v>155200</v>
          </cell>
          <cell r="AF81">
            <v>204600</v>
          </cell>
          <cell r="AG81">
            <v>260900</v>
          </cell>
        </row>
        <row r="82">
          <cell r="X82" t="str">
            <v>X21</v>
          </cell>
          <cell r="Y82">
            <v>28100</v>
          </cell>
          <cell r="Z82">
            <v>56300</v>
          </cell>
          <cell r="AA82">
            <v>70300</v>
          </cell>
          <cell r="AB82">
            <v>75000</v>
          </cell>
          <cell r="AC82">
            <v>93800</v>
          </cell>
          <cell r="AD82">
            <v>112500</v>
          </cell>
          <cell r="AE82">
            <v>170600</v>
          </cell>
          <cell r="AF82">
            <v>225000</v>
          </cell>
          <cell r="AG82">
            <v>286900</v>
          </cell>
        </row>
        <row r="83">
          <cell r="X83" t="str">
            <v>X22</v>
          </cell>
          <cell r="Y83">
            <v>30900</v>
          </cell>
          <cell r="Z83">
            <v>61900</v>
          </cell>
          <cell r="AA83">
            <v>77300</v>
          </cell>
          <cell r="AB83">
            <v>82500</v>
          </cell>
          <cell r="AC83">
            <v>103100</v>
          </cell>
          <cell r="AD83">
            <v>123700</v>
          </cell>
          <cell r="AE83">
            <v>187600</v>
          </cell>
          <cell r="AF83">
            <v>247400</v>
          </cell>
          <cell r="AG83">
            <v>315400</v>
          </cell>
        </row>
        <row r="84">
          <cell r="X84" t="str">
            <v>X23</v>
          </cell>
          <cell r="Y84">
            <v>34000</v>
          </cell>
          <cell r="Z84">
            <v>68100</v>
          </cell>
          <cell r="AA84">
            <v>85100</v>
          </cell>
          <cell r="AB84">
            <v>90700</v>
          </cell>
          <cell r="AC84">
            <v>113400</v>
          </cell>
          <cell r="AD84">
            <v>136100</v>
          </cell>
          <cell r="AE84">
            <v>206400</v>
          </cell>
          <cell r="AF84">
            <v>272200</v>
          </cell>
          <cell r="AG84">
            <v>347100</v>
          </cell>
        </row>
        <row r="85">
          <cell r="X85" t="str">
            <v>X24</v>
          </cell>
          <cell r="Y85">
            <v>37400</v>
          </cell>
          <cell r="Z85">
            <v>74900</v>
          </cell>
          <cell r="AA85">
            <v>93600</v>
          </cell>
          <cell r="AB85">
            <v>99800</v>
          </cell>
          <cell r="AC85">
            <v>124800</v>
          </cell>
          <cell r="AD85">
            <v>149700</v>
          </cell>
          <cell r="AE85">
            <v>227000</v>
          </cell>
          <cell r="AF85">
            <v>299400</v>
          </cell>
          <cell r="AG85">
            <v>381700</v>
          </cell>
        </row>
        <row r="86">
          <cell r="X86" t="str">
            <v>X25</v>
          </cell>
          <cell r="Y86">
            <v>41200</v>
          </cell>
          <cell r="Z86">
            <v>82400</v>
          </cell>
          <cell r="AA86">
            <v>102900</v>
          </cell>
          <cell r="AB86">
            <v>109800</v>
          </cell>
          <cell r="AC86">
            <v>137300</v>
          </cell>
          <cell r="AD86">
            <v>164700</v>
          </cell>
          <cell r="AE86">
            <v>249800</v>
          </cell>
          <cell r="AF86">
            <v>329400</v>
          </cell>
          <cell r="AG86">
            <v>420000</v>
          </cell>
        </row>
        <row r="87">
          <cell r="X87" t="str">
            <v>X26</v>
          </cell>
          <cell r="Y87">
            <v>45300</v>
          </cell>
          <cell r="Z87">
            <v>90600</v>
          </cell>
          <cell r="AA87">
            <v>113300</v>
          </cell>
          <cell r="AB87">
            <v>120800</v>
          </cell>
          <cell r="AC87">
            <v>151000</v>
          </cell>
          <cell r="AD87">
            <v>181200</v>
          </cell>
          <cell r="AE87">
            <v>274800</v>
          </cell>
          <cell r="AF87">
            <v>362400</v>
          </cell>
          <cell r="AG87">
            <v>462100</v>
          </cell>
        </row>
        <row r="88">
          <cell r="X88" t="str">
            <v>X27</v>
          </cell>
          <cell r="Y88">
            <v>49800</v>
          </cell>
          <cell r="Z88">
            <v>99700</v>
          </cell>
          <cell r="AA88">
            <v>124600</v>
          </cell>
          <cell r="AB88">
            <v>132900</v>
          </cell>
          <cell r="AC88">
            <v>166100</v>
          </cell>
          <cell r="AD88">
            <v>199300</v>
          </cell>
          <cell r="AE88">
            <v>302300</v>
          </cell>
          <cell r="AF88">
            <v>398600</v>
          </cell>
          <cell r="AG88">
            <v>508200</v>
          </cell>
        </row>
        <row r="89">
          <cell r="X89" t="str">
            <v>X28</v>
          </cell>
          <cell r="Y89">
            <v>54800</v>
          </cell>
          <cell r="Z89">
            <v>109700</v>
          </cell>
          <cell r="AA89">
            <v>137100</v>
          </cell>
          <cell r="AB89">
            <v>146200</v>
          </cell>
          <cell r="AC89">
            <v>182800</v>
          </cell>
          <cell r="AD89">
            <v>219300</v>
          </cell>
          <cell r="AE89">
            <v>332600</v>
          </cell>
          <cell r="AF89">
            <v>438600</v>
          </cell>
          <cell r="AG89">
            <v>559200</v>
          </cell>
        </row>
        <row r="90">
          <cell r="X90" t="str">
            <v>X29</v>
          </cell>
          <cell r="Y90">
            <v>60300</v>
          </cell>
          <cell r="Z90">
            <v>120600</v>
          </cell>
          <cell r="AA90">
            <v>150700</v>
          </cell>
          <cell r="AB90">
            <v>160700</v>
          </cell>
          <cell r="AC90">
            <v>200900</v>
          </cell>
          <cell r="AD90">
            <v>241100</v>
          </cell>
          <cell r="AE90">
            <v>365700</v>
          </cell>
          <cell r="AF90">
            <v>482200</v>
          </cell>
          <cell r="AG90">
            <v>614800</v>
          </cell>
        </row>
        <row r="91">
          <cell r="X91" t="str">
            <v>X30</v>
          </cell>
          <cell r="Y91">
            <v>66300</v>
          </cell>
          <cell r="Z91">
            <v>132600</v>
          </cell>
          <cell r="AA91">
            <v>165800</v>
          </cell>
          <cell r="AB91">
            <v>176800</v>
          </cell>
          <cell r="AC91">
            <v>221000</v>
          </cell>
          <cell r="AD91">
            <v>265200</v>
          </cell>
          <cell r="AE91">
            <v>402200</v>
          </cell>
          <cell r="AF91">
            <v>530400</v>
          </cell>
          <cell r="AG91">
            <v>676300</v>
          </cell>
        </row>
        <row r="92">
          <cell r="X92" t="str">
            <v>X31</v>
          </cell>
          <cell r="Y92">
            <v>72900</v>
          </cell>
          <cell r="Z92">
            <v>145900</v>
          </cell>
          <cell r="AA92">
            <v>182300</v>
          </cell>
          <cell r="AB92">
            <v>194500</v>
          </cell>
          <cell r="AC92">
            <v>243100</v>
          </cell>
          <cell r="AD92">
            <v>291700</v>
          </cell>
          <cell r="AE92">
            <v>442400</v>
          </cell>
          <cell r="AF92">
            <v>583400</v>
          </cell>
          <cell r="AG92">
            <v>743800</v>
          </cell>
        </row>
        <row r="93">
          <cell r="X93" t="str">
            <v>X32</v>
          </cell>
          <cell r="Y93">
            <v>80200</v>
          </cell>
          <cell r="Z93">
            <v>160500</v>
          </cell>
          <cell r="AA93">
            <v>200600</v>
          </cell>
          <cell r="AB93">
            <v>213900</v>
          </cell>
          <cell r="AC93">
            <v>267400</v>
          </cell>
          <cell r="AD93">
            <v>320900</v>
          </cell>
          <cell r="AE93">
            <v>486700</v>
          </cell>
          <cell r="AF93">
            <v>641800</v>
          </cell>
          <cell r="AG93">
            <v>818300</v>
          </cell>
        </row>
        <row r="94">
          <cell r="X94" t="str">
            <v>X33</v>
          </cell>
          <cell r="Y94">
            <v>88300</v>
          </cell>
          <cell r="Z94">
            <v>176600</v>
          </cell>
          <cell r="AA94">
            <v>220700</v>
          </cell>
          <cell r="AB94">
            <v>235400</v>
          </cell>
          <cell r="AC94">
            <v>294300</v>
          </cell>
          <cell r="AD94">
            <v>353100</v>
          </cell>
          <cell r="AE94">
            <v>535500</v>
          </cell>
          <cell r="AF94">
            <v>706200</v>
          </cell>
          <cell r="AG94">
            <v>900400</v>
          </cell>
        </row>
        <row r="95">
          <cell r="X95" t="str">
            <v>X34</v>
          </cell>
          <cell r="Y95">
            <v>97100</v>
          </cell>
          <cell r="Z95">
            <v>194200</v>
          </cell>
          <cell r="AA95">
            <v>242700</v>
          </cell>
          <cell r="AB95">
            <v>258900</v>
          </cell>
          <cell r="AC95">
            <v>323600</v>
          </cell>
          <cell r="AD95">
            <v>388300</v>
          </cell>
          <cell r="AE95">
            <v>588900</v>
          </cell>
          <cell r="AF95">
            <v>776600</v>
          </cell>
          <cell r="AG95">
            <v>990200</v>
          </cell>
        </row>
        <row r="96">
          <cell r="X96" t="str">
            <v>X35</v>
          </cell>
          <cell r="Y96">
            <v>106800</v>
          </cell>
          <cell r="Z96">
            <v>213600</v>
          </cell>
          <cell r="AA96">
            <v>266900</v>
          </cell>
          <cell r="AB96">
            <v>284700</v>
          </cell>
          <cell r="AC96">
            <v>355900</v>
          </cell>
          <cell r="AD96">
            <v>427100</v>
          </cell>
          <cell r="AE96">
            <v>647800</v>
          </cell>
          <cell r="AF96">
            <v>854200</v>
          </cell>
          <cell r="AG96">
            <v>1089100</v>
          </cell>
        </row>
        <row r="97">
          <cell r="X97" t="str">
            <v>X36</v>
          </cell>
          <cell r="Y97">
            <v>117500</v>
          </cell>
          <cell r="Z97">
            <v>235000</v>
          </cell>
          <cell r="AA97">
            <v>293700</v>
          </cell>
          <cell r="AB97">
            <v>313300</v>
          </cell>
          <cell r="AC97">
            <v>391600</v>
          </cell>
          <cell r="AD97">
            <v>469900</v>
          </cell>
          <cell r="AE97">
            <v>712700</v>
          </cell>
          <cell r="AF97">
            <v>939800</v>
          </cell>
          <cell r="AG97">
            <v>1198200</v>
          </cell>
        </row>
        <row r="98">
          <cell r="X98" t="str">
            <v>X37</v>
          </cell>
          <cell r="Y98">
            <v>129200</v>
          </cell>
          <cell r="Z98">
            <v>258400</v>
          </cell>
          <cell r="AA98">
            <v>323000</v>
          </cell>
          <cell r="AB98">
            <v>344500</v>
          </cell>
          <cell r="AC98">
            <v>430700</v>
          </cell>
          <cell r="AD98">
            <v>516800</v>
          </cell>
          <cell r="AE98">
            <v>783800</v>
          </cell>
          <cell r="AF98">
            <v>1033600</v>
          </cell>
          <cell r="AG98">
            <v>1317800</v>
          </cell>
        </row>
        <row r="99">
          <cell r="X99" t="str">
            <v>X38</v>
          </cell>
          <cell r="Y99">
            <v>142200</v>
          </cell>
          <cell r="Z99">
            <v>284300</v>
          </cell>
          <cell r="AA99">
            <v>355400</v>
          </cell>
          <cell r="AB99">
            <v>379100</v>
          </cell>
          <cell r="AC99">
            <v>473800</v>
          </cell>
          <cell r="AD99">
            <v>568600</v>
          </cell>
          <cell r="AE99">
            <v>862400</v>
          </cell>
          <cell r="AF99">
            <v>1137200</v>
          </cell>
          <cell r="AG99">
            <v>1449900</v>
          </cell>
        </row>
        <row r="100">
          <cell r="X100" t="str">
            <v>X39</v>
          </cell>
          <cell r="Y100">
            <v>156400</v>
          </cell>
          <cell r="Z100">
            <v>312700</v>
          </cell>
          <cell r="AA100">
            <v>390900</v>
          </cell>
          <cell r="AB100">
            <v>416900</v>
          </cell>
          <cell r="AC100">
            <v>521200</v>
          </cell>
          <cell r="AD100">
            <v>625400</v>
          </cell>
          <cell r="AE100">
            <v>948500</v>
          </cell>
          <cell r="AF100">
            <v>1250800</v>
          </cell>
          <cell r="AG100">
            <v>1594800</v>
          </cell>
        </row>
        <row r="101">
          <cell r="X101" t="str">
            <v>X40</v>
          </cell>
          <cell r="Y101">
            <v>172000</v>
          </cell>
          <cell r="Z101">
            <v>344000</v>
          </cell>
          <cell r="AA101">
            <v>429900</v>
          </cell>
          <cell r="AB101">
            <v>458600</v>
          </cell>
          <cell r="AC101">
            <v>573300</v>
          </cell>
          <cell r="AD101">
            <v>687900</v>
          </cell>
          <cell r="AE101">
            <v>1043300</v>
          </cell>
          <cell r="AF101">
            <v>1375800</v>
          </cell>
          <cell r="AG101">
            <v>1754100</v>
          </cell>
        </row>
        <row r="102">
          <cell r="X102" t="str">
            <v>X41</v>
          </cell>
          <cell r="Y102">
            <v>189200</v>
          </cell>
          <cell r="Z102">
            <v>378400</v>
          </cell>
          <cell r="AA102">
            <v>473000</v>
          </cell>
          <cell r="AB102">
            <v>504500</v>
          </cell>
          <cell r="AC102">
            <v>630700</v>
          </cell>
          <cell r="AD102">
            <v>756800</v>
          </cell>
          <cell r="AE102">
            <v>1147800</v>
          </cell>
          <cell r="AF102">
            <v>1513600</v>
          </cell>
          <cell r="AG102">
            <v>1929800</v>
          </cell>
        </row>
        <row r="103">
          <cell r="X103" t="str">
            <v>X42</v>
          </cell>
          <cell r="Y103">
            <v>208100</v>
          </cell>
          <cell r="Z103">
            <v>416200</v>
          </cell>
          <cell r="AA103">
            <v>520300</v>
          </cell>
          <cell r="AB103">
            <v>554900</v>
          </cell>
          <cell r="AC103">
            <v>693700</v>
          </cell>
          <cell r="AD103">
            <v>832400</v>
          </cell>
          <cell r="AE103">
            <v>1262500</v>
          </cell>
          <cell r="AF103">
            <v>1664800</v>
          </cell>
          <cell r="AG103">
            <v>2122600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>
        <row r="10">
          <cell r="D10">
            <v>1</v>
          </cell>
        </row>
      </sheetData>
      <sheetData sheetId="31"/>
      <sheetData sheetId="32"/>
      <sheetData sheetId="33"/>
      <sheetData sheetId="34">
        <row r="10">
          <cell r="D10">
            <v>1</v>
          </cell>
        </row>
      </sheetData>
      <sheetData sheetId="35"/>
      <sheetData sheetId="36"/>
      <sheetData sheetId="37"/>
      <sheetData sheetId="38">
        <row r="10">
          <cell r="D10">
            <v>1</v>
          </cell>
        </row>
      </sheetData>
      <sheetData sheetId="39"/>
      <sheetData sheetId="40"/>
      <sheetData sheetId="41"/>
      <sheetData sheetId="42">
        <row r="10">
          <cell r="D10">
            <v>1</v>
          </cell>
        </row>
      </sheetData>
      <sheetData sheetId="43"/>
      <sheetData sheetId="44"/>
      <sheetData sheetId="45"/>
      <sheetData sheetId="46">
        <row r="10">
          <cell r="D10">
            <v>1</v>
          </cell>
        </row>
      </sheetData>
      <sheetData sheetId="47"/>
      <sheetData sheetId="48"/>
      <sheetData sheetId="49"/>
      <sheetData sheetId="50">
        <row r="10">
          <cell r="D10">
            <v>1</v>
          </cell>
        </row>
      </sheetData>
      <sheetData sheetId="51"/>
      <sheetData sheetId="52" refreshError="1"/>
      <sheetData sheetId="53" refreshError="1"/>
      <sheetData sheetId="54" refreshError="1"/>
      <sheetData sheetId="55"/>
      <sheetData sheetId="56"/>
      <sheetData sheetId="57">
        <row r="10">
          <cell r="D10">
            <v>1</v>
          </cell>
        </row>
      </sheetData>
      <sheetData sheetId="58"/>
      <sheetData sheetId="5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Dialog1"/>
      <sheetName val="Fuente"/>
      <sheetName val="_CGO"/>
      <sheetName val="Anunciantes"/>
      <sheetName val="MarcasCli"/>
      <sheetName val="Tablas"/>
      <sheetName val="Rubros"/>
      <sheetName val="expertisse"/>
      <sheetName val="#REF"/>
      <sheetName val="Tarifas Enero 2009"/>
      <sheetName val="Rating"/>
      <sheetName val="tablas final 1°sem 2008"/>
      <sheetName val="01_2000"/>
      <sheetName val="Plan"/>
      <sheetName val="Plan Tv Cable"/>
      <sheetName val="Tarifas_Enero_2009"/>
      <sheetName val="tablas_final_1°sem_2008"/>
      <sheetName val="Tapa"/>
      <sheetName val="regiones"/>
      <sheetName val="datos universos"/>
      <sheetName val="Resumen anual acumulado"/>
      <sheetName val="Caras"/>
      <sheetName val="Contratos"/>
      <sheetName val="Data"/>
      <sheetName val="Marcas"/>
      <sheetName val="Salas 2"/>
      <sheetName val="datos_universos"/>
      <sheetName val="datos_universos1"/>
      <sheetName val="Resumen_anual_acumulado"/>
      <sheetName val="#¡REF"/>
      <sheetName val="rating "/>
      <sheetName val="Parámetros"/>
      <sheetName val="analisis"/>
      <sheetName val="negociaciones1"/>
      <sheetName val="KPMG"/>
      <sheetName val="negociaciones"/>
      <sheetName val="P_Diarios Santiago"/>
      <sheetName val="RANKING"/>
      <sheetName val="Schedule"/>
      <sheetName val="Regiones Noviembre 2002"/>
      <sheetName val="Rk"/>
      <sheetName val="Tablas Base"/>
      <sheetName val="P&amp;L x Pdto (Procesado)"/>
      <sheetName val="_CGO.XLS"/>
      <sheetName val="1"/>
      <sheetName val="Sheet1"/>
      <sheetName val="\\Public_exg\datos\WKS\CUANT-GO"/>
      <sheetName val="Tarifas_Enero_20091"/>
      <sheetName val="tablas_final_1°sem_20081"/>
      <sheetName val="Plan_Tv_Cable"/>
      <sheetName val="datos_universos2"/>
      <sheetName val="Resumen_anual_acumulado1"/>
      <sheetName val="rating_"/>
      <sheetName val="Salas_2"/>
      <sheetName val="_CGO_XLS"/>
      <sheetName val="GRAFPROM"/>
      <sheetName val="2_4"/>
      <sheetName val="2_5"/>
      <sheetName val="2_3"/>
      <sheetName val="#REF!"/>
      <sheetName val="Tarifas_Enero_20092"/>
      <sheetName val="tablas_final_1°sem_20082"/>
      <sheetName val="Plan_Tv_Cable1"/>
      <sheetName val="datos_universos3"/>
      <sheetName val="Resumen_anual_acumulado2"/>
      <sheetName val="Salas_21"/>
      <sheetName val="rating_1"/>
      <sheetName val="P_Diarios_Santiago"/>
      <sheetName val="Tablas_Base"/>
      <sheetName val="P&amp;L_x_Pdto_(Procesado)"/>
      <sheetName val="_CGO_XLS1"/>
      <sheetName val="Regiones_Noviembre_2002"/>
      <sheetName val="Tarifas_Enero_20093"/>
      <sheetName val="tablas_final_1°sem_20083"/>
      <sheetName val="Plan_Tv_Cable2"/>
      <sheetName val="datos_universos4"/>
      <sheetName val="Resumen_anual_acumulado3"/>
      <sheetName val="Salas_22"/>
      <sheetName val="rating_2"/>
      <sheetName val="P_Diarios_Santiago1"/>
      <sheetName val="Tablas_Base1"/>
      <sheetName val="P&amp;L_x_Pdto_(Procesado)1"/>
      <sheetName val="_CGO_XLS2"/>
      <sheetName val="Regiones_Noviembre_20021"/>
      <sheetName val="Tarifas_Enero_20094"/>
      <sheetName val="tablas_final_1°sem_20084"/>
      <sheetName val="Plan_Tv_Cable3"/>
      <sheetName val="datos_universos5"/>
      <sheetName val="Resumen_anual_acumulado4"/>
      <sheetName val="Salas_23"/>
      <sheetName val="rating_3"/>
      <sheetName val="P_Diarios_Santiago2"/>
      <sheetName val="Tablas_Base2"/>
      <sheetName val="P&amp;L_x_Pdto_(Procesado)2"/>
      <sheetName val="_CGO_XLS3"/>
      <sheetName val="Regiones_Noviembre_20022"/>
      <sheetName val="aca-"/>
      <sheetName val="FCST Q1"/>
      <sheetName val="Base"/>
      <sheetName val="#G.O."/>
      <sheetName val="Legos 20&quot;"/>
      <sheetName val="Rank Tv"/>
      <sheetName val="Alc_y_Fr_Nin"/>
      <sheetName val="Alc_y_Fre_Amas"/>
      <sheetName val="\\Server-ls\datos\WKS\CUANT-GO\"/>
      <sheetName val="\Users\Vhdaher\Library\Caches\T"/>
      <sheetName val="\C\Users\Vhdaher\Library\Caches"/>
      <sheetName val="\C\C\Users\Vhdaher\Library\Cach"/>
      <sheetName val="Bloques"/>
      <sheetName val="\Users\richard\Library\Containe"/>
      <sheetName val="\C\Users\richard\Library\Contai"/>
      <sheetName val="ADS"/>
      <sheetName val="[_CGO.XLS][_CGO.XLS][_CGO.XLS]["/>
      <sheetName val="[_CGO.XLS]\\Public_exg\datos\WK"/>
      <sheetName val="ENERO 2008"/>
      <sheetName val="[_CGO.XLS][_CGO.XLS][_CGO.XLS]\"/>
      <sheetName val="[_CGO.XLS][_CGO.XLS]\\Public_ex"/>
      <sheetName val="Filtros"/>
      <sheetName val="Materiales"/>
      <sheetName val="RC"/>
      <sheetName val="Tablas_Base3"/>
      <sheetName val="P&amp;L_x_Pdto_(Procesado)3"/>
      <sheetName val="Tablas_Base4"/>
      <sheetName val="P&amp;L_x_Pdto_(Procesado)4"/>
      <sheetName val="CALENP"/>
      <sheetName val="Triple Pack"/>
      <sheetName val="Tabla"/>
      <sheetName val="Levantamiento"/>
      <sheetName val="Curva de Alcance"/>
      <sheetName val="Day Part"/>
      <sheetName val="VUP C13"/>
      <sheetName val="T_Cable"/>
      <sheetName val="VF CHV"/>
      <sheetName val="LARED"/>
      <sheetName val="Base TV"/>
      <sheetName val="TP MEGA"/>
      <sheetName val="TP TVN "/>
      <sheetName val="Tarifas TV"/>
      <sheetName val="Tarifas_Enero_20095"/>
      <sheetName val="tablas_final_1°sem_20085"/>
      <sheetName val="Plan_Tv_Cable4"/>
      <sheetName val="datos_universos6"/>
      <sheetName val="Resumen_anual_acumulado5"/>
      <sheetName val="Salas_24"/>
      <sheetName val="rating_4"/>
      <sheetName val="P_Diarios_Santiago3"/>
      <sheetName val="_CGO_XLS4"/>
      <sheetName val="Regiones_Noviembre_20023"/>
      <sheetName val="FCST_Q1"/>
      <sheetName val="#G_O_"/>
      <sheetName val="[_CGO_XLS]\\Public_exg\datos\WK"/>
      <sheetName val="[_CGO_XLS][_CGO_XLS]\\Public_ex"/>
      <sheetName val="[_CGO_XLS][_CGO_XLS][_CGO_XLS]\"/>
      <sheetName val="[_CGO_XLS][_CGO_XLS][_CGO_XLS]["/>
      <sheetName val="Legos_20&quot;"/>
      <sheetName val="Rank_Tv"/>
      <sheetName val="Lookup"/>
      <sheetName val="2005"/>
      <sheetName val="Orden Julio ETC 4003"/>
      <sheetName val="Hoja1"/>
      <sheetName val="Tablas_Base5"/>
      <sheetName val="P&amp;L_x_Pdto_(Procesado)5"/>
      <sheetName val="ENERO_2008"/>
      <sheetName val="Triple_Pack"/>
      <sheetName val="Curva_de_Alcance"/>
      <sheetName val="Day_Part"/>
      <sheetName val="VUP_C13"/>
      <sheetName val="VF_CHV"/>
      <sheetName val="Base_TV"/>
      <sheetName val="TP_MEGA"/>
      <sheetName val="TP_TVN_"/>
      <sheetName val="Tarifas_TV"/>
      <sheetName val="Orden_Julio_ETC_4003"/>
      <sheetName val="Rnk. Cable"/>
      <sheetName val="Rnk. TV"/>
      <sheetName val="Rk Cab"/>
      <sheetName val="Tarifas_Enero_20096"/>
      <sheetName val="tablas_final_1°sem_20086"/>
      <sheetName val="Plan_Tv_Cable5"/>
      <sheetName val="datos_universos7"/>
      <sheetName val="Resumen_anual_acumulado6"/>
      <sheetName val="Salas_25"/>
      <sheetName val="rating_5"/>
      <sheetName val="P_Diarios_Santiago4"/>
      <sheetName val="_CGO_XLS5"/>
      <sheetName val="Regiones_Noviembre_20024"/>
      <sheetName val="Legos_20&quot;1"/>
      <sheetName val="Rank_Tv1"/>
      <sheetName val="FCST_Q11"/>
      <sheetName val="[_CGO.XLS][_CGO.XLS]\\Server-ls"/>
      <sheetName val="[_CGO.XLS][_CGO.XLS]\Users\rich"/>
      <sheetName val="[_CGO.XLS][_CGO.XLS]\C\Users\ri"/>
      <sheetName val="[_CGO.XLS][_CGO.XLS]\Users\Vhda"/>
      <sheetName val="[_CGO.XLS][_CGO.XLS]\C\Users\Vh"/>
      <sheetName val="[_CGO.XLS][_CGO.XLS]\C\C\Users\"/>
      <sheetName val="[_CGO.XLS]\\Server-ls\datos\WKS"/>
      <sheetName val="[_CGO.XLS]\Users\Vhdaher\Librar"/>
      <sheetName val="[_CGO.XLS]\C\Users\Vhdaher\Libr"/>
      <sheetName val="[_CGO.XLS]\C\C\Users\Vhdaher\Li"/>
      <sheetName val="[_CGO.XLS]\Users\richard\Librar"/>
      <sheetName val="[_CGO.XLS]\C\Users\richard\Libr"/>
      <sheetName val="__Public_exg_datos_WKS_CUANT-GO"/>
      <sheetName val="__Server-ls_datos_WKS_CUANT-GO_"/>
      <sheetName val="_Users_richard_Library_Containe"/>
      <sheetName val="_C_Users_richard_Library_Contai"/>
      <sheetName val="_Users_Vhdaher_Library_Caches_T"/>
      <sheetName val="_C_Users_Vhdaher_Library_Caches"/>
      <sheetName val="_C_C_Users_Vhdaher_Library_Cach"/>
      <sheetName val="__CGO.XLS___Public_exg_datos_WK"/>
      <sheetName val="__CGO.XLS___CGO.XLS___CGO.XLS__"/>
      <sheetName val="__CGO.XLS___CGO.XLS___Public_ex"/>
      <sheetName val="[_CGO.XLS][_CGO.XLS][_CGO_XLS]\"/>
      <sheetName val="[_CGO.XLS][_CGO.XLS][_CGO_XLS]["/>
      <sheetName val="[_CGO.XLS][_CGO_XLS][_CGO_XLS]["/>
      <sheetName val="Comentarios"/>
      <sheetName val="Contactos "/>
      <sheetName val="Flow Campaña"/>
      <sheetName val="TV Lanzamiento"/>
      <sheetName val="Digital"/>
      <sheetName val="DataInternet"/>
      <sheetName val="Validações"/>
      <sheetName val="Anual"/>
      <sheetName val="OUTDOOR"/>
      <sheetName val="Plan1"/>
      <sheetName val="Tarifas_Enero_20098"/>
      <sheetName val="tablas_final_1°sem_20088"/>
      <sheetName val="Plan_Tv_Cable7"/>
      <sheetName val="datos_universos9"/>
      <sheetName val="Resumen_anual_acumulado8"/>
      <sheetName val="Salas_27"/>
      <sheetName val="rating_7"/>
      <sheetName val="P_Diarios_Santiago6"/>
      <sheetName val="Tablas_Base7"/>
      <sheetName val="P&amp;L_x_Pdto_(Procesado)7"/>
      <sheetName val="_CGO_XLS7"/>
      <sheetName val="Regiones_Noviembre_20026"/>
      <sheetName val="FCST_Q13"/>
      <sheetName val="#G_O_2"/>
      <sheetName val="Legos_20&quot;3"/>
      <sheetName val="Rank_Tv3"/>
      <sheetName val="ENERO_20082"/>
      <sheetName val="[_CGO_XLS]\\Public_exg\datos\W2"/>
      <sheetName val="[_CGO_XLS][_CGO_XLS]\\Public_e2"/>
      <sheetName val="[_CGO_XLS][_CGO_XLS][_CGO_XLS]6"/>
      <sheetName val="[_CGO_XLS][_CGO_XLS][_CGO_XLS]7"/>
      <sheetName val="Orden_Julio_ETC_40032"/>
      <sheetName val="Triple_Pack2"/>
      <sheetName val="Curva_de_Alcance2"/>
      <sheetName val="Day_Part2"/>
      <sheetName val="VUP_C132"/>
      <sheetName val="VF_CHV2"/>
      <sheetName val="Base_TV2"/>
      <sheetName val="TP_MEGA2"/>
      <sheetName val="TP_TVN_2"/>
      <sheetName val="Tarifas_TV2"/>
      <sheetName val="[_CGO_XLS][_CGO_XLS]\\Server-l1"/>
      <sheetName val="[_CGO_XLS][_CGO_XLS]\Users\Vhd1"/>
      <sheetName val="[_CGO_XLS][_CGO_XLS]\C\Users\V1"/>
      <sheetName val="[_CGO_XLS][_CGO_XLS]\C\C\Users1"/>
      <sheetName val="[_CGO_XLS][_CGO_XLS]\Users\ric1"/>
      <sheetName val="[_CGO_XLS][_CGO_XLS]\C\Users\r1"/>
      <sheetName val="[_CGO_XLS]\\Server-ls\datos\WK1"/>
      <sheetName val="[_CGO_XLS]\Users\Vhdaher\Libra1"/>
      <sheetName val="[_CGO_XLS]\C\Users\Vhdaher\Lib1"/>
      <sheetName val="[_CGO_XLS]\C\C\Users\Vhdaher\L1"/>
      <sheetName val="[_CGO_XLS]\Users\richard\Libra1"/>
      <sheetName val="[_CGO_XLS]\C\Users\richard\Lib1"/>
      <sheetName val="Rnk__Cable1"/>
      <sheetName val="Rnk__TV1"/>
      <sheetName val="Rk_Cab1"/>
      <sheetName val="__CGO_XLS___Public_exg_datos_W1"/>
      <sheetName val="__CGO_XLS___CGO_XLS___CGO_XLS_1"/>
      <sheetName val="__CGO_XLS___CGO_XLS___Public_e1"/>
      <sheetName val="[_CGO_XLS][_CGO_XLS][_CGO_XLS]8"/>
      <sheetName val="[_CGO_XLS][_CGO_XLS][_CGO_XLS]9"/>
      <sheetName val="[_CGO_XLS][_CGO_XLS][_CGO_XLS10"/>
      <sheetName val="Tarifas_Enero_20097"/>
      <sheetName val="tablas_final_1°sem_20087"/>
      <sheetName val="Plan_Tv_Cable6"/>
      <sheetName val="datos_universos8"/>
      <sheetName val="Resumen_anual_acumulado7"/>
      <sheetName val="Salas_26"/>
      <sheetName val="rating_6"/>
      <sheetName val="P_Diarios_Santiago5"/>
      <sheetName val="Tablas_Base6"/>
      <sheetName val="P&amp;L_x_Pdto_(Procesado)6"/>
      <sheetName val="_CGO_XLS6"/>
      <sheetName val="Regiones_Noviembre_20025"/>
      <sheetName val="FCST_Q12"/>
      <sheetName val="#G_O_1"/>
      <sheetName val="Legos_20&quot;2"/>
      <sheetName val="Rank_Tv2"/>
      <sheetName val="ENERO_20081"/>
      <sheetName val="[_CGO_XLS]\\Public_exg\datos\W1"/>
      <sheetName val="[_CGO_XLS][_CGO_XLS]\\Public_e1"/>
      <sheetName val="[_CGO_XLS][_CGO_XLS][_CGO_XLS]1"/>
      <sheetName val="[_CGO_XLS][_CGO_XLS][_CGO_XLS]2"/>
      <sheetName val="Orden_Julio_ETC_40031"/>
      <sheetName val="Triple_Pack1"/>
      <sheetName val="Curva_de_Alcance1"/>
      <sheetName val="Day_Part1"/>
      <sheetName val="VUP_C131"/>
      <sheetName val="VF_CHV1"/>
      <sheetName val="Base_TV1"/>
      <sheetName val="TP_MEGA1"/>
      <sheetName val="TP_TVN_1"/>
      <sheetName val="Tarifas_TV1"/>
      <sheetName val="[_CGO_XLS][_CGO_XLS]\\Server-ls"/>
      <sheetName val="[_CGO_XLS][_CGO_XLS]\Users\Vhda"/>
      <sheetName val="[_CGO_XLS][_CGO_XLS]\C\Users\Vh"/>
      <sheetName val="[_CGO_XLS][_CGO_XLS]\C\C\Users\"/>
      <sheetName val="[_CGO_XLS][_CGO_XLS]\Users\rich"/>
      <sheetName val="[_CGO_XLS][_CGO_XLS]\C\Users\ri"/>
      <sheetName val="[_CGO_XLS]\\Server-ls\datos\WKS"/>
      <sheetName val="[_CGO_XLS]\Users\Vhdaher\Librar"/>
      <sheetName val="[_CGO_XLS]\C\Users\Vhdaher\Libr"/>
      <sheetName val="[_CGO_XLS]\C\C\Users\Vhdaher\Li"/>
      <sheetName val="[_CGO_XLS]\Users\richard\Librar"/>
      <sheetName val="[_CGO_XLS]\C\Users\richard\Libr"/>
      <sheetName val="Rnk__Cable"/>
      <sheetName val="Rnk__TV"/>
      <sheetName val="Rk_Cab"/>
      <sheetName val="__CGO_XLS___Public_exg_datos_WK"/>
      <sheetName val="__CGO_XLS___CGO_XLS___CGO_XLS__"/>
      <sheetName val="__CGO_XLS___CGO_XLS___Public_ex"/>
      <sheetName val="[_CGO_XLS][_CGO_XLS][_CGO_XLS]3"/>
      <sheetName val="[_CGO_XLS][_CGO_XLS][_CGO_XLS]4"/>
      <sheetName val="[_CGO_XLS][_CGO_XLS][_CGO_XLS]5"/>
      <sheetName val="Tarifas_Enero_20099"/>
      <sheetName val="tablas_final_1°sem_20089"/>
      <sheetName val="Plan_Tv_Cable8"/>
      <sheetName val="datos_universos10"/>
      <sheetName val="Resumen_anual_acumulado9"/>
      <sheetName val="Salas_28"/>
      <sheetName val="rating_8"/>
      <sheetName val="P_Diarios_Santiago7"/>
      <sheetName val="Tablas_Base8"/>
      <sheetName val="P&amp;L_x_Pdto_(Procesado)8"/>
      <sheetName val="_CGO_XLS8"/>
      <sheetName val="Regiones_Noviembre_20027"/>
      <sheetName val="FCST_Q14"/>
      <sheetName val="#G_O_3"/>
      <sheetName val="Legos_20&quot;4"/>
      <sheetName val="Rank_Tv4"/>
      <sheetName val="ENERO_20083"/>
      <sheetName val="[_CGO_XLS]\\Public_exg\datos\W3"/>
      <sheetName val="[_CGO_XLS][_CGO_XLS]\\Public_e3"/>
      <sheetName val="[_CGO_XLS][_CGO_XLS][_CGO_XLS11"/>
      <sheetName val="[_CGO_XLS][_CGO_XLS][_CGO_XLS12"/>
      <sheetName val="Orden_Julio_ETC_40033"/>
      <sheetName val="Triple_Pack3"/>
      <sheetName val="Curva_de_Alcance3"/>
      <sheetName val="Day_Part3"/>
      <sheetName val="VUP_C133"/>
      <sheetName val="VF_CHV3"/>
      <sheetName val="Base_TV3"/>
      <sheetName val="TP_MEGA3"/>
      <sheetName val="TP_TVN_3"/>
      <sheetName val="Tarifas_TV3"/>
      <sheetName val="[_CGO_XLS][_CGO_XLS]\\Server-l2"/>
      <sheetName val="[_CGO_XLS][_CGO_XLS]\Users\Vhd2"/>
      <sheetName val="[_CGO_XLS][_CGO_XLS]\C\Users\V2"/>
      <sheetName val="[_CGO_XLS][_CGO_XLS]\C\C\Users2"/>
      <sheetName val="[_CGO_XLS][_CGO_XLS]\Users\ric2"/>
      <sheetName val="[_CGO_XLS][_CGO_XLS]\C\Users\r2"/>
      <sheetName val="[_CGO_XLS]\\Server-ls\datos\WK2"/>
      <sheetName val="[_CGO_XLS]\Users\Vhdaher\Libra2"/>
      <sheetName val="[_CGO_XLS]\C\Users\Vhdaher\Lib2"/>
      <sheetName val="[_CGO_XLS]\C\C\Users\Vhdaher\L2"/>
      <sheetName val="[_CGO_XLS]\Users\richard\Libra2"/>
      <sheetName val="[_CGO_XLS]\C\Users\richard\Lib2"/>
      <sheetName val="Rnk__Cable2"/>
      <sheetName val="Rnk__TV2"/>
      <sheetName val="Rk_Cab2"/>
      <sheetName val="__CGO_XLS___Public_exg_datos_W2"/>
      <sheetName val="__CGO_XLS___CGO_XLS___CGO_XLS_2"/>
      <sheetName val="__CGO_XLS___CGO_XLS___Public_e2"/>
      <sheetName val="[_CGO_XLS][_CGO_XLS][_CGO_XLS13"/>
      <sheetName val="[_CGO_XLS][_CGO_XLS][_CGO_XLS14"/>
      <sheetName val="[_CGO_XLS][_CGO_XLS][_CGO_XLS15"/>
      <sheetName val="Tarifas_Enero_200910"/>
      <sheetName val="tablas_final_1°sem_200810"/>
      <sheetName val="Plan_Tv_Cable9"/>
      <sheetName val="datos_universos11"/>
      <sheetName val="Resumen_anual_acumulado10"/>
      <sheetName val="Salas_29"/>
      <sheetName val="rating_9"/>
      <sheetName val="P_Diarios_Santiago8"/>
      <sheetName val="Tablas_Base9"/>
      <sheetName val="P&amp;L_x_Pdto_(Procesado)9"/>
      <sheetName val="_CGO_XLS9"/>
      <sheetName val="Regiones_Noviembre_20028"/>
      <sheetName val="FCST_Q15"/>
      <sheetName val="#G_O_4"/>
      <sheetName val="Legos_20&quot;5"/>
      <sheetName val="Rank_Tv5"/>
      <sheetName val="ENERO_20084"/>
      <sheetName val="[_CGO_XLS]\\Public_exg\datos\W4"/>
      <sheetName val="[_CGO_XLS][_CGO_XLS]\\Public_e4"/>
      <sheetName val="[_CGO_XLS][_CGO_XLS][_CGO_XLS16"/>
      <sheetName val="[_CGO_XLS][_CGO_XLS][_CGO_XLS17"/>
      <sheetName val="Orden_Julio_ETC_40034"/>
      <sheetName val="Triple_Pack4"/>
      <sheetName val="Curva_de_Alcance4"/>
      <sheetName val="Day_Part4"/>
      <sheetName val="VUP_C134"/>
      <sheetName val="VF_CHV4"/>
      <sheetName val="Base_TV4"/>
      <sheetName val="TP_MEGA4"/>
      <sheetName val="TP_TVN_4"/>
      <sheetName val="Tarifas_TV4"/>
      <sheetName val="[_CGO_XLS][_CGO_XLS]\\Server-l3"/>
      <sheetName val="[_CGO_XLS][_CGO_XLS]\Users\Vhd3"/>
      <sheetName val="[_CGO_XLS][_CGO_XLS]\C\Users\V3"/>
      <sheetName val="[_CGO_XLS][_CGO_XLS]\C\C\Users3"/>
      <sheetName val="[_CGO_XLS][_CGO_XLS]\Users\ric3"/>
      <sheetName val="[_CGO_XLS][_CGO_XLS]\C\Users\r3"/>
      <sheetName val="[_CGO_XLS]\\Server-ls\datos\WK3"/>
      <sheetName val="[_CGO_XLS]\Users\Vhdaher\Libra3"/>
      <sheetName val="[_CGO_XLS]\C\Users\Vhdaher\Lib3"/>
      <sheetName val="[_CGO_XLS]\C\C\Users\Vhdaher\L3"/>
      <sheetName val="[_CGO_XLS]\Users\richard\Libra3"/>
      <sheetName val="[_CGO_XLS]\C\Users\richard\Lib3"/>
      <sheetName val="Rnk__Cable3"/>
      <sheetName val="Rnk__TV3"/>
      <sheetName val="Rk_Cab3"/>
      <sheetName val="__CGO_XLS___Public_exg_datos_W3"/>
      <sheetName val="__CGO_XLS___CGO_XLS___CGO_XLS_3"/>
      <sheetName val="__CGO_XLS___CGO_XLS___Public_e3"/>
      <sheetName val="[_CGO_XLS][_CGO_XLS][_CGO_XLS18"/>
      <sheetName val="[_CGO_XLS][_CGO_XLS][_CGO_XLS19"/>
      <sheetName val="[_CGO_XLS][_CGO_XLS][_CGO_XLS20"/>
      <sheetName val="Contactos_"/>
      <sheetName val="Flow_Campaña"/>
      <sheetName val="TV_Lanzamiento"/>
      <sheetName val="actual nov00"/>
      <sheetName val="jun red-nov00"/>
      <sheetName val="VICTEL ($R)"/>
      <sheetName val="tablas final 2°sem 2008"/>
      <sheetName val="latest 3-18"/>
      <sheetName val="2000 BS"/>
      <sheetName val="FC"/>
      <sheetName val="Arequipa"/>
      <sheetName val="Tacna"/>
      <sheetName val="Ica"/>
      <sheetName val="Huaraz"/>
      <sheetName val="Trujillo"/>
      <sheetName val="Chimbote"/>
      <sheetName val="Cusco"/>
      <sheetName val="Cajamarca"/>
      <sheetName val="RESUMEN FLOW"/>
      <sheetName val="TV "/>
      <sheetName val="CABLE"/>
      <sheetName val="FALABELLA"/>
      <sheetName val="HUAWEI"/>
      <sheetName val="SAMSUNG"/>
      <sheetName val="APPLE"/>
      <sheetName val="Rankeo Radio Ciudades"/>
      <sheetName val="PRODUCCIÓN"/>
      <sheetName val="Flow"/>
      <sheetName val="Master"/>
      <sheetName val="NEWS PREV"/>
      <sheetName val="LARCAL"/>
      <sheetName val="Rnk Cable"/>
      <sheetName val="Rkn Radios NN"/>
      <sheetName val="Rkn Radios Lima"/>
      <sheetName val="Rkn Diarios"/>
      <sheetName val="Rkn Tv"/>
      <sheetName val="\Users\JuanJose\Desktop\Server-"/>
      <sheetName val="\Users\JuanJose\Desktop\PUBLIC_"/>
      <sheetName val="SOI Categoría"/>
      <sheetName val="[_CGO.XLS]__Public_exg_datos__2"/>
      <sheetName val="[_CGO.XLS][_CGO.XLS]__Public__2"/>
      <sheetName val="[_CGO.XLS][_CGO.XLS]__CGO_XLS_2"/>
      <sheetName val="[_CGO.XLS][_CGO.XLS]__CGO_XLS_3"/>
      <sheetName val="[_CGO.XLS]__Server_ls_datos_W_2"/>
      <sheetName val="[_CGO.XLS]_Users_Vhdaher_Libr_2"/>
      <sheetName val="[_CGO.XLS]_C_Users_Vhdaher_Li_2"/>
      <sheetName val="[_CGO.XLS]_C_C_Users_Vhdaher__2"/>
      <sheetName val="[_CGO.XLS]_Users_richard_Libr_2"/>
      <sheetName val="[_CGO.XLS]_C_Users_richard_Li_2"/>
      <sheetName val="latest_3-18"/>
      <sheetName val="2000_BS"/>
      <sheetName val="latest_3-181"/>
      <sheetName val="2000_BS1"/>
      <sheetName val="Contactos_1"/>
      <sheetName val="Flow_Campaña1"/>
      <sheetName val="TV_Lanzamiento1"/>
      <sheetName val="rendelés melléklet"/>
      <sheetName val="Lista"/>
      <sheetName val="Temp"/>
      <sheetName val="Tarifas_Enero_200911"/>
      <sheetName val="tablas_final_1°sem_200811"/>
      <sheetName val="Plan_Tv_Cable10"/>
      <sheetName val="datos_universos12"/>
      <sheetName val="Resumen_anual_acumulado11"/>
      <sheetName val="Salas_210"/>
      <sheetName val="rating_10"/>
      <sheetName val="P_Diarios_Santiago9"/>
      <sheetName val="Tablas_Base10"/>
      <sheetName val="P&amp;L_x_Pdto_(Procesado)10"/>
      <sheetName val="_CGO_XLS10"/>
      <sheetName val="Regiones_Noviembre_20029"/>
      <sheetName val="FCST_Q16"/>
      <sheetName val="Legos_20&quot;6"/>
      <sheetName val="Rank_Tv6"/>
      <sheetName val="#G_O_5"/>
      <sheetName val="[_CGO_XLS]\\Public_exg\datos\W5"/>
      <sheetName val="ENERO_20085"/>
      <sheetName val="[_CGO_XLS][_CGO_XLS]\\Public_e5"/>
      <sheetName val="[_CGO_XLS][_CGO_XLS][_CGO_XLS21"/>
      <sheetName val="[_CGO_XLS][_CGO_XLS][_CGO_XLS22"/>
      <sheetName val="Triple_Pack5"/>
      <sheetName val="Curva_de_Alcance5"/>
      <sheetName val="Day_Part5"/>
      <sheetName val="VUP_C135"/>
      <sheetName val="VF_CHV5"/>
      <sheetName val="Base_TV5"/>
      <sheetName val="TP_MEGA5"/>
      <sheetName val="TP_TVN_5"/>
      <sheetName val="Tarifas_TV5"/>
      <sheetName val="Orden_Julio_ETC_40035"/>
      <sheetName val="[_CGO_XLS][_CGO_XLS]\\Server-l4"/>
      <sheetName val="[_CGO_XLS][_CGO_XLS]\Users\Vhd4"/>
      <sheetName val="[_CGO_XLS][_CGO_XLS]\C\Users\V4"/>
      <sheetName val="[_CGO_XLS][_CGO_XLS]\C\C\Users4"/>
      <sheetName val="[_CGO_XLS][_CGO_XLS]\Users\ric4"/>
      <sheetName val="[_CGO_XLS][_CGO_XLS]\C\Users\r4"/>
      <sheetName val="[_CGO_XLS]\\Server-ls\datos\WK4"/>
      <sheetName val="[_CGO_XLS]\Users\Vhdaher\Libra4"/>
      <sheetName val="[_CGO_XLS]\C\Users\Vhdaher\Lib4"/>
      <sheetName val="[_CGO_XLS]\C\C\Users\Vhdaher\L4"/>
      <sheetName val="[_CGO_XLS]\Users\richard\Libra4"/>
      <sheetName val="[_CGO_XLS]\C\Users\richard\Lib4"/>
      <sheetName val="Rnk__Cable4"/>
      <sheetName val="Rnk__TV4"/>
      <sheetName val="Rk_Cab4"/>
      <sheetName val="__CGO_XLS___Public_exg_datos_W4"/>
      <sheetName val="__CGO_XLS___CGO_XLS___CGO_XLS_4"/>
      <sheetName val="__CGO_XLS___CGO_XLS___Public_e4"/>
      <sheetName val="[_CGO_XLS][_CGO_XLS][_CGO_XLS23"/>
      <sheetName val="[_CGO_XLS][_CGO_XLS][_CGO_XLS24"/>
      <sheetName val="[_CGO_XLS][_CGO_XLS][_CGO_XLS25"/>
      <sheetName val="tablas_final_2°sem_2008"/>
      <sheetName val="actual_nov00"/>
      <sheetName val="jun_red-nov00"/>
      <sheetName val="VICTEL_($R)"/>
      <sheetName val="RESUMEN_FLOW"/>
      <sheetName val="TV_"/>
      <sheetName val="Rankeo_Radio_Ciudades"/>
      <sheetName val="Contactos_2"/>
      <sheetName val="Flow_Campaña2"/>
      <sheetName val="TV_Lanzamiento2"/>
      <sheetName val="latest_3-182"/>
      <sheetName val="2000_BS2"/>
    </sheetNames>
    <definedNames>
      <definedName name="calcula" sheetId="0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Cómo se hace"/>
      <sheetName val="Tarifa Especial (2)"/>
      <sheetName val="Rating"/>
      <sheetName val="ANEXOS"/>
      <sheetName val="Tarifas Marzo 2009 v22"/>
      <sheetName val="MARZO"/>
      <sheetName val="Canal 02"/>
      <sheetName val="Matriz de pauta 24 H - Marzo 20"/>
      <sheetName val="Canal 05"/>
      <sheetName val="Plan"/>
      <sheetName val="Tarifas_Marzo_2009_v22"/>
      <sheetName val="Cuantificador_RM"/>
      <sheetName val="Cuantificador_TP"/>
      <sheetName val="Cómo_se_hace"/>
      <sheetName val="Tarifa_Especial_(2)"/>
      <sheetName val="Tarifas_Marzo_2009_v222"/>
      <sheetName val="Canal_02"/>
      <sheetName val="Matriz_de_pauta_24_H_-_Marzo_20"/>
      <sheetName val="Canal_05"/>
      <sheetName val="Tarifas_Marzo_2009_v221"/>
      <sheetName val="Tarifas_Marzo_2009_v223"/>
      <sheetName val="Tarifas_Marzo_2009_v224"/>
      <sheetName val="Tarifas_Marzo_2009_v225"/>
      <sheetName val="Cuantificador_RM1"/>
      <sheetName val="Cuantificador_TP1"/>
      <sheetName val="Cómo_se_hace1"/>
      <sheetName val="Tarifa_Especial_(2)1"/>
      <sheetName val="Tarifas_Marzo_2009_v226"/>
      <sheetName val="Canal_021"/>
      <sheetName val="Matriz_de_pauta_24_H_-_Marzo_21"/>
      <sheetName val="Canal_051"/>
      <sheetName val="Tarifas_Marzo_2009_v227"/>
    </sheetNames>
    <sheetDataSet>
      <sheetData sheetId="0">
        <row r="8">
          <cell r="C8" t="str">
            <v>Programas</v>
          </cell>
        </row>
      </sheetData>
      <sheetData sheetId="1">
        <row r="3">
          <cell r="H3" t="str">
            <v>24 HORAS AL DIALMWJVSD</v>
          </cell>
        </row>
      </sheetData>
      <sheetData sheetId="2">
        <row r="3">
          <cell r="H3" t="str">
            <v>24 HORAS AL DIALMWJVSD</v>
          </cell>
        </row>
      </sheetData>
      <sheetData sheetId="3"/>
      <sheetData sheetId="4">
        <row r="3">
          <cell r="H3" t="str">
            <v>24 HORAS AL DIALMWJVSD</v>
          </cell>
        </row>
      </sheetData>
      <sheetData sheetId="5"/>
      <sheetData sheetId="6" refreshError="1">
        <row r="3">
          <cell r="H3" t="str">
            <v>24 HORAS AL DIALMWJVSD</v>
          </cell>
        </row>
        <row r="36">
          <cell r="K36" t="str">
            <v>HIJOS DEL MONTE (RESUMEN)LMWJV</v>
          </cell>
          <cell r="L36">
            <v>3.44</v>
          </cell>
        </row>
        <row r="37">
          <cell r="K37" t="str">
            <v>HIJOS DEL MONTE (RESUMEN)L</v>
          </cell>
          <cell r="L37">
            <v>3.9</v>
          </cell>
        </row>
        <row r="38">
          <cell r="K38" t="str">
            <v>HIJOS DEL MONTE (RESUMEN)M</v>
          </cell>
          <cell r="L38">
            <v>3.5</v>
          </cell>
        </row>
        <row r="39">
          <cell r="K39" t="str">
            <v>HIJOS DEL MONTE (RESUMEN)W</v>
          </cell>
          <cell r="L39">
            <v>3.5</v>
          </cell>
        </row>
        <row r="40">
          <cell r="K40" t="str">
            <v>HIJOS DEL MONTE (RESUMEN)J</v>
          </cell>
          <cell r="L40">
            <v>3.6</v>
          </cell>
        </row>
        <row r="41">
          <cell r="K41" t="str">
            <v>HIJOS DEL MONTE (RESUMEN)V</v>
          </cell>
          <cell r="L41">
            <v>2.7</v>
          </cell>
        </row>
      </sheetData>
      <sheetData sheetId="7" refreshError="1"/>
      <sheetData sheetId="8" refreshError="1">
        <row r="8">
          <cell r="C8" t="str">
            <v>Programas</v>
          </cell>
          <cell r="D8" t="str">
            <v>10"</v>
          </cell>
          <cell r="E8" t="str">
            <v>15"</v>
          </cell>
          <cell r="F8" t="str">
            <v>20"</v>
          </cell>
          <cell r="G8" t="str">
            <v>25"</v>
          </cell>
          <cell r="H8" t="str">
            <v>30"</v>
          </cell>
          <cell r="I8" t="str">
            <v>35"</v>
          </cell>
          <cell r="J8" t="str">
            <v>40"</v>
          </cell>
          <cell r="K8" t="str">
            <v>45"</v>
          </cell>
          <cell r="L8" t="str">
            <v>50"</v>
          </cell>
          <cell r="M8" t="str">
            <v>55"</v>
          </cell>
          <cell r="N8" t="str">
            <v>60"</v>
          </cell>
        </row>
        <row r="9">
          <cell r="P9">
            <v>10</v>
          </cell>
          <cell r="Q9">
            <v>2</v>
          </cell>
        </row>
        <row r="10">
          <cell r="C10" t="str">
            <v>24 Horas a la Hora 06:00 hrs</v>
          </cell>
          <cell r="D10">
            <v>95000</v>
          </cell>
          <cell r="E10">
            <v>109000</v>
          </cell>
          <cell r="F10">
            <v>130000</v>
          </cell>
          <cell r="G10">
            <v>140000</v>
          </cell>
          <cell r="H10">
            <v>150000</v>
          </cell>
          <cell r="I10">
            <v>175000</v>
          </cell>
          <cell r="J10">
            <v>200000</v>
          </cell>
          <cell r="K10">
            <v>225000</v>
          </cell>
          <cell r="L10">
            <v>263000</v>
          </cell>
          <cell r="M10">
            <v>303000</v>
          </cell>
          <cell r="N10">
            <v>345000</v>
          </cell>
          <cell r="P10">
            <v>15</v>
          </cell>
          <cell r="Q10">
            <v>3</v>
          </cell>
        </row>
        <row r="11">
          <cell r="C11" t="str">
            <v>24 horas en la mañana</v>
          </cell>
          <cell r="D11">
            <v>253000</v>
          </cell>
          <cell r="E11">
            <v>290000</v>
          </cell>
          <cell r="F11">
            <v>347000</v>
          </cell>
          <cell r="G11">
            <v>373000</v>
          </cell>
          <cell r="H11">
            <v>400000</v>
          </cell>
          <cell r="I11">
            <v>467000</v>
          </cell>
          <cell r="J11">
            <v>533000</v>
          </cell>
          <cell r="K11">
            <v>600000</v>
          </cell>
          <cell r="L11">
            <v>700000</v>
          </cell>
          <cell r="M11">
            <v>807000</v>
          </cell>
          <cell r="N11">
            <v>920000</v>
          </cell>
          <cell r="P11">
            <v>20</v>
          </cell>
          <cell r="Q11">
            <v>4</v>
          </cell>
        </row>
        <row r="12">
          <cell r="C12" t="str">
            <v>Mañana Informativa</v>
          </cell>
          <cell r="D12">
            <v>380000</v>
          </cell>
          <cell r="E12">
            <v>435000</v>
          </cell>
          <cell r="F12">
            <v>520000</v>
          </cell>
          <cell r="G12">
            <v>560000</v>
          </cell>
          <cell r="H12">
            <v>600000</v>
          </cell>
          <cell r="I12">
            <v>700000</v>
          </cell>
          <cell r="J12">
            <v>800000</v>
          </cell>
          <cell r="K12">
            <v>900000</v>
          </cell>
          <cell r="L12">
            <v>1050000</v>
          </cell>
          <cell r="M12">
            <v>1210000</v>
          </cell>
          <cell r="N12">
            <v>1380000</v>
          </cell>
          <cell r="P12">
            <v>25</v>
          </cell>
          <cell r="Q12">
            <v>5</v>
          </cell>
        </row>
        <row r="13">
          <cell r="C13" t="str">
            <v>RR Entrevista Dgo XL 12:30 hrs/RR Factor Guillier 12:30 hrs</v>
          </cell>
          <cell r="D13">
            <v>380000</v>
          </cell>
          <cell r="E13">
            <v>435000</v>
          </cell>
          <cell r="F13">
            <v>520000</v>
          </cell>
          <cell r="G13">
            <v>560000</v>
          </cell>
          <cell r="H13">
            <v>600000</v>
          </cell>
          <cell r="I13">
            <v>700000</v>
          </cell>
          <cell r="J13">
            <v>800000</v>
          </cell>
          <cell r="K13">
            <v>900000</v>
          </cell>
          <cell r="L13">
            <v>1050000</v>
          </cell>
          <cell r="M13">
            <v>1210000</v>
          </cell>
          <cell r="N13">
            <v>1380000</v>
          </cell>
          <cell r="P13">
            <v>30</v>
          </cell>
          <cell r="Q13">
            <v>6</v>
          </cell>
        </row>
        <row r="14">
          <cell r="C14" t="str">
            <v>Chile al dia 13:00 hrs/RR Factor Guillier 13:00 hrs</v>
          </cell>
          <cell r="D14">
            <v>285000</v>
          </cell>
          <cell r="E14">
            <v>326000</v>
          </cell>
          <cell r="F14">
            <v>390000</v>
          </cell>
          <cell r="G14">
            <v>420000</v>
          </cell>
          <cell r="H14">
            <v>450000</v>
          </cell>
          <cell r="I14">
            <v>525000</v>
          </cell>
          <cell r="J14">
            <v>600000</v>
          </cell>
          <cell r="K14">
            <v>675000</v>
          </cell>
          <cell r="L14">
            <v>788000</v>
          </cell>
          <cell r="M14">
            <v>908000</v>
          </cell>
          <cell r="N14">
            <v>1035000</v>
          </cell>
          <cell r="P14">
            <v>35</v>
          </cell>
          <cell r="Q14">
            <v>7</v>
          </cell>
        </row>
        <row r="15">
          <cell r="C15" t="str">
            <v>24 horas al dia l-v</v>
          </cell>
          <cell r="D15">
            <v>285000</v>
          </cell>
          <cell r="E15">
            <v>326000</v>
          </cell>
          <cell r="F15">
            <v>390000</v>
          </cell>
          <cell r="G15">
            <v>420000</v>
          </cell>
          <cell r="H15">
            <v>450000</v>
          </cell>
          <cell r="I15">
            <v>525000</v>
          </cell>
          <cell r="J15">
            <v>600000</v>
          </cell>
          <cell r="K15">
            <v>675000</v>
          </cell>
          <cell r="L15">
            <v>788000</v>
          </cell>
          <cell r="M15">
            <v>908000</v>
          </cell>
          <cell r="N15">
            <v>1035000</v>
          </cell>
          <cell r="P15">
            <v>40</v>
          </cell>
          <cell r="Q15">
            <v>8</v>
          </cell>
        </row>
        <row r="16">
          <cell r="C16" t="str">
            <v>Cronicas y Reportajes 14:30 hrs</v>
          </cell>
          <cell r="D16">
            <v>253000</v>
          </cell>
          <cell r="E16">
            <v>290000</v>
          </cell>
          <cell r="F16">
            <v>347000</v>
          </cell>
          <cell r="G16">
            <v>373000</v>
          </cell>
          <cell r="H16">
            <v>400000</v>
          </cell>
          <cell r="I16">
            <v>467000</v>
          </cell>
          <cell r="J16">
            <v>533000</v>
          </cell>
          <cell r="K16">
            <v>600000</v>
          </cell>
          <cell r="L16">
            <v>700000</v>
          </cell>
          <cell r="M16">
            <v>807000</v>
          </cell>
          <cell r="N16">
            <v>920000</v>
          </cell>
          <cell r="P16">
            <v>45</v>
          </cell>
          <cell r="Q16">
            <v>9</v>
          </cell>
        </row>
        <row r="17">
          <cell r="C17" t="str">
            <v>24 Horas a la Hora 15:00 hrs</v>
          </cell>
          <cell r="D17">
            <v>317000</v>
          </cell>
          <cell r="E17">
            <v>363000</v>
          </cell>
          <cell r="F17">
            <v>433000</v>
          </cell>
          <cell r="G17">
            <v>467000</v>
          </cell>
          <cell r="H17">
            <v>500000</v>
          </cell>
          <cell r="I17">
            <v>583000</v>
          </cell>
          <cell r="J17">
            <v>667000</v>
          </cell>
          <cell r="K17">
            <v>750000</v>
          </cell>
          <cell r="L17">
            <v>875000</v>
          </cell>
          <cell r="M17">
            <v>1008000</v>
          </cell>
          <cell r="N17">
            <v>1150000</v>
          </cell>
          <cell r="P17">
            <v>50</v>
          </cell>
          <cell r="Q17">
            <v>10</v>
          </cell>
        </row>
        <row r="18">
          <cell r="C18" t="str">
            <v>RR Chile al dia 15:30 hrs</v>
          </cell>
          <cell r="D18">
            <v>253000</v>
          </cell>
          <cell r="E18">
            <v>290000</v>
          </cell>
          <cell r="F18">
            <v>347000</v>
          </cell>
          <cell r="G18">
            <v>373000</v>
          </cell>
          <cell r="H18">
            <v>400000</v>
          </cell>
          <cell r="I18">
            <v>467000</v>
          </cell>
          <cell r="J18">
            <v>533000</v>
          </cell>
          <cell r="K18">
            <v>600000</v>
          </cell>
          <cell r="L18">
            <v>700000</v>
          </cell>
          <cell r="M18">
            <v>807000</v>
          </cell>
          <cell r="N18">
            <v>920000</v>
          </cell>
          <cell r="P18">
            <v>55</v>
          </cell>
          <cell r="Q18">
            <v>11</v>
          </cell>
        </row>
        <row r="19">
          <cell r="C19" t="str">
            <v>24 Horas a la Hora 16:00 hrs</v>
          </cell>
          <cell r="D19">
            <v>317000</v>
          </cell>
          <cell r="E19">
            <v>363000</v>
          </cell>
          <cell r="F19">
            <v>433000</v>
          </cell>
          <cell r="G19">
            <v>467000</v>
          </cell>
          <cell r="H19">
            <v>500000</v>
          </cell>
          <cell r="I19">
            <v>583000</v>
          </cell>
          <cell r="J19">
            <v>667000</v>
          </cell>
          <cell r="K19">
            <v>750000</v>
          </cell>
          <cell r="L19">
            <v>875000</v>
          </cell>
          <cell r="M19">
            <v>1008000</v>
          </cell>
          <cell r="N19">
            <v>1150000</v>
          </cell>
          <cell r="P19">
            <v>60</v>
          </cell>
          <cell r="Q19">
            <v>12</v>
          </cell>
        </row>
        <row r="20">
          <cell r="C20" t="str">
            <v>Platea 24 16:30 hrs/Avances 24 16:30 hrs</v>
          </cell>
          <cell r="D20">
            <v>253000</v>
          </cell>
          <cell r="E20">
            <v>290000</v>
          </cell>
          <cell r="F20">
            <v>347000</v>
          </cell>
          <cell r="G20">
            <v>373000</v>
          </cell>
          <cell r="H20">
            <v>400000</v>
          </cell>
          <cell r="I20">
            <v>467000</v>
          </cell>
          <cell r="J20">
            <v>533000</v>
          </cell>
          <cell r="K20">
            <v>600000</v>
          </cell>
          <cell r="L20">
            <v>700000</v>
          </cell>
          <cell r="M20">
            <v>807000</v>
          </cell>
          <cell r="N20">
            <v>920000</v>
          </cell>
        </row>
        <row r="21">
          <cell r="C21" t="str">
            <v>Hora Clave 17:00 hrs</v>
          </cell>
          <cell r="D21">
            <v>475000</v>
          </cell>
          <cell r="E21">
            <v>544000</v>
          </cell>
          <cell r="F21">
            <v>650000</v>
          </cell>
          <cell r="G21">
            <v>700000</v>
          </cell>
          <cell r="H21">
            <v>750000</v>
          </cell>
          <cell r="I21">
            <v>875000</v>
          </cell>
          <cell r="J21">
            <v>1000000</v>
          </cell>
          <cell r="K21">
            <v>1125000</v>
          </cell>
          <cell r="L21">
            <v>1313000</v>
          </cell>
          <cell r="M21">
            <v>1513000</v>
          </cell>
          <cell r="N21">
            <v>1725000</v>
          </cell>
        </row>
        <row r="22">
          <cell r="C22" t="str">
            <v>RR Cronicas y Reportajes 17:30 hrs</v>
          </cell>
          <cell r="D22">
            <v>285000</v>
          </cell>
          <cell r="E22">
            <v>326000</v>
          </cell>
          <cell r="F22">
            <v>390000</v>
          </cell>
          <cell r="G22">
            <v>420000</v>
          </cell>
          <cell r="H22">
            <v>450000</v>
          </cell>
          <cell r="I22">
            <v>525000</v>
          </cell>
          <cell r="J22">
            <v>600000</v>
          </cell>
          <cell r="K22">
            <v>675000</v>
          </cell>
          <cell r="L22">
            <v>788000</v>
          </cell>
          <cell r="M22">
            <v>908000</v>
          </cell>
          <cell r="N22">
            <v>1035000</v>
          </cell>
        </row>
        <row r="23">
          <cell r="C23" t="str">
            <v>Hora Clave 18:00 hrs</v>
          </cell>
          <cell r="D23">
            <v>475000</v>
          </cell>
          <cell r="E23">
            <v>544000</v>
          </cell>
          <cell r="F23">
            <v>650000</v>
          </cell>
          <cell r="G23">
            <v>700000</v>
          </cell>
          <cell r="H23">
            <v>750000</v>
          </cell>
          <cell r="I23">
            <v>875000</v>
          </cell>
          <cell r="J23">
            <v>1000000</v>
          </cell>
          <cell r="K23">
            <v>1125000</v>
          </cell>
          <cell r="L23">
            <v>1313000</v>
          </cell>
          <cell r="M23">
            <v>1513000</v>
          </cell>
          <cell r="N23">
            <v>1725000</v>
          </cell>
        </row>
        <row r="24">
          <cell r="C24" t="str">
            <v>24 h deportes</v>
          </cell>
          <cell r="D24">
            <v>380000</v>
          </cell>
          <cell r="E24">
            <v>435000</v>
          </cell>
          <cell r="F24">
            <v>520000</v>
          </cell>
          <cell r="G24">
            <v>560000</v>
          </cell>
          <cell r="H24">
            <v>600000</v>
          </cell>
          <cell r="I24">
            <v>700000</v>
          </cell>
          <cell r="J24">
            <v>800000</v>
          </cell>
          <cell r="K24">
            <v>900000</v>
          </cell>
          <cell r="L24">
            <v>1050000</v>
          </cell>
          <cell r="M24">
            <v>1210000</v>
          </cell>
          <cell r="N24">
            <v>1380000</v>
          </cell>
        </row>
        <row r="25">
          <cell r="C25" t="str">
            <v>Hora Clave 19:00 hrs</v>
          </cell>
          <cell r="D25">
            <v>475000</v>
          </cell>
          <cell r="E25">
            <v>544000</v>
          </cell>
          <cell r="F25">
            <v>650000</v>
          </cell>
          <cell r="G25">
            <v>700000</v>
          </cell>
          <cell r="H25">
            <v>750000</v>
          </cell>
          <cell r="I25">
            <v>875000</v>
          </cell>
          <cell r="J25">
            <v>1000000</v>
          </cell>
          <cell r="K25">
            <v>1125000</v>
          </cell>
          <cell r="L25">
            <v>1313000</v>
          </cell>
          <cell r="M25">
            <v>1513000</v>
          </cell>
          <cell r="N25">
            <v>1725000</v>
          </cell>
        </row>
        <row r="26">
          <cell r="C26" t="str">
            <v>RR Platea 24 19:30 hrs/RR Avances 24 19:30 hrs</v>
          </cell>
          <cell r="D26">
            <v>317000</v>
          </cell>
          <cell r="E26">
            <v>363000</v>
          </cell>
          <cell r="F26">
            <v>433000</v>
          </cell>
          <cell r="G26">
            <v>467000</v>
          </cell>
          <cell r="H26">
            <v>500000</v>
          </cell>
          <cell r="I26">
            <v>583000</v>
          </cell>
          <cell r="J26">
            <v>667000</v>
          </cell>
          <cell r="K26">
            <v>750000</v>
          </cell>
          <cell r="L26">
            <v>875000</v>
          </cell>
          <cell r="M26">
            <v>1008000</v>
          </cell>
          <cell r="N26">
            <v>1150000</v>
          </cell>
        </row>
        <row r="29">
          <cell r="C29" t="str">
            <v>Programas</v>
          </cell>
          <cell r="D29" t="str">
            <v>10"</v>
          </cell>
          <cell r="E29" t="str">
            <v>15"</v>
          </cell>
          <cell r="F29" t="str">
            <v>20"</v>
          </cell>
          <cell r="G29" t="str">
            <v>25"</v>
          </cell>
          <cell r="H29" t="str">
            <v>30"</v>
          </cell>
          <cell r="I29" t="str">
            <v>35"</v>
          </cell>
          <cell r="J29" t="str">
            <v>40"</v>
          </cell>
          <cell r="K29" t="str">
            <v>45"</v>
          </cell>
          <cell r="L29" t="str">
            <v>50"</v>
          </cell>
          <cell r="M29" t="str">
            <v>55"</v>
          </cell>
          <cell r="N29" t="str">
            <v>60"</v>
          </cell>
        </row>
        <row r="31">
          <cell r="C31" t="str">
            <v>RR 24 h deportes 20:00 hrs</v>
          </cell>
          <cell r="D31">
            <v>633000</v>
          </cell>
          <cell r="E31">
            <v>725000</v>
          </cell>
          <cell r="F31">
            <v>867000</v>
          </cell>
          <cell r="G31">
            <v>933000</v>
          </cell>
          <cell r="H31">
            <v>1000000</v>
          </cell>
          <cell r="I31">
            <v>1167000</v>
          </cell>
          <cell r="J31">
            <v>1333000</v>
          </cell>
          <cell r="K31">
            <v>1500000</v>
          </cell>
          <cell r="L31">
            <v>1750000</v>
          </cell>
          <cell r="M31">
            <v>2017000</v>
          </cell>
          <cell r="N31">
            <v>2300000</v>
          </cell>
        </row>
        <row r="32">
          <cell r="C32" t="str">
            <v>Mirada Economica 20:30 hrs</v>
          </cell>
          <cell r="D32">
            <v>633000</v>
          </cell>
          <cell r="E32">
            <v>725000</v>
          </cell>
          <cell r="F32">
            <v>867000</v>
          </cell>
          <cell r="G32">
            <v>933000</v>
          </cell>
          <cell r="H32">
            <v>1000000</v>
          </cell>
          <cell r="I32">
            <v>1167000</v>
          </cell>
          <cell r="J32">
            <v>1333000</v>
          </cell>
          <cell r="K32">
            <v>1500000</v>
          </cell>
          <cell r="L32">
            <v>1750000</v>
          </cell>
          <cell r="M32">
            <v>2017000</v>
          </cell>
          <cell r="N32">
            <v>2300000</v>
          </cell>
        </row>
        <row r="33">
          <cell r="C33" t="str">
            <v>24 Horas Central</v>
          </cell>
          <cell r="D33">
            <v>792000</v>
          </cell>
          <cell r="E33">
            <v>906000</v>
          </cell>
          <cell r="F33">
            <v>1083000</v>
          </cell>
          <cell r="G33">
            <v>1167000</v>
          </cell>
          <cell r="H33">
            <v>1250000</v>
          </cell>
          <cell r="I33">
            <v>1458000</v>
          </cell>
          <cell r="J33">
            <v>1667000</v>
          </cell>
          <cell r="K33">
            <v>1875000</v>
          </cell>
          <cell r="L33">
            <v>2188000</v>
          </cell>
          <cell r="M33">
            <v>2521000</v>
          </cell>
          <cell r="N33">
            <v>2875000</v>
          </cell>
        </row>
        <row r="34">
          <cell r="C34" t="str">
            <v>RR Chile al dia 22:00 hrs/Mano a Mano 22:00 hrs</v>
          </cell>
          <cell r="D34">
            <v>1140000</v>
          </cell>
          <cell r="E34">
            <v>1305000</v>
          </cell>
          <cell r="F34">
            <v>1560000</v>
          </cell>
          <cell r="G34">
            <v>1680000</v>
          </cell>
          <cell r="H34">
            <v>1800000</v>
          </cell>
          <cell r="I34">
            <v>2100000</v>
          </cell>
          <cell r="J34">
            <v>2400000</v>
          </cell>
          <cell r="K34">
            <v>2700000</v>
          </cell>
          <cell r="L34">
            <v>3150000</v>
          </cell>
          <cell r="M34">
            <v>3630000</v>
          </cell>
          <cell r="N34">
            <v>4140000</v>
          </cell>
        </row>
        <row r="35">
          <cell r="C35" t="str">
            <v>24 Horas en el mundo 22:30 hrs</v>
          </cell>
          <cell r="D35">
            <v>792000</v>
          </cell>
          <cell r="E35">
            <v>906000</v>
          </cell>
          <cell r="F35">
            <v>1083000</v>
          </cell>
          <cell r="G35">
            <v>1167000</v>
          </cell>
          <cell r="H35">
            <v>1250000</v>
          </cell>
          <cell r="I35">
            <v>1458000</v>
          </cell>
          <cell r="J35">
            <v>1667000</v>
          </cell>
          <cell r="K35">
            <v>1875000</v>
          </cell>
          <cell r="L35">
            <v>2188000</v>
          </cell>
          <cell r="M35">
            <v>2521000</v>
          </cell>
          <cell r="N35">
            <v>2875000</v>
          </cell>
        </row>
        <row r="36">
          <cell r="C36" t="str">
            <v>24 Horas a la Hora 23:00 hrs</v>
          </cell>
          <cell r="D36">
            <v>792000</v>
          </cell>
          <cell r="E36">
            <v>906000</v>
          </cell>
          <cell r="F36">
            <v>1083000</v>
          </cell>
          <cell r="G36">
            <v>1167000</v>
          </cell>
          <cell r="H36">
            <v>1250000</v>
          </cell>
          <cell r="I36">
            <v>1458000</v>
          </cell>
          <cell r="J36">
            <v>1667000</v>
          </cell>
          <cell r="K36">
            <v>1875000</v>
          </cell>
          <cell r="L36">
            <v>2188000</v>
          </cell>
          <cell r="M36">
            <v>2521000</v>
          </cell>
          <cell r="N36">
            <v>2875000</v>
          </cell>
        </row>
        <row r="37">
          <cell r="C37" t="str">
            <v>RR Platea 24 23:30 hrs/RR Avances 24 23:30 hrs</v>
          </cell>
          <cell r="D37">
            <v>792000</v>
          </cell>
          <cell r="E37">
            <v>906000</v>
          </cell>
          <cell r="F37">
            <v>1083000</v>
          </cell>
          <cell r="G37">
            <v>1167000</v>
          </cell>
          <cell r="H37">
            <v>1250000</v>
          </cell>
          <cell r="I37">
            <v>1458000</v>
          </cell>
          <cell r="J37">
            <v>1667000</v>
          </cell>
          <cell r="K37">
            <v>1875000</v>
          </cell>
          <cell r="L37">
            <v>2188000</v>
          </cell>
          <cell r="M37">
            <v>2521000</v>
          </cell>
          <cell r="N37">
            <v>2875000</v>
          </cell>
        </row>
        <row r="38">
          <cell r="C38" t="str">
            <v>Hora 24 l-v</v>
          </cell>
          <cell r="D38">
            <v>633000</v>
          </cell>
          <cell r="E38">
            <v>725000</v>
          </cell>
          <cell r="F38">
            <v>867000</v>
          </cell>
          <cell r="G38">
            <v>933000</v>
          </cell>
          <cell r="H38">
            <v>1000000</v>
          </cell>
          <cell r="I38">
            <v>1167000</v>
          </cell>
          <cell r="J38">
            <v>1333000</v>
          </cell>
          <cell r="K38">
            <v>1500000</v>
          </cell>
          <cell r="L38">
            <v>1750000</v>
          </cell>
          <cell r="M38">
            <v>2017000</v>
          </cell>
          <cell r="N38">
            <v>2300000</v>
          </cell>
        </row>
        <row r="39">
          <cell r="C39" t="str">
            <v>Factor Guillier/RR Mano a Mano 24:30 hrs</v>
          </cell>
          <cell r="D39">
            <v>538000</v>
          </cell>
          <cell r="E39">
            <v>616000</v>
          </cell>
          <cell r="F39">
            <v>737000</v>
          </cell>
          <cell r="G39">
            <v>793000</v>
          </cell>
          <cell r="H39">
            <v>850000</v>
          </cell>
          <cell r="I39">
            <v>992000</v>
          </cell>
          <cell r="J39">
            <v>1133000</v>
          </cell>
          <cell r="K39">
            <v>1275000</v>
          </cell>
          <cell r="L39">
            <v>1488000</v>
          </cell>
          <cell r="M39">
            <v>1714000</v>
          </cell>
          <cell r="N39">
            <v>1955000</v>
          </cell>
        </row>
        <row r="40">
          <cell r="C40" t="str">
            <v>Factor Guillier/RR Hora 24 01:00 hrs</v>
          </cell>
          <cell r="D40">
            <v>538000</v>
          </cell>
          <cell r="E40">
            <v>616000</v>
          </cell>
          <cell r="F40">
            <v>737000</v>
          </cell>
          <cell r="G40">
            <v>793000</v>
          </cell>
          <cell r="H40">
            <v>850000</v>
          </cell>
          <cell r="I40">
            <v>992000</v>
          </cell>
          <cell r="J40">
            <v>1133000</v>
          </cell>
          <cell r="K40">
            <v>1275000</v>
          </cell>
          <cell r="L40">
            <v>1488000</v>
          </cell>
          <cell r="M40">
            <v>1714000</v>
          </cell>
          <cell r="N40">
            <v>1955000</v>
          </cell>
        </row>
        <row r="44">
          <cell r="C44" t="str">
            <v>Programas</v>
          </cell>
          <cell r="D44" t="str">
            <v>10"</v>
          </cell>
          <cell r="E44" t="str">
            <v>15"</v>
          </cell>
          <cell r="F44" t="str">
            <v>20"</v>
          </cell>
          <cell r="G44" t="str">
            <v>25"</v>
          </cell>
          <cell r="H44" t="str">
            <v>30"</v>
          </cell>
          <cell r="I44" t="str">
            <v>35"</v>
          </cell>
          <cell r="J44" t="str">
            <v>40"</v>
          </cell>
          <cell r="K44" t="str">
            <v>45"</v>
          </cell>
          <cell r="L44" t="str">
            <v>50"</v>
          </cell>
          <cell r="M44" t="str">
            <v>55"</v>
          </cell>
          <cell r="N44" t="str">
            <v>60"</v>
          </cell>
        </row>
        <row r="45">
          <cell r="C45" t="str">
            <v>RR 24 horas central 01:30 hrs</v>
          </cell>
          <cell r="D45">
            <v>95000</v>
          </cell>
          <cell r="E45">
            <v>109000</v>
          </cell>
          <cell r="F45">
            <v>130000</v>
          </cell>
          <cell r="G45">
            <v>140000</v>
          </cell>
          <cell r="H45">
            <v>150000</v>
          </cell>
          <cell r="I45">
            <v>175000</v>
          </cell>
          <cell r="J45">
            <v>200000</v>
          </cell>
          <cell r="K45">
            <v>225000</v>
          </cell>
          <cell r="L45">
            <v>263000</v>
          </cell>
          <cell r="M45">
            <v>303000</v>
          </cell>
          <cell r="N45">
            <v>345000</v>
          </cell>
        </row>
        <row r="46">
          <cell r="C46" t="str">
            <v>RR 24 Horas en el mundo 02:30 hrs</v>
          </cell>
          <cell r="D46">
            <v>95000</v>
          </cell>
          <cell r="E46">
            <v>109000</v>
          </cell>
          <cell r="F46">
            <v>130000</v>
          </cell>
          <cell r="G46">
            <v>140000</v>
          </cell>
          <cell r="H46">
            <v>150000</v>
          </cell>
          <cell r="I46">
            <v>175000</v>
          </cell>
          <cell r="J46">
            <v>200000</v>
          </cell>
          <cell r="K46">
            <v>225000</v>
          </cell>
          <cell r="L46">
            <v>263000</v>
          </cell>
          <cell r="M46">
            <v>303000</v>
          </cell>
          <cell r="N46">
            <v>345000</v>
          </cell>
        </row>
        <row r="47">
          <cell r="C47" t="str">
            <v>RR 24 horas central 03:00 hrs</v>
          </cell>
          <cell r="D47">
            <v>95000</v>
          </cell>
          <cell r="E47">
            <v>109000</v>
          </cell>
          <cell r="F47">
            <v>130000</v>
          </cell>
          <cell r="G47">
            <v>140000</v>
          </cell>
          <cell r="H47">
            <v>150000</v>
          </cell>
          <cell r="I47">
            <v>175000</v>
          </cell>
          <cell r="J47">
            <v>200000</v>
          </cell>
          <cell r="K47">
            <v>225000</v>
          </cell>
          <cell r="L47">
            <v>263000</v>
          </cell>
          <cell r="M47">
            <v>303000</v>
          </cell>
          <cell r="N47">
            <v>345000</v>
          </cell>
        </row>
        <row r="48">
          <cell r="C48" t="str">
            <v>RR Chile al dia 04:00 hrs</v>
          </cell>
          <cell r="D48">
            <v>95000</v>
          </cell>
          <cell r="E48">
            <v>109000</v>
          </cell>
          <cell r="F48">
            <v>130000</v>
          </cell>
          <cell r="G48">
            <v>140000</v>
          </cell>
          <cell r="H48">
            <v>150000</v>
          </cell>
          <cell r="I48">
            <v>175000</v>
          </cell>
          <cell r="J48">
            <v>200000</v>
          </cell>
          <cell r="K48">
            <v>225000</v>
          </cell>
          <cell r="L48">
            <v>263000</v>
          </cell>
          <cell r="M48">
            <v>303000</v>
          </cell>
          <cell r="N48">
            <v>345000</v>
          </cell>
        </row>
        <row r="49">
          <cell r="C49" t="str">
            <v>RR Medianoche 04:30 hrs</v>
          </cell>
          <cell r="D49">
            <v>95000</v>
          </cell>
          <cell r="E49">
            <v>109000</v>
          </cell>
          <cell r="F49">
            <v>130000</v>
          </cell>
          <cell r="G49">
            <v>140000</v>
          </cell>
          <cell r="H49">
            <v>150000</v>
          </cell>
          <cell r="I49">
            <v>175000</v>
          </cell>
          <cell r="J49">
            <v>200000</v>
          </cell>
          <cell r="K49">
            <v>225000</v>
          </cell>
          <cell r="L49">
            <v>263000</v>
          </cell>
          <cell r="M49">
            <v>303000</v>
          </cell>
          <cell r="N49">
            <v>345000</v>
          </cell>
        </row>
        <row r="50">
          <cell r="C50" t="str">
            <v>24 horas a la hora 05:00 hrs</v>
          </cell>
          <cell r="D50">
            <v>95000</v>
          </cell>
          <cell r="E50">
            <v>109000</v>
          </cell>
          <cell r="F50">
            <v>130000</v>
          </cell>
          <cell r="G50">
            <v>140000</v>
          </cell>
          <cell r="H50">
            <v>150000</v>
          </cell>
          <cell r="I50">
            <v>175000</v>
          </cell>
          <cell r="J50">
            <v>200000</v>
          </cell>
          <cell r="K50">
            <v>225000</v>
          </cell>
          <cell r="L50">
            <v>263000</v>
          </cell>
          <cell r="M50">
            <v>303000</v>
          </cell>
          <cell r="N50">
            <v>345000</v>
          </cell>
        </row>
        <row r="51">
          <cell r="C51" t="str">
            <v>RR Mirada economica 05:30 hrs</v>
          </cell>
          <cell r="D51">
            <v>95000</v>
          </cell>
          <cell r="E51">
            <v>109000</v>
          </cell>
          <cell r="F51">
            <v>130000</v>
          </cell>
          <cell r="G51">
            <v>140000</v>
          </cell>
          <cell r="H51">
            <v>150000</v>
          </cell>
          <cell r="I51">
            <v>175000</v>
          </cell>
          <cell r="J51">
            <v>200000</v>
          </cell>
          <cell r="K51">
            <v>225000</v>
          </cell>
          <cell r="L51">
            <v>263000</v>
          </cell>
          <cell r="M51">
            <v>303000</v>
          </cell>
          <cell r="N51">
            <v>345000</v>
          </cell>
        </row>
        <row r="55">
          <cell r="C55" t="str">
            <v>Programas</v>
          </cell>
          <cell r="D55" t="str">
            <v>10"</v>
          </cell>
          <cell r="E55" t="str">
            <v>15"</v>
          </cell>
          <cell r="F55" t="str">
            <v>20"</v>
          </cell>
          <cell r="G55" t="str">
            <v>25"</v>
          </cell>
          <cell r="H55" t="str">
            <v>30"</v>
          </cell>
          <cell r="I55" t="str">
            <v>35"</v>
          </cell>
          <cell r="J55" t="str">
            <v>40"</v>
          </cell>
          <cell r="K55" t="str">
            <v>45"</v>
          </cell>
          <cell r="L55" t="str">
            <v>50"</v>
          </cell>
          <cell r="M55" t="str">
            <v>55"</v>
          </cell>
          <cell r="N55" t="str">
            <v>60"</v>
          </cell>
        </row>
        <row r="56">
          <cell r="C56" t="str">
            <v>RR 24 Horas a la Hora 06:00 hrs</v>
          </cell>
          <cell r="D56">
            <v>114000</v>
          </cell>
          <cell r="E56">
            <v>131000</v>
          </cell>
          <cell r="F56">
            <v>156000</v>
          </cell>
          <cell r="G56">
            <v>168000</v>
          </cell>
          <cell r="H56">
            <v>180000</v>
          </cell>
          <cell r="I56">
            <v>210000</v>
          </cell>
          <cell r="J56">
            <v>240000</v>
          </cell>
          <cell r="K56">
            <v>270000</v>
          </cell>
          <cell r="L56">
            <v>315000</v>
          </cell>
          <cell r="M56">
            <v>363000</v>
          </cell>
          <cell r="N56">
            <v>414000</v>
          </cell>
        </row>
        <row r="57">
          <cell r="C57" t="str">
            <v>RR Chile al dia 06:30 hrs</v>
          </cell>
          <cell r="D57">
            <v>165000</v>
          </cell>
          <cell r="E57">
            <v>189000</v>
          </cell>
          <cell r="F57">
            <v>225000</v>
          </cell>
          <cell r="G57">
            <v>243000</v>
          </cell>
          <cell r="H57">
            <v>260000</v>
          </cell>
          <cell r="I57">
            <v>303000</v>
          </cell>
          <cell r="J57">
            <v>347000</v>
          </cell>
          <cell r="K57">
            <v>390000</v>
          </cell>
          <cell r="L57">
            <v>455000</v>
          </cell>
          <cell r="M57">
            <v>524000</v>
          </cell>
          <cell r="N57">
            <v>598000</v>
          </cell>
        </row>
        <row r="58">
          <cell r="C58" t="str">
            <v>RR 24 horas a la Hora 07:00 hrs</v>
          </cell>
          <cell r="D58">
            <v>190000</v>
          </cell>
          <cell r="E58">
            <v>218000</v>
          </cell>
          <cell r="F58">
            <v>260000</v>
          </cell>
          <cell r="G58">
            <v>280000</v>
          </cell>
          <cell r="H58">
            <v>300000</v>
          </cell>
          <cell r="I58">
            <v>350000</v>
          </cell>
          <cell r="J58">
            <v>400000</v>
          </cell>
          <cell r="K58">
            <v>450000</v>
          </cell>
          <cell r="L58">
            <v>525000</v>
          </cell>
          <cell r="M58">
            <v>605000</v>
          </cell>
          <cell r="N58">
            <v>690000</v>
          </cell>
        </row>
        <row r="59">
          <cell r="C59" t="str">
            <v>RR Cronicas y reportajes 07:30 hrs</v>
          </cell>
          <cell r="D59">
            <v>165000</v>
          </cell>
          <cell r="E59">
            <v>189000</v>
          </cell>
          <cell r="F59">
            <v>225000</v>
          </cell>
          <cell r="G59">
            <v>243000</v>
          </cell>
          <cell r="H59">
            <v>260000</v>
          </cell>
          <cell r="I59">
            <v>303000</v>
          </cell>
          <cell r="J59">
            <v>347000</v>
          </cell>
          <cell r="K59">
            <v>390000</v>
          </cell>
          <cell r="L59">
            <v>455000</v>
          </cell>
          <cell r="M59">
            <v>524000</v>
          </cell>
          <cell r="N59">
            <v>598000</v>
          </cell>
        </row>
        <row r="60">
          <cell r="C60" t="str">
            <v>RR 24 horas a la Hora 08:00 hrs</v>
          </cell>
          <cell r="D60">
            <v>190000</v>
          </cell>
          <cell r="E60">
            <v>218000</v>
          </cell>
          <cell r="F60">
            <v>260000</v>
          </cell>
          <cell r="G60">
            <v>280000</v>
          </cell>
          <cell r="H60">
            <v>300000</v>
          </cell>
          <cell r="I60">
            <v>350000</v>
          </cell>
          <cell r="J60">
            <v>400000</v>
          </cell>
          <cell r="K60">
            <v>450000</v>
          </cell>
          <cell r="L60">
            <v>525000</v>
          </cell>
          <cell r="M60">
            <v>605000</v>
          </cell>
          <cell r="N60">
            <v>690000</v>
          </cell>
        </row>
        <row r="61">
          <cell r="C61" t="str">
            <v>RR Mano a Mano 08:30 hrs</v>
          </cell>
          <cell r="D61">
            <v>190000</v>
          </cell>
          <cell r="E61">
            <v>218000</v>
          </cell>
          <cell r="F61">
            <v>260000</v>
          </cell>
          <cell r="G61">
            <v>280000</v>
          </cell>
          <cell r="H61">
            <v>300000</v>
          </cell>
          <cell r="I61">
            <v>350000</v>
          </cell>
          <cell r="J61">
            <v>400000</v>
          </cell>
          <cell r="K61">
            <v>450000</v>
          </cell>
          <cell r="L61">
            <v>525000</v>
          </cell>
          <cell r="M61">
            <v>605000</v>
          </cell>
          <cell r="N61">
            <v>690000</v>
          </cell>
        </row>
        <row r="62">
          <cell r="C62" t="str">
            <v>24 horas a la Hora 09:00 hrs</v>
          </cell>
          <cell r="D62">
            <v>190000</v>
          </cell>
          <cell r="E62">
            <v>218000</v>
          </cell>
          <cell r="F62">
            <v>260000</v>
          </cell>
          <cell r="G62">
            <v>280000</v>
          </cell>
          <cell r="H62">
            <v>300000</v>
          </cell>
          <cell r="I62">
            <v>350000</v>
          </cell>
          <cell r="J62">
            <v>400000</v>
          </cell>
          <cell r="K62">
            <v>450000</v>
          </cell>
          <cell r="L62">
            <v>525000</v>
          </cell>
          <cell r="M62">
            <v>605000</v>
          </cell>
          <cell r="N62">
            <v>690000</v>
          </cell>
        </row>
        <row r="63">
          <cell r="C63" t="str">
            <v>RR En que mundo vives 09:30 hrs</v>
          </cell>
          <cell r="D63">
            <v>165000</v>
          </cell>
          <cell r="E63">
            <v>189000</v>
          </cell>
          <cell r="F63">
            <v>225000</v>
          </cell>
          <cell r="G63">
            <v>243000</v>
          </cell>
          <cell r="H63">
            <v>260000</v>
          </cell>
          <cell r="I63">
            <v>303000</v>
          </cell>
          <cell r="J63">
            <v>347000</v>
          </cell>
          <cell r="K63">
            <v>390000</v>
          </cell>
          <cell r="L63">
            <v>455000</v>
          </cell>
          <cell r="M63">
            <v>524000</v>
          </cell>
          <cell r="N63">
            <v>598000</v>
          </cell>
        </row>
        <row r="64">
          <cell r="C64" t="str">
            <v>RR 24 horas a la Hora 10:00 hrs</v>
          </cell>
          <cell r="D64">
            <v>190000</v>
          </cell>
          <cell r="E64">
            <v>218000</v>
          </cell>
          <cell r="F64">
            <v>260000</v>
          </cell>
          <cell r="G64">
            <v>280000</v>
          </cell>
          <cell r="H64">
            <v>300000</v>
          </cell>
          <cell r="I64">
            <v>350000</v>
          </cell>
          <cell r="J64">
            <v>400000</v>
          </cell>
          <cell r="K64">
            <v>450000</v>
          </cell>
          <cell r="L64">
            <v>525000</v>
          </cell>
          <cell r="M64">
            <v>605000</v>
          </cell>
          <cell r="N64">
            <v>690000</v>
          </cell>
        </row>
        <row r="65">
          <cell r="C65" t="str">
            <v>RR Chile al dia 10:30 hrs</v>
          </cell>
          <cell r="D65">
            <v>165000</v>
          </cell>
          <cell r="E65">
            <v>189000</v>
          </cell>
          <cell r="F65">
            <v>225000</v>
          </cell>
          <cell r="G65">
            <v>243000</v>
          </cell>
          <cell r="H65">
            <v>260000</v>
          </cell>
          <cell r="I65">
            <v>303000</v>
          </cell>
          <cell r="J65">
            <v>347000</v>
          </cell>
          <cell r="K65">
            <v>390000</v>
          </cell>
          <cell r="L65">
            <v>455000</v>
          </cell>
          <cell r="M65">
            <v>524000</v>
          </cell>
          <cell r="N65">
            <v>598000</v>
          </cell>
        </row>
        <row r="66">
          <cell r="C66" t="str">
            <v>RR 24 horas a la Hora 11:00 hrs</v>
          </cell>
          <cell r="D66">
            <v>190000</v>
          </cell>
          <cell r="E66">
            <v>218000</v>
          </cell>
          <cell r="F66">
            <v>260000</v>
          </cell>
          <cell r="G66">
            <v>280000</v>
          </cell>
          <cell r="H66">
            <v>300000</v>
          </cell>
          <cell r="I66">
            <v>350000</v>
          </cell>
          <cell r="J66">
            <v>400000</v>
          </cell>
          <cell r="K66">
            <v>450000</v>
          </cell>
          <cell r="L66">
            <v>525000</v>
          </cell>
          <cell r="M66">
            <v>605000</v>
          </cell>
          <cell r="N66">
            <v>690000</v>
          </cell>
        </row>
        <row r="67">
          <cell r="C67" t="str">
            <v>RR Cronicas y reportajes 11:30 hrs</v>
          </cell>
          <cell r="D67">
            <v>165000</v>
          </cell>
          <cell r="E67">
            <v>189000</v>
          </cell>
          <cell r="F67">
            <v>225000</v>
          </cell>
          <cell r="G67">
            <v>243000</v>
          </cell>
          <cell r="H67">
            <v>260000</v>
          </cell>
          <cell r="I67">
            <v>303000</v>
          </cell>
          <cell r="J67">
            <v>347000</v>
          </cell>
          <cell r="K67">
            <v>390000</v>
          </cell>
          <cell r="L67">
            <v>455000</v>
          </cell>
          <cell r="M67">
            <v>524000</v>
          </cell>
          <cell r="N67">
            <v>598000</v>
          </cell>
        </row>
        <row r="68">
          <cell r="C68" t="str">
            <v>24 horas a la Hora 12:00 hrs</v>
          </cell>
          <cell r="D68">
            <v>190000</v>
          </cell>
          <cell r="E68">
            <v>218000</v>
          </cell>
          <cell r="F68">
            <v>260000</v>
          </cell>
          <cell r="G68">
            <v>280000</v>
          </cell>
          <cell r="H68">
            <v>300000</v>
          </cell>
          <cell r="I68">
            <v>350000</v>
          </cell>
          <cell r="J68">
            <v>400000</v>
          </cell>
          <cell r="K68">
            <v>450000</v>
          </cell>
          <cell r="L68">
            <v>525000</v>
          </cell>
          <cell r="M68">
            <v>605000</v>
          </cell>
          <cell r="N68">
            <v>690000</v>
          </cell>
        </row>
        <row r="69">
          <cell r="C69" t="str">
            <v>RR Mano a Mano 12:30 hrs</v>
          </cell>
          <cell r="D69">
            <v>190000</v>
          </cell>
          <cell r="E69">
            <v>218000</v>
          </cell>
          <cell r="F69">
            <v>260000</v>
          </cell>
          <cell r="G69">
            <v>280000</v>
          </cell>
          <cell r="H69">
            <v>300000</v>
          </cell>
          <cell r="I69">
            <v>350000</v>
          </cell>
          <cell r="J69">
            <v>400000</v>
          </cell>
          <cell r="K69">
            <v>450000</v>
          </cell>
          <cell r="L69">
            <v>525000</v>
          </cell>
          <cell r="M69">
            <v>605000</v>
          </cell>
          <cell r="N69">
            <v>690000</v>
          </cell>
        </row>
        <row r="70">
          <cell r="C70" t="str">
            <v>24 Horas a la Hora 13:00 hrs</v>
          </cell>
          <cell r="D70">
            <v>190000</v>
          </cell>
          <cell r="E70">
            <v>218000</v>
          </cell>
          <cell r="F70">
            <v>260000</v>
          </cell>
          <cell r="G70">
            <v>280000</v>
          </cell>
          <cell r="H70">
            <v>300000</v>
          </cell>
          <cell r="I70">
            <v>350000</v>
          </cell>
          <cell r="J70">
            <v>400000</v>
          </cell>
          <cell r="K70">
            <v>450000</v>
          </cell>
          <cell r="L70">
            <v>525000</v>
          </cell>
          <cell r="M70">
            <v>605000</v>
          </cell>
          <cell r="N70">
            <v>690000</v>
          </cell>
        </row>
        <row r="71">
          <cell r="C71" t="str">
            <v>24 Horas al dia/RR en que mundo vives 13:30 hrs</v>
          </cell>
          <cell r="D71">
            <v>127000</v>
          </cell>
          <cell r="E71">
            <v>145000</v>
          </cell>
          <cell r="F71">
            <v>173000</v>
          </cell>
          <cell r="G71">
            <v>187000</v>
          </cell>
          <cell r="H71">
            <v>200000</v>
          </cell>
          <cell r="I71">
            <v>233000</v>
          </cell>
          <cell r="J71">
            <v>267000</v>
          </cell>
          <cell r="K71">
            <v>300000</v>
          </cell>
          <cell r="L71">
            <v>350000</v>
          </cell>
          <cell r="M71">
            <v>403000</v>
          </cell>
          <cell r="N71">
            <v>460000</v>
          </cell>
        </row>
        <row r="72">
          <cell r="C72" t="str">
            <v>RR Platea 24 14:00 hrs/ 24 horas al dia</v>
          </cell>
          <cell r="D72">
            <v>127000</v>
          </cell>
          <cell r="E72">
            <v>145000</v>
          </cell>
          <cell r="F72">
            <v>173000</v>
          </cell>
          <cell r="G72">
            <v>187000</v>
          </cell>
          <cell r="H72">
            <v>200000</v>
          </cell>
          <cell r="I72">
            <v>233000</v>
          </cell>
          <cell r="J72">
            <v>267000</v>
          </cell>
          <cell r="K72">
            <v>300000</v>
          </cell>
          <cell r="L72">
            <v>350000</v>
          </cell>
          <cell r="M72">
            <v>403000</v>
          </cell>
          <cell r="N72">
            <v>460000</v>
          </cell>
        </row>
        <row r="73">
          <cell r="C73" t="str">
            <v>Flashback 14:30 hrs</v>
          </cell>
          <cell r="D73">
            <v>127000</v>
          </cell>
          <cell r="E73">
            <v>145000</v>
          </cell>
          <cell r="F73">
            <v>173000</v>
          </cell>
          <cell r="G73">
            <v>187000</v>
          </cell>
          <cell r="H73">
            <v>200000</v>
          </cell>
          <cell r="I73">
            <v>233000</v>
          </cell>
          <cell r="J73">
            <v>267000</v>
          </cell>
          <cell r="K73">
            <v>300000</v>
          </cell>
          <cell r="L73">
            <v>350000</v>
          </cell>
          <cell r="M73">
            <v>403000</v>
          </cell>
          <cell r="N73">
            <v>460000</v>
          </cell>
        </row>
        <row r="74">
          <cell r="C74" t="str">
            <v>RR 24 horas al dia</v>
          </cell>
          <cell r="D74">
            <v>127000</v>
          </cell>
          <cell r="E74">
            <v>145000</v>
          </cell>
          <cell r="F74">
            <v>173000</v>
          </cell>
          <cell r="G74">
            <v>187000</v>
          </cell>
          <cell r="H74">
            <v>200000</v>
          </cell>
          <cell r="I74">
            <v>233000</v>
          </cell>
          <cell r="J74">
            <v>267000</v>
          </cell>
          <cell r="K74">
            <v>300000</v>
          </cell>
          <cell r="L74">
            <v>350000</v>
          </cell>
          <cell r="M74">
            <v>403000</v>
          </cell>
          <cell r="N74">
            <v>460000</v>
          </cell>
        </row>
        <row r="75">
          <cell r="C75" t="str">
            <v>24 horas a la hora 16:00 hrs</v>
          </cell>
          <cell r="D75">
            <v>127000</v>
          </cell>
          <cell r="E75">
            <v>145000</v>
          </cell>
          <cell r="F75">
            <v>173000</v>
          </cell>
          <cell r="G75">
            <v>187000</v>
          </cell>
          <cell r="H75">
            <v>200000</v>
          </cell>
          <cell r="I75">
            <v>233000</v>
          </cell>
          <cell r="J75">
            <v>267000</v>
          </cell>
          <cell r="K75">
            <v>300000</v>
          </cell>
          <cell r="L75">
            <v>350000</v>
          </cell>
          <cell r="M75">
            <v>403000</v>
          </cell>
          <cell r="N75">
            <v>460000</v>
          </cell>
        </row>
        <row r="76">
          <cell r="C76" t="str">
            <v>RR Platea 24 16:30 hrs/RR Cronicas y reportajes 16:30 hrs</v>
          </cell>
          <cell r="D76">
            <v>101000</v>
          </cell>
          <cell r="E76">
            <v>116000</v>
          </cell>
          <cell r="F76">
            <v>139000</v>
          </cell>
          <cell r="G76">
            <v>149000</v>
          </cell>
          <cell r="H76">
            <v>160000</v>
          </cell>
          <cell r="I76">
            <v>187000</v>
          </cell>
          <cell r="J76">
            <v>213000</v>
          </cell>
          <cell r="K76">
            <v>240000</v>
          </cell>
          <cell r="L76">
            <v>280000</v>
          </cell>
          <cell r="M76">
            <v>323000</v>
          </cell>
          <cell r="N76">
            <v>368000</v>
          </cell>
        </row>
        <row r="77">
          <cell r="C77" t="str">
            <v>RR 24 horas a la hora 17:00 hrs</v>
          </cell>
          <cell r="D77">
            <v>127000</v>
          </cell>
          <cell r="E77">
            <v>145000</v>
          </cell>
          <cell r="F77">
            <v>173000</v>
          </cell>
          <cell r="G77">
            <v>187000</v>
          </cell>
          <cell r="H77">
            <v>200000</v>
          </cell>
          <cell r="I77">
            <v>233000</v>
          </cell>
          <cell r="J77">
            <v>267000</v>
          </cell>
          <cell r="K77">
            <v>300000</v>
          </cell>
          <cell r="L77">
            <v>350000</v>
          </cell>
          <cell r="M77">
            <v>403000</v>
          </cell>
          <cell r="N77">
            <v>460000</v>
          </cell>
        </row>
        <row r="78">
          <cell r="C78" t="str">
            <v>RR Mano a Mano 17:30 hrs</v>
          </cell>
          <cell r="D78">
            <v>127000</v>
          </cell>
          <cell r="E78">
            <v>145000</v>
          </cell>
          <cell r="F78">
            <v>173000</v>
          </cell>
          <cell r="G78">
            <v>187000</v>
          </cell>
          <cell r="H78">
            <v>200000</v>
          </cell>
          <cell r="I78">
            <v>233000</v>
          </cell>
          <cell r="J78">
            <v>267000</v>
          </cell>
          <cell r="K78">
            <v>300000</v>
          </cell>
          <cell r="L78">
            <v>350000</v>
          </cell>
          <cell r="M78">
            <v>403000</v>
          </cell>
          <cell r="N78">
            <v>460000</v>
          </cell>
        </row>
        <row r="79">
          <cell r="C79" t="str">
            <v>24 Horas a la Hora 18:00 hrs</v>
          </cell>
          <cell r="D79">
            <v>127000</v>
          </cell>
          <cell r="E79">
            <v>145000</v>
          </cell>
          <cell r="F79">
            <v>173000</v>
          </cell>
          <cell r="G79">
            <v>187000</v>
          </cell>
          <cell r="H79">
            <v>200000</v>
          </cell>
          <cell r="I79">
            <v>233000</v>
          </cell>
          <cell r="J79">
            <v>267000</v>
          </cell>
          <cell r="K79">
            <v>300000</v>
          </cell>
          <cell r="L79">
            <v>350000</v>
          </cell>
          <cell r="M79">
            <v>403000</v>
          </cell>
          <cell r="N79">
            <v>460000</v>
          </cell>
        </row>
        <row r="80">
          <cell r="C80" t="str">
            <v>24 h deportes 18:30 hrs</v>
          </cell>
          <cell r="D80">
            <v>127000</v>
          </cell>
          <cell r="E80">
            <v>145000</v>
          </cell>
          <cell r="F80">
            <v>173000</v>
          </cell>
          <cell r="G80">
            <v>187000</v>
          </cell>
          <cell r="H80">
            <v>200000</v>
          </cell>
          <cell r="I80">
            <v>233000</v>
          </cell>
          <cell r="J80">
            <v>267000</v>
          </cell>
          <cell r="K80">
            <v>300000</v>
          </cell>
          <cell r="L80">
            <v>350000</v>
          </cell>
          <cell r="M80">
            <v>403000</v>
          </cell>
          <cell r="N80">
            <v>460000</v>
          </cell>
        </row>
        <row r="81">
          <cell r="C81" t="str">
            <v>RR 24 horas a la hora 19:00 hrs</v>
          </cell>
          <cell r="D81">
            <v>127000</v>
          </cell>
          <cell r="E81">
            <v>145000</v>
          </cell>
          <cell r="F81">
            <v>173000</v>
          </cell>
          <cell r="G81">
            <v>187000</v>
          </cell>
          <cell r="H81">
            <v>200000</v>
          </cell>
          <cell r="I81">
            <v>233000</v>
          </cell>
          <cell r="J81">
            <v>267000</v>
          </cell>
          <cell r="K81">
            <v>300000</v>
          </cell>
          <cell r="L81">
            <v>350000</v>
          </cell>
          <cell r="M81">
            <v>403000</v>
          </cell>
          <cell r="N81">
            <v>460000</v>
          </cell>
        </row>
        <row r="82">
          <cell r="C82" t="str">
            <v>En que mundo vives 19:30 hrs</v>
          </cell>
          <cell r="D82">
            <v>101000</v>
          </cell>
          <cell r="E82">
            <v>116000</v>
          </cell>
          <cell r="F82">
            <v>139000</v>
          </cell>
          <cell r="G82">
            <v>149000</v>
          </cell>
          <cell r="H82">
            <v>160000</v>
          </cell>
          <cell r="I82">
            <v>187000</v>
          </cell>
          <cell r="J82">
            <v>213000</v>
          </cell>
          <cell r="K82">
            <v>240000</v>
          </cell>
          <cell r="L82">
            <v>280000</v>
          </cell>
          <cell r="M82">
            <v>323000</v>
          </cell>
          <cell r="N82">
            <v>368000</v>
          </cell>
        </row>
        <row r="83">
          <cell r="C83" t="str">
            <v>RR 24 Horas a la Hora 20:00 hrs</v>
          </cell>
          <cell r="D83">
            <v>317000</v>
          </cell>
          <cell r="E83">
            <v>363000</v>
          </cell>
          <cell r="F83">
            <v>433000</v>
          </cell>
          <cell r="G83">
            <v>467000</v>
          </cell>
          <cell r="H83">
            <v>500000</v>
          </cell>
          <cell r="I83">
            <v>583000</v>
          </cell>
          <cell r="J83">
            <v>667000</v>
          </cell>
          <cell r="K83">
            <v>750000</v>
          </cell>
          <cell r="L83">
            <v>875000</v>
          </cell>
          <cell r="M83">
            <v>1008000</v>
          </cell>
          <cell r="N83">
            <v>1150000</v>
          </cell>
        </row>
        <row r="84">
          <cell r="C84" t="str">
            <v>RR 24 h deportes 20:30 hrs</v>
          </cell>
          <cell r="D84">
            <v>317000</v>
          </cell>
          <cell r="E84">
            <v>363000</v>
          </cell>
          <cell r="F84">
            <v>433000</v>
          </cell>
          <cell r="G84">
            <v>467000</v>
          </cell>
          <cell r="H84">
            <v>500000</v>
          </cell>
          <cell r="I84">
            <v>583000</v>
          </cell>
          <cell r="J84">
            <v>667000</v>
          </cell>
          <cell r="K84">
            <v>750000</v>
          </cell>
          <cell r="L84">
            <v>875000</v>
          </cell>
          <cell r="M84">
            <v>1008000</v>
          </cell>
          <cell r="N84">
            <v>1150000</v>
          </cell>
        </row>
        <row r="85">
          <cell r="C85" t="str">
            <v>24 Horas Central</v>
          </cell>
          <cell r="D85">
            <v>317000</v>
          </cell>
          <cell r="E85">
            <v>363000</v>
          </cell>
          <cell r="F85">
            <v>433000</v>
          </cell>
          <cell r="G85">
            <v>467000</v>
          </cell>
          <cell r="H85">
            <v>500000</v>
          </cell>
          <cell r="I85">
            <v>583000</v>
          </cell>
          <cell r="J85">
            <v>667000</v>
          </cell>
          <cell r="K85">
            <v>750000</v>
          </cell>
          <cell r="L85">
            <v>875000</v>
          </cell>
          <cell r="M85">
            <v>1008000</v>
          </cell>
          <cell r="N85">
            <v>1150000</v>
          </cell>
        </row>
        <row r="86">
          <cell r="C86" t="str">
            <v>Esto no tiene nombre/Estado Nacional 22:00 hrs</v>
          </cell>
          <cell r="D86">
            <v>348000</v>
          </cell>
          <cell r="E86">
            <v>399000</v>
          </cell>
          <cell r="F86">
            <v>477000</v>
          </cell>
          <cell r="G86">
            <v>513000</v>
          </cell>
          <cell r="H86">
            <v>550000</v>
          </cell>
          <cell r="I86">
            <v>642000</v>
          </cell>
          <cell r="J86">
            <v>733000</v>
          </cell>
          <cell r="K86">
            <v>825000</v>
          </cell>
          <cell r="L86">
            <v>963000</v>
          </cell>
          <cell r="M86">
            <v>1109000</v>
          </cell>
          <cell r="N86">
            <v>1265000</v>
          </cell>
        </row>
        <row r="87">
          <cell r="D87">
            <v>348000</v>
          </cell>
          <cell r="E87">
            <v>399000</v>
          </cell>
          <cell r="F87">
            <v>477000</v>
          </cell>
          <cell r="G87">
            <v>513000</v>
          </cell>
          <cell r="H87">
            <v>550000</v>
          </cell>
          <cell r="I87">
            <v>642000</v>
          </cell>
          <cell r="J87">
            <v>733000</v>
          </cell>
          <cell r="K87">
            <v>825000</v>
          </cell>
          <cell r="L87">
            <v>963000</v>
          </cell>
          <cell r="M87">
            <v>1109000</v>
          </cell>
          <cell r="N87">
            <v>1265000</v>
          </cell>
        </row>
        <row r="88">
          <cell r="C88" t="str">
            <v>RR 24 Horas a la Hora 23:00 hrs</v>
          </cell>
          <cell r="D88">
            <v>348000</v>
          </cell>
          <cell r="E88">
            <v>399000</v>
          </cell>
          <cell r="F88">
            <v>477000</v>
          </cell>
          <cell r="G88">
            <v>513000</v>
          </cell>
          <cell r="H88">
            <v>550000</v>
          </cell>
          <cell r="I88">
            <v>642000</v>
          </cell>
          <cell r="J88">
            <v>733000</v>
          </cell>
          <cell r="K88">
            <v>825000</v>
          </cell>
          <cell r="L88">
            <v>963000</v>
          </cell>
          <cell r="M88">
            <v>1109000</v>
          </cell>
          <cell r="N88">
            <v>1265000</v>
          </cell>
        </row>
        <row r="89">
          <cell r="C89" t="str">
            <v>RR Mano a mano 23:30 hrs/Entrevista Dgo XL</v>
          </cell>
          <cell r="D89">
            <v>348000</v>
          </cell>
          <cell r="E89">
            <v>399000</v>
          </cell>
          <cell r="F89">
            <v>477000</v>
          </cell>
          <cell r="G89">
            <v>513000</v>
          </cell>
          <cell r="H89">
            <v>550000</v>
          </cell>
          <cell r="I89">
            <v>642000</v>
          </cell>
          <cell r="J89">
            <v>733000</v>
          </cell>
          <cell r="K89">
            <v>825000</v>
          </cell>
          <cell r="L89">
            <v>963000</v>
          </cell>
          <cell r="M89">
            <v>1109000</v>
          </cell>
          <cell r="N89">
            <v>1265000</v>
          </cell>
        </row>
        <row r="90">
          <cell r="C90" t="str">
            <v>Hora 24 s-d</v>
          </cell>
          <cell r="D90">
            <v>152000</v>
          </cell>
          <cell r="E90">
            <v>174000</v>
          </cell>
          <cell r="F90">
            <v>208000</v>
          </cell>
          <cell r="G90">
            <v>224000</v>
          </cell>
          <cell r="H90">
            <v>240000</v>
          </cell>
          <cell r="I90">
            <v>280000</v>
          </cell>
          <cell r="J90">
            <v>320000</v>
          </cell>
          <cell r="K90">
            <v>360000</v>
          </cell>
          <cell r="L90">
            <v>420000</v>
          </cell>
          <cell r="M90">
            <v>484000</v>
          </cell>
          <cell r="N90">
            <v>552000</v>
          </cell>
        </row>
        <row r="91">
          <cell r="C91" t="str">
            <v>RR Flashback 00:30 hrs</v>
          </cell>
          <cell r="D91">
            <v>152000</v>
          </cell>
          <cell r="E91">
            <v>174000</v>
          </cell>
          <cell r="F91">
            <v>208000</v>
          </cell>
          <cell r="G91">
            <v>224000</v>
          </cell>
          <cell r="H91">
            <v>240000</v>
          </cell>
          <cell r="I91">
            <v>280000</v>
          </cell>
          <cell r="J91">
            <v>320000</v>
          </cell>
          <cell r="K91">
            <v>360000</v>
          </cell>
          <cell r="L91">
            <v>420000</v>
          </cell>
          <cell r="M91">
            <v>484000</v>
          </cell>
          <cell r="N91">
            <v>552000</v>
          </cell>
        </row>
        <row r="92">
          <cell r="C92" t="str">
            <v>RR 24 horas central 01:30 hrs</v>
          </cell>
          <cell r="D92">
            <v>38000</v>
          </cell>
          <cell r="E92">
            <v>44000</v>
          </cell>
          <cell r="F92">
            <v>52000</v>
          </cell>
          <cell r="G92">
            <v>56000</v>
          </cell>
          <cell r="H92">
            <v>60000</v>
          </cell>
          <cell r="I92">
            <v>70000</v>
          </cell>
          <cell r="J92">
            <v>80000</v>
          </cell>
          <cell r="K92">
            <v>90000</v>
          </cell>
          <cell r="L92">
            <v>105000</v>
          </cell>
          <cell r="M92">
            <v>121000</v>
          </cell>
          <cell r="N92">
            <v>138000</v>
          </cell>
        </row>
        <row r="93">
          <cell r="C93" t="str">
            <v>RR Platea 24 02:30 hrs/RR Entrevista Dgo xl</v>
          </cell>
          <cell r="D93">
            <v>38000</v>
          </cell>
          <cell r="E93">
            <v>44000</v>
          </cell>
          <cell r="F93">
            <v>52000</v>
          </cell>
          <cell r="G93">
            <v>56000</v>
          </cell>
          <cell r="H93">
            <v>60000</v>
          </cell>
          <cell r="I93">
            <v>70000</v>
          </cell>
          <cell r="J93">
            <v>80000</v>
          </cell>
          <cell r="K93">
            <v>90000</v>
          </cell>
          <cell r="L93">
            <v>105000</v>
          </cell>
          <cell r="M93">
            <v>121000</v>
          </cell>
          <cell r="N93">
            <v>138000</v>
          </cell>
        </row>
        <row r="94">
          <cell r="C94" t="str">
            <v>24 Horas a la Hora 03:00 hrs</v>
          </cell>
          <cell r="D94">
            <v>38000</v>
          </cell>
          <cell r="E94">
            <v>44000</v>
          </cell>
          <cell r="F94">
            <v>52000</v>
          </cell>
          <cell r="G94">
            <v>56000</v>
          </cell>
          <cell r="H94">
            <v>60000</v>
          </cell>
          <cell r="I94">
            <v>70000</v>
          </cell>
          <cell r="J94">
            <v>80000</v>
          </cell>
          <cell r="K94">
            <v>90000</v>
          </cell>
          <cell r="L94">
            <v>105000</v>
          </cell>
          <cell r="M94">
            <v>121000</v>
          </cell>
          <cell r="N94">
            <v>138000</v>
          </cell>
        </row>
        <row r="95">
          <cell r="C95" t="str">
            <v>RR En que mundo vives 03:30 hrs</v>
          </cell>
          <cell r="D95">
            <v>38000</v>
          </cell>
          <cell r="E95">
            <v>44000</v>
          </cell>
          <cell r="F95">
            <v>52000</v>
          </cell>
          <cell r="G95">
            <v>56000</v>
          </cell>
          <cell r="H95">
            <v>60000</v>
          </cell>
          <cell r="I95">
            <v>70000</v>
          </cell>
          <cell r="J95">
            <v>80000</v>
          </cell>
          <cell r="K95">
            <v>90000</v>
          </cell>
          <cell r="L95">
            <v>105000</v>
          </cell>
          <cell r="M95">
            <v>121000</v>
          </cell>
          <cell r="N95">
            <v>138000</v>
          </cell>
        </row>
        <row r="96">
          <cell r="C96" t="str">
            <v>RR 24 horas central 04:00 hrs</v>
          </cell>
          <cell r="D96">
            <v>38000</v>
          </cell>
          <cell r="E96">
            <v>44000</v>
          </cell>
          <cell r="F96">
            <v>52000</v>
          </cell>
          <cell r="G96">
            <v>56000</v>
          </cell>
          <cell r="H96">
            <v>60000</v>
          </cell>
          <cell r="I96">
            <v>70000</v>
          </cell>
          <cell r="J96">
            <v>80000</v>
          </cell>
          <cell r="K96">
            <v>90000</v>
          </cell>
          <cell r="L96">
            <v>105000</v>
          </cell>
          <cell r="M96">
            <v>121000</v>
          </cell>
          <cell r="N96">
            <v>138000</v>
          </cell>
        </row>
        <row r="97">
          <cell r="C97" t="str">
            <v>24 Horas a la Hora 05:00 hrs</v>
          </cell>
          <cell r="D97">
            <v>38000</v>
          </cell>
          <cell r="E97">
            <v>44000</v>
          </cell>
          <cell r="F97">
            <v>52000</v>
          </cell>
          <cell r="G97">
            <v>56000</v>
          </cell>
          <cell r="H97">
            <v>60000</v>
          </cell>
          <cell r="I97">
            <v>70000</v>
          </cell>
          <cell r="J97">
            <v>80000</v>
          </cell>
          <cell r="K97">
            <v>90000</v>
          </cell>
          <cell r="L97">
            <v>105000</v>
          </cell>
          <cell r="M97">
            <v>121000</v>
          </cell>
          <cell r="N97">
            <v>138000</v>
          </cell>
        </row>
        <row r="98">
          <cell r="C98" t="str">
            <v>RR Chile al dia 05:30 hrs</v>
          </cell>
          <cell r="D98">
            <v>38000</v>
          </cell>
          <cell r="E98">
            <v>44000</v>
          </cell>
          <cell r="F98">
            <v>52000</v>
          </cell>
          <cell r="G98">
            <v>56000</v>
          </cell>
          <cell r="H98">
            <v>60000</v>
          </cell>
          <cell r="I98">
            <v>70000</v>
          </cell>
          <cell r="J98">
            <v>80000</v>
          </cell>
          <cell r="K98">
            <v>90000</v>
          </cell>
          <cell r="L98">
            <v>105000</v>
          </cell>
          <cell r="M98">
            <v>121000</v>
          </cell>
          <cell r="N98">
            <v>138000</v>
          </cell>
        </row>
        <row r="101">
          <cell r="C101" t="str">
            <v>% Recargo</v>
          </cell>
          <cell r="D101">
            <v>0.9</v>
          </cell>
          <cell r="E101">
            <v>0.45</v>
          </cell>
          <cell r="F101">
            <v>0.3</v>
          </cell>
          <cell r="G101">
            <v>0.12</v>
          </cell>
          <cell r="L101">
            <v>0.05</v>
          </cell>
          <cell r="M101">
            <v>0.1</v>
          </cell>
          <cell r="N101">
            <v>0.15</v>
          </cell>
        </row>
        <row r="102">
          <cell r="C102" t="str">
            <v>Segundos</v>
          </cell>
          <cell r="D102">
            <v>10</v>
          </cell>
          <cell r="E102">
            <v>15</v>
          </cell>
          <cell r="F102">
            <v>20</v>
          </cell>
          <cell r="G102">
            <v>25</v>
          </cell>
          <cell r="H102">
            <v>30</v>
          </cell>
          <cell r="I102">
            <v>35</v>
          </cell>
          <cell r="J102">
            <v>40</v>
          </cell>
          <cell r="K102">
            <v>45</v>
          </cell>
          <cell r="L102">
            <v>50</v>
          </cell>
          <cell r="M102">
            <v>55</v>
          </cell>
          <cell r="N102">
            <v>60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>
        <row r="3">
          <cell r="H3" t="str">
            <v>24 HORAS AL DIALMWJVSD</v>
          </cell>
        </row>
      </sheetData>
      <sheetData sheetId="28"/>
      <sheetData sheetId="29">
        <row r="3">
          <cell r="H3" t="str">
            <v>24 HORAS AL DIALMWJVSD</v>
          </cell>
        </row>
      </sheetData>
      <sheetData sheetId="30"/>
      <sheetData sheetId="31">
        <row r="8">
          <cell r="C8" t="str">
            <v>Programas</v>
          </cell>
        </row>
      </sheetData>
      <sheetData sheetId="32"/>
      <sheetData sheetId="33"/>
      <sheetData sheetId="34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BR 02"/>
      <sheetName val="TBR 03"/>
      <sheetName val="TBR 04"/>
      <sheetName val="TBR 05 "/>
      <sheetName val="P_Diarios Santiago"/>
      <sheetName val="Tarifas Enero 2009"/>
      <sheetName val="Rating"/>
      <sheetName val="tablas final 1°sem 2008"/>
      <sheetName val="CALENP"/>
      <sheetName val="Promedio"/>
      <sheetName val="AUT-HOG"/>
      <sheetName val="Actual"/>
      <sheetName val="Medios"/>
      <sheetName val="outdr"/>
      <sheetName val="Ranking TV"/>
      <sheetName val="#¡REF"/>
      <sheetName val=" PIB Brasil ( R$ de 1996 )"/>
      <sheetName val="Cálculos"/>
      <sheetName val="Tvsa"/>
      <sheetName val="Canal2 CPR CPM"/>
      <sheetName val="BASERATINGS"/>
      <sheetName val="IMstrat%20replaneado.xls"/>
      <sheetName val="IMstrat replaneado"/>
      <sheetName val="Module1"/>
      <sheetName val="TBR_02"/>
      <sheetName val="TBR_03"/>
      <sheetName val="TBR_04"/>
      <sheetName val="TBR_05_"/>
      <sheetName val="P_Diarios_Santiago"/>
      <sheetName val="Tarifas_Enero_2009"/>
      <sheetName val="tablas_final_1°sem_2008"/>
      <sheetName val="Ranking_TV"/>
      <sheetName val="_PIB_Brasil_(_R$_de_1996_)"/>
      <sheetName val="Canal2_CPR_CPM"/>
      <sheetName val="TBR_021"/>
      <sheetName val="TBR_031"/>
      <sheetName val="TBR_041"/>
      <sheetName val="TBR_05_1"/>
      <sheetName val="P_Diarios_Santiago1"/>
      <sheetName val="Tarifas_Enero_20091"/>
      <sheetName val="tablas_final_1°sem_20081"/>
      <sheetName val="Ranking_TV1"/>
      <sheetName val="_PIB_Brasil_(_R$_de_1996_)1"/>
      <sheetName val="Canal2_CPR_CPM1"/>
      <sheetName val="TBR_022"/>
      <sheetName val="TBR_032"/>
      <sheetName val="TBR_042"/>
      <sheetName val="TBR_05_2"/>
      <sheetName val="P_Diarios_Santiago2"/>
      <sheetName val="Tarifas_Enero_20092"/>
      <sheetName val="tablas_final_1°sem_20082"/>
      <sheetName val="Ranking_TV2"/>
      <sheetName val="_PIB_Brasil_(_R$_de_1996_)2"/>
      <sheetName val="Canal2_CPR_CPM2"/>
      <sheetName val="GSV"/>
      <sheetName val="PESOS"/>
      <sheetName val="IMstrat replaneado.xls"/>
      <sheetName val="Above Line"/>
      <sheetName val="IMstrat_replaneado"/>
      <sheetName val="Constants"/>
      <sheetName val="VIA PUBLICA"/>
      <sheetName val="FLOW GENERAL"/>
      <sheetName val="REVISTAS"/>
      <sheetName val="REVISTAS SALDO"/>
      <sheetName val="FLOW REVISTAS"/>
      <sheetName val="flow. pren P.F."/>
      <sheetName val="PRENSA NEGOCIADA"/>
      <sheetName val="RADIO"/>
      <sheetName val="FLOW_GENERAL"/>
      <sheetName val="REVISTAS_SALDO"/>
      <sheetName val="FLOW_REVISTAS"/>
      <sheetName val="flow__pren_P_F_"/>
      <sheetName val="PRENSA_NEGOCIADA"/>
      <sheetName val="C5"/>
      <sheetName val="GM report"/>
      <sheetName val="Resumo por P"/>
      <sheetName val="Ex rate"/>
      <sheetName val="Pauta"/>
      <sheetName val="NEWS PREV"/>
      <sheetName val="Data Validation"/>
      <sheetName val="FLOW_GENERAL1"/>
      <sheetName val="REVISTAS_SALDO1"/>
      <sheetName val="FLOW_REVISTAS1"/>
      <sheetName val="flow__pren_P_F_1"/>
      <sheetName val="PRENSA_NEGOCIADA1"/>
      <sheetName val="GM_report"/>
      <sheetName val="RATING SPOTEO"/>
      <sheetName val="Flow"/>
      <sheetName val="@RISK Inputs"/>
      <sheetName val="DMUU Inputs"/>
      <sheetName val="GSV TON"/>
      <sheetName val="3. DMUU"/>
      <sheetName val="expertisse"/>
      <sheetName val="FCST Q1"/>
      <sheetName val="Canal 05"/>
      <sheetName val="Canal 02"/>
      <sheetName val="Above_Line"/>
      <sheetName val="Hoja1"/>
      <sheetName val="MEDIA PLAN HM"/>
      <sheetName val="Plano"/>
      <sheetName val="Resumo"/>
      <sheetName val="Res. Mês"/>
      <sheetName val="PAUTA METROVALLAS"/>
      <sheetName val="Canal2 "/>
      <sheetName val="REV"/>
      <sheetName val="CDN Income Statement"/>
      <sheetName val="Data"/>
      <sheetName val="Tablas"/>
      <sheetName val="BASE"/>
      <sheetName val="Hoja2"/>
      <sheetName val="Anunciantes"/>
      <sheetName val="Marcas"/>
      <sheetName val="MarcasCli"/>
      <sheetName val="Rubros"/>
      <sheetName val="ADS"/>
      <sheetName val="Ranking  Tv"/>
      <sheetName val="Control"/>
      <sheetName val="MACMASK1"/>
      <sheetName val="Base_de_Datos"/>
      <sheetName val="TBR_023"/>
      <sheetName val="TBR_033"/>
      <sheetName val="TBR_043"/>
      <sheetName val="TBR_05_3"/>
      <sheetName val="Ranking_TV3"/>
      <sheetName val="_PIB_Brasil_(_R$_de_1996_)3"/>
      <sheetName val="Canal2_CPR_CPM3"/>
      <sheetName val="P_Diarios_Santiago3"/>
      <sheetName val="Tarifas_Enero_20093"/>
      <sheetName val="tablas_final_1°sem_20083"/>
      <sheetName val="IMstrat_replaneado1"/>
      <sheetName val="IMstrat%20replaneado_xls"/>
      <sheetName val="FLOW_GENERAL2"/>
      <sheetName val="REVISTAS_SALDO2"/>
      <sheetName val="FLOW_REVISTAS2"/>
      <sheetName val="flow__pren_P_F_2"/>
      <sheetName val="PRENSA_NEGOCIADA2"/>
      <sheetName val="GM_report1"/>
      <sheetName val="Resumo_por_P"/>
      <sheetName val="Ex_rate"/>
      <sheetName val="NEWS_PREV"/>
      <sheetName val="Data_Validation"/>
      <sheetName val="RATING_SPOTEO"/>
      <sheetName val="@RISK_Inputs"/>
      <sheetName val="DMUU_Inputs"/>
      <sheetName val="GSV_TON"/>
      <sheetName val="3__DMUU"/>
      <sheetName val="IMstrat_replaneado_xls"/>
      <sheetName val="VIA_PUBLICA"/>
      <sheetName val="TBR_024"/>
      <sheetName val="TBR_034"/>
      <sheetName val="TBR_044"/>
      <sheetName val="TBR_05_4"/>
      <sheetName val="Ranking_TV4"/>
      <sheetName val="_PIB_Brasil_(_R$_de_1996_)4"/>
      <sheetName val="Canal2_CPR_CPM4"/>
      <sheetName val="P_Diarios_Santiago4"/>
      <sheetName val="Tarifas_Enero_20094"/>
      <sheetName val="tablas_final_1°sem_20084"/>
      <sheetName val="IMstrat_replaneado2"/>
      <sheetName val="Above_Line1"/>
      <sheetName val="IMstrat%20replaneado_xls1"/>
      <sheetName val="FLOW_GENERAL3"/>
      <sheetName val="REVISTAS_SALDO3"/>
      <sheetName val="FLOW_REVISTAS3"/>
      <sheetName val="flow__pren_P_F_3"/>
      <sheetName val="PRENSA_NEGOCIADA3"/>
      <sheetName val="GM_report2"/>
      <sheetName val="Resumo_por_P1"/>
      <sheetName val="Ex_rate1"/>
      <sheetName val="NEWS_PREV1"/>
      <sheetName val="Data_Validation1"/>
      <sheetName val="RATING_SPOTEO1"/>
      <sheetName val="@RISK_Inputs1"/>
      <sheetName val="DMUU_Inputs1"/>
      <sheetName val="GSV_TON1"/>
      <sheetName val="3__DMUU1"/>
      <sheetName val="IMstrat_replaneado_xls1"/>
      <sheetName val="VIA_PUBLICA1"/>
      <sheetName val="Pto. Azt"/>
      <sheetName val="XRate"/>
      <sheetName val="Components"/>
      <sheetName val="IBU_Bases"/>
      <sheetName val="Ad_Options"/>
      <sheetName val="Validações"/>
      <sheetName val="Anual"/>
      <sheetName val="Lists"/>
      <sheetName val="P&amp;LBANANA"/>
      <sheetName val="P&amp;L POST OREO"/>
      <sheetName val="P&amp;L H BUNCHES"/>
      <sheetName val="Meta"/>
      <sheetName val="LARCAL"/>
      <sheetName val="CRITERIA1"/>
      <sheetName val="RC"/>
      <sheetName val="Supply"/>
      <sheetName val="Fin Forecast 2014"/>
      <sheetName val="Sheet3"/>
      <sheetName val="TARGETS"/>
      <sheetName val="Search Plan"/>
      <sheetName val="Portfolio Priorities"/>
      <sheetName val="Prev Yrs"/>
      <sheetName val="Prev_Yrs"/>
      <sheetName val="Lookup"/>
      <sheetName val="budget 105"/>
      <sheetName val="Cost Centers"/>
      <sheetName val="Listas"/>
      <sheetName val="Master"/>
      <sheetName val="PSG"/>
      <sheetName val="ANAREV"/>
      <sheetName val="TBR_025"/>
      <sheetName val="TBR_035"/>
      <sheetName val="TBR_045"/>
      <sheetName val="TBR_05_5"/>
      <sheetName val="P_Diarios_Santiago5"/>
      <sheetName val="Tarifas_Enero_20095"/>
      <sheetName val="tablas_final_1°sem_20085"/>
      <sheetName val="Ranking_TV5"/>
      <sheetName val="_PIB_Brasil_(_R$_de_1996_)5"/>
      <sheetName val="Canal2_CPR_CPM5"/>
      <sheetName val="IMstrat_replaneado3"/>
      <sheetName val="Above_Line2"/>
      <sheetName val="IMstrat%20replaneado_xls2"/>
      <sheetName val="IMstrat_replaneado_xls2"/>
      <sheetName val="VIA_PUBLICA2"/>
      <sheetName val="FLOW_GENERAL4"/>
      <sheetName val="REVISTAS_SALDO4"/>
      <sheetName val="FLOW_REVISTAS4"/>
      <sheetName val="flow__pren_P_F_4"/>
      <sheetName val="PRENSA_NEGOCIADA4"/>
      <sheetName val="GM_report3"/>
      <sheetName val="Resumo_por_P2"/>
      <sheetName val="Ex_rate2"/>
      <sheetName val="NEWS_PREV2"/>
      <sheetName val="Data_Validation2"/>
      <sheetName val="RATING_SPOTEO2"/>
      <sheetName val="@RISK_Inputs2"/>
      <sheetName val="DMUU_Inputs2"/>
      <sheetName val="GSV_TON2"/>
      <sheetName val="3__DMUU2"/>
      <sheetName val="FCST_Q1"/>
      <sheetName val="MEDIA_PLAN_HM"/>
      <sheetName val="Res__Mês"/>
      <sheetName val="PAUTA_METROVALLAS"/>
      <sheetName val="Canal2_"/>
      <sheetName val="CDN_Income_Statement"/>
      <sheetName val="Canal_05"/>
      <sheetName val="Canal_02"/>
      <sheetName val="Ranking__Tv"/>
      <sheetName val="Fin_Forecast_2014"/>
      <sheetName val="Pto__Azt"/>
      <sheetName val="P&amp;L_POST_OREO"/>
      <sheetName val="P&amp;L_H_BUNCHES"/>
      <sheetName val="Search_Plan"/>
      <sheetName val="Portfolio_Priorities"/>
      <sheetName val="Prev_Yrs1"/>
      <sheetName val="budget_105"/>
      <sheetName val="Cost_Centers"/>
      <sheetName val="aca-"/>
      <sheetName val="Calculations"/>
      <sheetName val="Dashboard"/>
      <sheetName val="URL_Mapping"/>
      <sheetName val="TBR_027"/>
      <sheetName val="TBR_037"/>
      <sheetName val="TBR_047"/>
      <sheetName val="TBR_05_7"/>
      <sheetName val="P_Diarios_Santiago7"/>
      <sheetName val="Tarifas_Enero_20097"/>
      <sheetName val="tablas_final_1°sem_20087"/>
      <sheetName val="Ranking_TV7"/>
      <sheetName val="_PIB_Brasil_(_R$_de_1996_)7"/>
      <sheetName val="Canal2_CPR_CPM7"/>
      <sheetName val="IMstrat_replaneado5"/>
      <sheetName val="Above_Line4"/>
      <sheetName val="IMstrat%20replaneado_xls4"/>
      <sheetName val="IMstrat_replaneado_xls4"/>
      <sheetName val="VIA_PUBLICA4"/>
      <sheetName val="FLOW_GENERAL6"/>
      <sheetName val="REVISTAS_SALDO6"/>
      <sheetName val="FLOW_REVISTAS6"/>
      <sheetName val="flow__pren_P_F_6"/>
      <sheetName val="PRENSA_NEGOCIADA6"/>
      <sheetName val="GM_report5"/>
      <sheetName val="Resumo_por_P4"/>
      <sheetName val="Ex_rate4"/>
      <sheetName val="NEWS_PREV4"/>
      <sheetName val="Data_Validation4"/>
      <sheetName val="RATING_SPOTEO4"/>
      <sheetName val="@RISK_Inputs4"/>
      <sheetName val="DMUU_Inputs4"/>
      <sheetName val="GSV_TON4"/>
      <sheetName val="3__DMUU4"/>
      <sheetName val="FCST_Q12"/>
      <sheetName val="MEDIA_PLAN_HM2"/>
      <sheetName val="Res__Mês2"/>
      <sheetName val="PAUTA_METROVALLAS2"/>
      <sheetName val="Canal2_2"/>
      <sheetName val="CDN_Income_Statement2"/>
      <sheetName val="Canal_052"/>
      <sheetName val="Canal_022"/>
      <sheetName val="Ranking__Tv2"/>
      <sheetName val="Fin_Forecast_20142"/>
      <sheetName val="Pto__Azt2"/>
      <sheetName val="P&amp;L_POST_OREO2"/>
      <sheetName val="P&amp;L_H_BUNCHES2"/>
      <sheetName val="Search_Plan2"/>
      <sheetName val="Portfolio_Priorities2"/>
      <sheetName val="Prev_Yrs3"/>
      <sheetName val="budget_1052"/>
      <sheetName val="Cost_Centers2"/>
      <sheetName val="TBR_026"/>
      <sheetName val="TBR_036"/>
      <sheetName val="TBR_046"/>
      <sheetName val="TBR_05_6"/>
      <sheetName val="P_Diarios_Santiago6"/>
      <sheetName val="Tarifas_Enero_20096"/>
      <sheetName val="tablas_final_1°sem_20086"/>
      <sheetName val="Ranking_TV6"/>
      <sheetName val="_PIB_Brasil_(_R$_de_1996_)6"/>
      <sheetName val="Canal2_CPR_CPM6"/>
      <sheetName val="IMstrat_replaneado4"/>
      <sheetName val="Above_Line3"/>
      <sheetName val="IMstrat%20replaneado_xls3"/>
      <sheetName val="IMstrat_replaneado_xls3"/>
      <sheetName val="VIA_PUBLICA3"/>
      <sheetName val="FLOW_GENERAL5"/>
      <sheetName val="REVISTAS_SALDO5"/>
      <sheetName val="FLOW_REVISTAS5"/>
      <sheetName val="flow__pren_P_F_5"/>
      <sheetName val="PRENSA_NEGOCIADA5"/>
      <sheetName val="GM_report4"/>
      <sheetName val="Resumo_por_P3"/>
      <sheetName val="Ex_rate3"/>
      <sheetName val="NEWS_PREV3"/>
      <sheetName val="Data_Validation3"/>
      <sheetName val="RATING_SPOTEO3"/>
      <sheetName val="@RISK_Inputs3"/>
      <sheetName val="DMUU_Inputs3"/>
      <sheetName val="GSV_TON3"/>
      <sheetName val="3__DMUU3"/>
      <sheetName val="FCST_Q11"/>
      <sheetName val="MEDIA_PLAN_HM1"/>
      <sheetName val="Res__Mês1"/>
      <sheetName val="PAUTA_METROVALLAS1"/>
      <sheetName val="Canal2_1"/>
      <sheetName val="CDN_Income_Statement1"/>
      <sheetName val="Canal_051"/>
      <sheetName val="Canal_021"/>
      <sheetName val="Ranking__Tv1"/>
      <sheetName val="Fin_Forecast_20141"/>
      <sheetName val="Pto__Azt1"/>
      <sheetName val="P&amp;L_POST_OREO1"/>
      <sheetName val="P&amp;L_H_BUNCHES1"/>
      <sheetName val="Search_Plan1"/>
      <sheetName val="Portfolio_Priorities1"/>
      <sheetName val="Prev_Yrs2"/>
      <sheetName val="budget_1051"/>
      <sheetName val="Cost_Centers1"/>
      <sheetName val="TBR_028"/>
      <sheetName val="TBR_038"/>
      <sheetName val="TBR_048"/>
      <sheetName val="TBR_05_8"/>
      <sheetName val="P_Diarios_Santiago8"/>
      <sheetName val="Tarifas_Enero_20098"/>
      <sheetName val="tablas_final_1°sem_20088"/>
      <sheetName val="Ranking_TV8"/>
      <sheetName val="_PIB_Brasil_(_R$_de_1996_)8"/>
      <sheetName val="Canal2_CPR_CPM8"/>
      <sheetName val="IMstrat_replaneado6"/>
      <sheetName val="Above_Line5"/>
      <sheetName val="IMstrat%20replaneado_xls5"/>
      <sheetName val="IMstrat_replaneado_xls5"/>
      <sheetName val="VIA_PUBLICA5"/>
      <sheetName val="FLOW_GENERAL7"/>
      <sheetName val="REVISTAS_SALDO7"/>
      <sheetName val="FLOW_REVISTAS7"/>
      <sheetName val="flow__pren_P_F_7"/>
      <sheetName val="PRENSA_NEGOCIADA7"/>
      <sheetName val="GM_report6"/>
      <sheetName val="Resumo_por_P5"/>
      <sheetName val="Ex_rate5"/>
      <sheetName val="NEWS_PREV5"/>
      <sheetName val="Data_Validation5"/>
      <sheetName val="RATING_SPOTEO5"/>
      <sheetName val="@RISK_Inputs5"/>
      <sheetName val="DMUU_Inputs5"/>
      <sheetName val="GSV_TON5"/>
      <sheetName val="3__DMUU5"/>
      <sheetName val="FCST_Q13"/>
      <sheetName val="MEDIA_PLAN_HM3"/>
      <sheetName val="Res__Mês3"/>
      <sheetName val="PAUTA_METROVALLAS3"/>
      <sheetName val="Canal2_3"/>
      <sheetName val="CDN_Income_Statement3"/>
      <sheetName val="Canal_053"/>
      <sheetName val="Canal_023"/>
      <sheetName val="Ranking__Tv3"/>
      <sheetName val="Fin_Forecast_20143"/>
      <sheetName val="Pto__Azt3"/>
      <sheetName val="P&amp;L_POST_OREO3"/>
      <sheetName val="P&amp;L_H_BUNCHES3"/>
      <sheetName val="Search_Plan3"/>
      <sheetName val="Portfolio_Priorities3"/>
      <sheetName val="Prev_Yrs4"/>
      <sheetName val="budget_1053"/>
      <sheetName val="Cost_Centers3"/>
      <sheetName val="TBR_029"/>
      <sheetName val="TBR_039"/>
      <sheetName val="TBR_049"/>
      <sheetName val="TBR_05_9"/>
      <sheetName val="P_Diarios_Santiago9"/>
      <sheetName val="Tarifas_Enero_20099"/>
      <sheetName val="tablas_final_1°sem_20089"/>
      <sheetName val="Ranking_TV9"/>
      <sheetName val="_PIB_Brasil_(_R$_de_1996_)9"/>
      <sheetName val="Canal2_CPR_CPM9"/>
      <sheetName val="IMstrat_replaneado7"/>
      <sheetName val="Above_Line6"/>
      <sheetName val="IMstrat%20replaneado_xls6"/>
      <sheetName val="IMstrat_replaneado_xls6"/>
      <sheetName val="VIA_PUBLICA6"/>
      <sheetName val="FLOW_GENERAL8"/>
      <sheetName val="REVISTAS_SALDO8"/>
      <sheetName val="FLOW_REVISTAS8"/>
      <sheetName val="flow__pren_P_F_8"/>
      <sheetName val="PRENSA_NEGOCIADA8"/>
      <sheetName val="GM_report7"/>
      <sheetName val="Resumo_por_P6"/>
      <sheetName val="Ex_rate6"/>
      <sheetName val="NEWS_PREV6"/>
      <sheetName val="Data_Validation6"/>
      <sheetName val="RATING_SPOTEO6"/>
      <sheetName val="@RISK_Inputs6"/>
      <sheetName val="DMUU_Inputs6"/>
      <sheetName val="GSV_TON6"/>
      <sheetName val="3__DMUU6"/>
      <sheetName val="FCST_Q14"/>
      <sheetName val="MEDIA_PLAN_HM4"/>
      <sheetName val="Res__Mês4"/>
      <sheetName val="PAUTA_METROVALLAS4"/>
      <sheetName val="Canal2_4"/>
      <sheetName val="CDN_Income_Statement4"/>
      <sheetName val="Canal_054"/>
      <sheetName val="Canal_024"/>
      <sheetName val="Ranking__Tv4"/>
      <sheetName val="Fin_Forecast_20144"/>
      <sheetName val="Pto__Azt4"/>
      <sheetName val="P&amp;L_POST_OREO4"/>
      <sheetName val="P&amp;L_H_BUNCHES4"/>
      <sheetName val="Search_Plan4"/>
      <sheetName val="Portfolio_Priorities4"/>
      <sheetName val="Prev_Yrs5"/>
      <sheetName val="budget_1054"/>
      <sheetName val="Cost_Centers4"/>
      <sheetName val="Rk Cab"/>
      <sheetName val="Rk_Cab"/>
      <sheetName val="Rk_Cab1"/>
      <sheetName val="Rk_Cab2"/>
      <sheetName val="Schedule"/>
      <sheetName val="Rk_Cab3"/>
      <sheetName val="TARIFAS"/>
      <sheetName val="#G.O."/>
      <sheetName val="RANKING"/>
      <sheetName val="TBR_0210"/>
      <sheetName val="TBR_0310"/>
      <sheetName val="TBR_0410"/>
      <sheetName val="TBR_05_10"/>
      <sheetName val="P_Diarios_Santiago10"/>
      <sheetName val="Tarifas_Enero_200910"/>
      <sheetName val="tablas_final_1°sem_200810"/>
      <sheetName val="Ranking_TV10"/>
      <sheetName val="_PIB_Brasil_(_R$_de_1996_)10"/>
      <sheetName val="Canal2_CPR_CPM10"/>
      <sheetName val="IMstrat_replaneado8"/>
      <sheetName val="IMstrat%20replaneado_xls7"/>
      <sheetName val="Above_Line7"/>
      <sheetName val="IMstrat_replaneado_xls7"/>
      <sheetName val="VIA_PUBLICA7"/>
      <sheetName val="FLOW_GENERAL9"/>
      <sheetName val="REVISTAS_SALDO9"/>
      <sheetName val="FLOW_REVISTAS9"/>
      <sheetName val="flow__pren_P_F_9"/>
      <sheetName val="PRENSA_NEGOCIADA9"/>
      <sheetName val="GM_report8"/>
      <sheetName val="Resumo_por_P7"/>
      <sheetName val="Ex_rate7"/>
      <sheetName val="NEWS_PREV7"/>
      <sheetName val="Data_Validation7"/>
      <sheetName val="RATING_SPOTEO7"/>
      <sheetName val="@RISK_Inputs7"/>
      <sheetName val="DMUU_Inputs7"/>
      <sheetName val="GSV_TON7"/>
      <sheetName val="3__DMUU7"/>
      <sheetName val="FCST_Q15"/>
      <sheetName val="Canal_055"/>
      <sheetName val="Canal_025"/>
      <sheetName val="MEDIA_PLAN_HM5"/>
      <sheetName val="Res__Mês5"/>
      <sheetName val="PAUTA_METROVALLAS5"/>
      <sheetName val="Canal2_5"/>
      <sheetName val="CDN_Income_Statement5"/>
      <sheetName val="Ranking__Tv5"/>
      <sheetName val="Pto__Azt5"/>
      <sheetName val="P&amp;L_POST_OREO5"/>
      <sheetName val="P&amp;L_H_BUNCHES5"/>
      <sheetName val="Fin_Forecast_20145"/>
      <sheetName val="Search_Plan5"/>
      <sheetName val="Portfolio_Priorities5"/>
      <sheetName val="Prev_Yrs6"/>
      <sheetName val="budget_1055"/>
      <sheetName val="Cost_Centers5"/>
      <sheetName val="Rk_Cab4"/>
      <sheetName val="TBR_0211"/>
      <sheetName val="TBR_0311"/>
      <sheetName val="TBR_0411"/>
      <sheetName val="TBR_05_11"/>
      <sheetName val="P_Diarios_Santiago11"/>
      <sheetName val="Tarifas_Enero_200911"/>
      <sheetName val="tablas_final_1°sem_200811"/>
      <sheetName val="Ranking_TV11"/>
      <sheetName val="_PIB_Brasil_(_R$_de_1996_)11"/>
      <sheetName val="Canal2_CPR_CPM11"/>
      <sheetName val="IMstrat%20replaneado_xls8"/>
      <sheetName val="IMstrat_replaneado9"/>
      <sheetName val="IMstrat_replaneado_xls8"/>
      <sheetName val="Above_Line8"/>
      <sheetName val="VIA_PUBLICA8"/>
      <sheetName val="FLOW_GENERAL10"/>
      <sheetName val="REVISTAS_SALDO10"/>
      <sheetName val="FLOW_REVISTAS10"/>
      <sheetName val="flow__pren_P_F_10"/>
      <sheetName val="PRENSA_NEGOCIADA10"/>
      <sheetName val="GM_report9"/>
      <sheetName val="Resumo_por_P8"/>
      <sheetName val="Ex_rate8"/>
      <sheetName val="NEWS_PREV8"/>
      <sheetName val="Data_Validation8"/>
      <sheetName val="RATING_SPOTEO8"/>
      <sheetName val="@RISK_Inputs8"/>
      <sheetName val="DMUU_Inputs8"/>
      <sheetName val="GSV_TON8"/>
      <sheetName val="3__DMUU8"/>
      <sheetName val="FCST_Q16"/>
      <sheetName val="Canal_056"/>
      <sheetName val="Canal_026"/>
      <sheetName val="MEDIA_PLAN_HM6"/>
      <sheetName val="Res__Mês6"/>
      <sheetName val="PAUTA_METROVALLAS6"/>
      <sheetName val="Canal2_6"/>
      <sheetName val="CDN_Income_Statement6"/>
      <sheetName val="Ranking__Tv6"/>
      <sheetName val="Pto__Azt6"/>
      <sheetName val="P&amp;L_POST_OREO6"/>
      <sheetName val="P&amp;L_H_BUNCHES6"/>
      <sheetName val="Fin_Forecast_20146"/>
      <sheetName val="Search_Plan6"/>
      <sheetName val="Portfolio_Priorities6"/>
      <sheetName val="Prev_Yrs7"/>
      <sheetName val="budget_1056"/>
      <sheetName val="Cost_Centers6"/>
      <sheetName val="Rk_Cab5"/>
      <sheetName val="#G_O_"/>
      <sheetName val="TBR_0212"/>
      <sheetName val="TBR_0312"/>
      <sheetName val="TBR_0412"/>
      <sheetName val="TBR_05_12"/>
      <sheetName val="P_Diarios_Santiago12"/>
      <sheetName val="Tarifas_Enero_200912"/>
      <sheetName val="tablas_final_1°sem_200812"/>
      <sheetName val="Ranking_TV12"/>
      <sheetName val="_PIB_Brasil_(_R$_de_1996_)12"/>
      <sheetName val="Canal2_CPR_CPM12"/>
      <sheetName val="IMstrat%20replaneado_xls9"/>
      <sheetName val="IMstrat_replaneado10"/>
      <sheetName val="IMstrat_replaneado_xls9"/>
      <sheetName val="Above_Line9"/>
      <sheetName val="VIA_PUBLICA9"/>
      <sheetName val="FLOW_GENERAL11"/>
      <sheetName val="REVISTAS_SALDO11"/>
      <sheetName val="FLOW_REVISTAS11"/>
      <sheetName val="flow__pren_P_F_11"/>
      <sheetName val="PRENSA_NEGOCIADA11"/>
      <sheetName val="GM_report10"/>
      <sheetName val="Resumo_por_P9"/>
      <sheetName val="Ex_rate9"/>
      <sheetName val="NEWS_PREV9"/>
      <sheetName val="Data_Validation9"/>
      <sheetName val="RATING_SPOTEO9"/>
      <sheetName val="@RISK_Inputs9"/>
      <sheetName val="DMUU_Inputs9"/>
      <sheetName val="GSV_TON9"/>
      <sheetName val="3__DMUU9"/>
      <sheetName val="FCST_Q17"/>
      <sheetName val="Canal_057"/>
      <sheetName val="Canal_027"/>
      <sheetName val="MEDIA_PLAN_HM7"/>
      <sheetName val="Res__Mês7"/>
      <sheetName val="PAUTA_METROVALLAS7"/>
      <sheetName val="Canal2_7"/>
      <sheetName val="CDN_Income_Statement7"/>
      <sheetName val="Ranking__Tv7"/>
      <sheetName val="Pto__Azt7"/>
      <sheetName val="P&amp;L_POST_OREO7"/>
      <sheetName val="P&amp;L_H_BUNCHES7"/>
      <sheetName val="Fin_Forecast_20147"/>
      <sheetName val="Search_Plan7"/>
      <sheetName val="Portfolio_Priorities7"/>
      <sheetName val="Prev_Yrs8"/>
      <sheetName val="budget_1057"/>
      <sheetName val="Cost_Centers7"/>
      <sheetName val="Rk_Cab6"/>
      <sheetName val="#G_O_1"/>
      <sheetName val="Plan"/>
      <sheetName val="TBR_0214"/>
      <sheetName val="TBR_0314"/>
      <sheetName val="TBR_0414"/>
      <sheetName val="TBR_05_14"/>
      <sheetName val="P_Diarios_Santiago14"/>
      <sheetName val="Tarifas_Enero_200914"/>
      <sheetName val="tablas_final_1°sem_200814"/>
      <sheetName val="Ranking_TV14"/>
      <sheetName val="_PIB_Brasil_(_R$_de_1996_)14"/>
      <sheetName val="Canal2_CPR_CPM14"/>
      <sheetName val="IMstrat_replaneado12"/>
      <sheetName val="Above_Line11"/>
      <sheetName val="IMstrat%20replaneado_xls11"/>
      <sheetName val="IMstrat_replaneado_xls11"/>
      <sheetName val="VIA_PUBLICA11"/>
      <sheetName val="FLOW_GENERAL13"/>
      <sheetName val="REVISTAS_SALDO13"/>
      <sheetName val="FLOW_REVISTAS13"/>
      <sheetName val="flow__pren_P_F_13"/>
      <sheetName val="PRENSA_NEGOCIADA13"/>
      <sheetName val="GM_report12"/>
      <sheetName val="Resumo_por_P11"/>
      <sheetName val="Ex_rate11"/>
      <sheetName val="NEWS_PREV11"/>
      <sheetName val="Data_Validation11"/>
      <sheetName val="RATING_SPOTEO11"/>
      <sheetName val="@RISK_Inputs11"/>
      <sheetName val="DMUU_Inputs11"/>
      <sheetName val="GSV_TON11"/>
      <sheetName val="3__DMUU11"/>
      <sheetName val="FCST_Q19"/>
      <sheetName val="MEDIA_PLAN_HM9"/>
      <sheetName val="Res__Mês9"/>
      <sheetName val="PAUTA_METROVALLAS9"/>
      <sheetName val="Canal2_9"/>
      <sheetName val="CDN_Income_Statement9"/>
      <sheetName val="Canal_059"/>
      <sheetName val="Canal_029"/>
      <sheetName val="Ranking__Tv9"/>
      <sheetName val="Fin_Forecast_20149"/>
      <sheetName val="Pto__Azt9"/>
      <sheetName val="P&amp;L_POST_OREO9"/>
      <sheetName val="P&amp;L_H_BUNCHES9"/>
      <sheetName val="Search_Plan9"/>
      <sheetName val="Portfolio_Priorities9"/>
      <sheetName val="Prev_Yrs10"/>
      <sheetName val="budget_1059"/>
      <sheetName val="Cost_Centers9"/>
      <sheetName val="Rk_Cab8"/>
      <sheetName val="TBR_0213"/>
      <sheetName val="TBR_0313"/>
      <sheetName val="TBR_0413"/>
      <sheetName val="TBR_05_13"/>
      <sheetName val="P_Diarios_Santiago13"/>
      <sheetName val="Tarifas_Enero_200913"/>
      <sheetName val="tablas_final_1°sem_200813"/>
      <sheetName val="Ranking_TV13"/>
      <sheetName val="_PIB_Brasil_(_R$_de_1996_)13"/>
      <sheetName val="Canal2_CPR_CPM13"/>
      <sheetName val="IMstrat_replaneado11"/>
      <sheetName val="Above_Line10"/>
      <sheetName val="IMstrat%20replaneado_xls10"/>
      <sheetName val="IMstrat_replaneado_xls10"/>
      <sheetName val="VIA_PUBLICA10"/>
      <sheetName val="FLOW_GENERAL12"/>
      <sheetName val="REVISTAS_SALDO12"/>
      <sheetName val="FLOW_REVISTAS12"/>
      <sheetName val="flow__pren_P_F_12"/>
      <sheetName val="PRENSA_NEGOCIADA12"/>
      <sheetName val="GM_report11"/>
      <sheetName val="Resumo_por_P10"/>
      <sheetName val="Ex_rate10"/>
      <sheetName val="NEWS_PREV10"/>
      <sheetName val="Data_Validation10"/>
      <sheetName val="RATING_SPOTEO10"/>
      <sheetName val="@RISK_Inputs10"/>
      <sheetName val="DMUU_Inputs10"/>
      <sheetName val="GSV_TON10"/>
      <sheetName val="3__DMUU10"/>
      <sheetName val="FCST_Q18"/>
      <sheetName val="MEDIA_PLAN_HM8"/>
      <sheetName val="Res__Mês8"/>
      <sheetName val="PAUTA_METROVALLAS8"/>
      <sheetName val="Canal2_8"/>
      <sheetName val="CDN_Income_Statement8"/>
      <sheetName val="Canal_058"/>
      <sheetName val="Canal_028"/>
      <sheetName val="Ranking__Tv8"/>
      <sheetName val="Fin_Forecast_20148"/>
      <sheetName val="Pto__Azt8"/>
      <sheetName val="P&amp;L_POST_OREO8"/>
      <sheetName val="P&amp;L_H_BUNCHES8"/>
      <sheetName val="Search_Plan8"/>
      <sheetName val="Portfolio_Priorities8"/>
      <sheetName val="Prev_Yrs9"/>
      <sheetName val="budget_1058"/>
      <sheetName val="Cost_Centers8"/>
      <sheetName val="Rk_Cab7"/>
      <sheetName val="TBR_0215"/>
      <sheetName val="TBR_0315"/>
      <sheetName val="TBR_0415"/>
      <sheetName val="TBR_05_15"/>
      <sheetName val="P_Diarios_Santiago15"/>
      <sheetName val="Tarifas_Enero_200915"/>
      <sheetName val="tablas_final_1°sem_200815"/>
      <sheetName val="Ranking_TV15"/>
      <sheetName val="_PIB_Brasil_(_R$_de_1996_)15"/>
      <sheetName val="Canal2_CPR_CPM15"/>
      <sheetName val="IMstrat_replaneado13"/>
      <sheetName val="Above_Line12"/>
      <sheetName val="IMstrat%20replaneado_xls12"/>
      <sheetName val="IMstrat_replaneado_xls12"/>
      <sheetName val="VIA_PUBLICA12"/>
      <sheetName val="FLOW_GENERAL14"/>
      <sheetName val="REVISTAS_SALDO14"/>
      <sheetName val="FLOW_REVISTAS14"/>
      <sheetName val="flow__pren_P_F_14"/>
      <sheetName val="PRENSA_NEGOCIADA14"/>
      <sheetName val="GM_report13"/>
      <sheetName val="Resumo_por_P12"/>
      <sheetName val="Ex_rate12"/>
      <sheetName val="NEWS_PREV12"/>
      <sheetName val="Data_Validation12"/>
      <sheetName val="RATING_SPOTEO12"/>
      <sheetName val="@RISK_Inputs12"/>
      <sheetName val="DMUU_Inputs12"/>
      <sheetName val="GSV_TON12"/>
      <sheetName val="3__DMUU12"/>
      <sheetName val="FCST_Q110"/>
      <sheetName val="MEDIA_PLAN_HM10"/>
      <sheetName val="Res__Mês10"/>
      <sheetName val="PAUTA_METROVALLAS10"/>
      <sheetName val="Canal2_10"/>
      <sheetName val="CDN_Income_Statement10"/>
      <sheetName val="Canal_0510"/>
      <sheetName val="Canal_0210"/>
      <sheetName val="Ranking__Tv10"/>
      <sheetName val="Fin_Forecast_201410"/>
      <sheetName val="Pto__Azt10"/>
      <sheetName val="P&amp;L_POST_OREO10"/>
      <sheetName val="P&amp;L_H_BUNCHES10"/>
      <sheetName val="Search_Plan10"/>
      <sheetName val="Portfolio_Priorities10"/>
      <sheetName val="Prev_Yrs11"/>
      <sheetName val="budget_10510"/>
      <sheetName val="Cost_Centers10"/>
      <sheetName val="Rk_Cab9"/>
    </sheetNames>
    <sheetDataSet>
      <sheetData sheetId="0" refreshError="1">
        <row r="27">
          <cell r="BC27">
            <v>5354.5509999999995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 refreshError="1"/>
      <sheetData sheetId="458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s"/>
      <sheetName val="Salas 2"/>
      <sheetName val="Tablas"/>
      <sheetName val="caras"/>
      <sheetName val="Validar"/>
      <sheetName val="Caras Viejas"/>
      <sheetName val="Matriz"/>
      <sheetName val="Matriz prueba"/>
      <sheetName val="Matriz Vacia"/>
      <sheetName val="Matriz Vacia ex"/>
      <sheetName val="CabFact"/>
      <sheetName val="DetFact"/>
      <sheetName val="CttSitios"/>
      <sheetName val="CPro"/>
      <sheetName val="24-01-07 CLARO  Refugios Bonifi"/>
      <sheetName val="P_Diarios Santiago"/>
      <sheetName val="Sheet1"/>
    </sheetNames>
    <sheetDataSet>
      <sheetData sheetId="0"/>
      <sheetData sheetId="1"/>
      <sheetData sheetId="2"/>
      <sheetData sheetId="3">
        <row r="2">
          <cell r="A2" t="str">
            <v>SCL 0152B</v>
          </cell>
          <cell r="B2" t="str">
            <v>Aeropuerto</v>
          </cell>
          <cell r="D2" t="str">
            <v>Totem</v>
          </cell>
          <cell r="E2" t="str">
            <v>TOTEM SEÑALETICA</v>
          </cell>
          <cell r="I2" t="str">
            <v>INTERIOR PASILLO</v>
          </cell>
          <cell r="L2">
            <v>300000</v>
          </cell>
          <cell r="M2" t="str">
            <v>AEROPUERTO INTERNACIONAL ARTURO MERINO B</v>
          </cell>
          <cell r="P2" t="str">
            <v>PUDAHUEL</v>
          </cell>
          <cell r="Q2" t="str">
            <v>TRADICIONAL</v>
          </cell>
          <cell r="R2" t="str">
            <v>Aeropuerto - Santiago</v>
          </cell>
          <cell r="S2" t="str">
            <v>SCL</v>
          </cell>
          <cell r="T2" t="str">
            <v>Totem</v>
          </cell>
          <cell r="U2">
            <v>1</v>
          </cell>
          <cell r="V2" t="str">
            <v>NA</v>
          </cell>
        </row>
        <row r="3">
          <cell r="A3" t="str">
            <v>SCL 0180A</v>
          </cell>
          <cell r="B3" t="str">
            <v>Aeropuerto</v>
          </cell>
          <cell r="D3" t="str">
            <v>P.E.: PROMOTORA</v>
          </cell>
          <cell r="E3" t="str">
            <v>PROMOTORA</v>
          </cell>
          <cell r="F3" t="str">
            <v>NA</v>
          </cell>
          <cell r="G3" t="str">
            <v>NA</v>
          </cell>
          <cell r="I3" t="str">
            <v>INTERIORES</v>
          </cell>
          <cell r="L3">
            <v>0</v>
          </cell>
          <cell r="M3" t="str">
            <v>AEROPUERTO INTERNACIONAL ARTURO MERINO B</v>
          </cell>
          <cell r="P3" t="str">
            <v>PUDAHUEL</v>
          </cell>
          <cell r="Q3" t="str">
            <v>ESPECIAL</v>
          </cell>
          <cell r="R3" t="str">
            <v>Aeropuerto - Santiago</v>
          </cell>
          <cell r="S3" t="str">
            <v>SCL</v>
          </cell>
          <cell r="T3" t="str">
            <v>Especiales Permanentes</v>
          </cell>
          <cell r="U3">
            <v>1</v>
          </cell>
          <cell r="V3" t="str">
            <v>NA</v>
          </cell>
        </row>
        <row r="4">
          <cell r="A4" t="str">
            <v>SCL 0180B</v>
          </cell>
          <cell r="B4" t="str">
            <v>Aeropuerto</v>
          </cell>
          <cell r="D4" t="str">
            <v>P.E.: PROMOTORA</v>
          </cell>
          <cell r="E4" t="str">
            <v>PROMOTORA</v>
          </cell>
          <cell r="F4" t="str">
            <v>NA</v>
          </cell>
          <cell r="G4" t="str">
            <v>NA</v>
          </cell>
          <cell r="L4">
            <v>0</v>
          </cell>
          <cell r="M4" t="str">
            <v>AEROPUERTO INTERNACIONAL ARTURO MERINO B</v>
          </cell>
          <cell r="P4" t="str">
            <v>PUDAHUEL</v>
          </cell>
          <cell r="Q4" t="str">
            <v>ESPECIAL</v>
          </cell>
          <cell r="R4" t="str">
            <v>Aeropuerto - Santiago</v>
          </cell>
          <cell r="S4" t="str">
            <v>SCL</v>
          </cell>
          <cell r="T4" t="str">
            <v>Especiales Permanentes</v>
          </cell>
          <cell r="U4">
            <v>1</v>
          </cell>
          <cell r="V4" t="str">
            <v>NA</v>
          </cell>
        </row>
        <row r="5">
          <cell r="A5" t="str">
            <v>SCL 0180C</v>
          </cell>
          <cell r="B5" t="str">
            <v>Aeropuerto</v>
          </cell>
          <cell r="D5" t="str">
            <v>P.E.: PROMOTORA</v>
          </cell>
          <cell r="E5" t="str">
            <v>PROMOTORA</v>
          </cell>
          <cell r="F5" t="str">
            <v>NA</v>
          </cell>
          <cell r="G5" t="str">
            <v>NA</v>
          </cell>
          <cell r="I5" t="str">
            <v>INTERIORES</v>
          </cell>
          <cell r="L5">
            <v>0</v>
          </cell>
          <cell r="M5" t="str">
            <v>AEROPUERTO INTERNACIONAL ARTURO MERINO B</v>
          </cell>
          <cell r="P5" t="str">
            <v>PUDAHUEL</v>
          </cell>
          <cell r="Q5" t="str">
            <v>ESPECIAL</v>
          </cell>
          <cell r="R5" t="str">
            <v>Aeropuerto - Santiago</v>
          </cell>
          <cell r="S5" t="str">
            <v>SCL</v>
          </cell>
          <cell r="T5" t="str">
            <v>Especiales Permanentes</v>
          </cell>
          <cell r="U5">
            <v>1</v>
          </cell>
          <cell r="V5" t="str">
            <v>NA</v>
          </cell>
        </row>
        <row r="6">
          <cell r="A6" t="str">
            <v>SCL 0180D</v>
          </cell>
          <cell r="B6" t="str">
            <v>Aeropuerto</v>
          </cell>
          <cell r="D6" t="str">
            <v>P.E.: PROMOTORA</v>
          </cell>
          <cell r="E6" t="str">
            <v>PROMOTORA</v>
          </cell>
          <cell r="F6" t="str">
            <v>NA</v>
          </cell>
          <cell r="G6" t="str">
            <v>NA</v>
          </cell>
          <cell r="I6" t="str">
            <v>INTERIORES</v>
          </cell>
          <cell r="L6">
            <v>0</v>
          </cell>
          <cell r="M6" t="str">
            <v>AEROPUERTO INTERNACIONAL ARTURO MERINO B</v>
          </cell>
          <cell r="P6" t="str">
            <v>PUDAHUEL</v>
          </cell>
          <cell r="Q6" t="str">
            <v>ESPECIAL</v>
          </cell>
          <cell r="R6" t="str">
            <v>Aeropuerto - Santiago</v>
          </cell>
          <cell r="S6" t="str">
            <v>SCL</v>
          </cell>
          <cell r="T6" t="str">
            <v>Especiales Permanentes</v>
          </cell>
          <cell r="U6">
            <v>1</v>
          </cell>
          <cell r="V6" t="str">
            <v>NA</v>
          </cell>
        </row>
        <row r="7">
          <cell r="A7" t="str">
            <v>SCL 0180E</v>
          </cell>
          <cell r="B7" t="str">
            <v>Aeropuerto</v>
          </cell>
          <cell r="D7" t="str">
            <v>P.E.: PROMOTORA</v>
          </cell>
          <cell r="E7" t="str">
            <v>PROMOTORA</v>
          </cell>
          <cell r="F7" t="str">
            <v>NA</v>
          </cell>
          <cell r="G7" t="str">
            <v>NA</v>
          </cell>
          <cell r="I7" t="str">
            <v>INTERIORES</v>
          </cell>
          <cell r="L7">
            <v>0</v>
          </cell>
          <cell r="M7" t="str">
            <v>AEROPUERTO INTERNACIONAL ARTURO MERINO B</v>
          </cell>
          <cell r="P7" t="str">
            <v>PUDAHUEL</v>
          </cell>
          <cell r="Q7" t="str">
            <v>ESPECIAL</v>
          </cell>
          <cell r="R7" t="str">
            <v>Aeropuerto - Santiago</v>
          </cell>
          <cell r="S7" t="str">
            <v>SCL</v>
          </cell>
          <cell r="T7" t="str">
            <v>Especiales Permanentes</v>
          </cell>
          <cell r="U7">
            <v>1</v>
          </cell>
          <cell r="V7" t="str">
            <v>NA</v>
          </cell>
        </row>
        <row r="8">
          <cell r="A8" t="str">
            <v>SCL 0180F</v>
          </cell>
          <cell r="B8" t="str">
            <v>Aeropuerto</v>
          </cell>
          <cell r="D8" t="str">
            <v>P.E.: PROMOTORA</v>
          </cell>
          <cell r="E8" t="str">
            <v>PROMOTORA</v>
          </cell>
          <cell r="F8" t="str">
            <v>NA</v>
          </cell>
          <cell r="G8" t="str">
            <v>NA</v>
          </cell>
          <cell r="I8" t="str">
            <v>INTERIORES</v>
          </cell>
          <cell r="L8">
            <v>0</v>
          </cell>
          <cell r="M8" t="str">
            <v>AEROPUERTO INTERNACIONAL ARTURO MERINO B</v>
          </cell>
          <cell r="P8" t="str">
            <v>PUDAHUEL</v>
          </cell>
          <cell r="Q8" t="str">
            <v>ESPECIAL</v>
          </cell>
          <cell r="R8" t="str">
            <v>Aeropuerto - Santiago</v>
          </cell>
          <cell r="S8" t="str">
            <v>SCL</v>
          </cell>
          <cell r="T8" t="str">
            <v>Especiales Permanentes</v>
          </cell>
          <cell r="U8">
            <v>1</v>
          </cell>
          <cell r="V8" t="str">
            <v>NA</v>
          </cell>
        </row>
        <row r="9">
          <cell r="A9" t="str">
            <v>SCL 0180G</v>
          </cell>
          <cell r="B9" t="str">
            <v>Aeropuerto</v>
          </cell>
          <cell r="D9" t="str">
            <v>P.E.: PROMOTORA</v>
          </cell>
          <cell r="E9" t="str">
            <v>PROMOTORA</v>
          </cell>
          <cell r="F9" t="str">
            <v>NA</v>
          </cell>
          <cell r="G9" t="str">
            <v>NA</v>
          </cell>
          <cell r="I9" t="str">
            <v>INTERIORES</v>
          </cell>
          <cell r="L9">
            <v>0</v>
          </cell>
          <cell r="M9" t="str">
            <v>AEROPUERTO INTERNACIONAL ARTURO MERINO B</v>
          </cell>
          <cell r="P9" t="str">
            <v>PUDAHUEL</v>
          </cell>
          <cell r="Q9" t="str">
            <v>ESPECIAL</v>
          </cell>
          <cell r="R9" t="str">
            <v>Aeropuerto - Santiago</v>
          </cell>
          <cell r="S9" t="str">
            <v>SCL</v>
          </cell>
          <cell r="T9" t="str">
            <v>Especiales Permanentes</v>
          </cell>
          <cell r="U9">
            <v>1</v>
          </cell>
          <cell r="V9" t="str">
            <v>NA</v>
          </cell>
        </row>
        <row r="10">
          <cell r="A10" t="str">
            <v>SCL 0180H</v>
          </cell>
          <cell r="B10" t="str">
            <v>Aeropuerto</v>
          </cell>
          <cell r="D10" t="str">
            <v>P.E.: PROMOTORA</v>
          </cell>
          <cell r="E10" t="str">
            <v>PROMOTORA</v>
          </cell>
          <cell r="F10" t="str">
            <v>NA</v>
          </cell>
          <cell r="G10" t="str">
            <v>NA</v>
          </cell>
          <cell r="I10" t="str">
            <v>INTERIORES</v>
          </cell>
          <cell r="L10">
            <v>0</v>
          </cell>
          <cell r="M10" t="str">
            <v>AEROPUERTO INTERNACIONAL ARTURO MERINO B</v>
          </cell>
          <cell r="P10" t="str">
            <v>PUDAHUEL</v>
          </cell>
          <cell r="Q10" t="str">
            <v>ESPECIAL</v>
          </cell>
          <cell r="R10" t="str">
            <v>Aeropuerto - Santiago</v>
          </cell>
          <cell r="S10" t="str">
            <v>SCL</v>
          </cell>
          <cell r="T10" t="str">
            <v>Especiales Permanentes</v>
          </cell>
          <cell r="U10">
            <v>1</v>
          </cell>
          <cell r="V10" t="str">
            <v>NA</v>
          </cell>
        </row>
        <row r="11">
          <cell r="A11" t="str">
            <v>SCL 0180I</v>
          </cell>
          <cell r="B11" t="str">
            <v>Aeropuerto</v>
          </cell>
          <cell r="D11" t="str">
            <v>P.E.: PROMOTORA</v>
          </cell>
          <cell r="E11" t="str">
            <v>PROMOTORA</v>
          </cell>
          <cell r="F11" t="str">
            <v>NA</v>
          </cell>
          <cell r="G11" t="str">
            <v>NA</v>
          </cell>
          <cell r="I11" t="str">
            <v>INTERIORES</v>
          </cell>
          <cell r="L11">
            <v>0</v>
          </cell>
          <cell r="M11" t="str">
            <v>AEROPUERTO INTERNACIONAL ARTURO MERINO B</v>
          </cell>
          <cell r="P11" t="str">
            <v>PUDAHUEL</v>
          </cell>
          <cell r="Q11" t="str">
            <v>ESPECIAL</v>
          </cell>
          <cell r="R11" t="str">
            <v>Aeropuerto - Santiago</v>
          </cell>
          <cell r="S11" t="str">
            <v>SCL</v>
          </cell>
          <cell r="T11" t="str">
            <v>Especiales Permanentes</v>
          </cell>
          <cell r="U11">
            <v>1</v>
          </cell>
          <cell r="V11" t="str">
            <v>NA</v>
          </cell>
        </row>
        <row r="12">
          <cell r="A12" t="str">
            <v>SCL 0180J</v>
          </cell>
          <cell r="B12" t="str">
            <v>Aeropuerto</v>
          </cell>
          <cell r="D12" t="str">
            <v>P.E.: PROMOTORA</v>
          </cell>
          <cell r="E12" t="str">
            <v>PROMOTORA</v>
          </cell>
          <cell r="F12" t="str">
            <v>NA</v>
          </cell>
          <cell r="G12" t="str">
            <v>NA</v>
          </cell>
          <cell r="I12" t="str">
            <v>INTERIORES</v>
          </cell>
          <cell r="L12">
            <v>0</v>
          </cell>
          <cell r="M12" t="str">
            <v>AEROPUERTO INTERNACIONAL ARTURO MERINO B</v>
          </cell>
          <cell r="P12" t="str">
            <v>PUDAHUEL</v>
          </cell>
          <cell r="Q12" t="str">
            <v>ESPECIAL</v>
          </cell>
          <cell r="R12" t="str">
            <v>Aeropuerto - Santiago</v>
          </cell>
          <cell r="S12" t="str">
            <v>SCL</v>
          </cell>
          <cell r="T12" t="str">
            <v>Especiales Permanentes</v>
          </cell>
          <cell r="U12">
            <v>1</v>
          </cell>
          <cell r="V12" t="str">
            <v>NA</v>
          </cell>
        </row>
        <row r="13">
          <cell r="A13" t="str">
            <v>SCL 0187A</v>
          </cell>
          <cell r="B13" t="str">
            <v>Aeropuerto</v>
          </cell>
          <cell r="D13" t="str">
            <v>Cajas de luz</v>
          </cell>
          <cell r="E13" t="str">
            <v>Cajas de luz</v>
          </cell>
          <cell r="F13" t="str">
            <v>2.59 * 2.44</v>
          </cell>
          <cell r="G13" t="str">
            <v>2.79 * 2.64</v>
          </cell>
          <cell r="L13">
            <v>2500000</v>
          </cell>
          <cell r="M13" t="str">
            <v>AEROPUERTO INTERNACIONAL ARTURO MERINO B</v>
          </cell>
          <cell r="P13" t="str">
            <v>PUDAHUEL</v>
          </cell>
          <cell r="Q13" t="str">
            <v>TRADICIONAL</v>
          </cell>
          <cell r="R13" t="str">
            <v>Aeropuerto - Santiago</v>
          </cell>
          <cell r="S13" t="str">
            <v>SCL</v>
          </cell>
          <cell r="T13" t="str">
            <v>Cajas de luz</v>
          </cell>
          <cell r="U13">
            <v>1</v>
          </cell>
          <cell r="V13" t="str">
            <v>2.59 * 2.44</v>
          </cell>
        </row>
        <row r="14">
          <cell r="A14" t="str">
            <v>SCL 0188A</v>
          </cell>
          <cell r="B14" t="str">
            <v>Aeropuerto</v>
          </cell>
          <cell r="D14" t="str">
            <v>Cajas de luz</v>
          </cell>
          <cell r="E14" t="str">
            <v>Cajas de luz circular</v>
          </cell>
          <cell r="F14" t="str">
            <v>2.25 * 0.77</v>
          </cell>
          <cell r="G14" t="str">
            <v>2.55 * 1.07</v>
          </cell>
          <cell r="L14">
            <v>1800000</v>
          </cell>
          <cell r="M14" t="str">
            <v>AEROPUERTO INTERNACIONAL ARTURO MERINO B</v>
          </cell>
          <cell r="P14" t="str">
            <v>PUDAHUEL</v>
          </cell>
          <cell r="Q14" t="str">
            <v>TRADICIONAL</v>
          </cell>
          <cell r="R14" t="str">
            <v>Aeropuerto - Santiago</v>
          </cell>
          <cell r="S14" t="str">
            <v>SCL</v>
          </cell>
          <cell r="T14" t="str">
            <v>Cajas de luz</v>
          </cell>
          <cell r="U14">
            <v>1</v>
          </cell>
          <cell r="V14" t="str">
            <v>2.25 * 0.77</v>
          </cell>
        </row>
        <row r="15">
          <cell r="A15" t="str">
            <v>SCL 0189A</v>
          </cell>
          <cell r="B15" t="str">
            <v>Aeropuerto</v>
          </cell>
          <cell r="D15" t="str">
            <v>P.E.: LOTE 20 LUNETAS WINDOW VISION</v>
          </cell>
          <cell r="E15" t="str">
            <v>LOTE 20 LUNETAS WINDOW VISION</v>
          </cell>
          <cell r="F15" t="str">
            <v>Ver Ficha</v>
          </cell>
          <cell r="G15" t="str">
            <v>Ver Ficha</v>
          </cell>
          <cell r="I15" t="str">
            <v>EXTERIORES</v>
          </cell>
          <cell r="J15">
            <v>83840</v>
          </cell>
          <cell r="L15">
            <v>1600000</v>
          </cell>
          <cell r="M15" t="str">
            <v>AEROPUERTO INTERNACIONAL ARTURO MERINO B</v>
          </cell>
          <cell r="P15" t="str">
            <v>PUDAHUEL</v>
          </cell>
          <cell r="Q15" t="str">
            <v>ESPECIAL</v>
          </cell>
          <cell r="R15" t="str">
            <v>Aeropuerto - Santiago</v>
          </cell>
          <cell r="S15" t="str">
            <v>SCL</v>
          </cell>
          <cell r="T15" t="str">
            <v>Especiales Permanentes</v>
          </cell>
          <cell r="U15">
            <v>20</v>
          </cell>
          <cell r="V15" t="str">
            <v>NA</v>
          </cell>
        </row>
        <row r="16">
          <cell r="A16" t="str">
            <v>SCL 0191A</v>
          </cell>
          <cell r="B16" t="str">
            <v>Aeropuerto</v>
          </cell>
          <cell r="D16" t="str">
            <v>P.E.: CUBO  ACCESO</v>
          </cell>
          <cell r="E16" t="str">
            <v>CUBO  ACCESO</v>
          </cell>
          <cell r="F16" t="str">
            <v>Ver ficha</v>
          </cell>
          <cell r="G16" t="str">
            <v>Ver ficha</v>
          </cell>
          <cell r="I16" t="str">
            <v>Acceso al termin</v>
          </cell>
          <cell r="J16">
            <v>1000000</v>
          </cell>
          <cell r="L16">
            <v>2000000</v>
          </cell>
          <cell r="M16" t="str">
            <v>AEROPUERTO INTERNACIONAL ARTURO MERINO B</v>
          </cell>
          <cell r="P16" t="str">
            <v>PUDAHUEL</v>
          </cell>
          <cell r="Q16" t="str">
            <v>ESPECIAL</v>
          </cell>
          <cell r="R16" t="str">
            <v>Aeropuerto - Santiago</v>
          </cell>
          <cell r="S16" t="str">
            <v>SCL</v>
          </cell>
          <cell r="T16" t="str">
            <v>Productos Especiales</v>
          </cell>
          <cell r="U16">
            <v>1</v>
          </cell>
          <cell r="V16" t="str">
            <v>NA</v>
          </cell>
        </row>
        <row r="17">
          <cell r="A17" t="str">
            <v>SCL 0191B</v>
          </cell>
          <cell r="B17" t="str">
            <v>Aeropuerto</v>
          </cell>
          <cell r="D17" t="str">
            <v>P.E.: CUBO  ACCESO</v>
          </cell>
          <cell r="E17" t="str">
            <v>CUBO  ACCESO</v>
          </cell>
          <cell r="F17" t="str">
            <v>Ver ficha</v>
          </cell>
          <cell r="G17" t="str">
            <v>Ver ficha</v>
          </cell>
          <cell r="J17">
            <v>1000000</v>
          </cell>
          <cell r="L17">
            <v>2000000</v>
          </cell>
          <cell r="M17" t="str">
            <v>AEROPUERTO INTERNACIONAL ARTURO MERINO B</v>
          </cell>
          <cell r="P17" t="str">
            <v>PUDAHUEL</v>
          </cell>
          <cell r="Q17" t="str">
            <v>ESPECIAL</v>
          </cell>
          <cell r="R17" t="str">
            <v>Aeropuerto - Santiago</v>
          </cell>
          <cell r="S17" t="str">
            <v>SCL</v>
          </cell>
          <cell r="T17" t="str">
            <v>Productos Especiales</v>
          </cell>
          <cell r="U17">
            <v>1</v>
          </cell>
          <cell r="V17" t="str">
            <v>NA</v>
          </cell>
        </row>
        <row r="18">
          <cell r="A18" t="str">
            <v>SCL 0191C</v>
          </cell>
          <cell r="B18" t="str">
            <v>Aeropuerto</v>
          </cell>
          <cell r="D18" t="str">
            <v>P.E.: CUBO  ACCESO</v>
          </cell>
          <cell r="E18" t="str">
            <v>CUBO  ACCESO</v>
          </cell>
          <cell r="F18" t="str">
            <v>Ver ficha</v>
          </cell>
          <cell r="G18" t="str">
            <v>Ver ficha</v>
          </cell>
          <cell r="I18" t="str">
            <v>Acceso terminal</v>
          </cell>
          <cell r="J18">
            <v>1000000</v>
          </cell>
          <cell r="L18">
            <v>2000000</v>
          </cell>
          <cell r="M18" t="str">
            <v>AEROPUERTO INTERNACIONAL ARTURO MERINO B</v>
          </cell>
          <cell r="P18" t="str">
            <v>PUDAHUEL</v>
          </cell>
          <cell r="Q18" t="str">
            <v>ESPECIAL</v>
          </cell>
          <cell r="R18" t="str">
            <v>Aeropuerto - Santiago</v>
          </cell>
          <cell r="S18" t="str">
            <v>SCL</v>
          </cell>
          <cell r="T18" t="str">
            <v>Productos Especiales</v>
          </cell>
          <cell r="U18">
            <v>1</v>
          </cell>
          <cell r="V18" t="str">
            <v>NA</v>
          </cell>
        </row>
        <row r="19">
          <cell r="A19" t="str">
            <v>SCL 0191D</v>
          </cell>
          <cell r="B19" t="str">
            <v>Aeropuerto</v>
          </cell>
          <cell r="D19" t="str">
            <v>P.E.: CUBO  ACCESO</v>
          </cell>
          <cell r="E19" t="str">
            <v>CUBO  ACCESO</v>
          </cell>
          <cell r="F19" t="str">
            <v>Ver ficha</v>
          </cell>
          <cell r="G19" t="str">
            <v>Ver ficha</v>
          </cell>
          <cell r="I19" t="str">
            <v>Acceso terminal</v>
          </cell>
          <cell r="J19">
            <v>1000000</v>
          </cell>
          <cell r="L19">
            <v>2000000</v>
          </cell>
          <cell r="M19" t="str">
            <v>AEROPUERTO INTERNACIONAL ARTURO MERINO B</v>
          </cell>
          <cell r="P19" t="str">
            <v>PUDAHUEL</v>
          </cell>
          <cell r="Q19" t="str">
            <v>ESPECIAL</v>
          </cell>
          <cell r="R19" t="str">
            <v>Aeropuerto - Santiago</v>
          </cell>
          <cell r="S19" t="str">
            <v>SCL</v>
          </cell>
          <cell r="T19" t="str">
            <v>Productos Especiales</v>
          </cell>
          <cell r="U19">
            <v>1</v>
          </cell>
          <cell r="V19" t="str">
            <v>NA</v>
          </cell>
        </row>
        <row r="20">
          <cell r="A20" t="str">
            <v>SCL 0191E</v>
          </cell>
          <cell r="B20" t="str">
            <v>Aeropuerto</v>
          </cell>
          <cell r="D20" t="str">
            <v>P.E.: CUBO  ACCESO</v>
          </cell>
          <cell r="E20" t="str">
            <v>CUBO  ACCESO</v>
          </cell>
          <cell r="F20" t="str">
            <v>Ver ficha</v>
          </cell>
          <cell r="G20" t="str">
            <v>Ver ficha</v>
          </cell>
          <cell r="J20">
            <v>1000000</v>
          </cell>
          <cell r="L20">
            <v>2000000</v>
          </cell>
          <cell r="M20" t="str">
            <v>AEROPUERTO INTERNACIONAL ARTURO MERINO B</v>
          </cell>
          <cell r="P20" t="str">
            <v>PUDAHUEL</v>
          </cell>
          <cell r="Q20" t="str">
            <v>ESPECIAL</v>
          </cell>
          <cell r="R20" t="str">
            <v>Aeropuerto - Santiago</v>
          </cell>
          <cell r="S20" t="str">
            <v>SCL</v>
          </cell>
          <cell r="T20" t="str">
            <v>Productos Especiales</v>
          </cell>
          <cell r="U20">
            <v>1</v>
          </cell>
          <cell r="V20" t="str">
            <v>NA</v>
          </cell>
        </row>
        <row r="21">
          <cell r="A21" t="str">
            <v>SCL 0191F</v>
          </cell>
          <cell r="B21" t="str">
            <v>Aeropuerto</v>
          </cell>
          <cell r="D21" t="str">
            <v>P.E.: CUBO  ACCESO</v>
          </cell>
          <cell r="E21" t="str">
            <v>CUBO  ACCESO</v>
          </cell>
          <cell r="F21" t="str">
            <v>Ver ficha</v>
          </cell>
          <cell r="G21" t="str">
            <v>Ver ficha</v>
          </cell>
          <cell r="I21" t="str">
            <v>Acceso terminal</v>
          </cell>
          <cell r="J21">
            <v>1000000</v>
          </cell>
          <cell r="L21">
            <v>2000000</v>
          </cell>
          <cell r="M21" t="str">
            <v>AEROPUERTO INTERNACIONAL ARTURO MERINO B</v>
          </cell>
          <cell r="P21" t="str">
            <v>PUDAHUEL</v>
          </cell>
          <cell r="Q21" t="str">
            <v>ESPECIAL</v>
          </cell>
          <cell r="R21" t="str">
            <v>Aeropuerto - Santiago</v>
          </cell>
          <cell r="S21" t="str">
            <v>SCL</v>
          </cell>
          <cell r="T21" t="str">
            <v>Productos Especiales</v>
          </cell>
          <cell r="U21">
            <v>1</v>
          </cell>
          <cell r="V21" t="str">
            <v>NA</v>
          </cell>
        </row>
        <row r="22">
          <cell r="A22" t="str">
            <v>SCL 0001A</v>
          </cell>
          <cell r="B22" t="str">
            <v>Aeropuerto</v>
          </cell>
          <cell r="D22" t="str">
            <v>Cajas de luz</v>
          </cell>
          <cell r="E22" t="str">
            <v>Cajas de luz</v>
          </cell>
          <cell r="F22" t="str">
            <v>3.90 * 2.00</v>
          </cell>
          <cell r="G22" t="str">
            <v>4.20 * 2.30</v>
          </cell>
          <cell r="H22" t="str">
            <v>X</v>
          </cell>
          <cell r="I22" t="str">
            <v>EXTERIORES</v>
          </cell>
          <cell r="J22">
            <v>0</v>
          </cell>
          <cell r="K22">
            <v>0</v>
          </cell>
          <cell r="L22">
            <v>1500000</v>
          </cell>
          <cell r="M22" t="str">
            <v>AEROPUERTO INTERNACIONAL ARTURO MERINO B</v>
          </cell>
          <cell r="P22" t="str">
            <v>PUDAHUEL</v>
          </cell>
          <cell r="Q22" t="str">
            <v>TRADICIONAL</v>
          </cell>
          <cell r="R22" t="str">
            <v>Aeropuerto - Santiago</v>
          </cell>
          <cell r="S22" t="str">
            <v>SCL</v>
          </cell>
          <cell r="T22" t="str">
            <v>Cajas de luz</v>
          </cell>
          <cell r="U22">
            <v>1</v>
          </cell>
          <cell r="V22" t="str">
            <v>3.90 * 2.00</v>
          </cell>
        </row>
        <row r="23">
          <cell r="A23" t="str">
            <v>SCL 0001B</v>
          </cell>
          <cell r="B23" t="str">
            <v>Aeropuerto</v>
          </cell>
          <cell r="D23" t="str">
            <v>Cajas de luz</v>
          </cell>
          <cell r="E23" t="str">
            <v>Cajas de luz</v>
          </cell>
          <cell r="F23" t="str">
            <v>3.90 * 2.00</v>
          </cell>
          <cell r="G23" t="str">
            <v>4.20 * 2.30</v>
          </cell>
          <cell r="H23" t="str">
            <v>X</v>
          </cell>
          <cell r="I23" t="str">
            <v>EXTERIORES</v>
          </cell>
          <cell r="J23">
            <v>0</v>
          </cell>
          <cell r="K23">
            <v>0</v>
          </cell>
          <cell r="L23">
            <v>1500000</v>
          </cell>
          <cell r="M23" t="str">
            <v>AEROPUERTO INTERNACIONAL ARTURO MERINO B</v>
          </cell>
          <cell r="P23" t="str">
            <v>PUDAHUEL</v>
          </cell>
          <cell r="Q23" t="str">
            <v>TRADICIONAL</v>
          </cell>
          <cell r="R23" t="str">
            <v>Aeropuerto - Santiago</v>
          </cell>
          <cell r="S23" t="str">
            <v>SCL</v>
          </cell>
          <cell r="T23" t="str">
            <v>Cajas de luz</v>
          </cell>
          <cell r="U23">
            <v>1</v>
          </cell>
          <cell r="V23" t="str">
            <v>3.90 * 2.00</v>
          </cell>
        </row>
        <row r="24">
          <cell r="A24" t="str">
            <v>SCL 0002A</v>
          </cell>
          <cell r="B24" t="str">
            <v>Aeropuerto</v>
          </cell>
          <cell r="D24" t="str">
            <v>Cajas de luz</v>
          </cell>
          <cell r="E24" t="str">
            <v>Cajas de luz</v>
          </cell>
          <cell r="F24" t="str">
            <v>3.88 * 2.00</v>
          </cell>
          <cell r="G24" t="str">
            <v>4.18 * 2.30</v>
          </cell>
          <cell r="H24" t="str">
            <v>X</v>
          </cell>
          <cell r="I24" t="str">
            <v>EXTERIORES</v>
          </cell>
          <cell r="J24">
            <v>0</v>
          </cell>
          <cell r="K24">
            <v>0</v>
          </cell>
          <cell r="L24">
            <v>1500000</v>
          </cell>
          <cell r="M24" t="str">
            <v>AEROPUERTO INTERNACIONAL ARTURO MERINO B</v>
          </cell>
          <cell r="P24" t="str">
            <v>PUDAHUEL</v>
          </cell>
          <cell r="Q24" t="str">
            <v>TRADICIONAL</v>
          </cell>
          <cell r="R24" t="str">
            <v>Aeropuerto - Santiago</v>
          </cell>
          <cell r="S24" t="str">
            <v>SCL</v>
          </cell>
          <cell r="T24" t="str">
            <v>Cajas de luz</v>
          </cell>
          <cell r="U24">
            <v>1</v>
          </cell>
          <cell r="V24" t="str">
            <v>3.88 * 2.00</v>
          </cell>
        </row>
        <row r="25">
          <cell r="A25" t="str">
            <v>SCL 0002B</v>
          </cell>
          <cell r="B25" t="str">
            <v>Aeropuerto</v>
          </cell>
          <cell r="D25" t="str">
            <v>Cajas de luz</v>
          </cell>
          <cell r="E25" t="str">
            <v>Cajas de luz</v>
          </cell>
          <cell r="F25" t="str">
            <v>3.88 * 2.00</v>
          </cell>
          <cell r="G25" t="str">
            <v>4.18 * 2.30</v>
          </cell>
          <cell r="H25" t="str">
            <v>X</v>
          </cell>
          <cell r="I25" t="str">
            <v>EXTERIORES</v>
          </cell>
          <cell r="J25">
            <v>0</v>
          </cell>
          <cell r="K25">
            <v>0</v>
          </cell>
          <cell r="L25">
            <v>1500000</v>
          </cell>
          <cell r="M25" t="str">
            <v>AEROPUERTO INTERNACIONAL ARTURO MERINO B</v>
          </cell>
          <cell r="P25" t="str">
            <v>PUDAHUEL</v>
          </cell>
          <cell r="Q25" t="str">
            <v>TRADICIONAL</v>
          </cell>
          <cell r="R25" t="str">
            <v>Aeropuerto - Santiago</v>
          </cell>
          <cell r="S25" t="str">
            <v>SCL</v>
          </cell>
          <cell r="T25" t="str">
            <v>Cajas de luz</v>
          </cell>
          <cell r="U25">
            <v>1</v>
          </cell>
          <cell r="V25" t="str">
            <v>3.88 * 2.00</v>
          </cell>
        </row>
        <row r="26">
          <cell r="A26" t="str">
            <v>SCL 0003A</v>
          </cell>
          <cell r="B26" t="str">
            <v>Aeropuerto</v>
          </cell>
          <cell r="D26" t="str">
            <v>Cajas de luz</v>
          </cell>
          <cell r="E26" t="str">
            <v>Cajas de luz</v>
          </cell>
          <cell r="F26" t="str">
            <v>3.88 * 2.00</v>
          </cell>
          <cell r="G26" t="str">
            <v>4.18 * 2.30</v>
          </cell>
          <cell r="H26" t="str">
            <v>X</v>
          </cell>
          <cell r="I26" t="str">
            <v>EXTERIORES</v>
          </cell>
          <cell r="J26">
            <v>0</v>
          </cell>
          <cell r="K26">
            <v>0</v>
          </cell>
          <cell r="L26">
            <v>1500000</v>
          </cell>
          <cell r="M26" t="str">
            <v>AEROPUERTO INTERNACIONAL ARTURO MERINO B</v>
          </cell>
          <cell r="P26" t="str">
            <v>PUDAHUEL</v>
          </cell>
          <cell r="Q26" t="str">
            <v>TRADICIONAL</v>
          </cell>
          <cell r="R26" t="str">
            <v>Aeropuerto - Santiago</v>
          </cell>
          <cell r="S26" t="str">
            <v>SCL</v>
          </cell>
          <cell r="T26" t="str">
            <v>Cajas de luz</v>
          </cell>
          <cell r="U26">
            <v>1</v>
          </cell>
          <cell r="V26" t="str">
            <v>3.88 * 2.00</v>
          </cell>
        </row>
        <row r="27">
          <cell r="A27" t="str">
            <v>SCL 0003B</v>
          </cell>
          <cell r="B27" t="str">
            <v>Aeropuerto</v>
          </cell>
          <cell r="D27" t="str">
            <v>Cajas de luz</v>
          </cell>
          <cell r="E27" t="str">
            <v>Cajas de luz</v>
          </cell>
          <cell r="F27" t="str">
            <v>3.88 * 2.00</v>
          </cell>
          <cell r="G27" t="str">
            <v>4.18 * 2.30</v>
          </cell>
          <cell r="H27" t="str">
            <v>X</v>
          </cell>
          <cell r="I27" t="str">
            <v>EXTERIORES</v>
          </cell>
          <cell r="J27">
            <v>0</v>
          </cell>
          <cell r="K27">
            <v>0</v>
          </cell>
          <cell r="L27">
            <v>1500000</v>
          </cell>
          <cell r="M27" t="str">
            <v>AEROPUERTO INTERNACIONAL ARTURO MERINO B</v>
          </cell>
          <cell r="P27" t="str">
            <v>PUDAHUEL</v>
          </cell>
          <cell r="Q27" t="str">
            <v>TRADICIONAL</v>
          </cell>
          <cell r="R27" t="str">
            <v>Aeropuerto - Santiago</v>
          </cell>
          <cell r="S27" t="str">
            <v>SCL</v>
          </cell>
          <cell r="T27" t="str">
            <v>Cajas de luz</v>
          </cell>
          <cell r="U27">
            <v>1</v>
          </cell>
          <cell r="V27" t="str">
            <v>3.88 * 2.00</v>
          </cell>
        </row>
        <row r="28">
          <cell r="A28" t="str">
            <v>SCL 0004A</v>
          </cell>
          <cell r="B28" t="str">
            <v>Aeropuerto</v>
          </cell>
          <cell r="D28" t="str">
            <v>Cajas de luz</v>
          </cell>
          <cell r="E28" t="str">
            <v>Cajas de luz</v>
          </cell>
          <cell r="F28" t="str">
            <v>3.89* 2.00</v>
          </cell>
          <cell r="G28" t="str">
            <v>4.19 * 2.30</v>
          </cell>
          <cell r="H28" t="str">
            <v>X</v>
          </cell>
          <cell r="I28" t="str">
            <v>EXTERIORES</v>
          </cell>
          <cell r="J28">
            <v>0</v>
          </cell>
          <cell r="K28">
            <v>0</v>
          </cell>
          <cell r="L28">
            <v>1500000</v>
          </cell>
          <cell r="M28" t="str">
            <v>AEROPUERTO INTERNACIONAL ARTURO MERINO B</v>
          </cell>
          <cell r="P28" t="str">
            <v>PUDAHUEL</v>
          </cell>
          <cell r="Q28" t="str">
            <v>TRADICIONAL</v>
          </cell>
          <cell r="R28" t="str">
            <v>Aeropuerto - Santiago</v>
          </cell>
          <cell r="S28" t="str">
            <v>SCL</v>
          </cell>
          <cell r="T28" t="str">
            <v>Cajas de luz</v>
          </cell>
          <cell r="U28">
            <v>1</v>
          </cell>
          <cell r="V28" t="str">
            <v>3.89 * 2.00</v>
          </cell>
        </row>
        <row r="29">
          <cell r="A29" t="str">
            <v>SCL 0004B</v>
          </cell>
          <cell r="B29" t="str">
            <v>Aeropuerto</v>
          </cell>
          <cell r="D29" t="str">
            <v>Cajas de luz</v>
          </cell>
          <cell r="E29" t="str">
            <v>Cajas de luz</v>
          </cell>
          <cell r="F29" t="str">
            <v>3.89 * 2.00</v>
          </cell>
          <cell r="G29" t="str">
            <v>4.19 * 2.30</v>
          </cell>
          <cell r="H29" t="str">
            <v>X</v>
          </cell>
          <cell r="I29" t="str">
            <v>EXTERIORES</v>
          </cell>
          <cell r="J29">
            <v>0</v>
          </cell>
          <cell r="K29">
            <v>0</v>
          </cell>
          <cell r="L29">
            <v>1500000</v>
          </cell>
          <cell r="M29" t="str">
            <v>AEROPUERTO INTERNACIONAL ARTURO MERINO B</v>
          </cell>
          <cell r="P29" t="str">
            <v>PUDAHUEL</v>
          </cell>
          <cell r="Q29" t="str">
            <v>TRADICIONAL</v>
          </cell>
          <cell r="R29" t="str">
            <v>Aeropuerto - Santiago</v>
          </cell>
          <cell r="S29" t="str">
            <v>SCL</v>
          </cell>
          <cell r="T29" t="str">
            <v>Cajas de luz</v>
          </cell>
          <cell r="U29">
            <v>1</v>
          </cell>
          <cell r="V29" t="str">
            <v>3.89 * 2.00</v>
          </cell>
        </row>
        <row r="30">
          <cell r="A30" t="str">
            <v>SCL 0005A</v>
          </cell>
          <cell r="B30" t="str">
            <v>Aeropuerto</v>
          </cell>
          <cell r="D30" t="str">
            <v>Monumentales</v>
          </cell>
          <cell r="E30" t="str">
            <v>(ANTIGUO)</v>
          </cell>
          <cell r="F30" t="str">
            <v>16.00 * 8.00</v>
          </cell>
          <cell r="G30" t="str">
            <v>16.30 * 8.30</v>
          </cell>
          <cell r="H30" t="str">
            <v>E</v>
          </cell>
          <cell r="I30" t="str">
            <v>ESTACIONAMIENTOS</v>
          </cell>
          <cell r="J30">
            <v>0</v>
          </cell>
          <cell r="K30">
            <v>0</v>
          </cell>
          <cell r="L30">
            <v>4200000</v>
          </cell>
          <cell r="M30" t="str">
            <v>AEROPUERTO INTERNACIONAL ARTURO MERINO B</v>
          </cell>
          <cell r="P30" t="str">
            <v>PUDAHUEL</v>
          </cell>
          <cell r="Q30" t="str">
            <v>TRADICIONAL</v>
          </cell>
          <cell r="R30" t="str">
            <v>Aeropuerto - Santiago</v>
          </cell>
          <cell r="S30" t="str">
            <v>SCL</v>
          </cell>
          <cell r="T30" t="str">
            <v>Monumentales</v>
          </cell>
          <cell r="U30">
            <v>1</v>
          </cell>
          <cell r="V30" t="str">
            <v>16.00 * 8.00</v>
          </cell>
        </row>
        <row r="31">
          <cell r="A31" t="str">
            <v>SCL 0006A</v>
          </cell>
          <cell r="B31" t="str">
            <v>Aeropuerto</v>
          </cell>
          <cell r="D31" t="str">
            <v>Cajas de luz</v>
          </cell>
          <cell r="E31" t="str">
            <v>BIFAZ</v>
          </cell>
          <cell r="F31" t="str">
            <v>3.92 * 2.00</v>
          </cell>
          <cell r="G31" t="str">
            <v>4.12 * 2.20</v>
          </cell>
          <cell r="H31" t="str">
            <v>E</v>
          </cell>
          <cell r="I31" t="str">
            <v>ESTACIONAMIENTOS</v>
          </cell>
          <cell r="J31">
            <v>0</v>
          </cell>
          <cell r="K31">
            <v>0</v>
          </cell>
          <cell r="L31">
            <v>1800000</v>
          </cell>
          <cell r="M31" t="str">
            <v>AEROPUERTO INTERNACIONAL ARTURO MERINO B</v>
          </cell>
          <cell r="P31" t="str">
            <v>PUDAHUEL</v>
          </cell>
          <cell r="Q31" t="str">
            <v>TRADICIONAL</v>
          </cell>
          <cell r="R31" t="str">
            <v>Aeropuerto - Santiago</v>
          </cell>
          <cell r="S31" t="str">
            <v>SCL</v>
          </cell>
          <cell r="T31" t="str">
            <v>Cajas de luz</v>
          </cell>
          <cell r="U31">
            <v>1</v>
          </cell>
          <cell r="V31" t="str">
            <v>3.92 * 2.00</v>
          </cell>
        </row>
        <row r="32">
          <cell r="A32" t="str">
            <v>SCL 0006B</v>
          </cell>
          <cell r="B32" t="str">
            <v>Aeropuerto</v>
          </cell>
          <cell r="D32" t="str">
            <v>Cajas de luz</v>
          </cell>
          <cell r="E32" t="str">
            <v>BIFAZ</v>
          </cell>
          <cell r="F32" t="str">
            <v>3.92 * 2.00</v>
          </cell>
          <cell r="G32" t="str">
            <v>4.12 * 2.20</v>
          </cell>
          <cell r="H32" t="str">
            <v>E</v>
          </cell>
          <cell r="I32" t="str">
            <v>ESTACIONAMIENTOS</v>
          </cell>
          <cell r="J32">
            <v>0</v>
          </cell>
          <cell r="K32">
            <v>0</v>
          </cell>
          <cell r="L32">
            <v>1800000</v>
          </cell>
          <cell r="M32" t="str">
            <v>AEROPUERTO INTERNACIONAL ARTURO MERINO B</v>
          </cell>
          <cell r="P32" t="str">
            <v>PUDAHUEL</v>
          </cell>
          <cell r="Q32" t="str">
            <v>TRADICIONAL</v>
          </cell>
          <cell r="R32" t="str">
            <v>Aeropuerto - Santiago</v>
          </cell>
          <cell r="S32" t="str">
            <v>SCL</v>
          </cell>
          <cell r="T32" t="str">
            <v>Cajas de luz</v>
          </cell>
          <cell r="U32">
            <v>1</v>
          </cell>
          <cell r="V32" t="str">
            <v>3.92 * 2.00</v>
          </cell>
        </row>
        <row r="33">
          <cell r="A33" t="str">
            <v>SCL 0007A</v>
          </cell>
          <cell r="B33" t="str">
            <v>Aeropuerto</v>
          </cell>
          <cell r="D33" t="str">
            <v>Cajas de luz</v>
          </cell>
          <cell r="E33" t="str">
            <v>Cajas de luz</v>
          </cell>
          <cell r="F33" t="str">
            <v>3.52 * 2.57</v>
          </cell>
          <cell r="G33" t="str">
            <v>3.82 * 2.87</v>
          </cell>
          <cell r="H33" t="str">
            <v>Y</v>
          </cell>
          <cell r="I33" t="str">
            <v>INTERIOR PASILLO</v>
          </cell>
          <cell r="J33">
            <v>0</v>
          </cell>
          <cell r="K33">
            <v>0</v>
          </cell>
          <cell r="L33">
            <v>1800000</v>
          </cell>
          <cell r="M33" t="str">
            <v>AEROPUERTO INTERNACIONAL ARTURO MERINO B</v>
          </cell>
          <cell r="P33" t="str">
            <v>PUDAHUEL</v>
          </cell>
          <cell r="Q33" t="str">
            <v>TRADICIONAL</v>
          </cell>
          <cell r="R33" t="str">
            <v>Aeropuerto - Santiago</v>
          </cell>
          <cell r="S33" t="str">
            <v>SCL</v>
          </cell>
          <cell r="T33" t="str">
            <v>Cajas de luz</v>
          </cell>
          <cell r="U33">
            <v>1</v>
          </cell>
          <cell r="V33" t="str">
            <v>3.52 * 2.57</v>
          </cell>
        </row>
        <row r="34">
          <cell r="A34" t="str">
            <v>SCL 0008A</v>
          </cell>
          <cell r="B34" t="str">
            <v>Aeropuerto</v>
          </cell>
          <cell r="D34" t="str">
            <v>Cajas de luz</v>
          </cell>
          <cell r="E34" t="str">
            <v>Cajas de luz</v>
          </cell>
          <cell r="F34" t="str">
            <v>2,42 * 2,59</v>
          </cell>
          <cell r="G34" t="str">
            <v>2.62 * 2.79</v>
          </cell>
          <cell r="H34" t="str">
            <v>Y</v>
          </cell>
          <cell r="I34" t="str">
            <v>INTERIOR PASILLO</v>
          </cell>
          <cell r="J34">
            <v>0</v>
          </cell>
          <cell r="K34">
            <v>0</v>
          </cell>
          <cell r="L34">
            <v>1800000</v>
          </cell>
          <cell r="M34" t="str">
            <v>AEROPUERTO INTERNACIONAL ARTURO MERINO B</v>
          </cell>
          <cell r="P34" t="str">
            <v>PUDAHUEL</v>
          </cell>
          <cell r="Q34" t="str">
            <v>TRADICIONAL</v>
          </cell>
          <cell r="R34" t="str">
            <v>Aeropuerto - Santiago</v>
          </cell>
          <cell r="S34" t="str">
            <v>SCL</v>
          </cell>
          <cell r="T34" t="str">
            <v>Cajas de luz</v>
          </cell>
          <cell r="U34">
            <v>1</v>
          </cell>
          <cell r="V34" t="str">
            <v>2.42 * 2.59</v>
          </cell>
        </row>
        <row r="35">
          <cell r="A35" t="str">
            <v>SCL 0009A</v>
          </cell>
          <cell r="B35" t="str">
            <v>Aeropuerto</v>
          </cell>
          <cell r="D35" t="str">
            <v>Cajas de luz</v>
          </cell>
          <cell r="E35" t="str">
            <v>Cajas de luz</v>
          </cell>
          <cell r="F35" t="str">
            <v>2,40 * 2,59</v>
          </cell>
          <cell r="G35" t="str">
            <v>2.60 * 2.79</v>
          </cell>
          <cell r="H35" t="str">
            <v>Y</v>
          </cell>
          <cell r="I35" t="str">
            <v>INTERIOR PASILLO</v>
          </cell>
          <cell r="J35">
            <v>0</v>
          </cell>
          <cell r="K35">
            <v>0</v>
          </cell>
          <cell r="L35">
            <v>1800000</v>
          </cell>
          <cell r="M35" t="str">
            <v>AEROPUERTO INTERNACIONAL ARTURO MERINO B</v>
          </cell>
          <cell r="P35" t="str">
            <v>PUDAHUEL</v>
          </cell>
          <cell r="Q35" t="str">
            <v>TRADICIONAL</v>
          </cell>
          <cell r="R35" t="str">
            <v>Aeropuerto - Santiago</v>
          </cell>
          <cell r="S35" t="str">
            <v>SCL</v>
          </cell>
          <cell r="T35" t="str">
            <v>Cajas de luz</v>
          </cell>
          <cell r="U35">
            <v>1</v>
          </cell>
          <cell r="V35" t="str">
            <v>2.38 * 2.57</v>
          </cell>
        </row>
        <row r="36">
          <cell r="A36" t="str">
            <v>SCL 0010A</v>
          </cell>
          <cell r="B36" t="str">
            <v>Aeropuerto</v>
          </cell>
          <cell r="D36" t="str">
            <v>Paletas</v>
          </cell>
          <cell r="E36" t="str">
            <v>Paletas</v>
          </cell>
          <cell r="F36" t="str">
            <v>1.10 * 1.50</v>
          </cell>
          <cell r="G36" t="str">
            <v>1.15 * 1.57</v>
          </cell>
          <cell r="H36" t="str">
            <v>E</v>
          </cell>
          <cell r="I36" t="str">
            <v>ESTACIONAMIENTOS</v>
          </cell>
          <cell r="J36">
            <v>0</v>
          </cell>
          <cell r="K36">
            <v>0</v>
          </cell>
          <cell r="L36">
            <v>450000</v>
          </cell>
          <cell r="M36" t="str">
            <v>AEROPUERTO INTERNACIONAL ARTURO MERINO B</v>
          </cell>
          <cell r="P36" t="str">
            <v>PUDAHUEL</v>
          </cell>
          <cell r="Q36" t="str">
            <v>TRADICIONAL</v>
          </cell>
          <cell r="R36" t="str">
            <v>Aeropuerto - Santiago</v>
          </cell>
          <cell r="S36" t="str">
            <v>SCL</v>
          </cell>
          <cell r="T36" t="str">
            <v>Paletas</v>
          </cell>
          <cell r="U36">
            <v>1</v>
          </cell>
          <cell r="V36" t="str">
            <v>1.10 * 1.50</v>
          </cell>
        </row>
        <row r="37">
          <cell r="A37" t="str">
            <v>SCL 0011A</v>
          </cell>
          <cell r="B37" t="str">
            <v>Aeropuerto</v>
          </cell>
          <cell r="D37" t="str">
            <v>Paletas</v>
          </cell>
          <cell r="E37" t="str">
            <v>Paletas</v>
          </cell>
          <cell r="F37" t="str">
            <v>1.10 * 1.50</v>
          </cell>
          <cell r="G37" t="str">
            <v>1.15 * 1.57</v>
          </cell>
          <cell r="H37" t="str">
            <v>E</v>
          </cell>
          <cell r="I37" t="str">
            <v>ESTACIONAMIENTOS</v>
          </cell>
          <cell r="J37">
            <v>0</v>
          </cell>
          <cell r="K37">
            <v>0</v>
          </cell>
          <cell r="L37">
            <v>450000</v>
          </cell>
          <cell r="M37" t="str">
            <v>AEROPUERTO INTERNACIONAL ARTURO MERINO B</v>
          </cell>
          <cell r="P37" t="str">
            <v>PUDAHUEL</v>
          </cell>
          <cell r="Q37" t="str">
            <v>TRADICIONAL</v>
          </cell>
          <cell r="R37" t="str">
            <v>Aeropuerto - Santiago</v>
          </cell>
          <cell r="S37" t="str">
            <v>SCL</v>
          </cell>
          <cell r="T37" t="str">
            <v>Paletas</v>
          </cell>
          <cell r="U37">
            <v>1</v>
          </cell>
          <cell r="V37" t="str">
            <v>1.10 * 1.50</v>
          </cell>
        </row>
        <row r="38">
          <cell r="A38" t="str">
            <v>SCL 0012A</v>
          </cell>
          <cell r="B38" t="str">
            <v>Aeropuerto</v>
          </cell>
          <cell r="D38" t="str">
            <v>Paletas</v>
          </cell>
          <cell r="E38" t="str">
            <v>Paletas</v>
          </cell>
          <cell r="F38" t="str">
            <v>1.10 * 1.50</v>
          </cell>
          <cell r="G38" t="str">
            <v>1.15 * 1.57</v>
          </cell>
          <cell r="H38" t="str">
            <v>E</v>
          </cell>
          <cell r="I38" t="str">
            <v>ESTACIONAMIENTOS</v>
          </cell>
          <cell r="J38">
            <v>0</v>
          </cell>
          <cell r="K38">
            <v>0</v>
          </cell>
          <cell r="L38">
            <v>450000</v>
          </cell>
          <cell r="M38" t="str">
            <v>AEROPUERTO INTERNACIONAL ARTURO MERINO B</v>
          </cell>
          <cell r="P38" t="str">
            <v>PUDAHUEL</v>
          </cell>
          <cell r="Q38" t="str">
            <v>TRADICIONAL</v>
          </cell>
          <cell r="R38" t="str">
            <v>Aeropuerto - Santiago</v>
          </cell>
          <cell r="S38" t="str">
            <v>SCL</v>
          </cell>
          <cell r="T38" t="str">
            <v>Paletas</v>
          </cell>
          <cell r="U38">
            <v>1</v>
          </cell>
          <cell r="V38" t="str">
            <v>1.10 * 1.50</v>
          </cell>
        </row>
        <row r="39">
          <cell r="A39" t="str">
            <v>SCL 0013A</v>
          </cell>
          <cell r="B39" t="str">
            <v>Aeropuerto</v>
          </cell>
          <cell r="D39" t="str">
            <v>Paletas</v>
          </cell>
          <cell r="E39" t="str">
            <v>Paletas</v>
          </cell>
          <cell r="F39" t="str">
            <v>1.10 * 1.50</v>
          </cell>
          <cell r="G39" t="str">
            <v>1.15 * 1.57</v>
          </cell>
          <cell r="H39" t="str">
            <v>E</v>
          </cell>
          <cell r="I39" t="str">
            <v>ESTACIONAMIENTOS</v>
          </cell>
          <cell r="J39">
            <v>0</v>
          </cell>
          <cell r="K39">
            <v>0</v>
          </cell>
          <cell r="L39">
            <v>450000</v>
          </cell>
          <cell r="M39" t="str">
            <v>AEROPUERTO INTERNACIONAL ARTURO MERINO B</v>
          </cell>
          <cell r="P39" t="str">
            <v>PUDAHUEL</v>
          </cell>
          <cell r="Q39" t="str">
            <v>TRADICIONAL</v>
          </cell>
          <cell r="R39" t="str">
            <v>Aeropuerto - Santiago</v>
          </cell>
          <cell r="S39" t="str">
            <v>SCL</v>
          </cell>
          <cell r="T39" t="str">
            <v>Paletas</v>
          </cell>
          <cell r="U39">
            <v>1</v>
          </cell>
          <cell r="V39" t="str">
            <v>1.10 * 1.50</v>
          </cell>
        </row>
        <row r="40">
          <cell r="A40" t="str">
            <v>SCL 0015A</v>
          </cell>
          <cell r="B40" t="str">
            <v>Aeropuerto</v>
          </cell>
          <cell r="D40" t="str">
            <v>Paletas</v>
          </cell>
          <cell r="E40" t="str">
            <v>Paletas</v>
          </cell>
          <cell r="F40" t="str">
            <v>1.10 * 1.50</v>
          </cell>
          <cell r="G40" t="str">
            <v>1.15 * 1.57</v>
          </cell>
          <cell r="H40" t="str">
            <v>E</v>
          </cell>
          <cell r="I40" t="str">
            <v>ESTACIONAMIENTOS</v>
          </cell>
          <cell r="J40">
            <v>0</v>
          </cell>
          <cell r="K40">
            <v>0</v>
          </cell>
          <cell r="L40">
            <v>450000</v>
          </cell>
          <cell r="M40" t="str">
            <v>AEROPUERTO INTERNACIONAL ARTURO MERINO B</v>
          </cell>
          <cell r="P40" t="str">
            <v>PUDAHUEL</v>
          </cell>
          <cell r="Q40" t="str">
            <v>TRADICIONAL</v>
          </cell>
          <cell r="R40" t="str">
            <v>Aeropuerto - Santiago</v>
          </cell>
          <cell r="S40" t="str">
            <v>SCL</v>
          </cell>
          <cell r="T40" t="str">
            <v>Paletas</v>
          </cell>
          <cell r="U40">
            <v>1</v>
          </cell>
          <cell r="V40" t="str">
            <v>1.10 * 1.50</v>
          </cell>
        </row>
        <row r="41">
          <cell r="A41" t="str">
            <v>SCL 0015B</v>
          </cell>
          <cell r="B41" t="str">
            <v>Aeropuerto</v>
          </cell>
          <cell r="D41" t="str">
            <v>NO VENDIBLE</v>
          </cell>
          <cell r="E41" t="str">
            <v>Paletas</v>
          </cell>
          <cell r="F41" t="str">
            <v>1.10 * 1.50</v>
          </cell>
          <cell r="G41" t="str">
            <v>1.15 * 1.57</v>
          </cell>
          <cell r="H41" t="str">
            <v>E</v>
          </cell>
          <cell r="I41" t="str">
            <v>ESTACIONAMIENTO</v>
          </cell>
          <cell r="J41">
            <v>0</v>
          </cell>
          <cell r="K41">
            <v>0</v>
          </cell>
          <cell r="L41">
            <v>450000</v>
          </cell>
          <cell r="M41" t="str">
            <v>AEROPUERTO INTERNACIONAL ARTURO MERINO B</v>
          </cell>
          <cell r="O41" t="str">
            <v>Sí</v>
          </cell>
          <cell r="P41" t="str">
            <v>PUDAHUEL</v>
          </cell>
          <cell r="Q41" t="str">
            <v>TRADICIONAL</v>
          </cell>
          <cell r="R41" t="str">
            <v>Aeropuerto - Santiago</v>
          </cell>
          <cell r="S41" t="str">
            <v>SCL</v>
          </cell>
          <cell r="T41" t="str">
            <v>Paletas</v>
          </cell>
          <cell r="U41">
            <v>1</v>
          </cell>
          <cell r="V41" t="str">
            <v>1.10 * 1.50</v>
          </cell>
        </row>
        <row r="42">
          <cell r="A42" t="str">
            <v>SCL 0016A</v>
          </cell>
          <cell r="B42" t="str">
            <v>Aeropuerto</v>
          </cell>
          <cell r="D42" t="str">
            <v>Paletas</v>
          </cell>
          <cell r="E42" t="str">
            <v>Paletas</v>
          </cell>
          <cell r="F42" t="str">
            <v>1.10 * 1.50</v>
          </cell>
          <cell r="G42" t="str">
            <v>1.15 * 1.57</v>
          </cell>
          <cell r="H42" t="str">
            <v>E</v>
          </cell>
          <cell r="I42" t="str">
            <v>ESTACIONAMIENTOS</v>
          </cell>
          <cell r="J42">
            <v>0</v>
          </cell>
          <cell r="K42">
            <v>0</v>
          </cell>
          <cell r="L42">
            <v>450000</v>
          </cell>
          <cell r="M42" t="str">
            <v>AEROPUERTO INTERNACIONAL ARTURO MERINO B</v>
          </cell>
          <cell r="P42" t="str">
            <v>PUDAHUEL</v>
          </cell>
          <cell r="Q42" t="str">
            <v>TRADICIONAL</v>
          </cell>
          <cell r="R42" t="str">
            <v>Aeropuerto - Santiago</v>
          </cell>
          <cell r="S42" t="str">
            <v>SCL</v>
          </cell>
          <cell r="T42" t="str">
            <v>Paletas</v>
          </cell>
          <cell r="U42">
            <v>1</v>
          </cell>
          <cell r="V42" t="str">
            <v>1.10 * 1.50</v>
          </cell>
        </row>
        <row r="43">
          <cell r="A43" t="str">
            <v>SCL 0017A</v>
          </cell>
          <cell r="B43" t="str">
            <v>Aeropuerto</v>
          </cell>
          <cell r="D43" t="str">
            <v>Paletas</v>
          </cell>
          <cell r="E43" t="str">
            <v>Paletas</v>
          </cell>
          <cell r="F43" t="str">
            <v>1.10 * 1.50</v>
          </cell>
          <cell r="G43" t="str">
            <v>1.15 * 1.57</v>
          </cell>
          <cell r="H43" t="str">
            <v>E</v>
          </cell>
          <cell r="I43" t="str">
            <v>ESTACIONAMIENTOS</v>
          </cell>
          <cell r="J43">
            <v>0</v>
          </cell>
          <cell r="K43">
            <v>0</v>
          </cell>
          <cell r="L43">
            <v>450000</v>
          </cell>
          <cell r="M43" t="str">
            <v>AEROPUERTO INTERNACIONAL ARTURO MERINO B</v>
          </cell>
          <cell r="P43" t="str">
            <v>PUDAHUEL</v>
          </cell>
          <cell r="Q43" t="str">
            <v>TRADICIONAL</v>
          </cell>
          <cell r="R43" t="str">
            <v>Aeropuerto - Santiago</v>
          </cell>
          <cell r="S43" t="str">
            <v>SCL</v>
          </cell>
          <cell r="T43" t="str">
            <v>Paletas</v>
          </cell>
          <cell r="U43">
            <v>1</v>
          </cell>
          <cell r="V43" t="str">
            <v>1.10 * 1.50</v>
          </cell>
        </row>
        <row r="44">
          <cell r="A44" t="str">
            <v>SCL 0018A</v>
          </cell>
          <cell r="B44" t="str">
            <v>Aeropuerto</v>
          </cell>
          <cell r="D44" t="str">
            <v>Paletas</v>
          </cell>
          <cell r="E44" t="str">
            <v>Paletas</v>
          </cell>
          <cell r="F44" t="str">
            <v>1.10 * 1.50</v>
          </cell>
          <cell r="G44" t="str">
            <v>1.15 * 1.57</v>
          </cell>
          <cell r="H44" t="str">
            <v>E</v>
          </cell>
          <cell r="I44" t="str">
            <v>ESTACIONAMIENTOS</v>
          </cell>
          <cell r="J44">
            <v>0</v>
          </cell>
          <cell r="K44">
            <v>0</v>
          </cell>
          <cell r="L44">
            <v>450000</v>
          </cell>
          <cell r="M44" t="str">
            <v>AEROPUERTO INTERNACIONAL ARTURO MERINO B</v>
          </cell>
          <cell r="P44" t="str">
            <v>PUDAHUEL</v>
          </cell>
          <cell r="Q44" t="str">
            <v>TRADICIONAL</v>
          </cell>
          <cell r="R44" t="str">
            <v>Aeropuerto - Santiago</v>
          </cell>
          <cell r="S44" t="str">
            <v>SCL</v>
          </cell>
          <cell r="T44" t="str">
            <v>Paletas</v>
          </cell>
          <cell r="U44">
            <v>1</v>
          </cell>
          <cell r="V44" t="str">
            <v>1.10 * 1.50</v>
          </cell>
        </row>
        <row r="45">
          <cell r="A45" t="str">
            <v>SCL 0019A</v>
          </cell>
          <cell r="B45" t="str">
            <v>Aeropuerto</v>
          </cell>
          <cell r="D45" t="str">
            <v>Cajas de luz</v>
          </cell>
          <cell r="E45" t="str">
            <v>PILAR CURVA</v>
          </cell>
          <cell r="F45" t="str">
            <v>0.50 * 2.00</v>
          </cell>
          <cell r="G45" t="str">
            <v>0.70 * 2.20</v>
          </cell>
          <cell r="H45" t="str">
            <v>Y</v>
          </cell>
          <cell r="I45" t="str">
            <v>INTERIOR PASILLO</v>
          </cell>
          <cell r="J45">
            <v>0</v>
          </cell>
          <cell r="K45">
            <v>0</v>
          </cell>
          <cell r="L45">
            <v>500000</v>
          </cell>
          <cell r="M45" t="str">
            <v>AEROPUERTO INTERNACIONAL ARTURO MERINO B</v>
          </cell>
          <cell r="P45" t="str">
            <v>PUDAHUEL</v>
          </cell>
          <cell r="Q45" t="str">
            <v>TRADICIONAL</v>
          </cell>
          <cell r="R45" t="str">
            <v>Aeropuerto - Santiago</v>
          </cell>
          <cell r="S45" t="str">
            <v>SCL</v>
          </cell>
          <cell r="T45" t="str">
            <v>Cajas de luz</v>
          </cell>
          <cell r="U45">
            <v>1</v>
          </cell>
          <cell r="V45" t="str">
            <v>0.50 * 2.00</v>
          </cell>
        </row>
        <row r="46">
          <cell r="A46" t="str">
            <v>SCL 0020A</v>
          </cell>
          <cell r="B46" t="str">
            <v>Aeropuerto</v>
          </cell>
          <cell r="D46" t="str">
            <v>Cajas de luz</v>
          </cell>
          <cell r="E46" t="str">
            <v>PILAR CURVA</v>
          </cell>
          <cell r="F46" t="str">
            <v>2.00 * 0.50</v>
          </cell>
          <cell r="G46" t="str">
            <v>2.20 * 0.70</v>
          </cell>
          <cell r="H46" t="str">
            <v>Y</v>
          </cell>
          <cell r="I46" t="str">
            <v>INTERIOR PASILLO</v>
          </cell>
          <cell r="J46">
            <v>0</v>
          </cell>
          <cell r="K46">
            <v>0</v>
          </cell>
          <cell r="L46">
            <v>500000</v>
          </cell>
          <cell r="M46" t="str">
            <v>AEROPUERTO INTERNACIONAL ARTURO MERINO B</v>
          </cell>
          <cell r="P46" t="str">
            <v>PUDAHUEL</v>
          </cell>
          <cell r="Q46" t="str">
            <v>TRADICIONAL</v>
          </cell>
          <cell r="R46" t="str">
            <v>Aeropuerto - Santiago</v>
          </cell>
          <cell r="S46" t="str">
            <v>SCL</v>
          </cell>
          <cell r="T46" t="str">
            <v>Cajas de luz</v>
          </cell>
          <cell r="U46">
            <v>1</v>
          </cell>
          <cell r="V46" t="str">
            <v>0.50 * 2.00</v>
          </cell>
        </row>
        <row r="47">
          <cell r="A47" t="str">
            <v>SCL 0021A</v>
          </cell>
          <cell r="B47" t="str">
            <v>Aeropuerto</v>
          </cell>
          <cell r="D47" t="str">
            <v>Paletas</v>
          </cell>
          <cell r="E47" t="str">
            <v>MURO</v>
          </cell>
          <cell r="F47" t="str">
            <v>2.00 * 1.25</v>
          </cell>
          <cell r="H47" t="str">
            <v>Y</v>
          </cell>
          <cell r="I47" t="str">
            <v>INTERIOR PASILLO</v>
          </cell>
          <cell r="J47">
            <v>0</v>
          </cell>
          <cell r="K47">
            <v>0</v>
          </cell>
          <cell r="L47">
            <v>500000</v>
          </cell>
          <cell r="M47" t="str">
            <v>AEROPUERTO INTERNACIONAL ARTURO MERINO B</v>
          </cell>
          <cell r="P47" t="str">
            <v>PUDAHUEL</v>
          </cell>
          <cell r="Q47" t="str">
            <v>TRADICIONAL</v>
          </cell>
          <cell r="R47" t="str">
            <v>Aeropuerto - Santiago</v>
          </cell>
          <cell r="S47" t="str">
            <v>SCL</v>
          </cell>
          <cell r="T47" t="str">
            <v>Paletas</v>
          </cell>
          <cell r="U47">
            <v>1</v>
          </cell>
          <cell r="V47" t="str">
            <v>2.00 * 1.25</v>
          </cell>
        </row>
        <row r="48">
          <cell r="A48" t="str">
            <v>SCL 0022A</v>
          </cell>
          <cell r="B48" t="str">
            <v>Aeropuerto</v>
          </cell>
          <cell r="D48" t="str">
            <v>P.E.: PILAR RECTANGULAR RETRO ILUM</v>
          </cell>
          <cell r="E48" t="str">
            <v>PILAR RECTANGULAR RETRO ILUM</v>
          </cell>
          <cell r="G48" t="str">
            <v>NA</v>
          </cell>
          <cell r="H48" t="str">
            <v>Y</v>
          </cell>
          <cell r="I48" t="str">
            <v>INTERIOR PASILLO</v>
          </cell>
          <cell r="J48">
            <v>71736</v>
          </cell>
          <cell r="K48">
            <v>0</v>
          </cell>
          <cell r="L48">
            <v>4500000</v>
          </cell>
          <cell r="M48" t="str">
            <v>AEROPUERTO INTERNACIONAL ARTURO MERINO B</v>
          </cell>
          <cell r="P48" t="str">
            <v>PUDAHUEL</v>
          </cell>
          <cell r="Q48" t="str">
            <v>ESPECIAL</v>
          </cell>
          <cell r="R48" t="str">
            <v>Aeropuerto - Santiago</v>
          </cell>
          <cell r="S48" t="str">
            <v>SCL</v>
          </cell>
          <cell r="T48" t="str">
            <v>Especiales Permanentes</v>
          </cell>
          <cell r="U48">
            <v>1</v>
          </cell>
          <cell r="V48" t="str">
            <v>NA</v>
          </cell>
        </row>
        <row r="49">
          <cell r="A49" t="str">
            <v>SCL 0023A</v>
          </cell>
          <cell r="B49" t="str">
            <v>Aeropuerto</v>
          </cell>
          <cell r="D49" t="str">
            <v>P.E.: PILAR RECTANGULAR RETRO ILUM</v>
          </cell>
          <cell r="E49" t="str">
            <v>PILAR RECTANGULAR RETRO ILUM</v>
          </cell>
          <cell r="G49" t="str">
            <v>NA</v>
          </cell>
          <cell r="H49" t="str">
            <v>Y</v>
          </cell>
          <cell r="I49" t="str">
            <v>INTERIOR PASILLO</v>
          </cell>
          <cell r="J49">
            <v>71736</v>
          </cell>
          <cell r="K49">
            <v>0</v>
          </cell>
          <cell r="L49">
            <v>4500000</v>
          </cell>
          <cell r="M49" t="str">
            <v>AEROPUERTO INTERNACIONAL ARTURO MERINO B</v>
          </cell>
          <cell r="P49" t="str">
            <v>PUDAHUEL</v>
          </cell>
          <cell r="Q49" t="str">
            <v>ESPECIAL</v>
          </cell>
          <cell r="R49" t="str">
            <v>Aeropuerto - Santiago</v>
          </cell>
          <cell r="S49" t="str">
            <v>SCL</v>
          </cell>
          <cell r="T49" t="str">
            <v>Especiales Permanentes</v>
          </cell>
          <cell r="U49">
            <v>1</v>
          </cell>
          <cell r="V49" t="str">
            <v>NA</v>
          </cell>
        </row>
        <row r="50">
          <cell r="A50" t="str">
            <v>SCL 0024A</v>
          </cell>
          <cell r="B50" t="str">
            <v>Aeropuerto</v>
          </cell>
          <cell r="D50" t="str">
            <v>P.E.: PILAR RECTANGULAR RETRO ILUM</v>
          </cell>
          <cell r="E50" t="str">
            <v>PILAR RECTANGULAR RETRO ILUM</v>
          </cell>
          <cell r="G50" t="str">
            <v>NA</v>
          </cell>
          <cell r="H50" t="str">
            <v>Y</v>
          </cell>
          <cell r="I50" t="str">
            <v>INTERIOR PASILLO</v>
          </cell>
          <cell r="J50">
            <v>71736</v>
          </cell>
          <cell r="K50">
            <v>0</v>
          </cell>
          <cell r="L50">
            <v>4500000</v>
          </cell>
          <cell r="M50" t="str">
            <v>AEROPUERTO INTERNACIONAL ARTURO MERINO B</v>
          </cell>
          <cell r="P50" t="str">
            <v>PUDAHUEL</v>
          </cell>
          <cell r="Q50" t="str">
            <v>ESPECIAL</v>
          </cell>
          <cell r="R50" t="str">
            <v>Aeropuerto - Santiago</v>
          </cell>
          <cell r="S50" t="str">
            <v>SCL</v>
          </cell>
          <cell r="T50" t="str">
            <v>Especiales Permanentes</v>
          </cell>
          <cell r="U50">
            <v>1</v>
          </cell>
          <cell r="V50" t="str">
            <v>NA</v>
          </cell>
        </row>
        <row r="51">
          <cell r="A51" t="str">
            <v>SCL 0025A</v>
          </cell>
          <cell r="B51" t="str">
            <v>Aeropuerto</v>
          </cell>
          <cell r="D51" t="str">
            <v>Cajas de luz</v>
          </cell>
          <cell r="E51" t="str">
            <v>Cajas de luz</v>
          </cell>
          <cell r="F51" t="str">
            <v>4.00 * 1.50</v>
          </cell>
          <cell r="G51" t="str">
            <v>4.00 * 1.70</v>
          </cell>
          <cell r="H51" t="str">
            <v>Y</v>
          </cell>
          <cell r="I51" t="str">
            <v>INTERIOR PASILLO</v>
          </cell>
          <cell r="J51">
            <v>0</v>
          </cell>
          <cell r="K51">
            <v>0</v>
          </cell>
          <cell r="L51">
            <v>800000</v>
          </cell>
          <cell r="M51" t="str">
            <v>AEROPUERTO INTERNACIONAL ARTURO MERINO B</v>
          </cell>
          <cell r="P51" t="str">
            <v>PUDAHUEL</v>
          </cell>
          <cell r="Q51" t="str">
            <v>TRADICIONAL</v>
          </cell>
          <cell r="R51" t="str">
            <v>Aeropuerto - Santiago</v>
          </cell>
          <cell r="S51" t="str">
            <v>SCL</v>
          </cell>
          <cell r="T51" t="str">
            <v>Cajas de luz</v>
          </cell>
          <cell r="U51">
            <v>1</v>
          </cell>
          <cell r="V51" t="str">
            <v>4.00 * 1.50</v>
          </cell>
        </row>
        <row r="52">
          <cell r="A52" t="str">
            <v>SCL 0026A</v>
          </cell>
          <cell r="B52" t="str">
            <v>Aeropuerto</v>
          </cell>
          <cell r="D52" t="str">
            <v>Cajas de luz</v>
          </cell>
          <cell r="E52" t="str">
            <v>Cajas de luz</v>
          </cell>
          <cell r="F52" t="str">
            <v>4.00 * 1.50</v>
          </cell>
          <cell r="G52" t="str">
            <v>4.20 * 1.70</v>
          </cell>
          <cell r="H52" t="str">
            <v>Y</v>
          </cell>
          <cell r="I52" t="str">
            <v>INTERIOR PASILLO</v>
          </cell>
          <cell r="J52">
            <v>0</v>
          </cell>
          <cell r="K52">
            <v>0</v>
          </cell>
          <cell r="L52">
            <v>800000</v>
          </cell>
          <cell r="M52" t="str">
            <v>AEROPUERTO INTERNACIONAL ARTURO MERINO B</v>
          </cell>
          <cell r="P52" t="str">
            <v>PUDAHUEL</v>
          </cell>
          <cell r="Q52" t="str">
            <v>TRADICIONAL</v>
          </cell>
          <cell r="R52" t="str">
            <v>Aeropuerto - Santiago</v>
          </cell>
          <cell r="S52" t="str">
            <v>SCL</v>
          </cell>
          <cell r="T52" t="str">
            <v>Cajas de luz</v>
          </cell>
          <cell r="U52">
            <v>1</v>
          </cell>
          <cell r="V52" t="str">
            <v>4.00 * 1.50</v>
          </cell>
        </row>
        <row r="53">
          <cell r="A53" t="str">
            <v>SCL 0029A</v>
          </cell>
          <cell r="B53" t="str">
            <v>Aeropuerto</v>
          </cell>
          <cell r="D53" t="str">
            <v>Cajas de luz</v>
          </cell>
          <cell r="E53" t="str">
            <v>Cajas de luz</v>
          </cell>
          <cell r="F53" t="str">
            <v>3.00 * 1.00</v>
          </cell>
          <cell r="G53" t="str">
            <v>3.00 * 1.00</v>
          </cell>
          <cell r="H53" t="str">
            <v>Y</v>
          </cell>
          <cell r="I53" t="str">
            <v>INTERIOR PASILLO</v>
          </cell>
          <cell r="J53">
            <v>0</v>
          </cell>
          <cell r="K53">
            <v>0</v>
          </cell>
          <cell r="L53">
            <v>900000</v>
          </cell>
          <cell r="M53" t="str">
            <v>AEROPUERTO INTERNACIONAL ARTURO MERINO B</v>
          </cell>
          <cell r="P53" t="str">
            <v>PUDAHUEL</v>
          </cell>
          <cell r="Q53" t="str">
            <v>TRADICIONAL</v>
          </cell>
          <cell r="R53" t="str">
            <v>Aeropuerto - Santiago</v>
          </cell>
          <cell r="S53" t="str">
            <v>SCL</v>
          </cell>
          <cell r="T53" t="str">
            <v>Cajas de luz</v>
          </cell>
          <cell r="U53">
            <v>1</v>
          </cell>
          <cell r="V53" t="str">
            <v>3.00 * 1.00</v>
          </cell>
        </row>
        <row r="54">
          <cell r="A54" t="str">
            <v>SCL 0030A</v>
          </cell>
          <cell r="B54" t="str">
            <v>Aeropuerto</v>
          </cell>
          <cell r="D54" t="str">
            <v>Cajas de luz</v>
          </cell>
          <cell r="E54" t="str">
            <v>Cajas de luz</v>
          </cell>
          <cell r="F54" t="str">
            <v>3.00 * 1.00</v>
          </cell>
          <cell r="G54" t="str">
            <v>3.20 * 1.20</v>
          </cell>
          <cell r="H54" t="str">
            <v>Y</v>
          </cell>
          <cell r="I54" t="str">
            <v>INTERIOR PASILLO</v>
          </cell>
          <cell r="J54">
            <v>0</v>
          </cell>
          <cell r="K54">
            <v>0</v>
          </cell>
          <cell r="L54">
            <v>900000</v>
          </cell>
          <cell r="M54" t="str">
            <v>AEROPUERTO INTERNACIONAL ARTURO MERINO B</v>
          </cell>
          <cell r="P54" t="str">
            <v>PUDAHUEL</v>
          </cell>
          <cell r="Q54" t="str">
            <v>TRADICIONAL</v>
          </cell>
          <cell r="R54" t="str">
            <v>Aeropuerto - Santiago</v>
          </cell>
          <cell r="S54" t="str">
            <v>SCL</v>
          </cell>
          <cell r="T54" t="str">
            <v>Cajas de luz</v>
          </cell>
          <cell r="U54">
            <v>1</v>
          </cell>
          <cell r="V54" t="str">
            <v>3.00 * 1.00</v>
          </cell>
        </row>
        <row r="55">
          <cell r="A55" t="str">
            <v>SCL 0031A</v>
          </cell>
          <cell r="B55" t="str">
            <v>Aeropuerto</v>
          </cell>
          <cell r="D55" t="str">
            <v>Cajas de luz</v>
          </cell>
          <cell r="E55" t="str">
            <v>Cajas de luz</v>
          </cell>
          <cell r="F55" t="str">
            <v>3.00 * 1.00</v>
          </cell>
          <cell r="G55" t="str">
            <v>3.20 * 1.20</v>
          </cell>
          <cell r="H55" t="str">
            <v>Y</v>
          </cell>
          <cell r="I55" t="str">
            <v>INTERIOR PASILLO</v>
          </cell>
          <cell r="J55">
            <v>0</v>
          </cell>
          <cell r="K55">
            <v>0</v>
          </cell>
          <cell r="L55">
            <v>900000</v>
          </cell>
          <cell r="M55" t="str">
            <v>AEROPUERTO INTERNACIONAL ARTURO MERINO B</v>
          </cell>
          <cell r="P55" t="str">
            <v>PUDAHUEL</v>
          </cell>
          <cell r="Q55" t="str">
            <v>TRADICIONAL</v>
          </cell>
          <cell r="R55" t="str">
            <v>Aeropuerto - Santiago</v>
          </cell>
          <cell r="S55" t="str">
            <v>SCL</v>
          </cell>
          <cell r="T55" t="str">
            <v>Cajas de luz</v>
          </cell>
          <cell r="U55">
            <v>1</v>
          </cell>
          <cell r="V55" t="str">
            <v>3.00 * 1.00</v>
          </cell>
        </row>
        <row r="56">
          <cell r="A56" t="str">
            <v>SCL 0032A</v>
          </cell>
          <cell r="B56" t="str">
            <v>Aeropuerto</v>
          </cell>
          <cell r="D56" t="str">
            <v>Cajas de luz</v>
          </cell>
          <cell r="E56" t="str">
            <v>Cajas de luz</v>
          </cell>
          <cell r="F56" t="str">
            <v>3.00 * 1.00</v>
          </cell>
          <cell r="G56" t="str">
            <v>3.20 * 1.20</v>
          </cell>
          <cell r="H56" t="str">
            <v>Y</v>
          </cell>
          <cell r="I56" t="str">
            <v>INTERIOR PASILLO</v>
          </cell>
          <cell r="J56">
            <v>0</v>
          </cell>
          <cell r="K56">
            <v>0</v>
          </cell>
          <cell r="L56">
            <v>900000</v>
          </cell>
          <cell r="M56" t="str">
            <v>AEROPUERTO INTERNACIONAL ARTURO MERINO B</v>
          </cell>
          <cell r="P56" t="str">
            <v>PUDAHUEL</v>
          </cell>
          <cell r="Q56" t="str">
            <v>TRADICIONAL</v>
          </cell>
          <cell r="R56" t="str">
            <v>Aeropuerto - Santiago</v>
          </cell>
          <cell r="S56" t="str">
            <v>SCL</v>
          </cell>
          <cell r="T56" t="str">
            <v>Cajas de luz</v>
          </cell>
          <cell r="U56">
            <v>1</v>
          </cell>
          <cell r="V56" t="str">
            <v>3.00 * 1.00</v>
          </cell>
        </row>
        <row r="57">
          <cell r="A57" t="str">
            <v>SCL 0033A</v>
          </cell>
          <cell r="B57" t="str">
            <v>Aeropuerto</v>
          </cell>
          <cell r="D57" t="str">
            <v>Cajas de luz</v>
          </cell>
          <cell r="E57" t="str">
            <v>Cajas de luz</v>
          </cell>
          <cell r="F57" t="str">
            <v>3.00 * 1.00</v>
          </cell>
          <cell r="G57" t="str">
            <v>3.20 * 1.20</v>
          </cell>
          <cell r="H57" t="str">
            <v>Y</v>
          </cell>
          <cell r="I57" t="str">
            <v>INTERIOR PASILLO</v>
          </cell>
          <cell r="J57">
            <v>0</v>
          </cell>
          <cell r="K57">
            <v>0</v>
          </cell>
          <cell r="L57">
            <v>900000</v>
          </cell>
          <cell r="M57" t="str">
            <v>AEROPUERTO INTERNACIONAL ARTURO MERINO B</v>
          </cell>
          <cell r="P57" t="str">
            <v>PUDAHUEL</v>
          </cell>
          <cell r="Q57" t="str">
            <v>TRADICIONAL</v>
          </cell>
          <cell r="R57" t="str">
            <v>Aeropuerto - Santiago</v>
          </cell>
          <cell r="S57" t="str">
            <v>SCL</v>
          </cell>
          <cell r="T57" t="str">
            <v>Cajas de luz</v>
          </cell>
          <cell r="U57">
            <v>1</v>
          </cell>
          <cell r="V57" t="str">
            <v>3.00 * 1.00</v>
          </cell>
        </row>
        <row r="58">
          <cell r="A58" t="str">
            <v>SCL 0034A</v>
          </cell>
          <cell r="B58" t="str">
            <v>Aeropuerto</v>
          </cell>
          <cell r="D58" t="str">
            <v>Cajas de luz</v>
          </cell>
          <cell r="E58" t="str">
            <v>Cajas de luz</v>
          </cell>
          <cell r="F58" t="str">
            <v>3.00 * 1.00</v>
          </cell>
          <cell r="G58" t="str">
            <v>3.20 * 1.20</v>
          </cell>
          <cell r="H58" t="str">
            <v>Y</v>
          </cell>
          <cell r="I58" t="str">
            <v>INTERIOR PASILLO</v>
          </cell>
          <cell r="J58">
            <v>0</v>
          </cell>
          <cell r="K58">
            <v>0</v>
          </cell>
          <cell r="L58">
            <v>900000</v>
          </cell>
          <cell r="M58" t="str">
            <v>AEROPUERTO INTERNACIONAL ARTURO MERINO B</v>
          </cell>
          <cell r="P58" t="str">
            <v>PUDAHUEL</v>
          </cell>
          <cell r="Q58" t="str">
            <v>TRADICIONAL</v>
          </cell>
          <cell r="R58" t="str">
            <v>Aeropuerto - Santiago</v>
          </cell>
          <cell r="S58" t="str">
            <v>SCL</v>
          </cell>
          <cell r="T58" t="str">
            <v>Cajas de luz</v>
          </cell>
          <cell r="U58">
            <v>1</v>
          </cell>
          <cell r="V58" t="str">
            <v>3.00 * 1.00</v>
          </cell>
        </row>
        <row r="59">
          <cell r="A59" t="str">
            <v>SCL 0035A</v>
          </cell>
          <cell r="B59" t="str">
            <v>Aeropuerto</v>
          </cell>
          <cell r="D59" t="str">
            <v>Cajas de luz</v>
          </cell>
          <cell r="E59" t="str">
            <v>Cajas de luz</v>
          </cell>
          <cell r="F59" t="str">
            <v>3.00 * 1.00</v>
          </cell>
          <cell r="G59" t="str">
            <v>3.20 * 1.20</v>
          </cell>
          <cell r="H59" t="str">
            <v>Y</v>
          </cell>
          <cell r="I59" t="str">
            <v>INTERIOR PASILLO</v>
          </cell>
          <cell r="J59">
            <v>0</v>
          </cell>
          <cell r="K59">
            <v>0</v>
          </cell>
          <cell r="L59">
            <v>900000</v>
          </cell>
          <cell r="M59" t="str">
            <v>AEROPUERTO INTERNACIONAL ARTURO MERINO B</v>
          </cell>
          <cell r="P59" t="str">
            <v>PUDAHUEL</v>
          </cell>
          <cell r="Q59" t="str">
            <v>TRADICIONAL</v>
          </cell>
          <cell r="R59" t="str">
            <v>Aeropuerto - Santiago</v>
          </cell>
          <cell r="S59" t="str">
            <v>SCL</v>
          </cell>
          <cell r="T59" t="str">
            <v>Cajas de luz</v>
          </cell>
          <cell r="U59">
            <v>1</v>
          </cell>
          <cell r="V59" t="str">
            <v>3.00 * 1.00</v>
          </cell>
        </row>
        <row r="60">
          <cell r="A60" t="str">
            <v>SCL 0036A</v>
          </cell>
          <cell r="B60" t="str">
            <v>Aeropuerto</v>
          </cell>
          <cell r="D60" t="str">
            <v>Cajas de luz</v>
          </cell>
          <cell r="E60" t="str">
            <v>Cajas de luz</v>
          </cell>
          <cell r="F60" t="str">
            <v>3.00 * 1.00</v>
          </cell>
          <cell r="G60" t="str">
            <v>3.20 * 1.20</v>
          </cell>
          <cell r="H60" t="str">
            <v>Y</v>
          </cell>
          <cell r="I60" t="str">
            <v>INTERIOR PASILLO</v>
          </cell>
          <cell r="J60">
            <v>0</v>
          </cell>
          <cell r="K60">
            <v>0</v>
          </cell>
          <cell r="L60">
            <v>900000</v>
          </cell>
          <cell r="M60" t="str">
            <v>AEROPUERTO INTERNACIONAL ARTURO MERINO B</v>
          </cell>
          <cell r="P60" t="str">
            <v>PUDAHUEL</v>
          </cell>
          <cell r="Q60" t="str">
            <v>TRADICIONAL</v>
          </cell>
          <cell r="R60" t="str">
            <v>Aeropuerto - Santiago</v>
          </cell>
          <cell r="S60" t="str">
            <v>SCL</v>
          </cell>
          <cell r="T60" t="str">
            <v>Cajas de luz</v>
          </cell>
          <cell r="U60">
            <v>1</v>
          </cell>
          <cell r="V60" t="str">
            <v>3.00 * 1.00</v>
          </cell>
        </row>
        <row r="61">
          <cell r="A61" t="str">
            <v>SCL 0037A</v>
          </cell>
          <cell r="B61" t="str">
            <v>Aeropuerto</v>
          </cell>
          <cell r="D61" t="str">
            <v>Cajas de luz</v>
          </cell>
          <cell r="E61" t="str">
            <v>Cajas de luz</v>
          </cell>
          <cell r="F61" t="str">
            <v>3.00 * 1.00</v>
          </cell>
          <cell r="G61" t="str">
            <v>3.20 * 1.20</v>
          </cell>
          <cell r="H61" t="str">
            <v>Y</v>
          </cell>
          <cell r="I61" t="str">
            <v>INTERIOR PASILLO</v>
          </cell>
          <cell r="J61">
            <v>0</v>
          </cell>
          <cell r="K61">
            <v>0</v>
          </cell>
          <cell r="L61">
            <v>800000</v>
          </cell>
          <cell r="M61" t="str">
            <v>AEROPUERTO INTERNACIONAL ARTURO MERINO B</v>
          </cell>
          <cell r="P61" t="str">
            <v>PUDAHUEL</v>
          </cell>
          <cell r="Q61" t="str">
            <v>TRADICIONAL</v>
          </cell>
          <cell r="R61" t="str">
            <v>Aeropuerto - Santiago</v>
          </cell>
          <cell r="S61" t="str">
            <v>SCL</v>
          </cell>
          <cell r="T61" t="str">
            <v>Cajas de luz</v>
          </cell>
          <cell r="U61">
            <v>1</v>
          </cell>
          <cell r="V61" t="str">
            <v>3.00 * 1.00</v>
          </cell>
        </row>
        <row r="62">
          <cell r="A62" t="str">
            <v>SCL 0038A</v>
          </cell>
          <cell r="B62" t="str">
            <v>Aeropuerto</v>
          </cell>
          <cell r="D62" t="str">
            <v>Cajas de luz</v>
          </cell>
          <cell r="E62" t="str">
            <v>Cajas de luz</v>
          </cell>
          <cell r="F62" t="str">
            <v>3.00 * 1.00</v>
          </cell>
          <cell r="G62" t="str">
            <v>3.20 * 1.20</v>
          </cell>
          <cell r="H62" t="str">
            <v>Y</v>
          </cell>
          <cell r="I62" t="str">
            <v>INTERIOR PASILLO</v>
          </cell>
          <cell r="J62">
            <v>0</v>
          </cell>
          <cell r="K62">
            <v>0</v>
          </cell>
          <cell r="L62">
            <v>900000</v>
          </cell>
          <cell r="M62" t="str">
            <v>AEROPUERTO INTERNACIONAL ARTURO MERINO B</v>
          </cell>
          <cell r="P62" t="str">
            <v>PUDAHUEL</v>
          </cell>
          <cell r="Q62" t="str">
            <v>TRADICIONAL</v>
          </cell>
          <cell r="R62" t="str">
            <v>Aeropuerto - Santiago</v>
          </cell>
          <cell r="S62" t="str">
            <v>SCL</v>
          </cell>
          <cell r="T62" t="str">
            <v>Cajas de luz</v>
          </cell>
          <cell r="U62">
            <v>1</v>
          </cell>
          <cell r="V62" t="str">
            <v>3.00 * 1.00</v>
          </cell>
        </row>
        <row r="63">
          <cell r="A63" t="str">
            <v>SCL 0040A</v>
          </cell>
          <cell r="B63" t="str">
            <v>Aeropuerto</v>
          </cell>
          <cell r="D63" t="str">
            <v>Cajas de luz</v>
          </cell>
          <cell r="E63" t="str">
            <v>Cajas de luz</v>
          </cell>
          <cell r="F63" t="str">
            <v>3.20 * 2.50</v>
          </cell>
          <cell r="G63" t="str">
            <v>3.60 * 2.90</v>
          </cell>
          <cell r="H63" t="str">
            <v>Y</v>
          </cell>
          <cell r="I63" t="str">
            <v>INTERIOR PASILLO</v>
          </cell>
          <cell r="J63">
            <v>0</v>
          </cell>
          <cell r="K63">
            <v>0</v>
          </cell>
          <cell r="L63">
            <v>1800000</v>
          </cell>
          <cell r="M63" t="str">
            <v>AEROPUERTO INTERNACIONAL ARTURO MERINO B</v>
          </cell>
          <cell r="P63" t="str">
            <v>PUDAHUEL</v>
          </cell>
          <cell r="Q63" t="str">
            <v>TRADICIONAL</v>
          </cell>
          <cell r="R63" t="str">
            <v>Aeropuerto - Santiago</v>
          </cell>
          <cell r="S63" t="str">
            <v>SCL</v>
          </cell>
          <cell r="T63" t="str">
            <v>Cajas de luz</v>
          </cell>
          <cell r="U63">
            <v>1</v>
          </cell>
          <cell r="V63" t="str">
            <v>3.20 * 2.50</v>
          </cell>
        </row>
        <row r="64">
          <cell r="A64" t="str">
            <v>SCL 0041A</v>
          </cell>
          <cell r="B64" t="str">
            <v>Aeropuerto</v>
          </cell>
          <cell r="D64" t="str">
            <v>Cajas de luz</v>
          </cell>
          <cell r="E64" t="str">
            <v>Cajas de luz</v>
          </cell>
          <cell r="F64" t="str">
            <v>3.00 * 1.00</v>
          </cell>
          <cell r="G64" t="str">
            <v>3.20 * 1.20</v>
          </cell>
          <cell r="H64" t="str">
            <v>Y</v>
          </cell>
          <cell r="I64" t="str">
            <v>INTERIOR PASILLO</v>
          </cell>
          <cell r="J64">
            <v>0</v>
          </cell>
          <cell r="K64">
            <v>0</v>
          </cell>
          <cell r="L64">
            <v>900000</v>
          </cell>
          <cell r="M64" t="str">
            <v>AEROPUERTO INTERNACIONAL ARTURO MERINO B</v>
          </cell>
          <cell r="P64" t="str">
            <v>PUDAHUEL</v>
          </cell>
          <cell r="Q64" t="str">
            <v>TRADICIONAL</v>
          </cell>
          <cell r="R64" t="str">
            <v>Aeropuerto - Santiago</v>
          </cell>
          <cell r="S64" t="str">
            <v>SCL</v>
          </cell>
          <cell r="T64" t="str">
            <v>Cajas de luz</v>
          </cell>
          <cell r="U64">
            <v>1</v>
          </cell>
          <cell r="V64" t="str">
            <v>3.00 * 1.00</v>
          </cell>
        </row>
        <row r="65">
          <cell r="A65" t="str">
            <v>SCL 0042A</v>
          </cell>
          <cell r="B65" t="str">
            <v>Aeropuerto</v>
          </cell>
          <cell r="D65" t="str">
            <v>Cajas de luz</v>
          </cell>
          <cell r="E65" t="str">
            <v>Cajas de luz</v>
          </cell>
          <cell r="F65" t="str">
            <v>3.00 * 1.00</v>
          </cell>
          <cell r="G65" t="str">
            <v>3.20 * 1.20</v>
          </cell>
          <cell r="H65" t="str">
            <v>Y</v>
          </cell>
          <cell r="I65" t="str">
            <v>INTERIOR PASILLO</v>
          </cell>
          <cell r="J65">
            <v>0</v>
          </cell>
          <cell r="K65">
            <v>0</v>
          </cell>
          <cell r="L65">
            <v>900000</v>
          </cell>
          <cell r="M65" t="str">
            <v>AEROPUERTO INTERNACIONAL ARTURO MERINO B</v>
          </cell>
          <cell r="P65" t="str">
            <v>PUDAHUEL</v>
          </cell>
          <cell r="Q65" t="str">
            <v>TRADICIONAL</v>
          </cell>
          <cell r="R65" t="str">
            <v>Aeropuerto - Santiago</v>
          </cell>
          <cell r="S65" t="str">
            <v>SCL</v>
          </cell>
          <cell r="T65" t="str">
            <v>Cajas de luz</v>
          </cell>
          <cell r="U65">
            <v>1</v>
          </cell>
          <cell r="V65" t="str">
            <v>3.00 * 1.00</v>
          </cell>
        </row>
        <row r="66">
          <cell r="A66" t="str">
            <v>SCL 0043A</v>
          </cell>
          <cell r="B66" t="str">
            <v>Aeropuerto</v>
          </cell>
          <cell r="D66" t="str">
            <v>Cajas de luz</v>
          </cell>
          <cell r="E66" t="str">
            <v>Cajas de luz</v>
          </cell>
          <cell r="F66" t="str">
            <v>3.00 * 1.00</v>
          </cell>
          <cell r="G66" t="str">
            <v>3.20 * 1.20</v>
          </cell>
          <cell r="H66" t="str">
            <v>Y</v>
          </cell>
          <cell r="I66" t="str">
            <v>INTERIOR PASILLO</v>
          </cell>
          <cell r="J66">
            <v>0</v>
          </cell>
          <cell r="K66">
            <v>0</v>
          </cell>
          <cell r="L66">
            <v>900000</v>
          </cell>
          <cell r="M66" t="str">
            <v>AEROPUERTO INTERNACIONAL ARTURO MERINO B</v>
          </cell>
          <cell r="P66" t="str">
            <v>PUDAHUEL</v>
          </cell>
          <cell r="Q66" t="str">
            <v>TRADICIONAL</v>
          </cell>
          <cell r="R66" t="str">
            <v>Aeropuerto - Santiago</v>
          </cell>
          <cell r="S66" t="str">
            <v>SCL</v>
          </cell>
          <cell r="T66" t="str">
            <v>Cajas de luz</v>
          </cell>
          <cell r="U66">
            <v>1</v>
          </cell>
          <cell r="V66" t="str">
            <v>3.00 * 1.00</v>
          </cell>
        </row>
        <row r="67">
          <cell r="A67" t="str">
            <v>SCL 0044A</v>
          </cell>
          <cell r="B67" t="str">
            <v>Aeropuerto</v>
          </cell>
          <cell r="D67" t="str">
            <v>Cajas de luz</v>
          </cell>
          <cell r="E67" t="str">
            <v>Cajas de luz</v>
          </cell>
          <cell r="F67" t="str">
            <v>3.00 * 1.00</v>
          </cell>
          <cell r="G67" t="str">
            <v>3.20 * 1.20</v>
          </cell>
          <cell r="H67" t="str">
            <v>Y</v>
          </cell>
          <cell r="I67" t="str">
            <v>INTERIOR PASILLO</v>
          </cell>
          <cell r="J67">
            <v>0</v>
          </cell>
          <cell r="K67">
            <v>0</v>
          </cell>
          <cell r="L67">
            <v>900000</v>
          </cell>
          <cell r="M67" t="str">
            <v>AEROPUERTO INTERNACIONAL ARTURO MERINO B</v>
          </cell>
          <cell r="P67" t="str">
            <v>PUDAHUEL</v>
          </cell>
          <cell r="Q67" t="str">
            <v>TRADICIONAL</v>
          </cell>
          <cell r="R67" t="str">
            <v>Aeropuerto - Santiago</v>
          </cell>
          <cell r="S67" t="str">
            <v>SCL</v>
          </cell>
          <cell r="T67" t="str">
            <v>Cajas de luz</v>
          </cell>
          <cell r="U67">
            <v>1</v>
          </cell>
          <cell r="V67" t="str">
            <v>3.00 * 1.00</v>
          </cell>
        </row>
        <row r="68">
          <cell r="A68" t="str">
            <v>SCL 0045A</v>
          </cell>
          <cell r="B68" t="str">
            <v>Aeropuerto</v>
          </cell>
          <cell r="D68" t="str">
            <v>Cajas de luz</v>
          </cell>
          <cell r="E68" t="str">
            <v>Cajas de luz</v>
          </cell>
          <cell r="F68" t="str">
            <v>3.00 * 1.00</v>
          </cell>
          <cell r="G68" t="str">
            <v>3.20 * 1.20</v>
          </cell>
          <cell r="H68" t="str">
            <v>Y</v>
          </cell>
          <cell r="I68" t="str">
            <v>INTERIOR PASILLO</v>
          </cell>
          <cell r="J68">
            <v>0</v>
          </cell>
          <cell r="K68">
            <v>0</v>
          </cell>
          <cell r="L68">
            <v>900000</v>
          </cell>
          <cell r="M68" t="str">
            <v>AEROPUERTO INTERNACIONAL ARTURO MERINO B</v>
          </cell>
          <cell r="P68" t="str">
            <v>PUDAHUEL</v>
          </cell>
          <cell r="Q68" t="str">
            <v>TRADICIONAL</v>
          </cell>
          <cell r="R68" t="str">
            <v>Aeropuerto - Santiago</v>
          </cell>
          <cell r="S68" t="str">
            <v>SCL</v>
          </cell>
          <cell r="T68" t="str">
            <v>Cajas de luz</v>
          </cell>
          <cell r="U68">
            <v>1</v>
          </cell>
          <cell r="V68" t="str">
            <v>3.00 * 1.00</v>
          </cell>
        </row>
        <row r="69">
          <cell r="A69" t="str">
            <v>SCL 0046A</v>
          </cell>
          <cell r="B69" t="str">
            <v>Aeropuerto</v>
          </cell>
          <cell r="D69" t="str">
            <v>Cajas de luz</v>
          </cell>
          <cell r="E69" t="str">
            <v>Cajas de luz</v>
          </cell>
          <cell r="F69" t="str">
            <v>3.00 * 1.00</v>
          </cell>
          <cell r="G69" t="str">
            <v>3.20 * 1.20</v>
          </cell>
          <cell r="H69" t="str">
            <v>Y</v>
          </cell>
          <cell r="I69" t="str">
            <v>INTERIOR PASILLO</v>
          </cell>
          <cell r="J69">
            <v>0</v>
          </cell>
          <cell r="K69">
            <v>0</v>
          </cell>
          <cell r="L69">
            <v>900000</v>
          </cell>
          <cell r="M69" t="str">
            <v>AEROPUERTO INTERNACIONAL ARTURO MERINO B</v>
          </cell>
          <cell r="P69" t="str">
            <v>PUDAHUEL</v>
          </cell>
          <cell r="Q69" t="str">
            <v>TRADICIONAL</v>
          </cell>
          <cell r="R69" t="str">
            <v>Aeropuerto - Santiago</v>
          </cell>
          <cell r="S69" t="str">
            <v>SCL</v>
          </cell>
          <cell r="T69" t="str">
            <v>Cajas de luz</v>
          </cell>
          <cell r="U69">
            <v>1</v>
          </cell>
          <cell r="V69" t="str">
            <v>3.00 * 1.00</v>
          </cell>
        </row>
        <row r="70">
          <cell r="A70" t="str">
            <v>SCL 0049A</v>
          </cell>
          <cell r="B70" t="str">
            <v>Aeropuerto</v>
          </cell>
          <cell r="D70" t="str">
            <v>Cajas de luz</v>
          </cell>
          <cell r="E70" t="str">
            <v>Cajas de luz</v>
          </cell>
          <cell r="F70" t="str">
            <v>3.00 * 1.00</v>
          </cell>
          <cell r="G70" t="str">
            <v>3.20 * 1.20</v>
          </cell>
          <cell r="H70" t="str">
            <v>Y</v>
          </cell>
          <cell r="I70" t="str">
            <v>INTERIOR PASILLO</v>
          </cell>
          <cell r="J70">
            <v>0</v>
          </cell>
          <cell r="K70">
            <v>0</v>
          </cell>
          <cell r="L70">
            <v>900000</v>
          </cell>
          <cell r="M70" t="str">
            <v>AEROPUERTO INTERNACIONAL ARTURO MERINO B</v>
          </cell>
          <cell r="P70" t="str">
            <v>PUDAHUEL</v>
          </cell>
          <cell r="Q70" t="str">
            <v>TRADICIONAL</v>
          </cell>
          <cell r="R70" t="str">
            <v>Aeropuerto - Santiago</v>
          </cell>
          <cell r="S70" t="str">
            <v>SCL</v>
          </cell>
          <cell r="T70" t="str">
            <v>Cajas de luz</v>
          </cell>
          <cell r="U70">
            <v>1</v>
          </cell>
          <cell r="V70" t="str">
            <v>3.00 * 1.00</v>
          </cell>
        </row>
        <row r="71">
          <cell r="A71" t="str">
            <v>SCL 0052A</v>
          </cell>
          <cell r="B71" t="str">
            <v>Aeropuerto</v>
          </cell>
          <cell r="D71" t="str">
            <v>Cajas de luz</v>
          </cell>
          <cell r="E71" t="str">
            <v>Cajas de luz</v>
          </cell>
          <cell r="F71" t="str">
            <v>6.00 * 2.00</v>
          </cell>
          <cell r="G71" t="str">
            <v>6.20 * 2.20</v>
          </cell>
          <cell r="H71" t="str">
            <v>Y</v>
          </cell>
          <cell r="I71" t="str">
            <v>INTERIOR PASILLO</v>
          </cell>
          <cell r="J71">
            <v>0</v>
          </cell>
          <cell r="K71">
            <v>0</v>
          </cell>
          <cell r="L71">
            <v>1800000</v>
          </cell>
          <cell r="M71" t="str">
            <v>AEROPUERTO INTERNACIONAL ARTURO MERINO B</v>
          </cell>
          <cell r="P71" t="str">
            <v>PUDAHUEL</v>
          </cell>
          <cell r="Q71" t="str">
            <v>TRADICIONAL</v>
          </cell>
          <cell r="R71" t="str">
            <v>Aeropuerto - Santiago</v>
          </cell>
          <cell r="S71" t="str">
            <v>SCL</v>
          </cell>
          <cell r="T71" t="str">
            <v>Cajas de luz</v>
          </cell>
          <cell r="U71">
            <v>1</v>
          </cell>
          <cell r="V71" t="str">
            <v>6.00 * 2.00</v>
          </cell>
        </row>
        <row r="72">
          <cell r="A72" t="str">
            <v>SCL 0053A</v>
          </cell>
          <cell r="B72" t="str">
            <v>Aeropuerto</v>
          </cell>
          <cell r="D72" t="str">
            <v>Cajas de luz</v>
          </cell>
          <cell r="E72" t="str">
            <v>Cajas de luz</v>
          </cell>
          <cell r="F72" t="str">
            <v>3.00 * 1.00</v>
          </cell>
          <cell r="G72" t="str">
            <v>3.20 * 1.20</v>
          </cell>
          <cell r="H72" t="str">
            <v>Y</v>
          </cell>
          <cell r="I72" t="str">
            <v>INTERIOR PASILLO</v>
          </cell>
          <cell r="J72">
            <v>0</v>
          </cell>
          <cell r="K72">
            <v>0</v>
          </cell>
          <cell r="L72">
            <v>900000</v>
          </cell>
          <cell r="M72" t="str">
            <v>AEROPUERTO INTERNACIONAL ARTURO MERINO B</v>
          </cell>
          <cell r="P72" t="str">
            <v>PUDAHUEL</v>
          </cell>
          <cell r="Q72" t="str">
            <v>TRADICIONAL</v>
          </cell>
          <cell r="R72" t="str">
            <v>Aeropuerto - Santiago</v>
          </cell>
          <cell r="S72" t="str">
            <v>SCL</v>
          </cell>
          <cell r="T72" t="str">
            <v>Cajas de luz</v>
          </cell>
          <cell r="U72">
            <v>1</v>
          </cell>
          <cell r="V72" t="str">
            <v>3.00 * 1.00</v>
          </cell>
        </row>
        <row r="73">
          <cell r="A73" t="str">
            <v>SCL 0054A</v>
          </cell>
          <cell r="B73" t="str">
            <v>Aeropuerto</v>
          </cell>
          <cell r="D73" t="str">
            <v>Cajas de luz</v>
          </cell>
          <cell r="E73" t="str">
            <v>Cajas de luz</v>
          </cell>
          <cell r="F73" t="str">
            <v>3.00 * 1.00</v>
          </cell>
          <cell r="G73" t="str">
            <v>3.20 * 1.20</v>
          </cell>
          <cell r="H73" t="str">
            <v>Y</v>
          </cell>
          <cell r="I73" t="str">
            <v>INTERIOR PASILLO</v>
          </cell>
          <cell r="J73">
            <v>0</v>
          </cell>
          <cell r="K73">
            <v>0</v>
          </cell>
          <cell r="L73">
            <v>900000</v>
          </cell>
          <cell r="M73" t="str">
            <v>AEROPUERTO INTERNACIONAL ARTURO MERINO B</v>
          </cell>
          <cell r="P73" t="str">
            <v>PUDAHUEL</v>
          </cell>
          <cell r="Q73" t="str">
            <v>TRADICIONAL</v>
          </cell>
          <cell r="R73" t="str">
            <v>Aeropuerto - Santiago</v>
          </cell>
          <cell r="S73" t="str">
            <v>SCL</v>
          </cell>
          <cell r="T73" t="str">
            <v>Cajas de luz</v>
          </cell>
          <cell r="U73">
            <v>1</v>
          </cell>
          <cell r="V73" t="str">
            <v>3.00 * 1.00</v>
          </cell>
        </row>
        <row r="74">
          <cell r="A74" t="str">
            <v>SCL 0055A</v>
          </cell>
          <cell r="B74" t="str">
            <v>Aeropuerto</v>
          </cell>
          <cell r="D74" t="str">
            <v>Cajas de luz</v>
          </cell>
          <cell r="E74" t="str">
            <v>Cajas de luz</v>
          </cell>
          <cell r="F74" t="str">
            <v>3.00 * 1.00</v>
          </cell>
          <cell r="G74" t="str">
            <v>3.20 * 1.20</v>
          </cell>
          <cell r="H74" t="str">
            <v>Y</v>
          </cell>
          <cell r="I74" t="str">
            <v>INTERIOR PASILLO</v>
          </cell>
          <cell r="J74">
            <v>0</v>
          </cell>
          <cell r="K74">
            <v>0</v>
          </cell>
          <cell r="L74">
            <v>900000</v>
          </cell>
          <cell r="M74" t="str">
            <v>AEROPUERTO INTERNACIONAL ARTURO MERINO B</v>
          </cell>
          <cell r="P74" t="str">
            <v>PUDAHUEL</v>
          </cell>
          <cell r="Q74" t="str">
            <v>TRADICIONAL</v>
          </cell>
          <cell r="R74" t="str">
            <v>Aeropuerto - Santiago</v>
          </cell>
          <cell r="S74" t="str">
            <v>SCL</v>
          </cell>
          <cell r="T74" t="str">
            <v>Cajas de luz</v>
          </cell>
          <cell r="U74">
            <v>1</v>
          </cell>
          <cell r="V74" t="str">
            <v>3.00 * 1.00</v>
          </cell>
        </row>
        <row r="75">
          <cell r="A75" t="str">
            <v>SCL 0056A</v>
          </cell>
          <cell r="B75" t="str">
            <v>Aeropuerto</v>
          </cell>
          <cell r="D75" t="str">
            <v>Cajas de luz</v>
          </cell>
          <cell r="E75" t="str">
            <v>Cajas de luz</v>
          </cell>
          <cell r="F75" t="str">
            <v>5.53 * 1.33</v>
          </cell>
          <cell r="G75" t="str">
            <v>5.73 * 1.53</v>
          </cell>
          <cell r="H75" t="str">
            <v>Y</v>
          </cell>
          <cell r="I75" t="str">
            <v>INTERIOR PASILLO</v>
          </cell>
          <cell r="J75">
            <v>0</v>
          </cell>
          <cell r="K75">
            <v>0</v>
          </cell>
          <cell r="L75">
            <v>1800000</v>
          </cell>
          <cell r="M75" t="str">
            <v>AEROPUERTO INTERNACIONAL ARTURO MERINO B</v>
          </cell>
          <cell r="P75" t="str">
            <v>PUDAHUEL</v>
          </cell>
          <cell r="Q75" t="str">
            <v>TRADICIONAL</v>
          </cell>
          <cell r="R75" t="str">
            <v>Aeropuerto - Santiago</v>
          </cell>
          <cell r="S75" t="str">
            <v>SCL</v>
          </cell>
          <cell r="T75" t="str">
            <v>Cajas de luz</v>
          </cell>
          <cell r="U75">
            <v>1</v>
          </cell>
          <cell r="V75" t="str">
            <v>5.53 * 1.33</v>
          </cell>
        </row>
        <row r="76">
          <cell r="A76" t="str">
            <v>SCL 0057A</v>
          </cell>
          <cell r="B76" t="str">
            <v>Aeropuerto</v>
          </cell>
          <cell r="D76" t="str">
            <v>Cajas de luz</v>
          </cell>
          <cell r="E76" t="str">
            <v>Cajas de luz</v>
          </cell>
          <cell r="F76" t="str">
            <v>3.00 * 1.00</v>
          </cell>
          <cell r="G76" t="str">
            <v>3.20 * 1.20</v>
          </cell>
          <cell r="H76" t="str">
            <v>Y</v>
          </cell>
          <cell r="I76" t="str">
            <v>INTERIOR PASILLO</v>
          </cell>
          <cell r="J76">
            <v>0</v>
          </cell>
          <cell r="K76">
            <v>0</v>
          </cell>
          <cell r="L76">
            <v>900000</v>
          </cell>
          <cell r="M76" t="str">
            <v>AEROPUERTO INTERNACIONAL ARTURO MERINO B</v>
          </cell>
          <cell r="P76" t="str">
            <v>PUDAHUEL</v>
          </cell>
          <cell r="Q76" t="str">
            <v>TRADICIONAL</v>
          </cell>
          <cell r="R76" t="str">
            <v>Aeropuerto - Santiago</v>
          </cell>
          <cell r="S76" t="str">
            <v>SCL</v>
          </cell>
          <cell r="T76" t="str">
            <v>Cajas de luz</v>
          </cell>
          <cell r="U76">
            <v>1</v>
          </cell>
          <cell r="V76" t="str">
            <v>3.00 * 1.00</v>
          </cell>
        </row>
        <row r="77">
          <cell r="A77" t="str">
            <v>SCL 0058A</v>
          </cell>
          <cell r="B77" t="str">
            <v>Aeropuerto</v>
          </cell>
          <cell r="D77" t="str">
            <v>Cajas de luz</v>
          </cell>
          <cell r="E77" t="str">
            <v>Cajas de luz</v>
          </cell>
          <cell r="F77" t="str">
            <v>3.00 * 1.00</v>
          </cell>
          <cell r="G77" t="str">
            <v>3.20 * 1.20</v>
          </cell>
          <cell r="H77" t="str">
            <v>Y</v>
          </cell>
          <cell r="I77" t="str">
            <v>INTERIOR PASILLO</v>
          </cell>
          <cell r="J77">
            <v>0</v>
          </cell>
          <cell r="K77">
            <v>0</v>
          </cell>
          <cell r="L77">
            <v>900000</v>
          </cell>
          <cell r="M77" t="str">
            <v>AEROPUERTO INTERNACIONAL ARTURO MERINO B</v>
          </cell>
          <cell r="P77" t="str">
            <v>PUDAHUEL</v>
          </cell>
          <cell r="Q77" t="str">
            <v>TRADICIONAL</v>
          </cell>
          <cell r="R77" t="str">
            <v>Aeropuerto - Santiago</v>
          </cell>
          <cell r="S77" t="str">
            <v>SCL</v>
          </cell>
          <cell r="T77" t="str">
            <v>Cajas de luz</v>
          </cell>
          <cell r="U77">
            <v>1</v>
          </cell>
          <cell r="V77" t="str">
            <v>3.00 * 1.00</v>
          </cell>
        </row>
        <row r="78">
          <cell r="A78" t="str">
            <v>SCL 0059A</v>
          </cell>
          <cell r="B78" t="str">
            <v>Aeropuerto</v>
          </cell>
          <cell r="D78" t="str">
            <v>Cajas de luz</v>
          </cell>
          <cell r="E78" t="str">
            <v>Cajas de luz</v>
          </cell>
          <cell r="F78" t="str">
            <v>3.00 * 1.00</v>
          </cell>
          <cell r="G78" t="str">
            <v>3.20 * 1.20</v>
          </cell>
          <cell r="H78" t="str">
            <v>Y</v>
          </cell>
          <cell r="I78" t="str">
            <v>INTERIOR PASILLO</v>
          </cell>
          <cell r="J78">
            <v>0</v>
          </cell>
          <cell r="K78">
            <v>0</v>
          </cell>
          <cell r="L78">
            <v>900000</v>
          </cell>
          <cell r="M78" t="str">
            <v>AEROPUERTO INTERNACIONAL ARTURO MERINO B</v>
          </cell>
          <cell r="P78" t="str">
            <v>PUDAHUEL</v>
          </cell>
          <cell r="Q78" t="str">
            <v>TRADICIONAL</v>
          </cell>
          <cell r="R78" t="str">
            <v>Aeropuerto - Santiago</v>
          </cell>
          <cell r="S78" t="str">
            <v>SCL</v>
          </cell>
          <cell r="T78" t="str">
            <v>Cajas de luz</v>
          </cell>
          <cell r="U78">
            <v>1</v>
          </cell>
          <cell r="V78" t="str">
            <v>3.00 * 1.00</v>
          </cell>
        </row>
        <row r="79">
          <cell r="A79" t="str">
            <v>SCL 0060A</v>
          </cell>
          <cell r="B79" t="str">
            <v>Aeropuerto</v>
          </cell>
          <cell r="D79" t="str">
            <v>Cajas de luz</v>
          </cell>
          <cell r="E79" t="str">
            <v>Cajas de luz</v>
          </cell>
          <cell r="F79" t="str">
            <v>3.00 * 1.00</v>
          </cell>
          <cell r="G79" t="str">
            <v>3.00 * 1.00</v>
          </cell>
          <cell r="H79" t="str">
            <v>Y</v>
          </cell>
          <cell r="I79" t="str">
            <v>INTERIOR PASILLO</v>
          </cell>
          <cell r="J79">
            <v>0</v>
          </cell>
          <cell r="K79">
            <v>0</v>
          </cell>
          <cell r="L79">
            <v>900000</v>
          </cell>
          <cell r="M79" t="str">
            <v>AEROPUERTO INTERNACIONAL ARTURO MERINO B</v>
          </cell>
          <cell r="P79" t="str">
            <v>PUDAHUEL</v>
          </cell>
          <cell r="Q79" t="str">
            <v>TRADICIONAL</v>
          </cell>
          <cell r="R79" t="str">
            <v>Aeropuerto - Santiago</v>
          </cell>
          <cell r="S79" t="str">
            <v>SCL</v>
          </cell>
          <cell r="T79" t="str">
            <v>Cajas de luz</v>
          </cell>
          <cell r="U79">
            <v>1</v>
          </cell>
          <cell r="V79" t="str">
            <v>3.00 * 1.00</v>
          </cell>
        </row>
        <row r="80">
          <cell r="A80" t="str">
            <v>SCL 0061A</v>
          </cell>
          <cell r="B80" t="str">
            <v>Aeropuerto</v>
          </cell>
          <cell r="D80" t="str">
            <v>Cajas de luz</v>
          </cell>
          <cell r="E80" t="str">
            <v>Cajas de luz</v>
          </cell>
          <cell r="F80" t="str">
            <v>3.00 * 1.00</v>
          </cell>
          <cell r="G80" t="str">
            <v>3.00 * 1.00</v>
          </cell>
          <cell r="H80" t="str">
            <v>Y</v>
          </cell>
          <cell r="I80" t="str">
            <v>INTERIOR PASILLO</v>
          </cell>
          <cell r="J80">
            <v>0</v>
          </cell>
          <cell r="K80">
            <v>0</v>
          </cell>
          <cell r="L80">
            <v>900000</v>
          </cell>
          <cell r="M80" t="str">
            <v>AEROPUERTO INTERNACIONAL ARTURO MERINO B</v>
          </cell>
          <cell r="P80" t="str">
            <v>PUDAHUEL</v>
          </cell>
          <cell r="Q80" t="str">
            <v>TRADICIONAL</v>
          </cell>
          <cell r="R80" t="str">
            <v>Aeropuerto - Santiago</v>
          </cell>
          <cell r="S80" t="str">
            <v>SCL</v>
          </cell>
          <cell r="T80" t="str">
            <v>Cajas de luz</v>
          </cell>
          <cell r="U80">
            <v>1</v>
          </cell>
          <cell r="V80" t="str">
            <v>3.00 * 1.00</v>
          </cell>
        </row>
        <row r="81">
          <cell r="A81" t="str">
            <v>SCL 0067A</v>
          </cell>
          <cell r="B81" t="str">
            <v>Aeropuerto</v>
          </cell>
          <cell r="D81" t="str">
            <v>Cajas de luz</v>
          </cell>
          <cell r="E81" t="str">
            <v>Cajas de luz</v>
          </cell>
          <cell r="F81" t="str">
            <v>3.00 * 1.00</v>
          </cell>
          <cell r="G81" t="str">
            <v>3.20 * 1.20</v>
          </cell>
          <cell r="H81" t="str">
            <v>Y</v>
          </cell>
          <cell r="I81" t="str">
            <v>INTERIOR PASILLO</v>
          </cell>
          <cell r="J81">
            <v>0</v>
          </cell>
          <cell r="K81">
            <v>0</v>
          </cell>
          <cell r="L81">
            <v>900000</v>
          </cell>
          <cell r="M81" t="str">
            <v>AEROPUERTO INTERNACIONAL ARTURO MERINO B</v>
          </cell>
          <cell r="P81" t="str">
            <v>PUDAHUEL</v>
          </cell>
          <cell r="Q81" t="str">
            <v>TRADICIONAL</v>
          </cell>
          <cell r="R81" t="str">
            <v>Aeropuerto - Santiago</v>
          </cell>
          <cell r="S81" t="str">
            <v>SCL</v>
          </cell>
          <cell r="T81" t="str">
            <v>Cajas de luz</v>
          </cell>
          <cell r="U81">
            <v>1</v>
          </cell>
          <cell r="V81" t="str">
            <v>3.00 * 1.00</v>
          </cell>
        </row>
        <row r="82">
          <cell r="A82" t="str">
            <v>SCL 0069A</v>
          </cell>
          <cell r="B82" t="str">
            <v>Aeropuerto</v>
          </cell>
          <cell r="D82" t="str">
            <v>Cajas de luz</v>
          </cell>
          <cell r="E82" t="str">
            <v>Cajas de luz</v>
          </cell>
          <cell r="F82" t="str">
            <v>3.00 * 1.00</v>
          </cell>
          <cell r="G82" t="str">
            <v>3.20 * 1.20</v>
          </cell>
          <cell r="H82" t="str">
            <v>Y</v>
          </cell>
          <cell r="I82" t="str">
            <v>INTERIOR PASILLO</v>
          </cell>
          <cell r="J82">
            <v>0</v>
          </cell>
          <cell r="K82">
            <v>0</v>
          </cell>
          <cell r="L82">
            <v>900000</v>
          </cell>
          <cell r="M82" t="str">
            <v>AEROPUERTO INTERNACIONAL ARTURO MERINO B</v>
          </cell>
          <cell r="P82" t="str">
            <v>PUDAHUEL</v>
          </cell>
          <cell r="Q82" t="str">
            <v>TRADICIONAL</v>
          </cell>
          <cell r="R82" t="str">
            <v>Aeropuerto - Santiago</v>
          </cell>
          <cell r="S82" t="str">
            <v>SCL</v>
          </cell>
          <cell r="T82" t="str">
            <v>Cajas de luz</v>
          </cell>
          <cell r="U82">
            <v>1</v>
          </cell>
          <cell r="V82" t="str">
            <v>3.00 * 1.00</v>
          </cell>
        </row>
        <row r="83">
          <cell r="A83" t="str">
            <v>SCL 0070A</v>
          </cell>
          <cell r="B83" t="str">
            <v>Aeropuerto</v>
          </cell>
          <cell r="D83" t="str">
            <v>Cajas de luz</v>
          </cell>
          <cell r="E83" t="str">
            <v>Cajas de luz</v>
          </cell>
          <cell r="F83" t="str">
            <v>3.00 * 1.00</v>
          </cell>
          <cell r="G83" t="str">
            <v>3.20 * 1.20</v>
          </cell>
          <cell r="H83" t="str">
            <v>Y</v>
          </cell>
          <cell r="I83" t="str">
            <v>INTERIOR PASILLO</v>
          </cell>
          <cell r="J83">
            <v>0</v>
          </cell>
          <cell r="K83">
            <v>0</v>
          </cell>
          <cell r="L83">
            <v>900000</v>
          </cell>
          <cell r="M83" t="str">
            <v>AEROPUERTO INTERNACIONAL ARTURO MERINO B</v>
          </cell>
          <cell r="P83" t="str">
            <v>PUDAHUEL</v>
          </cell>
          <cell r="Q83" t="str">
            <v>TRADICIONAL</v>
          </cell>
          <cell r="R83" t="str">
            <v>Aeropuerto - Santiago</v>
          </cell>
          <cell r="S83" t="str">
            <v>SCL</v>
          </cell>
          <cell r="T83" t="str">
            <v>Cajas de luz</v>
          </cell>
          <cell r="U83">
            <v>1</v>
          </cell>
          <cell r="V83" t="str">
            <v>3.00 * 1.00</v>
          </cell>
        </row>
        <row r="84">
          <cell r="A84" t="str">
            <v>SCL 0071A</v>
          </cell>
          <cell r="B84" t="str">
            <v>Aeropuerto</v>
          </cell>
          <cell r="D84" t="str">
            <v>Cajas de luz</v>
          </cell>
          <cell r="E84" t="str">
            <v>Cajas de luz</v>
          </cell>
          <cell r="F84" t="str">
            <v>3.00 * 1.00</v>
          </cell>
          <cell r="G84" t="str">
            <v>3.20 * 1.20</v>
          </cell>
          <cell r="H84" t="str">
            <v>Y</v>
          </cell>
          <cell r="I84" t="str">
            <v>INTERIOR PASILLO</v>
          </cell>
          <cell r="J84">
            <v>0</v>
          </cell>
          <cell r="K84">
            <v>0</v>
          </cell>
          <cell r="L84">
            <v>900000</v>
          </cell>
          <cell r="M84" t="str">
            <v>AEROPUERTO INTERNACIONAL ARTURO MERINO B</v>
          </cell>
          <cell r="P84" t="str">
            <v>PUDAHUEL</v>
          </cell>
          <cell r="Q84" t="str">
            <v>TRADICIONAL</v>
          </cell>
          <cell r="R84" t="str">
            <v>Aeropuerto - Santiago</v>
          </cell>
          <cell r="S84" t="str">
            <v>SCL</v>
          </cell>
          <cell r="T84" t="str">
            <v>Cajas de luz</v>
          </cell>
          <cell r="U84">
            <v>1</v>
          </cell>
          <cell r="V84" t="str">
            <v>3.00 * 1.00</v>
          </cell>
        </row>
        <row r="85">
          <cell r="A85" t="str">
            <v>SCL 0072A</v>
          </cell>
          <cell r="B85" t="str">
            <v>Aeropuerto</v>
          </cell>
          <cell r="D85" t="str">
            <v>Cajas de luz</v>
          </cell>
          <cell r="E85" t="str">
            <v>Cajas de luz</v>
          </cell>
          <cell r="F85" t="str">
            <v>3.00 * 1.00</v>
          </cell>
          <cell r="G85" t="str">
            <v>3.20 * 1.20</v>
          </cell>
          <cell r="H85" t="str">
            <v>Y</v>
          </cell>
          <cell r="I85" t="str">
            <v>INTERIOR PASILLO</v>
          </cell>
          <cell r="J85">
            <v>0</v>
          </cell>
          <cell r="K85">
            <v>0</v>
          </cell>
          <cell r="L85">
            <v>900000</v>
          </cell>
          <cell r="M85" t="str">
            <v>AEROPUERTO INTERNACIONAL ARTURO MERINO B</v>
          </cell>
          <cell r="P85" t="str">
            <v>PUDAHUEL</v>
          </cell>
          <cell r="Q85" t="str">
            <v>TRADICIONAL</v>
          </cell>
          <cell r="R85" t="str">
            <v>Aeropuerto - Santiago</v>
          </cell>
          <cell r="S85" t="str">
            <v>SCL</v>
          </cell>
          <cell r="T85" t="str">
            <v>Cajas de luz</v>
          </cell>
          <cell r="U85">
            <v>1</v>
          </cell>
          <cell r="V85" t="str">
            <v>3.00 * 1.00</v>
          </cell>
        </row>
        <row r="86">
          <cell r="A86" t="str">
            <v>SCL 0073A</v>
          </cell>
          <cell r="B86" t="str">
            <v>Aeropuerto</v>
          </cell>
          <cell r="D86" t="str">
            <v>Cajas de luz</v>
          </cell>
          <cell r="E86" t="str">
            <v>Cajas de luz</v>
          </cell>
          <cell r="F86" t="str">
            <v>3.00 * 1.00</v>
          </cell>
          <cell r="G86" t="str">
            <v>3.20 * 1.20</v>
          </cell>
          <cell r="H86" t="str">
            <v>Y</v>
          </cell>
          <cell r="I86" t="str">
            <v>INTERIOR PASILLO</v>
          </cell>
          <cell r="J86">
            <v>0</v>
          </cell>
          <cell r="K86">
            <v>0</v>
          </cell>
          <cell r="L86">
            <v>900000</v>
          </cell>
          <cell r="M86" t="str">
            <v>AEROPUERTO INTERNACIONAL ARTURO MERINO B</v>
          </cell>
          <cell r="P86" t="str">
            <v>PUDAHUEL</v>
          </cell>
          <cell r="Q86" t="str">
            <v>TRADICIONAL</v>
          </cell>
          <cell r="R86" t="str">
            <v>Aeropuerto - Santiago</v>
          </cell>
          <cell r="S86" t="str">
            <v>SCL</v>
          </cell>
          <cell r="T86" t="str">
            <v>Cajas de luz</v>
          </cell>
          <cell r="U86">
            <v>1</v>
          </cell>
          <cell r="V86" t="str">
            <v>3.00 * 1.00</v>
          </cell>
        </row>
        <row r="87">
          <cell r="A87" t="str">
            <v>SCL 0074A</v>
          </cell>
          <cell r="B87" t="str">
            <v>Aeropuerto</v>
          </cell>
          <cell r="D87" t="str">
            <v>Cajas de luz</v>
          </cell>
          <cell r="E87" t="str">
            <v>Cajas de luz</v>
          </cell>
          <cell r="F87" t="str">
            <v>3.00 * 1.00</v>
          </cell>
          <cell r="G87" t="str">
            <v>3.20 * 1.20</v>
          </cell>
          <cell r="H87" t="str">
            <v>Y</v>
          </cell>
          <cell r="I87" t="str">
            <v>INTERIOR PASILLO</v>
          </cell>
          <cell r="J87">
            <v>0</v>
          </cell>
          <cell r="K87">
            <v>0</v>
          </cell>
          <cell r="L87">
            <v>900000</v>
          </cell>
          <cell r="M87" t="str">
            <v>AEROPUERTO INTERNACIONAL ARTURO MERINO B</v>
          </cell>
          <cell r="P87" t="str">
            <v>PUDAHUEL</v>
          </cell>
          <cell r="Q87" t="str">
            <v>TRADICIONAL</v>
          </cell>
          <cell r="R87" t="str">
            <v>Aeropuerto - Santiago</v>
          </cell>
          <cell r="S87" t="str">
            <v>SCL</v>
          </cell>
          <cell r="T87" t="str">
            <v>Cajas de luz</v>
          </cell>
          <cell r="U87">
            <v>1</v>
          </cell>
          <cell r="V87" t="str">
            <v>3.00 * 1.00</v>
          </cell>
        </row>
        <row r="88">
          <cell r="A88" t="str">
            <v>SCL 0076A</v>
          </cell>
          <cell r="B88" t="str">
            <v>Aeropuerto</v>
          </cell>
          <cell r="D88" t="str">
            <v>Cajas de luz</v>
          </cell>
          <cell r="E88" t="str">
            <v>Cajas de luz</v>
          </cell>
          <cell r="F88" t="str">
            <v>7.43 * 0.93</v>
          </cell>
          <cell r="G88" t="str">
            <v>7.70 * 1.20</v>
          </cell>
          <cell r="H88" t="str">
            <v>Y</v>
          </cell>
          <cell r="I88" t="str">
            <v>INTERIOR PASILLO</v>
          </cell>
          <cell r="J88">
            <v>0</v>
          </cell>
          <cell r="K88">
            <v>0</v>
          </cell>
          <cell r="L88">
            <v>1800000</v>
          </cell>
          <cell r="M88" t="str">
            <v>AEROPUERTO INTERNACIONAL ARTURO MERINO B</v>
          </cell>
          <cell r="P88" t="str">
            <v>PUDAHUEL</v>
          </cell>
          <cell r="Q88" t="str">
            <v>TRADICIONAL</v>
          </cell>
          <cell r="R88" t="str">
            <v>Aeropuerto - Santiago</v>
          </cell>
          <cell r="S88" t="str">
            <v>SCL</v>
          </cell>
          <cell r="T88" t="str">
            <v>Cajas de luz</v>
          </cell>
          <cell r="U88">
            <v>1</v>
          </cell>
          <cell r="V88" t="str">
            <v>7.43 * 0.93</v>
          </cell>
        </row>
        <row r="89">
          <cell r="A89" t="str">
            <v>SCL 0077A</v>
          </cell>
          <cell r="B89" t="str">
            <v>Aeropuerto</v>
          </cell>
          <cell r="D89" t="str">
            <v>Cajas de luz</v>
          </cell>
          <cell r="E89" t="str">
            <v>Cajas de luz</v>
          </cell>
          <cell r="F89" t="str">
            <v>3.00 * 1.00</v>
          </cell>
          <cell r="G89" t="str">
            <v>3.20 * 1.20</v>
          </cell>
          <cell r="H89" t="str">
            <v>Y</v>
          </cell>
          <cell r="I89" t="str">
            <v>INTERIOR PASILLO</v>
          </cell>
          <cell r="J89">
            <v>0</v>
          </cell>
          <cell r="K89">
            <v>0</v>
          </cell>
          <cell r="L89">
            <v>900000</v>
          </cell>
          <cell r="M89" t="str">
            <v>AEROPUERTO INTERNACIONAL ARTURO MERINO B</v>
          </cell>
          <cell r="P89" t="str">
            <v>PUDAHUEL</v>
          </cell>
          <cell r="Q89" t="str">
            <v>TRADICIONAL</v>
          </cell>
          <cell r="R89" t="str">
            <v>Aeropuerto - Santiago</v>
          </cell>
          <cell r="S89" t="str">
            <v>SCL</v>
          </cell>
          <cell r="T89" t="str">
            <v>Cajas de luz</v>
          </cell>
          <cell r="U89">
            <v>1</v>
          </cell>
          <cell r="V89" t="str">
            <v>3.00 * 1.00</v>
          </cell>
        </row>
        <row r="90">
          <cell r="A90" t="str">
            <v>SCL 0079A</v>
          </cell>
          <cell r="B90" t="str">
            <v>Aeropuerto</v>
          </cell>
          <cell r="D90" t="str">
            <v>Unipoles</v>
          </cell>
          <cell r="E90" t="str">
            <v>CARA FIJA</v>
          </cell>
          <cell r="F90" t="str">
            <v>12.00 * 4.00</v>
          </cell>
          <cell r="G90" t="str">
            <v>12.30 * 4.30</v>
          </cell>
          <cell r="H90" t="str">
            <v>E</v>
          </cell>
          <cell r="I90" t="str">
            <v>ESTACIONAMIENTOS</v>
          </cell>
          <cell r="J90">
            <v>0</v>
          </cell>
          <cell r="K90">
            <v>0</v>
          </cell>
          <cell r="L90">
            <v>2300000</v>
          </cell>
          <cell r="M90" t="str">
            <v>AEROPUERTO INTERNACIONAL ARTURO MERINO B</v>
          </cell>
          <cell r="P90" t="str">
            <v>PUDAHUEL</v>
          </cell>
          <cell r="Q90" t="str">
            <v>TRADICIONAL</v>
          </cell>
          <cell r="R90" t="str">
            <v>Aeropuerto - Santiago</v>
          </cell>
          <cell r="S90" t="str">
            <v>SCL</v>
          </cell>
          <cell r="T90" t="str">
            <v>Unipoles</v>
          </cell>
          <cell r="U90">
            <v>1</v>
          </cell>
          <cell r="V90" t="str">
            <v>12.00 * 4.00</v>
          </cell>
        </row>
        <row r="91">
          <cell r="A91" t="str">
            <v>SCL 0080A</v>
          </cell>
          <cell r="B91" t="str">
            <v>Aeropuerto</v>
          </cell>
          <cell r="D91" t="str">
            <v>Unipoles</v>
          </cell>
          <cell r="E91" t="str">
            <v>CARA FIJA</v>
          </cell>
          <cell r="F91" t="str">
            <v>12.00 * 4.00</v>
          </cell>
          <cell r="G91" t="str">
            <v>12.30 * 4.30</v>
          </cell>
          <cell r="H91" t="str">
            <v>E</v>
          </cell>
          <cell r="I91" t="str">
            <v>ESTACIONAMIENTOS</v>
          </cell>
          <cell r="J91">
            <v>0</v>
          </cell>
          <cell r="K91">
            <v>0</v>
          </cell>
          <cell r="L91">
            <v>2300000</v>
          </cell>
          <cell r="M91" t="str">
            <v>AEROPUERTO INTERNACIONAL ARTURO MERINO B</v>
          </cell>
          <cell r="P91" t="str">
            <v>PUDAHUEL</v>
          </cell>
          <cell r="Q91" t="str">
            <v>TRADICIONAL</v>
          </cell>
          <cell r="R91" t="str">
            <v>Aeropuerto - Santiago</v>
          </cell>
          <cell r="S91" t="str">
            <v>SCL</v>
          </cell>
          <cell r="T91" t="str">
            <v>Unipoles</v>
          </cell>
          <cell r="U91">
            <v>1</v>
          </cell>
          <cell r="V91" t="str">
            <v>12.00 * 4.00</v>
          </cell>
        </row>
        <row r="92">
          <cell r="A92" t="str">
            <v>SCL 0081A</v>
          </cell>
          <cell r="B92" t="str">
            <v>Aeropuerto</v>
          </cell>
          <cell r="D92" t="str">
            <v>Unipoles</v>
          </cell>
          <cell r="E92" t="str">
            <v>PRISMA</v>
          </cell>
          <cell r="F92" t="str">
            <v>12.00 * 4.00</v>
          </cell>
          <cell r="G92" t="str">
            <v>12.00 * 4.00</v>
          </cell>
          <cell r="H92" t="str">
            <v>E</v>
          </cell>
          <cell r="I92" t="str">
            <v>ESTACIONAMIENTOS</v>
          </cell>
          <cell r="J92">
            <v>0</v>
          </cell>
          <cell r="K92">
            <v>0</v>
          </cell>
          <cell r="L92">
            <v>1000000</v>
          </cell>
          <cell r="M92" t="str">
            <v>AEROPUERTO INTERNACIONAL ARTURO MERINO B</v>
          </cell>
          <cell r="P92" t="str">
            <v>PUDAHUEL</v>
          </cell>
          <cell r="Q92" t="str">
            <v>TRADICIONAL</v>
          </cell>
          <cell r="R92" t="str">
            <v>Aeropuerto - Santiago</v>
          </cell>
          <cell r="S92" t="str">
            <v>SCL</v>
          </cell>
          <cell r="T92" t="str">
            <v>Unipoles</v>
          </cell>
          <cell r="U92">
            <v>1</v>
          </cell>
          <cell r="V92" t="str">
            <v>12.00 * 4.00</v>
          </cell>
        </row>
        <row r="93">
          <cell r="A93" t="str">
            <v>SCL 0081B</v>
          </cell>
          <cell r="B93" t="str">
            <v>Aeropuerto</v>
          </cell>
          <cell r="D93" t="str">
            <v>Unipoles</v>
          </cell>
          <cell r="E93" t="str">
            <v>PRISMA</v>
          </cell>
          <cell r="F93" t="str">
            <v>12.00 * 4.00</v>
          </cell>
          <cell r="G93" t="str">
            <v>12.00 * 4.00</v>
          </cell>
          <cell r="H93" t="str">
            <v>E</v>
          </cell>
          <cell r="I93" t="str">
            <v>ESTACIONAMIENTOS</v>
          </cell>
          <cell r="J93">
            <v>0</v>
          </cell>
          <cell r="K93">
            <v>0</v>
          </cell>
          <cell r="L93">
            <v>1000000</v>
          </cell>
          <cell r="M93" t="str">
            <v>AEROPUERTO INTERNACIONAL ARTURO MERINO B</v>
          </cell>
          <cell r="P93" t="str">
            <v>PUDAHUEL</v>
          </cell>
          <cell r="Q93" t="str">
            <v>TRADICIONAL</v>
          </cell>
          <cell r="R93" t="str">
            <v>Aeropuerto - Santiago</v>
          </cell>
          <cell r="S93" t="str">
            <v>SCL</v>
          </cell>
          <cell r="T93" t="str">
            <v>Unipoles</v>
          </cell>
          <cell r="U93">
            <v>1</v>
          </cell>
          <cell r="V93" t="str">
            <v>12.00 * 4.00</v>
          </cell>
        </row>
        <row r="94">
          <cell r="A94" t="str">
            <v>SCL 0081C</v>
          </cell>
          <cell r="B94" t="str">
            <v>Aeropuerto</v>
          </cell>
          <cell r="D94" t="str">
            <v>Unipoles</v>
          </cell>
          <cell r="E94" t="str">
            <v>PRISMA</v>
          </cell>
          <cell r="F94" t="str">
            <v>12.00 * 4.00</v>
          </cell>
          <cell r="G94" t="str">
            <v>12.00 * 4.00</v>
          </cell>
          <cell r="H94" t="str">
            <v>E</v>
          </cell>
          <cell r="I94" t="str">
            <v>ESTACIONAMIENTOS</v>
          </cell>
          <cell r="J94">
            <v>0</v>
          </cell>
          <cell r="K94">
            <v>0</v>
          </cell>
          <cell r="L94">
            <v>1000000</v>
          </cell>
          <cell r="M94" t="str">
            <v>AEROPUERTO INTERNACIONAL ARTURO MERINO B</v>
          </cell>
          <cell r="P94" t="str">
            <v>PUDAHUEL</v>
          </cell>
          <cell r="Q94" t="str">
            <v>TRADICIONAL</v>
          </cell>
          <cell r="R94" t="str">
            <v>Aeropuerto - Santiago</v>
          </cell>
          <cell r="S94" t="str">
            <v>SCL</v>
          </cell>
          <cell r="T94" t="str">
            <v>Unipoles</v>
          </cell>
          <cell r="U94">
            <v>1</v>
          </cell>
          <cell r="V94" t="str">
            <v>12.00 * 4.00</v>
          </cell>
        </row>
        <row r="95">
          <cell r="A95" t="str">
            <v>SCL 0082A</v>
          </cell>
          <cell r="B95" t="str">
            <v>Aeropuerto</v>
          </cell>
          <cell r="D95" t="str">
            <v>Unipoles</v>
          </cell>
          <cell r="E95" t="str">
            <v>CARA FIJA</v>
          </cell>
          <cell r="F95" t="str">
            <v>12.00 * 4.00</v>
          </cell>
          <cell r="G95" t="str">
            <v>12.30 * 4.30</v>
          </cell>
          <cell r="H95" t="str">
            <v>E</v>
          </cell>
          <cell r="I95" t="str">
            <v>ESTACIONAMIENTOS</v>
          </cell>
          <cell r="J95">
            <v>0</v>
          </cell>
          <cell r="K95">
            <v>0</v>
          </cell>
          <cell r="L95">
            <v>2300000</v>
          </cell>
          <cell r="M95" t="str">
            <v>AEROPUERTO INTERNACIONAL ARTURO MERINO B</v>
          </cell>
          <cell r="P95" t="str">
            <v>PUDAHUEL</v>
          </cell>
          <cell r="Q95" t="str">
            <v>TRADICIONAL</v>
          </cell>
          <cell r="R95" t="str">
            <v>Aeropuerto - Santiago</v>
          </cell>
          <cell r="S95" t="str">
            <v>SCL</v>
          </cell>
          <cell r="T95" t="str">
            <v>Unipoles</v>
          </cell>
          <cell r="U95">
            <v>1</v>
          </cell>
          <cell r="V95" t="str">
            <v>12.00 * 4.00</v>
          </cell>
        </row>
        <row r="96">
          <cell r="A96" t="str">
            <v>SCL 0083A</v>
          </cell>
          <cell r="B96" t="str">
            <v>Aeropuerto</v>
          </cell>
          <cell r="D96" t="str">
            <v>Unipoles</v>
          </cell>
          <cell r="E96" t="str">
            <v>CARA FIJA</v>
          </cell>
          <cell r="F96" t="str">
            <v>12.00 * 4.00</v>
          </cell>
          <cell r="G96" t="str">
            <v>12.30 * 4.30</v>
          </cell>
          <cell r="H96" t="str">
            <v>E</v>
          </cell>
          <cell r="I96" t="str">
            <v>ESTACIONAMIENTOS</v>
          </cell>
          <cell r="J96">
            <v>0</v>
          </cell>
          <cell r="K96">
            <v>0</v>
          </cell>
          <cell r="L96">
            <v>2300000</v>
          </cell>
          <cell r="M96" t="str">
            <v>AEROPUERTO INTERNACIONAL ARTURO MERINO B</v>
          </cell>
          <cell r="P96" t="str">
            <v>PUDAHUEL</v>
          </cell>
          <cell r="Q96" t="str">
            <v>TRADICIONAL</v>
          </cell>
          <cell r="R96" t="str">
            <v>Aeropuerto - Santiago</v>
          </cell>
          <cell r="S96" t="str">
            <v>SCL</v>
          </cell>
          <cell r="T96" t="str">
            <v>Unipoles</v>
          </cell>
          <cell r="U96">
            <v>1</v>
          </cell>
          <cell r="V96" t="str">
            <v>12.00 * 4.00</v>
          </cell>
        </row>
        <row r="97">
          <cell r="A97" t="str">
            <v>SCL 0084A</v>
          </cell>
          <cell r="B97" t="str">
            <v>Aeropuerto</v>
          </cell>
          <cell r="D97" t="str">
            <v>Unipoles</v>
          </cell>
          <cell r="E97" t="str">
            <v>CARA FIJA</v>
          </cell>
          <cell r="F97" t="str">
            <v>12.00 * 4.00</v>
          </cell>
          <cell r="G97" t="str">
            <v>12.30 * 4.30</v>
          </cell>
          <cell r="H97" t="str">
            <v>E</v>
          </cell>
          <cell r="I97" t="str">
            <v>ESTACIONAMIENTOS</v>
          </cell>
          <cell r="J97">
            <v>0</v>
          </cell>
          <cell r="K97">
            <v>0</v>
          </cell>
          <cell r="L97">
            <v>2300000</v>
          </cell>
          <cell r="M97" t="str">
            <v>AEROPUERTO INTERNACIONAL ARTURO MERINO B</v>
          </cell>
          <cell r="P97" t="str">
            <v>PUDAHUEL</v>
          </cell>
          <cell r="Q97" t="str">
            <v>TRADICIONAL</v>
          </cell>
          <cell r="R97" t="str">
            <v>Aeropuerto - Santiago</v>
          </cell>
          <cell r="S97" t="str">
            <v>SCL</v>
          </cell>
          <cell r="T97" t="str">
            <v>Unipoles</v>
          </cell>
          <cell r="U97">
            <v>1</v>
          </cell>
          <cell r="V97" t="str">
            <v>12.00 * 4.00</v>
          </cell>
        </row>
        <row r="98">
          <cell r="A98" t="str">
            <v>SCL 0085A</v>
          </cell>
          <cell r="B98" t="str">
            <v>Aeropuerto</v>
          </cell>
          <cell r="D98" t="str">
            <v>Unipoles</v>
          </cell>
          <cell r="E98" t="str">
            <v>CARA FIJA</v>
          </cell>
          <cell r="F98" t="str">
            <v>12.00 * 4.00</v>
          </cell>
          <cell r="G98" t="str">
            <v>12.30 * 4.30</v>
          </cell>
          <cell r="H98" t="str">
            <v>E</v>
          </cell>
          <cell r="I98" t="str">
            <v>ESTACIONAMIENTOS</v>
          </cell>
          <cell r="J98">
            <v>0</v>
          </cell>
          <cell r="K98">
            <v>0</v>
          </cell>
          <cell r="L98">
            <v>2300000</v>
          </cell>
          <cell r="M98" t="str">
            <v>AEROPUERTO INTERNACIONAL ARTURO MERINO B</v>
          </cell>
          <cell r="P98" t="str">
            <v>PUDAHUEL</v>
          </cell>
          <cell r="Q98" t="str">
            <v>TRADICIONAL</v>
          </cell>
          <cell r="R98" t="str">
            <v>Aeropuerto - Santiago</v>
          </cell>
          <cell r="S98" t="str">
            <v>SCL</v>
          </cell>
          <cell r="T98" t="str">
            <v>Unipoles</v>
          </cell>
          <cell r="U98">
            <v>1</v>
          </cell>
          <cell r="V98" t="str">
            <v>12.00 * 4.00</v>
          </cell>
        </row>
        <row r="99">
          <cell r="A99" t="str">
            <v>SCL 0086A</v>
          </cell>
          <cell r="B99" t="str">
            <v>Aeropuerto</v>
          </cell>
          <cell r="D99" t="str">
            <v>Unipoles</v>
          </cell>
          <cell r="E99" t="str">
            <v>PRISMA</v>
          </cell>
          <cell r="F99" t="str">
            <v>12.00 * 4.00</v>
          </cell>
          <cell r="G99" t="str">
            <v>12.00 * 4.00</v>
          </cell>
          <cell r="H99" t="str">
            <v>E</v>
          </cell>
          <cell r="I99" t="str">
            <v>ESTACIONAMIENTOS</v>
          </cell>
          <cell r="J99">
            <v>0</v>
          </cell>
          <cell r="K99">
            <v>0</v>
          </cell>
          <cell r="L99">
            <v>1000000</v>
          </cell>
          <cell r="M99" t="str">
            <v>AEROPUERTO INTERNACIONAL ARTURO MERINO B</v>
          </cell>
          <cell r="P99" t="str">
            <v>PUDAHUEL</v>
          </cell>
          <cell r="Q99" t="str">
            <v>TRADICIONAL</v>
          </cell>
          <cell r="R99" t="str">
            <v>Aeropuerto - Santiago</v>
          </cell>
          <cell r="S99" t="str">
            <v>SCL</v>
          </cell>
          <cell r="T99" t="str">
            <v>Unipoles</v>
          </cell>
          <cell r="U99">
            <v>1</v>
          </cell>
          <cell r="V99" t="str">
            <v>12.00 * 4.00</v>
          </cell>
        </row>
        <row r="100">
          <cell r="A100" t="str">
            <v>SCL 0086B</v>
          </cell>
          <cell r="B100" t="str">
            <v>Aeropuerto</v>
          </cell>
          <cell r="D100" t="str">
            <v>Unipoles</v>
          </cell>
          <cell r="E100" t="str">
            <v>PRISMA</v>
          </cell>
          <cell r="F100" t="str">
            <v>12.00 * 4.00</v>
          </cell>
          <cell r="G100" t="str">
            <v>12.00 * 4.00</v>
          </cell>
          <cell r="H100" t="str">
            <v>E</v>
          </cell>
          <cell r="I100" t="str">
            <v>ESTACIONAMIENTOS</v>
          </cell>
          <cell r="J100">
            <v>0</v>
          </cell>
          <cell r="K100">
            <v>0</v>
          </cell>
          <cell r="L100">
            <v>1000000</v>
          </cell>
          <cell r="M100" t="str">
            <v>AEROPUERTO INTERNACIONAL ARTURO MERINO B</v>
          </cell>
          <cell r="P100" t="str">
            <v>PUDAHUEL</v>
          </cell>
          <cell r="Q100" t="str">
            <v>TRADICIONAL</v>
          </cell>
          <cell r="R100" t="str">
            <v>Aeropuerto - Santiago</v>
          </cell>
          <cell r="S100" t="str">
            <v>SCL</v>
          </cell>
          <cell r="T100" t="str">
            <v>Unipoles</v>
          </cell>
          <cell r="U100">
            <v>1</v>
          </cell>
          <cell r="V100" t="str">
            <v>12.00 * 4.00</v>
          </cell>
        </row>
        <row r="101">
          <cell r="A101" t="str">
            <v>SCL 0086C</v>
          </cell>
          <cell r="B101" t="str">
            <v>Aeropuerto</v>
          </cell>
          <cell r="D101" t="str">
            <v>Unipoles</v>
          </cell>
          <cell r="E101" t="str">
            <v>PRISMA</v>
          </cell>
          <cell r="F101" t="str">
            <v>12.00 * 4.00</v>
          </cell>
          <cell r="G101" t="str">
            <v>12.00 * 4.00</v>
          </cell>
          <cell r="H101" t="str">
            <v>E</v>
          </cell>
          <cell r="I101" t="str">
            <v>ESTACIONAMIENTOS</v>
          </cell>
          <cell r="J101">
            <v>0</v>
          </cell>
          <cell r="K101">
            <v>0</v>
          </cell>
          <cell r="L101">
            <v>1000000</v>
          </cell>
          <cell r="M101" t="str">
            <v>AEROPUERTO INTERNACIONAL ARTURO MERINO B</v>
          </cell>
          <cell r="P101" t="str">
            <v>PUDAHUEL</v>
          </cell>
          <cell r="Q101" t="str">
            <v>TRADICIONAL</v>
          </cell>
          <cell r="R101" t="str">
            <v>Aeropuerto - Santiago</v>
          </cell>
          <cell r="S101" t="str">
            <v>SCL</v>
          </cell>
          <cell r="T101" t="str">
            <v>Unipoles</v>
          </cell>
          <cell r="U101">
            <v>1</v>
          </cell>
          <cell r="V101" t="str">
            <v>12.00 * 4.00</v>
          </cell>
        </row>
        <row r="102">
          <cell r="A102" t="str">
            <v>SCL 0087A</v>
          </cell>
          <cell r="B102" t="str">
            <v>Aeropuerto</v>
          </cell>
          <cell r="D102" t="str">
            <v>Unipoles</v>
          </cell>
          <cell r="E102" t="str">
            <v>CARA FIJA</v>
          </cell>
          <cell r="F102" t="str">
            <v>12.00 * 4.00</v>
          </cell>
          <cell r="G102" t="str">
            <v>12.30 * 4.30</v>
          </cell>
          <cell r="H102" t="str">
            <v>E</v>
          </cell>
          <cell r="I102" t="str">
            <v>ESTACIONAMIENTOS</v>
          </cell>
          <cell r="J102">
            <v>0</v>
          </cell>
          <cell r="K102">
            <v>0</v>
          </cell>
          <cell r="L102">
            <v>2300000</v>
          </cell>
          <cell r="M102" t="str">
            <v>AEROPUERTO INTERNACIONAL ARTURO MERINO B</v>
          </cell>
          <cell r="P102" t="str">
            <v>PUDAHUEL</v>
          </cell>
          <cell r="Q102" t="str">
            <v>TRADICIONAL</v>
          </cell>
          <cell r="R102" t="str">
            <v>Aeropuerto - Santiago</v>
          </cell>
          <cell r="S102" t="str">
            <v>SCL</v>
          </cell>
          <cell r="T102" t="str">
            <v>Unipoles</v>
          </cell>
          <cell r="U102">
            <v>1</v>
          </cell>
          <cell r="V102" t="str">
            <v>12.00 * 4.00</v>
          </cell>
        </row>
        <row r="103">
          <cell r="A103" t="str">
            <v>SCL 0088A</v>
          </cell>
          <cell r="B103" t="str">
            <v>Aeropuerto</v>
          </cell>
          <cell r="D103" t="str">
            <v>P.E.: PENDONES</v>
          </cell>
          <cell r="E103" t="str">
            <v>PENDONES</v>
          </cell>
          <cell r="F103" t="str">
            <v>3.20 * 4.20</v>
          </cell>
          <cell r="G103" t="str">
            <v>3.20 * 4.20</v>
          </cell>
          <cell r="H103" t="str">
            <v>Y</v>
          </cell>
          <cell r="I103" t="str">
            <v>INTERIOR PASILLO</v>
          </cell>
          <cell r="J103">
            <v>0</v>
          </cell>
          <cell r="K103">
            <v>0</v>
          </cell>
          <cell r="L103">
            <v>2400000</v>
          </cell>
          <cell r="M103" t="str">
            <v>AEROPUERTO INTERNACIONAL ARTURO MERINO B</v>
          </cell>
          <cell r="P103" t="str">
            <v>PUDAHUEL</v>
          </cell>
          <cell r="Q103" t="str">
            <v>ESPECIAL</v>
          </cell>
          <cell r="R103" t="str">
            <v>Aeropuerto - Santiago</v>
          </cell>
          <cell r="S103" t="str">
            <v>SCL</v>
          </cell>
          <cell r="T103" t="str">
            <v>Especiales Permanentes</v>
          </cell>
          <cell r="U103">
            <v>1</v>
          </cell>
          <cell r="V103" t="str">
            <v>3.20 * 4.20</v>
          </cell>
        </row>
        <row r="104">
          <cell r="A104" t="str">
            <v>SCL 0089A</v>
          </cell>
          <cell r="B104" t="str">
            <v>Aeropuerto</v>
          </cell>
          <cell r="D104" t="str">
            <v>P.E.: PENDONES</v>
          </cell>
          <cell r="E104" t="str">
            <v>PENDONES</v>
          </cell>
          <cell r="F104" t="str">
            <v>3.20 * 4.20</v>
          </cell>
          <cell r="G104" t="str">
            <v>3.20 * 4.20</v>
          </cell>
          <cell r="H104" t="str">
            <v>Y</v>
          </cell>
          <cell r="I104" t="str">
            <v>INTERIOR PASILLO</v>
          </cell>
          <cell r="J104">
            <v>0</v>
          </cell>
          <cell r="K104">
            <v>0</v>
          </cell>
          <cell r="L104">
            <v>2400000</v>
          </cell>
          <cell r="M104" t="str">
            <v>AEROPUERTO INTERNACIONAL ARTURO MERINO B</v>
          </cell>
          <cell r="P104" t="str">
            <v>PUDAHUEL</v>
          </cell>
          <cell r="Q104" t="str">
            <v>ESPECIAL</v>
          </cell>
          <cell r="R104" t="str">
            <v>Aeropuerto - Santiago</v>
          </cell>
          <cell r="S104" t="str">
            <v>SCL</v>
          </cell>
          <cell r="T104" t="str">
            <v>Especiales Permanentes</v>
          </cell>
          <cell r="U104">
            <v>1</v>
          </cell>
          <cell r="V104" t="str">
            <v>3.20 * 4.20</v>
          </cell>
        </row>
        <row r="105">
          <cell r="A105" t="str">
            <v>SCL 0090A</v>
          </cell>
          <cell r="B105" t="str">
            <v>Aeropuerto</v>
          </cell>
          <cell r="D105" t="str">
            <v>P.E.: PENDONES</v>
          </cell>
          <cell r="E105" t="str">
            <v>PENDONES</v>
          </cell>
          <cell r="F105" t="str">
            <v>3.20 * 4.20</v>
          </cell>
          <cell r="G105" t="str">
            <v>3.20 * 4.20</v>
          </cell>
          <cell r="H105" t="str">
            <v>Y</v>
          </cell>
          <cell r="I105" t="str">
            <v>INTERIOR PASILLO</v>
          </cell>
          <cell r="J105">
            <v>0</v>
          </cell>
          <cell r="K105">
            <v>0</v>
          </cell>
          <cell r="L105">
            <v>2400000</v>
          </cell>
          <cell r="M105" t="str">
            <v>AEROPUERTO INTERNACIONAL ARTURO MERINO B</v>
          </cell>
          <cell r="P105" t="str">
            <v>PUDAHUEL</v>
          </cell>
          <cell r="Q105" t="str">
            <v>ESPECIAL</v>
          </cell>
          <cell r="R105" t="str">
            <v>Aeropuerto - Santiago</v>
          </cell>
          <cell r="S105" t="str">
            <v>SCL</v>
          </cell>
          <cell r="T105" t="str">
            <v>Especiales Permanentes</v>
          </cell>
          <cell r="U105">
            <v>1</v>
          </cell>
          <cell r="V105" t="str">
            <v>3.20 * 4.20</v>
          </cell>
        </row>
        <row r="106">
          <cell r="A106" t="str">
            <v>SCL 0091A</v>
          </cell>
          <cell r="B106" t="str">
            <v>Aeropuerto</v>
          </cell>
          <cell r="D106" t="str">
            <v>P.E.: PENDONES</v>
          </cell>
          <cell r="E106" t="str">
            <v>PENDONES</v>
          </cell>
          <cell r="F106" t="str">
            <v>3.20 * 4.20</v>
          </cell>
          <cell r="G106" t="str">
            <v>3.20 * 4.20</v>
          </cell>
          <cell r="H106" t="str">
            <v>Y</v>
          </cell>
          <cell r="I106" t="str">
            <v>INTERIOR PASILLO</v>
          </cell>
          <cell r="J106">
            <v>142500</v>
          </cell>
          <cell r="K106">
            <v>0</v>
          </cell>
          <cell r="L106">
            <v>1800000</v>
          </cell>
          <cell r="M106" t="str">
            <v>AEROPUERTO INTERNACIONAL ARTURO MERINO B</v>
          </cell>
          <cell r="P106" t="str">
            <v>PUDAHUEL</v>
          </cell>
          <cell r="Q106" t="str">
            <v>ESPECIAL</v>
          </cell>
          <cell r="R106" t="str">
            <v>Aeropuerto - Santiago</v>
          </cell>
          <cell r="S106" t="str">
            <v>SCL</v>
          </cell>
          <cell r="T106" t="str">
            <v>Especiales Permanentes</v>
          </cell>
          <cell r="U106">
            <v>1</v>
          </cell>
          <cell r="V106" t="str">
            <v>3.20 * 4.20</v>
          </cell>
        </row>
        <row r="107">
          <cell r="A107" t="str">
            <v>SCL 0092A</v>
          </cell>
          <cell r="B107" t="str">
            <v>Aeropuerto</v>
          </cell>
          <cell r="D107" t="str">
            <v>P.E.: PENDONES</v>
          </cell>
          <cell r="E107" t="str">
            <v>PENDONES</v>
          </cell>
          <cell r="F107" t="str">
            <v>3.20 * 4.20</v>
          </cell>
          <cell r="G107" t="str">
            <v>3.20 * 4.20</v>
          </cell>
          <cell r="H107" t="str">
            <v>Y</v>
          </cell>
          <cell r="I107" t="str">
            <v>INTERIOR PASILLO</v>
          </cell>
          <cell r="J107">
            <v>142500</v>
          </cell>
          <cell r="K107">
            <v>0</v>
          </cell>
          <cell r="L107">
            <v>1800000</v>
          </cell>
          <cell r="M107" t="str">
            <v>AEROPUERTO INTERNACIONAL ARTURO MERINO B</v>
          </cell>
          <cell r="P107" t="str">
            <v>PUDAHUEL</v>
          </cell>
          <cell r="Q107" t="str">
            <v>ESPECIAL</v>
          </cell>
          <cell r="R107" t="str">
            <v>Aeropuerto - Santiago</v>
          </cell>
          <cell r="S107" t="str">
            <v>SCL</v>
          </cell>
          <cell r="T107" t="str">
            <v>Especiales Permanentes</v>
          </cell>
          <cell r="U107">
            <v>1</v>
          </cell>
          <cell r="V107" t="str">
            <v>3.20 * 4.20</v>
          </cell>
        </row>
        <row r="108">
          <cell r="A108" t="str">
            <v>SCL 0093A</v>
          </cell>
          <cell r="B108" t="str">
            <v>Aeropuerto</v>
          </cell>
          <cell r="D108" t="str">
            <v>P.E.: PENDONES</v>
          </cell>
          <cell r="E108" t="str">
            <v>PENDONES</v>
          </cell>
          <cell r="F108" t="str">
            <v>3.20 * 4.20</v>
          </cell>
          <cell r="G108" t="str">
            <v>3.20 * 4.20</v>
          </cell>
          <cell r="H108" t="str">
            <v>Y</v>
          </cell>
          <cell r="I108" t="str">
            <v>INTERIOR PASILLO</v>
          </cell>
          <cell r="J108">
            <v>142500</v>
          </cell>
          <cell r="K108">
            <v>0</v>
          </cell>
          <cell r="L108">
            <v>1800000</v>
          </cell>
          <cell r="M108" t="str">
            <v>AEROPUERTO INTERNACIONAL ARTURO MERINO B</v>
          </cell>
          <cell r="P108" t="str">
            <v>PUDAHUEL</v>
          </cell>
          <cell r="Q108" t="str">
            <v>ESPECIAL</v>
          </cell>
          <cell r="R108" t="str">
            <v>Aeropuerto - Santiago</v>
          </cell>
          <cell r="S108" t="str">
            <v>SCL</v>
          </cell>
          <cell r="T108" t="str">
            <v>Especiales Permanentes</v>
          </cell>
          <cell r="U108">
            <v>1</v>
          </cell>
          <cell r="V108" t="str">
            <v>3.20 * 4.20</v>
          </cell>
        </row>
        <row r="109">
          <cell r="A109" t="str">
            <v>SCL 0094A</v>
          </cell>
          <cell r="B109" t="str">
            <v>Aeropuerto</v>
          </cell>
          <cell r="D109" t="str">
            <v>P.E.: PENDONES</v>
          </cell>
          <cell r="E109" t="str">
            <v>PENDONES</v>
          </cell>
          <cell r="F109" t="str">
            <v>3.20 * 4.20</v>
          </cell>
          <cell r="G109" t="str">
            <v>3.20 * 4.20</v>
          </cell>
          <cell r="H109" t="str">
            <v>Y</v>
          </cell>
          <cell r="I109" t="str">
            <v>INTERIOR PASILLO</v>
          </cell>
          <cell r="J109">
            <v>142500</v>
          </cell>
          <cell r="K109">
            <v>0</v>
          </cell>
          <cell r="L109">
            <v>1800000</v>
          </cell>
          <cell r="M109" t="str">
            <v>AEROPUERTO INTERNACIONAL ARTURO MERINO B</v>
          </cell>
          <cell r="P109" t="str">
            <v>PUDAHUEL</v>
          </cell>
          <cell r="Q109" t="str">
            <v>ESPECIAL</v>
          </cell>
          <cell r="R109" t="str">
            <v>Aeropuerto - Santiago</v>
          </cell>
          <cell r="S109" t="str">
            <v>SCL</v>
          </cell>
          <cell r="T109" t="str">
            <v>Especiales Permanentes</v>
          </cell>
          <cell r="U109">
            <v>1</v>
          </cell>
          <cell r="V109" t="str">
            <v>3.20 * 4.20</v>
          </cell>
        </row>
        <row r="110">
          <cell r="A110" t="str">
            <v>SCL 0095A</v>
          </cell>
          <cell r="B110" t="str">
            <v>Aeropuerto</v>
          </cell>
          <cell r="D110" t="str">
            <v>P.E.: PENDONES</v>
          </cell>
          <cell r="E110" t="str">
            <v>PENDONES</v>
          </cell>
          <cell r="F110" t="str">
            <v>3.20 * 4.20</v>
          </cell>
          <cell r="G110" t="str">
            <v>3.20 * 4.20</v>
          </cell>
          <cell r="H110" t="str">
            <v>Y</v>
          </cell>
          <cell r="I110" t="str">
            <v>INTERIOR PASILLO</v>
          </cell>
          <cell r="J110">
            <v>142500</v>
          </cell>
          <cell r="K110">
            <v>0</v>
          </cell>
          <cell r="L110">
            <v>1800000</v>
          </cell>
          <cell r="M110" t="str">
            <v>AEROPUERTO INTERNACIONAL ARTURO MERINO B</v>
          </cell>
          <cell r="P110" t="str">
            <v>PUDAHUEL</v>
          </cell>
          <cell r="Q110" t="str">
            <v>ESPECIAL</v>
          </cell>
          <cell r="R110" t="str">
            <v>Aeropuerto - Santiago</v>
          </cell>
          <cell r="S110" t="str">
            <v>SCL</v>
          </cell>
          <cell r="T110" t="str">
            <v>Especiales Permanentes</v>
          </cell>
          <cell r="U110">
            <v>1</v>
          </cell>
          <cell r="V110" t="str">
            <v>3.20 * 4.20</v>
          </cell>
        </row>
        <row r="111">
          <cell r="A111" t="str">
            <v>SCL 0096A</v>
          </cell>
          <cell r="B111" t="str">
            <v>Aeropuerto</v>
          </cell>
          <cell r="D111" t="str">
            <v>P.E.: PENDONES</v>
          </cell>
          <cell r="E111" t="str">
            <v>PENDONES</v>
          </cell>
          <cell r="F111" t="str">
            <v>3.20 * 4.20</v>
          </cell>
          <cell r="G111" t="str">
            <v>3.20 * 4.20</v>
          </cell>
          <cell r="H111" t="str">
            <v>Y</v>
          </cell>
          <cell r="I111" t="str">
            <v>INTERIOR PASILLO</v>
          </cell>
          <cell r="J111">
            <v>142500</v>
          </cell>
          <cell r="K111">
            <v>0</v>
          </cell>
          <cell r="L111">
            <v>1800000</v>
          </cell>
          <cell r="M111" t="str">
            <v>AEROPUERTO INTERNACIONAL ARTURO MERINO B</v>
          </cell>
          <cell r="P111" t="str">
            <v>PUDAHUEL</v>
          </cell>
          <cell r="Q111" t="str">
            <v>ESPECIAL</v>
          </cell>
          <cell r="R111" t="str">
            <v>Aeropuerto - Santiago</v>
          </cell>
          <cell r="S111" t="str">
            <v>SCL</v>
          </cell>
          <cell r="T111" t="str">
            <v>Especiales Permanentes</v>
          </cell>
          <cell r="U111">
            <v>1</v>
          </cell>
          <cell r="V111" t="str">
            <v>3.20 * 4.20</v>
          </cell>
        </row>
        <row r="112">
          <cell r="A112" t="str">
            <v>SCL 0097A</v>
          </cell>
          <cell r="B112" t="str">
            <v>Aeropuerto</v>
          </cell>
          <cell r="D112" t="str">
            <v>P.E.: PENDONES</v>
          </cell>
          <cell r="E112" t="str">
            <v>PENDONES</v>
          </cell>
          <cell r="F112" t="str">
            <v>3.20 * 4.20</v>
          </cell>
          <cell r="G112" t="str">
            <v>3.20 * 4.20</v>
          </cell>
          <cell r="H112" t="str">
            <v>Y</v>
          </cell>
          <cell r="I112" t="str">
            <v>INTERIOR PASILLO</v>
          </cell>
          <cell r="J112">
            <v>142500</v>
          </cell>
          <cell r="K112">
            <v>0</v>
          </cell>
          <cell r="L112">
            <v>1800000</v>
          </cell>
          <cell r="M112" t="str">
            <v>AEROPUERTO INTERNACIONAL ARTURO MERINO B</v>
          </cell>
          <cell r="P112" t="str">
            <v>PUDAHUEL</v>
          </cell>
          <cell r="Q112" t="str">
            <v>ESPECIAL</v>
          </cell>
          <cell r="R112" t="str">
            <v>Aeropuerto - Santiago</v>
          </cell>
          <cell r="S112" t="str">
            <v>SCL</v>
          </cell>
          <cell r="T112" t="str">
            <v>Especiales Permanentes</v>
          </cell>
          <cell r="U112">
            <v>1</v>
          </cell>
          <cell r="V112" t="str">
            <v>3.20 * 4.20</v>
          </cell>
        </row>
        <row r="113">
          <cell r="A113" t="str">
            <v>SCL 0098A</v>
          </cell>
          <cell r="B113" t="str">
            <v>Aeropuerto</v>
          </cell>
          <cell r="D113" t="str">
            <v>P.E.: PENDONES</v>
          </cell>
          <cell r="E113" t="str">
            <v>PENDONES</v>
          </cell>
          <cell r="F113" t="str">
            <v>3.20 * 4.20</v>
          </cell>
          <cell r="G113" t="str">
            <v>3.20 * 4.20</v>
          </cell>
          <cell r="H113" t="str">
            <v>Y</v>
          </cell>
          <cell r="I113" t="str">
            <v>INTERIOR PASILLO</v>
          </cell>
          <cell r="J113">
            <v>142500</v>
          </cell>
          <cell r="K113">
            <v>0</v>
          </cell>
          <cell r="L113">
            <v>1800000</v>
          </cell>
          <cell r="M113" t="str">
            <v>AEROPUERTO INTERNACIONAL ARTURO MERINO B</v>
          </cell>
          <cell r="P113" t="str">
            <v>PUDAHUEL</v>
          </cell>
          <cell r="Q113" t="str">
            <v>ESPECIAL</v>
          </cell>
          <cell r="R113" t="str">
            <v>Aeropuerto - Santiago</v>
          </cell>
          <cell r="S113" t="str">
            <v>SCL</v>
          </cell>
          <cell r="T113" t="str">
            <v>Especiales Permanentes</v>
          </cell>
          <cell r="U113">
            <v>1</v>
          </cell>
          <cell r="V113" t="str">
            <v>3.20 * 4.20</v>
          </cell>
        </row>
        <row r="114">
          <cell r="A114" t="str">
            <v>SCL 0099A</v>
          </cell>
          <cell r="B114" t="str">
            <v>Aeropuerto</v>
          </cell>
          <cell r="D114" t="str">
            <v>P.E.: LOTE 550 CARROS AEROPUERTO</v>
          </cell>
          <cell r="E114" t="str">
            <v>LOTE 550 CARROS AEROPUERTO</v>
          </cell>
          <cell r="F114" t="str">
            <v>Ver Ficha</v>
          </cell>
          <cell r="G114" t="str">
            <v>Ver Ficha</v>
          </cell>
          <cell r="H114" t="str">
            <v>E</v>
          </cell>
          <cell r="I114" t="str">
            <v>ESTACIONAMIENTOS</v>
          </cell>
          <cell r="J114">
            <v>0</v>
          </cell>
          <cell r="K114">
            <v>0</v>
          </cell>
          <cell r="L114">
            <v>4675000</v>
          </cell>
          <cell r="M114" t="str">
            <v>AEROPUERTO INTERNACIONAL ARTURO MERINO B</v>
          </cell>
          <cell r="P114" t="str">
            <v>PUDAHUEL</v>
          </cell>
          <cell r="Q114" t="str">
            <v>ESPECIAL</v>
          </cell>
          <cell r="R114" t="str">
            <v>Aeropuerto - Santiago</v>
          </cell>
          <cell r="S114" t="str">
            <v>SCL</v>
          </cell>
          <cell r="T114" t="str">
            <v>Especiales Permanentes</v>
          </cell>
          <cell r="U114">
            <v>550</v>
          </cell>
          <cell r="V114" t="str">
            <v>NA</v>
          </cell>
        </row>
        <row r="115">
          <cell r="A115" t="str">
            <v>SCL 0100A</v>
          </cell>
          <cell r="B115" t="str">
            <v>Aeropuerto</v>
          </cell>
          <cell r="D115" t="str">
            <v>P.E.: MODULOS</v>
          </cell>
          <cell r="E115" t="str">
            <v>MODULOS</v>
          </cell>
          <cell r="F115" t="str">
            <v>NA</v>
          </cell>
          <cell r="G115" t="str">
            <v>NA</v>
          </cell>
          <cell r="H115" t="str">
            <v>Y</v>
          </cell>
          <cell r="I115" t="str">
            <v>INTERIOR PASILLO</v>
          </cell>
          <cell r="J115">
            <v>0</v>
          </cell>
          <cell r="K115">
            <v>0</v>
          </cell>
          <cell r="L115">
            <v>1600000</v>
          </cell>
          <cell r="M115" t="str">
            <v>AEROPUERTO INTERNACIONAL ARTURO MERINO B</v>
          </cell>
          <cell r="P115" t="str">
            <v>PUDAHUEL</v>
          </cell>
          <cell r="Q115" t="str">
            <v>ESPECIAL</v>
          </cell>
          <cell r="R115" t="str">
            <v>Aeropuerto - Santiago</v>
          </cell>
          <cell r="S115" t="str">
            <v>SCL</v>
          </cell>
          <cell r="T115" t="str">
            <v>Especiales Permanentes</v>
          </cell>
          <cell r="U115">
            <v>1</v>
          </cell>
          <cell r="V115" t="str">
            <v>NA</v>
          </cell>
        </row>
        <row r="116">
          <cell r="A116" t="str">
            <v>SCL 0101A</v>
          </cell>
          <cell r="B116" t="str">
            <v>Aeropuerto</v>
          </cell>
          <cell r="D116" t="str">
            <v>P.E.: MODULOS</v>
          </cell>
          <cell r="E116" t="str">
            <v>MODULOS</v>
          </cell>
          <cell r="F116" t="str">
            <v>NA</v>
          </cell>
          <cell r="G116" t="str">
            <v>NA</v>
          </cell>
          <cell r="H116" t="str">
            <v>Y</v>
          </cell>
          <cell r="I116" t="str">
            <v>INTERIOR PASILLO</v>
          </cell>
          <cell r="J116">
            <v>0</v>
          </cell>
          <cell r="K116">
            <v>0</v>
          </cell>
          <cell r="L116">
            <v>4500000</v>
          </cell>
          <cell r="M116" t="str">
            <v>AEROPUERTO INTERNACIONAL ARTURO MERINO B</v>
          </cell>
          <cell r="P116" t="str">
            <v>PUDAHUEL</v>
          </cell>
          <cell r="Q116" t="str">
            <v>ESPECIAL</v>
          </cell>
          <cell r="R116" t="str">
            <v>Aeropuerto - Santiago</v>
          </cell>
          <cell r="S116" t="str">
            <v>SCL</v>
          </cell>
          <cell r="T116" t="str">
            <v>Especiales Permanentes</v>
          </cell>
          <cell r="U116">
            <v>1</v>
          </cell>
          <cell r="V116" t="str">
            <v>NA</v>
          </cell>
        </row>
        <row r="117">
          <cell r="A117" t="str">
            <v>SCL 0106A</v>
          </cell>
          <cell r="B117" t="str">
            <v>Aeropuerto</v>
          </cell>
          <cell r="D117" t="str">
            <v>P.E.: Lote de 14 caras Mamparas en puentes de embarque</v>
          </cell>
          <cell r="E117" t="str">
            <v>Lote de 14 caras Mamparas en puentes de embarque</v>
          </cell>
          <cell r="F117" t="str">
            <v>NA</v>
          </cell>
          <cell r="G117" t="str">
            <v>NA</v>
          </cell>
          <cell r="H117" t="str">
            <v>Q</v>
          </cell>
          <cell r="I117" t="str">
            <v>EMBARQUE</v>
          </cell>
          <cell r="J117">
            <v>0</v>
          </cell>
          <cell r="K117">
            <v>0</v>
          </cell>
          <cell r="L117">
            <v>10000000</v>
          </cell>
          <cell r="M117" t="str">
            <v>AEROPUERTO INTERNACIONAL ARTURO MERINO B</v>
          </cell>
          <cell r="P117" t="str">
            <v>PUDAHUEL</v>
          </cell>
          <cell r="Q117" t="str">
            <v>ESPECIAL</v>
          </cell>
          <cell r="R117" t="str">
            <v>Aeropuerto - Santiago</v>
          </cell>
          <cell r="S117" t="str">
            <v>SCL</v>
          </cell>
          <cell r="T117" t="str">
            <v>Especiales Permanentes</v>
          </cell>
          <cell r="U117">
            <v>14</v>
          </cell>
          <cell r="V117" t="str">
            <v>NA</v>
          </cell>
        </row>
        <row r="118">
          <cell r="A118" t="str">
            <v>SCL 0118A</v>
          </cell>
          <cell r="B118" t="str">
            <v>Aeropuerto</v>
          </cell>
          <cell r="D118" t="str">
            <v>P.E.: MANGAS DE EMBAR. Y DESEMBARQUE</v>
          </cell>
          <cell r="E118" t="str">
            <v>MANGAS DE EMBAR. Y DESEMBARQUE</v>
          </cell>
          <cell r="F118" t="str">
            <v>NA</v>
          </cell>
          <cell r="G118" t="str">
            <v>NA</v>
          </cell>
          <cell r="H118" t="str">
            <v>E</v>
          </cell>
          <cell r="I118" t="str">
            <v>EXT. MANGA 10</v>
          </cell>
          <cell r="J118">
            <v>0</v>
          </cell>
          <cell r="K118">
            <v>0</v>
          </cell>
          <cell r="L118">
            <v>3500000</v>
          </cell>
          <cell r="M118" t="str">
            <v>AEROPUERTO INTERNACIONAL ARTURO MERINO B</v>
          </cell>
          <cell r="P118" t="str">
            <v>PUDAHUEL</v>
          </cell>
          <cell r="Q118" t="str">
            <v>ESPECIAL</v>
          </cell>
          <cell r="R118" t="str">
            <v>Aeropuerto - Santiago</v>
          </cell>
          <cell r="S118" t="str">
            <v>SCL</v>
          </cell>
          <cell r="T118" t="str">
            <v>Especiales Permanentes</v>
          </cell>
          <cell r="U118">
            <v>1</v>
          </cell>
          <cell r="V118" t="str">
            <v>NA</v>
          </cell>
        </row>
        <row r="119">
          <cell r="A119" t="str">
            <v>SCL 0119A</v>
          </cell>
          <cell r="B119" t="str">
            <v>Aeropuerto</v>
          </cell>
          <cell r="D119" t="str">
            <v>P.E.: MANGAS DE EMBAR. Y DESEMBARQUE</v>
          </cell>
          <cell r="E119" t="str">
            <v>MANGAS DE EMBAR. Y DESEMBARQUE</v>
          </cell>
          <cell r="F119" t="str">
            <v>NA</v>
          </cell>
          <cell r="G119" t="str">
            <v>NA</v>
          </cell>
          <cell r="H119" t="str">
            <v>E</v>
          </cell>
          <cell r="I119" t="str">
            <v>EXT MANGA 11</v>
          </cell>
          <cell r="J119">
            <v>0</v>
          </cell>
          <cell r="K119">
            <v>0</v>
          </cell>
          <cell r="L119">
            <v>3500000</v>
          </cell>
          <cell r="M119" t="str">
            <v>AEROPUERTO INTERNACIONAL ARTURO MERINO B</v>
          </cell>
          <cell r="P119" t="str">
            <v>PUDAHUEL</v>
          </cell>
          <cell r="Q119" t="str">
            <v>ESPECIAL</v>
          </cell>
          <cell r="R119" t="str">
            <v>Aeropuerto - Santiago</v>
          </cell>
          <cell r="S119" t="str">
            <v>SCL</v>
          </cell>
          <cell r="T119" t="str">
            <v>Especiales Permanentes</v>
          </cell>
          <cell r="U119">
            <v>1</v>
          </cell>
          <cell r="V119" t="str">
            <v>NA</v>
          </cell>
        </row>
        <row r="120">
          <cell r="A120" t="str">
            <v>SCL 0120A</v>
          </cell>
          <cell r="B120" t="str">
            <v>Aeropuerto</v>
          </cell>
          <cell r="D120" t="str">
            <v>P.E.: MANGAS DE EMBAR. Y DESEMBARQUE</v>
          </cell>
          <cell r="E120" t="str">
            <v>MANGAS DE EMBAR. Y DESEMBARQUE</v>
          </cell>
          <cell r="F120" t="str">
            <v>NA</v>
          </cell>
          <cell r="G120" t="str">
            <v>NA</v>
          </cell>
          <cell r="H120" t="str">
            <v>E</v>
          </cell>
          <cell r="I120" t="str">
            <v>EXT MANGA 12</v>
          </cell>
          <cell r="J120">
            <v>0</v>
          </cell>
          <cell r="K120">
            <v>0</v>
          </cell>
          <cell r="L120">
            <v>3500000</v>
          </cell>
          <cell r="M120" t="str">
            <v>AEROPUERTO INTERNACIONAL ARTURO MERINO B</v>
          </cell>
          <cell r="P120" t="str">
            <v>PUDAHUEL</v>
          </cell>
          <cell r="Q120" t="str">
            <v>ESPECIAL</v>
          </cell>
          <cell r="R120" t="str">
            <v>Aeropuerto - Santiago</v>
          </cell>
          <cell r="S120" t="str">
            <v>SCL</v>
          </cell>
          <cell r="T120" t="str">
            <v>Especiales Permanentes</v>
          </cell>
          <cell r="U120">
            <v>1</v>
          </cell>
          <cell r="V120" t="str">
            <v>NA</v>
          </cell>
        </row>
        <row r="121">
          <cell r="A121" t="str">
            <v>SCL 0121A</v>
          </cell>
          <cell r="B121" t="str">
            <v>Aeropuerto</v>
          </cell>
          <cell r="D121" t="str">
            <v>P.E.: MANGAS DE EMBAR. Y DESEMBARQUE</v>
          </cell>
          <cell r="E121" t="str">
            <v>MANGAS DE EMBAR. Y DESEMBARQUE</v>
          </cell>
          <cell r="F121" t="str">
            <v>NA</v>
          </cell>
          <cell r="G121" t="str">
            <v>NA</v>
          </cell>
          <cell r="H121" t="str">
            <v>E</v>
          </cell>
          <cell r="I121" t="str">
            <v>EXT MANGA 14</v>
          </cell>
          <cell r="J121">
            <v>0</v>
          </cell>
          <cell r="K121">
            <v>0</v>
          </cell>
          <cell r="L121">
            <v>3500000</v>
          </cell>
          <cell r="M121" t="str">
            <v>AEROPUERTO INTERNACIONAL ARTURO MERINO B</v>
          </cell>
          <cell r="P121" t="str">
            <v>PUDAHUEL</v>
          </cell>
          <cell r="Q121" t="str">
            <v>ESPECIAL</v>
          </cell>
          <cell r="R121" t="str">
            <v>Aeropuerto - Santiago</v>
          </cell>
          <cell r="S121" t="str">
            <v>SCL</v>
          </cell>
          <cell r="T121" t="str">
            <v>Especiales Permanentes</v>
          </cell>
          <cell r="U121">
            <v>1</v>
          </cell>
          <cell r="V121" t="str">
            <v>NA</v>
          </cell>
        </row>
        <row r="122">
          <cell r="A122" t="str">
            <v>SCL 0122A</v>
          </cell>
          <cell r="B122" t="str">
            <v>Aeropuerto</v>
          </cell>
          <cell r="D122" t="str">
            <v>P.E.: MANGAS DE EMBAR. Y DESEMBARQUE</v>
          </cell>
          <cell r="E122" t="str">
            <v>MANGAS DE EMBAR. Y DESEMBARQUE</v>
          </cell>
          <cell r="F122" t="str">
            <v>NA</v>
          </cell>
          <cell r="G122" t="str">
            <v>NA</v>
          </cell>
          <cell r="H122" t="str">
            <v>E</v>
          </cell>
          <cell r="I122" t="str">
            <v>EXT MANGA 15</v>
          </cell>
          <cell r="J122">
            <v>0</v>
          </cell>
          <cell r="K122">
            <v>0</v>
          </cell>
          <cell r="L122">
            <v>3500000</v>
          </cell>
          <cell r="M122" t="str">
            <v>AEROPUERTO INTERNACIONAL ARTURO MERINO B</v>
          </cell>
          <cell r="P122" t="str">
            <v>PUDAHUEL</v>
          </cell>
          <cell r="Q122" t="str">
            <v>ESPECIAL</v>
          </cell>
          <cell r="R122" t="str">
            <v>Aeropuerto - Santiago</v>
          </cell>
          <cell r="S122" t="str">
            <v>SCL</v>
          </cell>
          <cell r="T122" t="str">
            <v>Especiales Permanentes</v>
          </cell>
          <cell r="U122">
            <v>1</v>
          </cell>
          <cell r="V122" t="str">
            <v>NA</v>
          </cell>
        </row>
        <row r="123">
          <cell r="A123" t="str">
            <v>SCL 0123A</v>
          </cell>
          <cell r="B123" t="str">
            <v>Aeropuerto</v>
          </cell>
          <cell r="D123" t="str">
            <v>P.E.: MANGAS DE EMBAR. Y DESEMBARQUE</v>
          </cell>
          <cell r="E123" t="str">
            <v>MANGAS DE EMBAR. Y DESEMBARQUE</v>
          </cell>
          <cell r="F123" t="str">
            <v>NA</v>
          </cell>
          <cell r="G123" t="str">
            <v>NA</v>
          </cell>
          <cell r="H123" t="str">
            <v>E</v>
          </cell>
          <cell r="I123" t="str">
            <v>EXT MANGA 16</v>
          </cell>
          <cell r="J123">
            <v>0</v>
          </cell>
          <cell r="K123">
            <v>0</v>
          </cell>
          <cell r="L123">
            <v>3500000</v>
          </cell>
          <cell r="M123" t="str">
            <v>AEROPUERTO INTERNACIONAL ARTURO MERINO B</v>
          </cell>
          <cell r="P123" t="str">
            <v>PUDAHUEL</v>
          </cell>
          <cell r="Q123" t="str">
            <v>ESPECIAL</v>
          </cell>
          <cell r="R123" t="str">
            <v>Aeropuerto - Santiago</v>
          </cell>
          <cell r="S123" t="str">
            <v>SCL</v>
          </cell>
          <cell r="T123" t="str">
            <v>Especiales Permanentes</v>
          </cell>
          <cell r="U123">
            <v>1</v>
          </cell>
          <cell r="V123" t="str">
            <v>NA</v>
          </cell>
        </row>
        <row r="124">
          <cell r="A124" t="str">
            <v>SCL 0124A</v>
          </cell>
          <cell r="B124" t="str">
            <v>Aeropuerto</v>
          </cell>
          <cell r="D124" t="str">
            <v>P.E.: MANGAS DE EMBAR. Y DESEMBARQUE</v>
          </cell>
          <cell r="E124" t="str">
            <v>MANGAS DE EMBAR. Y DESEMBARQUE</v>
          </cell>
          <cell r="F124" t="str">
            <v>NA</v>
          </cell>
          <cell r="G124" t="str">
            <v>NA</v>
          </cell>
          <cell r="H124" t="str">
            <v>E</v>
          </cell>
          <cell r="I124" t="str">
            <v>EXT.MANGA 21</v>
          </cell>
          <cell r="J124">
            <v>0</v>
          </cell>
          <cell r="K124">
            <v>0</v>
          </cell>
          <cell r="L124">
            <v>3500000</v>
          </cell>
          <cell r="M124" t="str">
            <v>AEROPUERTO INTERNACIONAL ARTURO MERINO B</v>
          </cell>
          <cell r="P124" t="str">
            <v>PUDAHUEL</v>
          </cell>
          <cell r="Q124" t="str">
            <v>ESPECIAL</v>
          </cell>
          <cell r="R124" t="str">
            <v>Aeropuerto - Santiago</v>
          </cell>
          <cell r="S124" t="str">
            <v>SCL</v>
          </cell>
          <cell r="T124" t="str">
            <v>Especiales Permanentes</v>
          </cell>
          <cell r="U124">
            <v>1</v>
          </cell>
          <cell r="V124" t="str">
            <v>NA</v>
          </cell>
        </row>
        <row r="125">
          <cell r="A125" t="str">
            <v>SCL 0125A</v>
          </cell>
          <cell r="B125" t="str">
            <v>Aeropuerto</v>
          </cell>
          <cell r="D125" t="str">
            <v>P.E.: MANGAS DE EMBAR. Y DESEMBARQUE</v>
          </cell>
          <cell r="E125" t="str">
            <v>MANGAS DE EMBAR. Y DESEMBARQUE</v>
          </cell>
          <cell r="F125" t="str">
            <v>NA</v>
          </cell>
          <cell r="G125" t="str">
            <v>NA</v>
          </cell>
          <cell r="H125" t="str">
            <v>E</v>
          </cell>
          <cell r="I125" t="str">
            <v>EXT MANGA 22</v>
          </cell>
          <cell r="J125">
            <v>0</v>
          </cell>
          <cell r="K125">
            <v>0</v>
          </cell>
          <cell r="L125">
            <v>3500000</v>
          </cell>
          <cell r="M125" t="str">
            <v>AEROPUERTO INTERNACIONAL ARTURO MERINO B</v>
          </cell>
          <cell r="P125" t="str">
            <v>PUDAHUEL</v>
          </cell>
          <cell r="Q125" t="str">
            <v>ESPECIAL</v>
          </cell>
          <cell r="R125" t="str">
            <v>Aeropuerto - Santiago</v>
          </cell>
          <cell r="S125" t="str">
            <v>SCL</v>
          </cell>
          <cell r="T125" t="str">
            <v>Especiales Permanentes</v>
          </cell>
          <cell r="U125">
            <v>1</v>
          </cell>
          <cell r="V125" t="str">
            <v>NA</v>
          </cell>
        </row>
        <row r="126">
          <cell r="A126" t="str">
            <v>SCL 0126A</v>
          </cell>
          <cell r="B126" t="str">
            <v>Aeropuerto</v>
          </cell>
          <cell r="D126" t="str">
            <v>P.E.: MANGAS DE EMBAR. Y DESEMBARQUE</v>
          </cell>
          <cell r="E126" t="str">
            <v>MANGAS DE EMBAR. Y DESEMBARQUE</v>
          </cell>
          <cell r="F126" t="str">
            <v>NA</v>
          </cell>
          <cell r="G126" t="str">
            <v>NA</v>
          </cell>
          <cell r="H126" t="str">
            <v>E</v>
          </cell>
          <cell r="I126" t="str">
            <v>EXT MANGA 23</v>
          </cell>
          <cell r="J126">
            <v>0</v>
          </cell>
          <cell r="K126">
            <v>0</v>
          </cell>
          <cell r="L126">
            <v>2500000</v>
          </cell>
          <cell r="M126" t="str">
            <v>AEROPUERTO INTERNACIONAL ARTURO MERINO B</v>
          </cell>
          <cell r="P126" t="str">
            <v>PUDAHUEL</v>
          </cell>
          <cell r="Q126" t="str">
            <v>ESPECIAL</v>
          </cell>
          <cell r="R126" t="str">
            <v>Aeropuerto - Santiago</v>
          </cell>
          <cell r="S126" t="str">
            <v>SCL</v>
          </cell>
          <cell r="T126" t="str">
            <v>Especiales Permanentes</v>
          </cell>
          <cell r="U126">
            <v>1</v>
          </cell>
          <cell r="V126" t="str">
            <v>NA</v>
          </cell>
        </row>
        <row r="127">
          <cell r="A127" t="str">
            <v>SCL 0127A</v>
          </cell>
          <cell r="B127" t="str">
            <v>Aeropuerto</v>
          </cell>
          <cell r="D127" t="str">
            <v>P.E.: MANGAS DE EMBAR. Y DESEMBARQUE</v>
          </cell>
          <cell r="E127" t="str">
            <v>MANGAS DE EMBAR. Y DESEMBARQUE</v>
          </cell>
          <cell r="F127" t="str">
            <v>NA</v>
          </cell>
          <cell r="G127" t="str">
            <v>NA</v>
          </cell>
          <cell r="H127" t="str">
            <v>E</v>
          </cell>
          <cell r="I127" t="str">
            <v>EXTMANGA 24</v>
          </cell>
          <cell r="J127">
            <v>0</v>
          </cell>
          <cell r="K127">
            <v>0</v>
          </cell>
          <cell r="L127">
            <v>2500000</v>
          </cell>
          <cell r="M127" t="str">
            <v>AEROPUERTO INTERNACIONAL ARTURO MERINO B</v>
          </cell>
          <cell r="P127" t="str">
            <v>PUDAHUEL</v>
          </cell>
          <cell r="Q127" t="str">
            <v>ESPECIAL</v>
          </cell>
          <cell r="R127" t="str">
            <v>Aeropuerto - Santiago</v>
          </cell>
          <cell r="S127" t="str">
            <v>SCL</v>
          </cell>
          <cell r="T127" t="str">
            <v>Especiales Permanentes</v>
          </cell>
          <cell r="U127">
            <v>1</v>
          </cell>
          <cell r="V127" t="str">
            <v>NA</v>
          </cell>
        </row>
        <row r="128">
          <cell r="A128" t="str">
            <v>SCL 0128A</v>
          </cell>
          <cell r="B128" t="str">
            <v>Aeropuerto</v>
          </cell>
          <cell r="D128" t="str">
            <v>P.E.: MANGAS DE EMBAR. Y DESEMBARQUE</v>
          </cell>
          <cell r="E128" t="str">
            <v>MANGAS DE EMBAR. Y DESEMBARQUE</v>
          </cell>
          <cell r="F128" t="str">
            <v>NA</v>
          </cell>
          <cell r="G128" t="str">
            <v>NA</v>
          </cell>
          <cell r="H128" t="str">
            <v>E</v>
          </cell>
          <cell r="I128" t="str">
            <v>EXT MANGA 25</v>
          </cell>
          <cell r="J128">
            <v>0</v>
          </cell>
          <cell r="K128">
            <v>0</v>
          </cell>
          <cell r="L128">
            <v>2500000</v>
          </cell>
          <cell r="M128" t="str">
            <v>AEROPUERTO INTERNACIONAL ARTURO MERINO B</v>
          </cell>
          <cell r="P128" t="str">
            <v>PUDAHUEL</v>
          </cell>
          <cell r="Q128" t="str">
            <v>ESPECIAL</v>
          </cell>
          <cell r="R128" t="str">
            <v>Aeropuerto - Santiago</v>
          </cell>
          <cell r="S128" t="str">
            <v>SCL</v>
          </cell>
          <cell r="T128" t="str">
            <v>Especiales Permanentes</v>
          </cell>
          <cell r="U128">
            <v>1</v>
          </cell>
          <cell r="V128" t="str">
            <v>NA</v>
          </cell>
        </row>
        <row r="129">
          <cell r="A129" t="str">
            <v>SCL 0129A</v>
          </cell>
          <cell r="B129" t="str">
            <v>Aeropuerto</v>
          </cell>
          <cell r="D129" t="str">
            <v>P.E.: MANGAS DE EMBAR. Y DESEMBARQUE</v>
          </cell>
          <cell r="E129" t="str">
            <v>MANGAS DE EMBAR. Y DESEMBARQUE</v>
          </cell>
          <cell r="F129" t="str">
            <v>NA</v>
          </cell>
          <cell r="G129" t="str">
            <v>NA</v>
          </cell>
          <cell r="H129" t="str">
            <v>E</v>
          </cell>
          <cell r="I129" t="str">
            <v>EXT MANGA 26</v>
          </cell>
          <cell r="J129">
            <v>0</v>
          </cell>
          <cell r="K129">
            <v>0</v>
          </cell>
          <cell r="L129">
            <v>2500000</v>
          </cell>
          <cell r="M129" t="str">
            <v>AEROPUERTO INTERNACIONAL ARTURO MERINO B</v>
          </cell>
          <cell r="P129" t="str">
            <v>PUDAHUEL</v>
          </cell>
          <cell r="Q129" t="str">
            <v>ESPECIAL</v>
          </cell>
          <cell r="R129" t="str">
            <v>Aeropuerto - Santiago</v>
          </cell>
          <cell r="S129" t="str">
            <v>SCL</v>
          </cell>
          <cell r="T129" t="str">
            <v>Especiales Permanentes</v>
          </cell>
          <cell r="U129">
            <v>1</v>
          </cell>
          <cell r="V129" t="str">
            <v>NA</v>
          </cell>
        </row>
        <row r="130">
          <cell r="A130" t="str">
            <v>SCL 0130A</v>
          </cell>
          <cell r="B130" t="str">
            <v>Aeropuerto</v>
          </cell>
          <cell r="D130" t="str">
            <v>P.E.: MANGAS DE EMBAR. Y DESEMBARQUE</v>
          </cell>
          <cell r="E130" t="str">
            <v>MANGAS DE EMBAR. Y DESEMBARQUE</v>
          </cell>
          <cell r="F130" t="str">
            <v>NA</v>
          </cell>
          <cell r="G130" t="str">
            <v>NA</v>
          </cell>
          <cell r="H130" t="str">
            <v>E</v>
          </cell>
          <cell r="I130" t="str">
            <v>EXT MANGA 27</v>
          </cell>
          <cell r="J130">
            <v>0</v>
          </cell>
          <cell r="K130">
            <v>0</v>
          </cell>
          <cell r="L130">
            <v>2500000</v>
          </cell>
          <cell r="M130" t="str">
            <v>AEROPUERTO INTERNACIONAL ARTURO MERINO B</v>
          </cell>
          <cell r="P130" t="str">
            <v>PUDAHUEL</v>
          </cell>
          <cell r="Q130" t="str">
            <v>ESPECIAL</v>
          </cell>
          <cell r="R130" t="str">
            <v>Aeropuerto - Santiago</v>
          </cell>
          <cell r="S130" t="str">
            <v>SCL</v>
          </cell>
          <cell r="T130" t="str">
            <v>Especiales Permanentes</v>
          </cell>
          <cell r="U130">
            <v>1</v>
          </cell>
          <cell r="V130" t="str">
            <v>NA</v>
          </cell>
        </row>
        <row r="131">
          <cell r="A131" t="str">
            <v>SCL 0131A</v>
          </cell>
          <cell r="B131" t="str">
            <v>Aeropuerto</v>
          </cell>
          <cell r="D131" t="str">
            <v>P.E.: MANGAS DE EMBAR. Y DESEMBARQUE</v>
          </cell>
          <cell r="E131" t="str">
            <v>MANGAS DE EMBAR. Y DESEMBARQUE</v>
          </cell>
          <cell r="F131" t="str">
            <v>NA</v>
          </cell>
          <cell r="G131" t="str">
            <v>NA</v>
          </cell>
          <cell r="H131" t="str">
            <v>Y</v>
          </cell>
          <cell r="I131" t="str">
            <v>INT PUENTE 10</v>
          </cell>
          <cell r="J131">
            <v>0</v>
          </cell>
          <cell r="K131">
            <v>0</v>
          </cell>
          <cell r="L131">
            <v>2000000</v>
          </cell>
          <cell r="M131" t="str">
            <v>AEROPUERTO INTERNACIONAL ARTURO MERINO B</v>
          </cell>
          <cell r="P131" t="str">
            <v>PUDAHUEL</v>
          </cell>
          <cell r="Q131" t="str">
            <v>ESPECIAL</v>
          </cell>
          <cell r="R131" t="str">
            <v>Aeropuerto - Santiago</v>
          </cell>
          <cell r="S131" t="str">
            <v>SCL</v>
          </cell>
          <cell r="T131" t="str">
            <v>Especiales Permanentes</v>
          </cell>
          <cell r="U131">
            <v>1</v>
          </cell>
          <cell r="V131" t="str">
            <v>NA</v>
          </cell>
        </row>
        <row r="132">
          <cell r="A132" t="str">
            <v>SCL 0132A</v>
          </cell>
          <cell r="B132" t="str">
            <v>Aeropuerto</v>
          </cell>
          <cell r="D132" t="str">
            <v>P.E.: MANGAS DE EMBAR. Y DESEMBARQUE</v>
          </cell>
          <cell r="E132" t="str">
            <v>MANGAS DE EMBAR. Y DESEMBARQUE</v>
          </cell>
          <cell r="F132" t="str">
            <v>NA</v>
          </cell>
          <cell r="G132" t="str">
            <v>NA</v>
          </cell>
          <cell r="H132" t="str">
            <v>Y</v>
          </cell>
          <cell r="I132" t="str">
            <v>INT PUENTE 11</v>
          </cell>
          <cell r="J132">
            <v>0</v>
          </cell>
          <cell r="K132">
            <v>0</v>
          </cell>
          <cell r="L132">
            <v>2000000</v>
          </cell>
          <cell r="M132" t="str">
            <v>AEROPUERTO INTERNACIONAL ARTURO MERINO B</v>
          </cell>
          <cell r="P132" t="str">
            <v>PUDAHUEL</v>
          </cell>
          <cell r="Q132" t="str">
            <v>ESPECIAL</v>
          </cell>
          <cell r="R132" t="str">
            <v>Aeropuerto - Santiago</v>
          </cell>
          <cell r="S132" t="str">
            <v>SCL</v>
          </cell>
          <cell r="T132" t="str">
            <v>Especiales Permanentes</v>
          </cell>
          <cell r="U132">
            <v>1</v>
          </cell>
          <cell r="V132" t="str">
            <v>NA</v>
          </cell>
        </row>
        <row r="133">
          <cell r="A133" t="str">
            <v>SCL 0133A</v>
          </cell>
          <cell r="B133" t="str">
            <v>Aeropuerto</v>
          </cell>
          <cell r="D133" t="str">
            <v>P.E.: MANGAS DE EMBAR. Y DESEMBARQUE</v>
          </cell>
          <cell r="E133" t="str">
            <v>MANGAS DE EMBAR. Y DESEMBARQUE</v>
          </cell>
          <cell r="F133" t="str">
            <v>NA</v>
          </cell>
          <cell r="G133" t="str">
            <v>NA</v>
          </cell>
          <cell r="H133" t="str">
            <v>Y</v>
          </cell>
          <cell r="I133" t="str">
            <v>INT PUENTE 12</v>
          </cell>
          <cell r="J133">
            <v>0</v>
          </cell>
          <cell r="K133">
            <v>0</v>
          </cell>
          <cell r="L133">
            <v>2000000</v>
          </cell>
          <cell r="M133" t="str">
            <v>AEROPUERTO INTERNACIONAL ARTURO MERINO B</v>
          </cell>
          <cell r="P133" t="str">
            <v>PUDAHUEL</v>
          </cell>
          <cell r="Q133" t="str">
            <v>ESPECIAL</v>
          </cell>
          <cell r="R133" t="str">
            <v>Aeropuerto - Santiago</v>
          </cell>
          <cell r="S133" t="str">
            <v>SCL</v>
          </cell>
          <cell r="T133" t="str">
            <v>Especiales Permanentes</v>
          </cell>
          <cell r="U133">
            <v>1</v>
          </cell>
          <cell r="V133" t="str">
            <v>NA</v>
          </cell>
        </row>
        <row r="134">
          <cell r="A134" t="str">
            <v>SCL 0134A</v>
          </cell>
          <cell r="B134" t="str">
            <v>Aeropuerto</v>
          </cell>
          <cell r="D134" t="str">
            <v>P.E.: MANGAS DE EMBAR. Y DESEMBARQUE</v>
          </cell>
          <cell r="E134" t="str">
            <v>MANGAS DE EMBAR. Y DESEMBARQUE</v>
          </cell>
          <cell r="F134" t="str">
            <v>NA</v>
          </cell>
          <cell r="G134" t="str">
            <v>NA</v>
          </cell>
          <cell r="H134" t="str">
            <v>Y</v>
          </cell>
          <cell r="I134" t="str">
            <v>INT PUENTE 14</v>
          </cell>
          <cell r="J134">
            <v>0</v>
          </cell>
          <cell r="K134">
            <v>0</v>
          </cell>
          <cell r="L134">
            <v>2000000</v>
          </cell>
          <cell r="M134" t="str">
            <v>AEROPUERTO INTERNACIONAL ARTURO MERINO B</v>
          </cell>
          <cell r="P134" t="str">
            <v>PUDAHUEL</v>
          </cell>
          <cell r="Q134" t="str">
            <v>ESPECIAL</v>
          </cell>
          <cell r="R134" t="str">
            <v>Aeropuerto - Santiago</v>
          </cell>
          <cell r="S134" t="str">
            <v>SCL</v>
          </cell>
          <cell r="T134" t="str">
            <v>Especiales Permanentes</v>
          </cell>
          <cell r="U134">
            <v>1</v>
          </cell>
          <cell r="V134" t="str">
            <v>NA</v>
          </cell>
        </row>
        <row r="135">
          <cell r="A135" t="str">
            <v>SCL 0135A</v>
          </cell>
          <cell r="B135" t="str">
            <v>Aeropuerto</v>
          </cell>
          <cell r="D135" t="str">
            <v>P.E.: MANGAS DE EMBAR. Y DESEMBARQUE</v>
          </cell>
          <cell r="E135" t="str">
            <v>MANGAS DE EMBAR. Y DESEMBARQUE</v>
          </cell>
          <cell r="F135" t="str">
            <v>NA</v>
          </cell>
          <cell r="G135" t="str">
            <v>NA</v>
          </cell>
          <cell r="H135" t="str">
            <v>Y</v>
          </cell>
          <cell r="I135" t="str">
            <v>INT PUENTE 15</v>
          </cell>
          <cell r="J135">
            <v>0</v>
          </cell>
          <cell r="K135">
            <v>0</v>
          </cell>
          <cell r="L135">
            <v>2000000</v>
          </cell>
          <cell r="M135" t="str">
            <v>AEROPUERTO INTERNACIONAL ARTURO MERINO B</v>
          </cell>
          <cell r="P135" t="str">
            <v>PUDAHUEL</v>
          </cell>
          <cell r="Q135" t="str">
            <v>ESPECIAL</v>
          </cell>
          <cell r="R135" t="str">
            <v>Aeropuerto - Santiago</v>
          </cell>
          <cell r="S135" t="str">
            <v>SCL</v>
          </cell>
          <cell r="T135" t="str">
            <v>Especiales Permanentes</v>
          </cell>
          <cell r="U135">
            <v>1</v>
          </cell>
          <cell r="V135" t="str">
            <v>NA</v>
          </cell>
        </row>
        <row r="136">
          <cell r="A136" t="str">
            <v>SCL 0136A</v>
          </cell>
          <cell r="B136" t="str">
            <v>Aeropuerto</v>
          </cell>
          <cell r="D136" t="str">
            <v>P.E.: MANGAS DE EMBAR. Y DESEMBARQUE</v>
          </cell>
          <cell r="E136" t="str">
            <v>MANGAS DE EMBAR. Y DESEMBARQUE</v>
          </cell>
          <cell r="F136" t="str">
            <v>NA</v>
          </cell>
          <cell r="G136" t="str">
            <v>NA</v>
          </cell>
          <cell r="H136" t="str">
            <v>Y</v>
          </cell>
          <cell r="I136" t="str">
            <v>INT PUENTE 16</v>
          </cell>
          <cell r="J136">
            <v>0</v>
          </cell>
          <cell r="K136">
            <v>0</v>
          </cell>
          <cell r="L136">
            <v>2000000</v>
          </cell>
          <cell r="M136" t="str">
            <v>AEROPUERTO INTERNACIONAL ARTURO MERINO B</v>
          </cell>
          <cell r="P136" t="str">
            <v>PUDAHUEL</v>
          </cell>
          <cell r="Q136" t="str">
            <v>ESPECIAL</v>
          </cell>
          <cell r="R136" t="str">
            <v>Aeropuerto - Santiago</v>
          </cell>
          <cell r="S136" t="str">
            <v>SCL</v>
          </cell>
          <cell r="T136" t="str">
            <v>Especiales Permanentes</v>
          </cell>
          <cell r="U136">
            <v>1</v>
          </cell>
          <cell r="V136" t="str">
            <v>NA</v>
          </cell>
        </row>
        <row r="137">
          <cell r="A137" t="str">
            <v>SCL 0137A</v>
          </cell>
          <cell r="B137" t="str">
            <v>Aeropuerto</v>
          </cell>
          <cell r="D137" t="str">
            <v>P.E.: MANGAS DE EMBAR. Y DESEMBARQUE</v>
          </cell>
          <cell r="E137" t="str">
            <v>MANGAS DE EMBAR. Y DESEMBARQUE</v>
          </cell>
          <cell r="F137" t="str">
            <v>NA</v>
          </cell>
          <cell r="G137" t="str">
            <v>NA</v>
          </cell>
          <cell r="H137" t="str">
            <v>Y</v>
          </cell>
          <cell r="I137" t="str">
            <v>INT PUENTE 17</v>
          </cell>
          <cell r="J137">
            <v>0</v>
          </cell>
          <cell r="K137">
            <v>0</v>
          </cell>
          <cell r="L137">
            <v>2000000</v>
          </cell>
          <cell r="M137" t="str">
            <v>AEROPUERTO INTERNACIONAL ARTURO MERINO B</v>
          </cell>
          <cell r="P137" t="str">
            <v>PUDAHUEL</v>
          </cell>
          <cell r="Q137" t="str">
            <v>ESPECIAL</v>
          </cell>
          <cell r="R137" t="str">
            <v>Aeropuerto - Santiago</v>
          </cell>
          <cell r="S137" t="str">
            <v>SCL</v>
          </cell>
          <cell r="T137" t="str">
            <v>Especiales Permanentes</v>
          </cell>
          <cell r="U137">
            <v>1</v>
          </cell>
          <cell r="V137" t="str">
            <v>NA</v>
          </cell>
        </row>
        <row r="138">
          <cell r="A138" t="str">
            <v>SCL 0138A</v>
          </cell>
          <cell r="B138" t="str">
            <v>Aeropuerto</v>
          </cell>
          <cell r="D138" t="str">
            <v>P.E.: MANGAS DE EMBAR. Y DESEMBARQUE</v>
          </cell>
          <cell r="E138" t="str">
            <v>MANGAS DE EMBAR. Y DESEMBARQUE</v>
          </cell>
          <cell r="F138" t="str">
            <v>NA</v>
          </cell>
          <cell r="G138" t="str">
            <v>NA</v>
          </cell>
          <cell r="H138" t="str">
            <v>Y</v>
          </cell>
          <cell r="I138" t="str">
            <v>INT PUENTE 18</v>
          </cell>
          <cell r="J138">
            <v>0</v>
          </cell>
          <cell r="K138">
            <v>0</v>
          </cell>
          <cell r="L138">
            <v>2000000</v>
          </cell>
          <cell r="M138" t="str">
            <v>AEROPUERTO INTERNACIONAL ARTURO MERINO B</v>
          </cell>
          <cell r="P138" t="str">
            <v>PUDAHUEL</v>
          </cell>
          <cell r="Q138" t="str">
            <v>ESPECIAL</v>
          </cell>
          <cell r="R138" t="str">
            <v>Aeropuerto - Santiago</v>
          </cell>
          <cell r="S138" t="str">
            <v>SCL</v>
          </cell>
          <cell r="T138" t="str">
            <v>Especiales Permanentes</v>
          </cell>
          <cell r="U138">
            <v>1</v>
          </cell>
          <cell r="V138" t="str">
            <v>NA</v>
          </cell>
        </row>
        <row r="139">
          <cell r="A139" t="str">
            <v>SCL 0139A</v>
          </cell>
          <cell r="B139" t="str">
            <v>Aeropuerto</v>
          </cell>
          <cell r="D139" t="str">
            <v>P.E.: MANGAS DE EMBAR. Y DESEMBARQUE</v>
          </cell>
          <cell r="E139" t="str">
            <v>MANGAS DE EMBAR. Y DESEMBARQUE</v>
          </cell>
          <cell r="F139" t="str">
            <v>NA</v>
          </cell>
          <cell r="G139" t="str">
            <v>NA</v>
          </cell>
          <cell r="H139" t="str">
            <v>Y</v>
          </cell>
          <cell r="I139" t="str">
            <v>INT. PUENTE  19</v>
          </cell>
          <cell r="J139">
            <v>0</v>
          </cell>
          <cell r="K139">
            <v>0</v>
          </cell>
          <cell r="L139">
            <v>2000000</v>
          </cell>
          <cell r="M139" t="str">
            <v>AEROPUERTO INTERNACIONAL ARTURO MERINO B</v>
          </cell>
          <cell r="P139" t="str">
            <v>PUDAHUEL</v>
          </cell>
          <cell r="Q139" t="str">
            <v>ESPECIAL</v>
          </cell>
          <cell r="R139" t="str">
            <v>Aeropuerto - Santiago</v>
          </cell>
          <cell r="S139" t="str">
            <v>SCL</v>
          </cell>
          <cell r="T139" t="str">
            <v>Especiales Permanentes</v>
          </cell>
          <cell r="U139">
            <v>1</v>
          </cell>
          <cell r="V139" t="str">
            <v>NA</v>
          </cell>
        </row>
        <row r="140">
          <cell r="A140" t="str">
            <v>SCL 0140A</v>
          </cell>
          <cell r="B140" t="str">
            <v>Aeropuerto</v>
          </cell>
          <cell r="D140" t="str">
            <v>P.E.: MANGAS DE EMBAR. Y DESEMBARQUE</v>
          </cell>
          <cell r="E140" t="str">
            <v>MANGAS DE EMBAR. Y DESEMBARQUE</v>
          </cell>
          <cell r="F140" t="str">
            <v>NA</v>
          </cell>
          <cell r="G140" t="str">
            <v>NA</v>
          </cell>
          <cell r="H140" t="str">
            <v>Y</v>
          </cell>
          <cell r="I140" t="str">
            <v>INT.PUENTE  20</v>
          </cell>
          <cell r="J140">
            <v>0</v>
          </cell>
          <cell r="K140">
            <v>0</v>
          </cell>
          <cell r="L140">
            <v>2000000</v>
          </cell>
          <cell r="M140" t="str">
            <v>AEROPUERTO INTERNACIONAL ARTURO MERINO B</v>
          </cell>
          <cell r="P140" t="str">
            <v>PUDAHUEL</v>
          </cell>
          <cell r="Q140" t="str">
            <v>ESPECIAL</v>
          </cell>
          <cell r="R140" t="str">
            <v>Aeropuerto - Santiago</v>
          </cell>
          <cell r="S140" t="str">
            <v>SCL</v>
          </cell>
          <cell r="T140" t="str">
            <v>Especiales Permanentes</v>
          </cell>
          <cell r="U140">
            <v>1</v>
          </cell>
          <cell r="V140" t="str">
            <v>NA</v>
          </cell>
        </row>
        <row r="141">
          <cell r="A141" t="str">
            <v>SCL 0141A</v>
          </cell>
          <cell r="B141" t="str">
            <v>Aeropuerto</v>
          </cell>
          <cell r="D141" t="str">
            <v>P.E.: MANGAS DE EMBAR. Y DESEMBARQUE</v>
          </cell>
          <cell r="E141" t="str">
            <v>MANGAS DE EMBAR. Y DESEMBARQUE</v>
          </cell>
          <cell r="F141" t="str">
            <v>NA</v>
          </cell>
          <cell r="G141" t="str">
            <v>NA</v>
          </cell>
          <cell r="H141" t="str">
            <v>Y</v>
          </cell>
          <cell r="I141" t="str">
            <v>INT  PUENTE  21</v>
          </cell>
          <cell r="J141">
            <v>0</v>
          </cell>
          <cell r="K141">
            <v>0</v>
          </cell>
          <cell r="L141">
            <v>2000000</v>
          </cell>
          <cell r="M141" t="str">
            <v>AEROPUERTO INTERNACIONAL ARTURO MERINO B</v>
          </cell>
          <cell r="P141" t="str">
            <v>PUDAHUEL</v>
          </cell>
          <cell r="Q141" t="str">
            <v>ESPECIAL</v>
          </cell>
          <cell r="R141" t="str">
            <v>Aeropuerto - Santiago</v>
          </cell>
          <cell r="S141" t="str">
            <v>SCL</v>
          </cell>
          <cell r="T141" t="str">
            <v>Especiales Permanentes</v>
          </cell>
          <cell r="U141">
            <v>1</v>
          </cell>
          <cell r="V141" t="str">
            <v>NA</v>
          </cell>
        </row>
        <row r="142">
          <cell r="A142" t="str">
            <v>SCL 0142A</v>
          </cell>
          <cell r="B142" t="str">
            <v>Aeropuerto</v>
          </cell>
          <cell r="D142" t="str">
            <v>P.E.: MANGAS DE EMBAR. Y DESEMBARQUE</v>
          </cell>
          <cell r="E142" t="str">
            <v>MANGAS DE EMBAR. Y DESEMBARQUE</v>
          </cell>
          <cell r="F142" t="str">
            <v>NA</v>
          </cell>
          <cell r="G142" t="str">
            <v>NA</v>
          </cell>
          <cell r="H142" t="str">
            <v>Y</v>
          </cell>
          <cell r="I142" t="str">
            <v>INT. PUENTE  22</v>
          </cell>
          <cell r="J142">
            <v>0</v>
          </cell>
          <cell r="K142">
            <v>0</v>
          </cell>
          <cell r="L142">
            <v>2000000</v>
          </cell>
          <cell r="M142" t="str">
            <v>AEROPUERTO INTERNACIONAL ARTURO MERINO B</v>
          </cell>
          <cell r="P142" t="str">
            <v>PUDAHUEL</v>
          </cell>
          <cell r="Q142" t="str">
            <v>ESPECIAL</v>
          </cell>
          <cell r="R142" t="str">
            <v>Aeropuerto - Santiago</v>
          </cell>
          <cell r="S142" t="str">
            <v>SCL</v>
          </cell>
          <cell r="T142" t="str">
            <v>Especiales Permanentes</v>
          </cell>
          <cell r="U142">
            <v>1</v>
          </cell>
          <cell r="V142" t="str">
            <v>NA</v>
          </cell>
        </row>
        <row r="143">
          <cell r="A143" t="str">
            <v>SCL 0143A</v>
          </cell>
          <cell r="B143" t="str">
            <v>Aeropuerto</v>
          </cell>
          <cell r="D143" t="str">
            <v>P.E.: MANGAS DE EMBAR. Y DESEMBARQUE</v>
          </cell>
          <cell r="E143" t="str">
            <v>MANGAS DE EMBAR. Y DESEMBARQUE</v>
          </cell>
          <cell r="F143" t="str">
            <v>NA</v>
          </cell>
          <cell r="G143" t="str">
            <v>NA</v>
          </cell>
          <cell r="H143" t="str">
            <v>Y</v>
          </cell>
          <cell r="I143" t="str">
            <v>INT. PUENTE 23</v>
          </cell>
          <cell r="J143">
            <v>0</v>
          </cell>
          <cell r="K143">
            <v>0</v>
          </cell>
          <cell r="L143">
            <v>2000000</v>
          </cell>
          <cell r="M143" t="str">
            <v>AEROPUERTO INTERNACIONAL ARTURO MERINO B</v>
          </cell>
          <cell r="P143" t="str">
            <v>PUDAHUEL</v>
          </cell>
          <cell r="Q143" t="str">
            <v>ESPECIAL</v>
          </cell>
          <cell r="R143" t="str">
            <v>Aeropuerto - Santiago</v>
          </cell>
          <cell r="S143" t="str">
            <v>SCL</v>
          </cell>
          <cell r="T143" t="str">
            <v>Especiales Permanentes</v>
          </cell>
          <cell r="U143">
            <v>1</v>
          </cell>
          <cell r="V143" t="str">
            <v>NA</v>
          </cell>
        </row>
        <row r="144">
          <cell r="A144" t="str">
            <v>SCL 0144A</v>
          </cell>
          <cell r="B144" t="str">
            <v>Aeropuerto</v>
          </cell>
          <cell r="D144" t="str">
            <v>P.E.: MANGAS DE EMBAR. Y DESEMBARQUE</v>
          </cell>
          <cell r="E144" t="str">
            <v>MANGAS DE EMBAR. Y DESEMBARQUE</v>
          </cell>
          <cell r="F144" t="str">
            <v>NA</v>
          </cell>
          <cell r="G144" t="str">
            <v>NA</v>
          </cell>
          <cell r="H144" t="str">
            <v>Y</v>
          </cell>
          <cell r="I144" t="str">
            <v>INT.PUENTE  24</v>
          </cell>
          <cell r="J144">
            <v>0</v>
          </cell>
          <cell r="K144">
            <v>0</v>
          </cell>
          <cell r="L144">
            <v>2000000</v>
          </cell>
          <cell r="M144" t="str">
            <v>AEROPUERTO INTERNACIONAL ARTURO MERINO B</v>
          </cell>
          <cell r="P144" t="str">
            <v>PUDAHUEL</v>
          </cell>
          <cell r="Q144" t="str">
            <v>ESPECIAL</v>
          </cell>
          <cell r="R144" t="str">
            <v>Aeropuerto - Santiago</v>
          </cell>
          <cell r="S144" t="str">
            <v>SCL</v>
          </cell>
          <cell r="T144" t="str">
            <v>Especiales Permanentes</v>
          </cell>
          <cell r="U144">
            <v>1</v>
          </cell>
          <cell r="V144" t="str">
            <v>NA</v>
          </cell>
        </row>
        <row r="145">
          <cell r="A145" t="str">
            <v>SCL 0145A</v>
          </cell>
          <cell r="B145" t="str">
            <v>Aeropuerto</v>
          </cell>
          <cell r="D145" t="str">
            <v>P.E.: MANGAS DE EMBAR. Y DESEMBARQUE</v>
          </cell>
          <cell r="E145" t="str">
            <v>MANGAS DE EMBAR. Y DESEMBARQUE</v>
          </cell>
          <cell r="F145" t="str">
            <v>NA</v>
          </cell>
          <cell r="G145" t="str">
            <v>NA</v>
          </cell>
          <cell r="H145" t="str">
            <v>Y</v>
          </cell>
          <cell r="I145" t="str">
            <v>INT.PUENTE  25</v>
          </cell>
          <cell r="J145">
            <v>0</v>
          </cell>
          <cell r="K145">
            <v>0</v>
          </cell>
          <cell r="L145">
            <v>2000000</v>
          </cell>
          <cell r="M145" t="str">
            <v>AEROPUERTO INTERNACIONAL ARTURO MERINO B</v>
          </cell>
          <cell r="P145" t="str">
            <v>PUDAHUEL</v>
          </cell>
          <cell r="Q145" t="str">
            <v>ESPECIAL</v>
          </cell>
          <cell r="R145" t="str">
            <v>Aeropuerto - Santiago</v>
          </cell>
          <cell r="S145" t="str">
            <v>SCL</v>
          </cell>
          <cell r="T145" t="str">
            <v>Especiales Permanentes</v>
          </cell>
          <cell r="U145">
            <v>1</v>
          </cell>
          <cell r="V145" t="str">
            <v>NA</v>
          </cell>
        </row>
        <row r="146">
          <cell r="A146" t="str">
            <v>SCL 0146A</v>
          </cell>
          <cell r="B146" t="str">
            <v>Aeropuerto</v>
          </cell>
          <cell r="D146" t="str">
            <v>P.E.: MANGAS DE EMBAR. Y DESEMBARQUE</v>
          </cell>
          <cell r="E146" t="str">
            <v>MANGAS DE EMBAR. Y DESEMBARQUE</v>
          </cell>
          <cell r="F146" t="str">
            <v>NA</v>
          </cell>
          <cell r="G146" t="str">
            <v>NA</v>
          </cell>
          <cell r="H146" t="str">
            <v>Y</v>
          </cell>
          <cell r="I146" t="str">
            <v>INT. PUENTE 26</v>
          </cell>
          <cell r="J146">
            <v>0</v>
          </cell>
          <cell r="K146">
            <v>0</v>
          </cell>
          <cell r="L146">
            <v>2000000</v>
          </cell>
          <cell r="M146" t="str">
            <v>AEROPUERTO INTERNACIONAL ARTURO MERINO B</v>
          </cell>
          <cell r="P146" t="str">
            <v>PUDAHUEL</v>
          </cell>
          <cell r="Q146" t="str">
            <v>ESPECIAL</v>
          </cell>
          <cell r="R146" t="str">
            <v>Aeropuerto - Santiago</v>
          </cell>
          <cell r="S146" t="str">
            <v>SCL</v>
          </cell>
          <cell r="T146" t="str">
            <v>Especiales Permanentes</v>
          </cell>
          <cell r="U146">
            <v>1</v>
          </cell>
          <cell r="V146" t="str">
            <v>NA</v>
          </cell>
        </row>
        <row r="147">
          <cell r="A147" t="str">
            <v>SCL 0147A</v>
          </cell>
          <cell r="B147" t="str">
            <v>Aeropuerto</v>
          </cell>
          <cell r="D147" t="str">
            <v>P.E.: MANGAS DE EMBAR. Y DESEMBARQUE</v>
          </cell>
          <cell r="E147" t="str">
            <v>MANGAS DE EMBAR. Y DESEMBARQUE</v>
          </cell>
          <cell r="F147" t="str">
            <v>NA</v>
          </cell>
          <cell r="G147" t="str">
            <v>NA</v>
          </cell>
          <cell r="H147" t="str">
            <v>Y</v>
          </cell>
          <cell r="I147" t="str">
            <v>INT. PUENTE 27</v>
          </cell>
          <cell r="J147">
            <v>0</v>
          </cell>
          <cell r="K147">
            <v>0</v>
          </cell>
          <cell r="L147">
            <v>2000000</v>
          </cell>
          <cell r="M147" t="str">
            <v>AEROPUERTO INTERNACIONAL ARTURO MERINO B</v>
          </cell>
          <cell r="P147" t="str">
            <v>PUDAHUEL</v>
          </cell>
          <cell r="Q147" t="str">
            <v>ESPECIAL</v>
          </cell>
          <cell r="R147" t="str">
            <v>Aeropuerto - Santiago</v>
          </cell>
          <cell r="S147" t="str">
            <v>SCL</v>
          </cell>
          <cell r="T147" t="str">
            <v>Especiales Permanentes</v>
          </cell>
          <cell r="U147">
            <v>1</v>
          </cell>
          <cell r="V147" t="str">
            <v>NA</v>
          </cell>
        </row>
        <row r="148">
          <cell r="A148" t="str">
            <v>SCL 0148A</v>
          </cell>
          <cell r="B148" t="str">
            <v>Aeropuerto</v>
          </cell>
          <cell r="D148" t="str">
            <v>P.E.: cajas señalética internacional</v>
          </cell>
          <cell r="E148" t="str">
            <v>cajas señalética internacional</v>
          </cell>
          <cell r="F148" t="str">
            <v>NA</v>
          </cell>
          <cell r="G148" t="str">
            <v>NA</v>
          </cell>
          <cell r="H148" t="str">
            <v>Y</v>
          </cell>
          <cell r="I148" t="str">
            <v>INTERIOR PASILLO</v>
          </cell>
          <cell r="J148">
            <v>200991</v>
          </cell>
          <cell r="K148">
            <v>0</v>
          </cell>
          <cell r="L148">
            <v>4284009</v>
          </cell>
          <cell r="M148" t="str">
            <v>AEROPUERTO INTERNACIONAL ARTURO MERINO B</v>
          </cell>
          <cell r="P148" t="str">
            <v>PUDAHUEL</v>
          </cell>
          <cell r="Q148" t="str">
            <v>ESPECIAL</v>
          </cell>
          <cell r="R148" t="str">
            <v>Aeropuerto - Santiago</v>
          </cell>
          <cell r="S148" t="str">
            <v>SCL</v>
          </cell>
          <cell r="T148" t="str">
            <v>Especiales Permanentes</v>
          </cell>
          <cell r="U148">
            <v>1</v>
          </cell>
          <cell r="V148" t="str">
            <v>0,27 * 0,27 * 3,1415</v>
          </cell>
        </row>
        <row r="149">
          <cell r="A149" t="str">
            <v>SCL 0149A</v>
          </cell>
          <cell r="B149" t="str">
            <v>Aeropuerto</v>
          </cell>
          <cell r="D149" t="str">
            <v>P.E.: cajas señalética nacional</v>
          </cell>
          <cell r="E149" t="str">
            <v>cajas señalética nacional</v>
          </cell>
          <cell r="F149" t="str">
            <v>NA</v>
          </cell>
          <cell r="G149" t="str">
            <v>NA</v>
          </cell>
          <cell r="H149" t="str">
            <v>Y</v>
          </cell>
          <cell r="I149" t="str">
            <v>INTERIOR PASILLO</v>
          </cell>
          <cell r="J149">
            <v>133994</v>
          </cell>
          <cell r="K149">
            <v>0</v>
          </cell>
          <cell r="L149">
            <v>2856006</v>
          </cell>
          <cell r="M149" t="str">
            <v>AEROPUERTO INTERNACIONAL ARTURO MERINO B</v>
          </cell>
          <cell r="P149" t="str">
            <v>PUDAHUEL</v>
          </cell>
          <cell r="Q149" t="str">
            <v>ESPECIAL</v>
          </cell>
          <cell r="R149" t="str">
            <v>Aeropuerto - Santiago</v>
          </cell>
          <cell r="S149" t="str">
            <v>SCL</v>
          </cell>
          <cell r="T149" t="str">
            <v>Especiales Permanentes</v>
          </cell>
          <cell r="U149">
            <v>1</v>
          </cell>
          <cell r="V149" t="str">
            <v>0,27 * 0,27 * 3,1415</v>
          </cell>
        </row>
        <row r="150">
          <cell r="A150" t="str">
            <v>SCL 0151A</v>
          </cell>
          <cell r="B150" t="str">
            <v>Aeropuerto</v>
          </cell>
          <cell r="D150" t="str">
            <v>Totem</v>
          </cell>
          <cell r="E150" t="str">
            <v>TOTEM  SEÑALETICA</v>
          </cell>
          <cell r="G150" t="str">
            <v>NA</v>
          </cell>
          <cell r="H150" t="str">
            <v>Y</v>
          </cell>
          <cell r="I150" t="str">
            <v>INTERIOR PASILLO</v>
          </cell>
          <cell r="J150">
            <v>0</v>
          </cell>
          <cell r="K150">
            <v>0</v>
          </cell>
          <cell r="L150">
            <v>300000</v>
          </cell>
          <cell r="M150" t="str">
            <v>AEROPUERTO INTERNACIONAL ARTURO MERINO B</v>
          </cell>
          <cell r="P150" t="str">
            <v>PUDAHUEL</v>
          </cell>
          <cell r="Q150" t="str">
            <v>TRADICIONAL</v>
          </cell>
          <cell r="R150" t="str">
            <v>Aeropuerto - Santiago</v>
          </cell>
          <cell r="S150" t="str">
            <v>SCL</v>
          </cell>
          <cell r="T150" t="str">
            <v>Totem</v>
          </cell>
          <cell r="U150">
            <v>1</v>
          </cell>
          <cell r="V150" t="str">
            <v>NA</v>
          </cell>
        </row>
        <row r="151">
          <cell r="A151" t="str">
            <v>SCL 0151B</v>
          </cell>
          <cell r="B151" t="str">
            <v>Aeropuerto</v>
          </cell>
          <cell r="D151" t="str">
            <v>Totem</v>
          </cell>
          <cell r="E151" t="str">
            <v>TOTEM  SEÑALETICA</v>
          </cell>
          <cell r="I151" t="str">
            <v>INTERIOR PASILLO</v>
          </cell>
          <cell r="L151">
            <v>300000</v>
          </cell>
          <cell r="M151" t="str">
            <v>AEROPUERTO INTERNACIONAL ARTURO MERINO B</v>
          </cell>
          <cell r="P151" t="str">
            <v>PUDAHUEL</v>
          </cell>
          <cell r="Q151" t="str">
            <v>TRADICIONAL</v>
          </cell>
          <cell r="R151" t="str">
            <v>Aeropuerto - Santiago</v>
          </cell>
          <cell r="S151" t="str">
            <v>SCL</v>
          </cell>
          <cell r="T151" t="str">
            <v>Totem</v>
          </cell>
          <cell r="U151">
            <v>1</v>
          </cell>
          <cell r="V151" t="str">
            <v>NA</v>
          </cell>
        </row>
        <row r="152">
          <cell r="A152" t="str">
            <v>SCL 0152A</v>
          </cell>
          <cell r="B152" t="str">
            <v>Aeropuerto</v>
          </cell>
          <cell r="D152" t="str">
            <v>Totem</v>
          </cell>
          <cell r="E152" t="str">
            <v>TOTEM SEÑALETICA</v>
          </cell>
          <cell r="G152" t="str">
            <v>NA</v>
          </cell>
          <cell r="H152" t="str">
            <v>Y</v>
          </cell>
          <cell r="I152" t="str">
            <v>INTERIOR PASILLO</v>
          </cell>
          <cell r="J152">
            <v>0</v>
          </cell>
          <cell r="K152">
            <v>0</v>
          </cell>
          <cell r="L152">
            <v>300000</v>
          </cell>
          <cell r="M152" t="str">
            <v>AEROPUERTO INTERNACIONAL ARTURO MERINO B</v>
          </cell>
          <cell r="P152" t="str">
            <v>PUDAHUEL</v>
          </cell>
          <cell r="Q152" t="str">
            <v>TRADICIONAL</v>
          </cell>
          <cell r="R152" t="str">
            <v>Aeropuerto - Santiago</v>
          </cell>
          <cell r="S152" t="str">
            <v>SCL</v>
          </cell>
          <cell r="T152" t="str">
            <v>Totem</v>
          </cell>
          <cell r="U152">
            <v>1</v>
          </cell>
          <cell r="V152" t="str">
            <v>NA</v>
          </cell>
        </row>
        <row r="153">
          <cell r="A153" t="str">
            <v>SCL 0158A</v>
          </cell>
          <cell r="B153" t="str">
            <v>Aeropuerto</v>
          </cell>
          <cell r="D153" t="str">
            <v>Monumentales</v>
          </cell>
          <cell r="E153" t="str">
            <v>TELA  MONUMENTAL FACHADA</v>
          </cell>
          <cell r="H153" t="str">
            <v>E</v>
          </cell>
          <cell r="I153" t="str">
            <v>ESTACIONAMIENTOS</v>
          </cell>
          <cell r="J153">
            <v>0</v>
          </cell>
          <cell r="K153">
            <v>0</v>
          </cell>
          <cell r="L153">
            <v>3500000</v>
          </cell>
          <cell r="M153" t="str">
            <v>AEROPUERTO INTERNACIONAL ARTURO MERINO B</v>
          </cell>
          <cell r="N153" t="str">
            <v>Oeste</v>
          </cell>
          <cell r="P153" t="str">
            <v>PUDAHUEL</v>
          </cell>
          <cell r="Q153" t="str">
            <v>TRADICIONAL</v>
          </cell>
          <cell r="R153" t="str">
            <v>Aeropuerto - Santiago</v>
          </cell>
          <cell r="S153" t="str">
            <v>SCL</v>
          </cell>
          <cell r="T153" t="str">
            <v>Monumentales</v>
          </cell>
          <cell r="U153">
            <v>1</v>
          </cell>
          <cell r="V153" t="str">
            <v>43.30 * 6.00</v>
          </cell>
        </row>
        <row r="154">
          <cell r="A154" t="str">
            <v>SCL 0158B</v>
          </cell>
          <cell r="B154" t="str">
            <v>Aeropuerto</v>
          </cell>
          <cell r="D154" t="str">
            <v>Monumentales</v>
          </cell>
          <cell r="E154" t="str">
            <v>TELA MONUMENTAL FACHADA</v>
          </cell>
          <cell r="H154" t="str">
            <v>E</v>
          </cell>
          <cell r="I154" t="str">
            <v>ESTACIONAMIENTOS</v>
          </cell>
          <cell r="J154">
            <v>0</v>
          </cell>
          <cell r="K154">
            <v>0</v>
          </cell>
          <cell r="L154">
            <v>3500000</v>
          </cell>
          <cell r="M154" t="str">
            <v>AEROPUERTO INTERNACIONAL ARTURO MERINO B</v>
          </cell>
          <cell r="N154" t="str">
            <v>Este</v>
          </cell>
          <cell r="P154" t="str">
            <v>PUDAHUEL</v>
          </cell>
          <cell r="Q154" t="str">
            <v>TRADICIONAL</v>
          </cell>
          <cell r="R154" t="str">
            <v>Aeropuerto - Santiago</v>
          </cell>
          <cell r="S154" t="str">
            <v>SCL</v>
          </cell>
          <cell r="T154" t="str">
            <v>Monumentales</v>
          </cell>
          <cell r="U154">
            <v>1</v>
          </cell>
          <cell r="V154" t="str">
            <v>43.30 * 6.00</v>
          </cell>
        </row>
        <row r="155">
          <cell r="A155" t="str">
            <v>SCL 0158C</v>
          </cell>
          <cell r="B155" t="str">
            <v>Aeropuerto</v>
          </cell>
          <cell r="D155" t="str">
            <v>Monumentales</v>
          </cell>
          <cell r="E155" t="str">
            <v>TELA MONUMENTAL FACHADA</v>
          </cell>
          <cell r="H155" t="str">
            <v>E</v>
          </cell>
          <cell r="I155" t="str">
            <v>ESTACIONAMIENTOS</v>
          </cell>
          <cell r="J155">
            <v>0</v>
          </cell>
          <cell r="K155">
            <v>0</v>
          </cell>
          <cell r="L155">
            <v>2000000</v>
          </cell>
          <cell r="M155" t="str">
            <v>AEROPUERTO INTERNACIONAL ARTURO MERINO B</v>
          </cell>
          <cell r="N155" t="str">
            <v>Norte</v>
          </cell>
          <cell r="P155" t="str">
            <v>PUDAHUEL</v>
          </cell>
          <cell r="Q155" t="str">
            <v>TRADICIONAL</v>
          </cell>
          <cell r="R155" t="str">
            <v>Aeropuerto - Santiago</v>
          </cell>
          <cell r="S155" t="str">
            <v>SCL</v>
          </cell>
          <cell r="T155" t="str">
            <v>Monumentales</v>
          </cell>
          <cell r="U155">
            <v>1</v>
          </cell>
          <cell r="V155" t="str">
            <v>19.60 * 6.00</v>
          </cell>
        </row>
        <row r="156">
          <cell r="A156" t="str">
            <v>SCL 0158D</v>
          </cell>
          <cell r="B156" t="str">
            <v>Aeropuerto</v>
          </cell>
          <cell r="D156" t="str">
            <v>Monumentales</v>
          </cell>
          <cell r="E156" t="str">
            <v>TELA MONUMENTAL FACHADA</v>
          </cell>
          <cell r="H156" t="str">
            <v>E</v>
          </cell>
          <cell r="I156" t="str">
            <v>ESTACIONAMIENTOS</v>
          </cell>
          <cell r="J156">
            <v>0</v>
          </cell>
          <cell r="K156">
            <v>0</v>
          </cell>
          <cell r="L156">
            <v>2000000</v>
          </cell>
          <cell r="M156" t="str">
            <v>AEROPUERTO INTERNACIONAL ARTURO MERINO B</v>
          </cell>
          <cell r="N156" t="str">
            <v>Sur</v>
          </cell>
          <cell r="P156" t="str">
            <v>PUDAHUEL</v>
          </cell>
          <cell r="Q156" t="str">
            <v>TRADICIONAL</v>
          </cell>
          <cell r="R156" t="str">
            <v>Aeropuerto - Santiago</v>
          </cell>
          <cell r="S156" t="str">
            <v>SCL</v>
          </cell>
          <cell r="T156" t="str">
            <v>Monumentales</v>
          </cell>
          <cell r="U156">
            <v>1</v>
          </cell>
          <cell r="V156" t="str">
            <v>19.60 * 6.00</v>
          </cell>
        </row>
        <row r="157">
          <cell r="A157" t="str">
            <v>SCL 0159A</v>
          </cell>
          <cell r="B157" t="str">
            <v>Aeropuerto</v>
          </cell>
          <cell r="D157" t="str">
            <v>Cajas de luz</v>
          </cell>
          <cell r="E157" t="str">
            <v>Cajas de luz</v>
          </cell>
          <cell r="F157" t="str">
            <v>2.43 * 1.93</v>
          </cell>
          <cell r="G157" t="str">
            <v>2.63 * 2.13</v>
          </cell>
          <cell r="H157" t="str">
            <v>Y</v>
          </cell>
          <cell r="I157" t="str">
            <v>INTERIOR PASILLO</v>
          </cell>
          <cell r="J157">
            <v>0</v>
          </cell>
          <cell r="K157">
            <v>0</v>
          </cell>
          <cell r="L157">
            <v>1500000</v>
          </cell>
          <cell r="M157" t="str">
            <v>AEROPUERTO INTERNACIONAL ARTURO MERINO B</v>
          </cell>
          <cell r="P157" t="str">
            <v>PUDAHUEL</v>
          </cell>
          <cell r="Q157" t="str">
            <v>TRADICIONAL</v>
          </cell>
          <cell r="R157" t="str">
            <v>Aeropuerto - Santiago</v>
          </cell>
          <cell r="S157" t="str">
            <v>SCL</v>
          </cell>
          <cell r="T157" t="str">
            <v>Cajas de luz</v>
          </cell>
          <cell r="U157">
            <v>1</v>
          </cell>
          <cell r="V157" t="str">
            <v>2.43 * 1.93</v>
          </cell>
        </row>
        <row r="158">
          <cell r="A158" t="str">
            <v>SCL 0160A</v>
          </cell>
          <cell r="B158" t="str">
            <v>Aeropuerto</v>
          </cell>
          <cell r="D158" t="str">
            <v>Cajas de luz</v>
          </cell>
          <cell r="E158" t="str">
            <v>Cajas de luz</v>
          </cell>
          <cell r="F158" t="str">
            <v>3.87 * 2.33</v>
          </cell>
          <cell r="G158" t="str">
            <v>4,07 * 2,53</v>
          </cell>
          <cell r="H158" t="str">
            <v>Y</v>
          </cell>
          <cell r="I158" t="str">
            <v>INTERIOR PASILLO</v>
          </cell>
          <cell r="J158">
            <v>0</v>
          </cell>
          <cell r="K158">
            <v>0</v>
          </cell>
          <cell r="L158">
            <v>1800000</v>
          </cell>
          <cell r="M158" t="str">
            <v>AEROPUERTO INTERNACIONAL ARTURO MERINO B</v>
          </cell>
          <cell r="P158" t="str">
            <v>PUDAHUEL</v>
          </cell>
          <cell r="Q158" t="str">
            <v>TRADICIONAL</v>
          </cell>
          <cell r="R158" t="str">
            <v>Aeropuerto - Santiago</v>
          </cell>
          <cell r="S158" t="str">
            <v>SCL</v>
          </cell>
          <cell r="T158" t="str">
            <v>Cajas de luz</v>
          </cell>
          <cell r="U158">
            <v>1</v>
          </cell>
          <cell r="V158" t="str">
            <v>3.87 * 2.33</v>
          </cell>
        </row>
        <row r="159">
          <cell r="A159" t="str">
            <v>SCL 0161A</v>
          </cell>
          <cell r="B159" t="str">
            <v>Aeropuerto</v>
          </cell>
          <cell r="D159" t="str">
            <v>Cajas de luz</v>
          </cell>
          <cell r="E159" t="str">
            <v>Cajas de luz</v>
          </cell>
          <cell r="F159" t="str">
            <v>6.00 * 2.00</v>
          </cell>
          <cell r="G159" t="str">
            <v>6.20 * 2.20</v>
          </cell>
          <cell r="H159" t="str">
            <v>Y</v>
          </cell>
          <cell r="J159">
            <v>0</v>
          </cell>
          <cell r="K159">
            <v>0</v>
          </cell>
          <cell r="L159">
            <v>1800000</v>
          </cell>
          <cell r="M159" t="str">
            <v>AEROPUERTO INTERNACIONAL ARTURO MERINO B</v>
          </cell>
          <cell r="P159" t="str">
            <v>PUDAHUEL</v>
          </cell>
          <cell r="Q159" t="str">
            <v>TRADICIONAL</v>
          </cell>
          <cell r="R159" t="str">
            <v>Aeropuerto - Santiago</v>
          </cell>
          <cell r="S159" t="str">
            <v>SCL</v>
          </cell>
          <cell r="T159" t="str">
            <v>Cajas de luz</v>
          </cell>
          <cell r="U159">
            <v>1</v>
          </cell>
          <cell r="V159" t="str">
            <v>6.00 * 2.00</v>
          </cell>
        </row>
        <row r="160">
          <cell r="A160" t="str">
            <v>SCL 0162_01</v>
          </cell>
          <cell r="B160" t="str">
            <v>Aeropuerto</v>
          </cell>
          <cell r="D160" t="str">
            <v>Pantallas Digitales</v>
          </cell>
          <cell r="E160" t="str">
            <v>Lote 80 Pantallas Samsung</v>
          </cell>
          <cell r="F160" t="str">
            <v>NA</v>
          </cell>
          <cell r="G160" t="str">
            <v>NA</v>
          </cell>
          <cell r="I160" t="str">
            <v>CIRCUITO 1-TOTAL</v>
          </cell>
          <cell r="J160">
            <v>0</v>
          </cell>
          <cell r="K160">
            <v>0</v>
          </cell>
          <cell r="L160">
            <v>6500000</v>
          </cell>
          <cell r="M160" t="str">
            <v>AEROPUERTO INTERNACIONAL ARTURO MERINO B</v>
          </cell>
          <cell r="P160" t="str">
            <v>PUDAHUEL</v>
          </cell>
          <cell r="Q160" t="str">
            <v>PANTALLA</v>
          </cell>
          <cell r="R160" t="str">
            <v>Aeropuerto - Santiago</v>
          </cell>
          <cell r="S160" t="str">
            <v>SCL</v>
          </cell>
          <cell r="T160" t="str">
            <v>Pantallas Digitales</v>
          </cell>
          <cell r="U160">
            <v>1</v>
          </cell>
          <cell r="V160" t="str">
            <v>NA</v>
          </cell>
        </row>
        <row r="161">
          <cell r="A161" t="str">
            <v>SCL 0162_02</v>
          </cell>
          <cell r="B161" t="str">
            <v>Aeropuerto</v>
          </cell>
          <cell r="D161" t="str">
            <v>Pantallas Digitales</v>
          </cell>
          <cell r="E161" t="str">
            <v>Lote 80 Pantallas Samsung</v>
          </cell>
          <cell r="F161" t="str">
            <v>NA</v>
          </cell>
          <cell r="G161" t="str">
            <v>NA</v>
          </cell>
          <cell r="I161" t="str">
            <v>CIRCUITO 1-TOTAL</v>
          </cell>
          <cell r="J161">
            <v>0</v>
          </cell>
          <cell r="K161">
            <v>0</v>
          </cell>
          <cell r="L161">
            <v>6500000</v>
          </cell>
          <cell r="M161" t="str">
            <v>AEROPUERTO INTERNACIONAL ARTURO MERINO B</v>
          </cell>
          <cell r="P161" t="str">
            <v>PUDAHUEL</v>
          </cell>
          <cell r="Q161" t="str">
            <v>PANTALLA</v>
          </cell>
          <cell r="R161" t="str">
            <v>Aeropuerto - Santiago</v>
          </cell>
          <cell r="S161" t="str">
            <v>SCL</v>
          </cell>
          <cell r="T161" t="str">
            <v>Pantallas Digitales</v>
          </cell>
          <cell r="U161">
            <v>1</v>
          </cell>
          <cell r="V161" t="str">
            <v>NA</v>
          </cell>
        </row>
        <row r="162">
          <cell r="A162" t="str">
            <v>SCL 0162_03</v>
          </cell>
          <cell r="B162" t="str">
            <v>Aeropuerto</v>
          </cell>
          <cell r="D162" t="str">
            <v>Pantallas Digitales</v>
          </cell>
          <cell r="E162" t="str">
            <v>Lote 80 Pantallas Samsung</v>
          </cell>
          <cell r="F162" t="str">
            <v>NA</v>
          </cell>
          <cell r="G162" t="str">
            <v>NA</v>
          </cell>
          <cell r="I162" t="str">
            <v>CIRCUITO 1-TOTAL</v>
          </cell>
          <cell r="J162">
            <v>0</v>
          </cell>
          <cell r="K162">
            <v>0</v>
          </cell>
          <cell r="L162">
            <v>6500000</v>
          </cell>
          <cell r="M162" t="str">
            <v>AEROPUERTO INTERNACIONAL ARTURO MERINO B</v>
          </cell>
          <cell r="P162" t="str">
            <v>PUDAHUEL</v>
          </cell>
          <cell r="Q162" t="str">
            <v>PANTALLA</v>
          </cell>
          <cell r="R162" t="str">
            <v>Aeropuerto - Santiago</v>
          </cell>
          <cell r="S162" t="str">
            <v>SCL</v>
          </cell>
          <cell r="T162" t="str">
            <v>Pantallas Digitales</v>
          </cell>
          <cell r="U162">
            <v>1</v>
          </cell>
          <cell r="V162" t="str">
            <v>NA</v>
          </cell>
        </row>
        <row r="163">
          <cell r="A163" t="str">
            <v>SCL 0162_04</v>
          </cell>
          <cell r="B163" t="str">
            <v>Aeropuerto</v>
          </cell>
          <cell r="D163" t="str">
            <v>Pantallas Digitales</v>
          </cell>
          <cell r="E163" t="str">
            <v>Lote 80 Pantallas Samsung</v>
          </cell>
          <cell r="F163" t="str">
            <v>NA</v>
          </cell>
          <cell r="G163" t="str">
            <v>NA</v>
          </cell>
          <cell r="I163" t="str">
            <v>CIRCUITO 1-TOTAL</v>
          </cell>
          <cell r="J163">
            <v>0</v>
          </cell>
          <cell r="K163">
            <v>0</v>
          </cell>
          <cell r="L163">
            <v>6500000</v>
          </cell>
          <cell r="M163" t="str">
            <v>AEROPUERTO INTERNACIONAL ARTURO MERINO B</v>
          </cell>
          <cell r="P163" t="str">
            <v>PUDAHUEL</v>
          </cell>
          <cell r="Q163" t="str">
            <v>PANTALLA</v>
          </cell>
          <cell r="R163" t="str">
            <v>Aeropuerto - Santiago</v>
          </cell>
          <cell r="S163" t="str">
            <v>SCL</v>
          </cell>
          <cell r="T163" t="str">
            <v>Pantallas Digitales</v>
          </cell>
          <cell r="U163">
            <v>1</v>
          </cell>
          <cell r="V163" t="str">
            <v>NA</v>
          </cell>
        </row>
        <row r="164">
          <cell r="A164" t="str">
            <v>SCL 0162_05</v>
          </cell>
          <cell r="B164" t="str">
            <v>Aeropuerto</v>
          </cell>
          <cell r="D164" t="str">
            <v>Pantallas Digitales</v>
          </cell>
          <cell r="E164" t="str">
            <v>Lote 80 Pantallas Samsung</v>
          </cell>
          <cell r="F164" t="str">
            <v>NA</v>
          </cell>
          <cell r="G164" t="str">
            <v>NA</v>
          </cell>
          <cell r="I164" t="str">
            <v>CIRCUITO 1-TOTAL</v>
          </cell>
          <cell r="J164">
            <v>0</v>
          </cell>
          <cell r="K164">
            <v>0</v>
          </cell>
          <cell r="L164">
            <v>6500000</v>
          </cell>
          <cell r="M164" t="str">
            <v>AEROPUERTO INTERNACIONAL ARTURO MERINO B</v>
          </cell>
          <cell r="P164" t="str">
            <v>PUDAHUEL</v>
          </cell>
          <cell r="Q164" t="str">
            <v>PANTALLA</v>
          </cell>
          <cell r="R164" t="str">
            <v>Aeropuerto - Santiago</v>
          </cell>
          <cell r="S164" t="str">
            <v>SCL</v>
          </cell>
          <cell r="T164" t="str">
            <v>Pantallas Digitales</v>
          </cell>
          <cell r="U164">
            <v>1</v>
          </cell>
          <cell r="V164" t="str">
            <v>NA</v>
          </cell>
        </row>
        <row r="165">
          <cell r="A165" t="str">
            <v>SCL 0162_06</v>
          </cell>
          <cell r="B165" t="str">
            <v>Aeropuerto</v>
          </cell>
          <cell r="D165" t="str">
            <v>Pantallas Digitales</v>
          </cell>
          <cell r="E165" t="str">
            <v>Lote 80 Pantallas Samsung</v>
          </cell>
          <cell r="F165" t="str">
            <v>NA</v>
          </cell>
          <cell r="G165" t="str">
            <v>NA</v>
          </cell>
          <cell r="I165" t="str">
            <v>CIRCUITO 1-TOTAL</v>
          </cell>
          <cell r="J165">
            <v>0</v>
          </cell>
          <cell r="K165">
            <v>0</v>
          </cell>
          <cell r="L165">
            <v>6500000</v>
          </cell>
          <cell r="M165" t="str">
            <v>AEROPUERTO INTERNACIONAL ARTURO MERINO B</v>
          </cell>
          <cell r="P165" t="str">
            <v>PUDAHUEL</v>
          </cell>
          <cell r="Q165" t="str">
            <v>PANTALLA</v>
          </cell>
          <cell r="R165" t="str">
            <v>Aeropuerto - Santiago</v>
          </cell>
          <cell r="S165" t="str">
            <v>SCL</v>
          </cell>
          <cell r="T165" t="str">
            <v>Pantallas Digitales</v>
          </cell>
          <cell r="U165">
            <v>1</v>
          </cell>
          <cell r="V165" t="str">
            <v>NA</v>
          </cell>
        </row>
        <row r="166">
          <cell r="A166" t="str">
            <v>SCL 0162_07</v>
          </cell>
          <cell r="B166" t="str">
            <v>Aeropuerto</v>
          </cell>
          <cell r="D166" t="str">
            <v>Pantallas Digitales</v>
          </cell>
          <cell r="E166" t="str">
            <v>Lote 80 Pantallas Samsung</v>
          </cell>
          <cell r="F166" t="str">
            <v>NA</v>
          </cell>
          <cell r="G166" t="str">
            <v>NA</v>
          </cell>
          <cell r="I166" t="str">
            <v>CIRCUITO 1-TOTAL</v>
          </cell>
          <cell r="J166">
            <v>0</v>
          </cell>
          <cell r="K166">
            <v>0</v>
          </cell>
          <cell r="L166">
            <v>6500000</v>
          </cell>
          <cell r="M166" t="str">
            <v>AEROPUERTO INTERNACIONAL ARTURO MERINO B</v>
          </cell>
          <cell r="P166" t="str">
            <v>PUDAHUEL</v>
          </cell>
          <cell r="Q166" t="str">
            <v>PANTALLA</v>
          </cell>
          <cell r="R166" t="str">
            <v>Aeropuerto - Santiago</v>
          </cell>
          <cell r="S166" t="str">
            <v>SCL</v>
          </cell>
          <cell r="T166" t="str">
            <v>Pantallas Digitales</v>
          </cell>
          <cell r="U166">
            <v>1</v>
          </cell>
          <cell r="V166" t="str">
            <v>NA</v>
          </cell>
        </row>
        <row r="167">
          <cell r="A167" t="str">
            <v>SCL 0162_08</v>
          </cell>
          <cell r="B167" t="str">
            <v>Aeropuerto</v>
          </cell>
          <cell r="D167" t="str">
            <v>Pantallas Digitales</v>
          </cell>
          <cell r="E167" t="str">
            <v>Lote 80 Pantallas Samsung</v>
          </cell>
          <cell r="F167" t="str">
            <v>NA</v>
          </cell>
          <cell r="G167" t="str">
            <v>NA</v>
          </cell>
          <cell r="I167" t="str">
            <v>CIRCUITO 1-TOTAL</v>
          </cell>
          <cell r="J167">
            <v>0</v>
          </cell>
          <cell r="K167">
            <v>0</v>
          </cell>
          <cell r="L167">
            <v>6500000</v>
          </cell>
          <cell r="M167" t="str">
            <v>AEROPUERTO INTERNACIONAL ARTURO MERINO B</v>
          </cell>
          <cell r="P167" t="str">
            <v>PUDAHUEL</v>
          </cell>
          <cell r="Q167" t="str">
            <v>PANTALLA</v>
          </cell>
          <cell r="R167" t="str">
            <v>Aeropuerto - Santiago</v>
          </cell>
          <cell r="S167" t="str">
            <v>SCL</v>
          </cell>
          <cell r="T167" t="str">
            <v>Pantallas Digitales</v>
          </cell>
          <cell r="U167">
            <v>1</v>
          </cell>
          <cell r="V167" t="str">
            <v>NA</v>
          </cell>
        </row>
        <row r="168">
          <cell r="A168" t="str">
            <v>SCL 0162_09</v>
          </cell>
          <cell r="B168" t="str">
            <v>Aeropuerto</v>
          </cell>
          <cell r="D168" t="str">
            <v>Pantallas Digitales</v>
          </cell>
          <cell r="E168" t="str">
            <v>Lote 80 Pantallas Samsung</v>
          </cell>
          <cell r="F168" t="str">
            <v>NA</v>
          </cell>
          <cell r="G168" t="str">
            <v>NA</v>
          </cell>
          <cell r="I168" t="str">
            <v>CIRCUITO 1-TOTAL</v>
          </cell>
          <cell r="J168">
            <v>0</v>
          </cell>
          <cell r="K168">
            <v>0</v>
          </cell>
          <cell r="L168">
            <v>6500000</v>
          </cell>
          <cell r="M168" t="str">
            <v>AEROPUERTO INTERNACIONAL ARTURO MERINO B</v>
          </cell>
          <cell r="P168" t="str">
            <v>PUDAHUEL</v>
          </cell>
          <cell r="Q168" t="str">
            <v>PANTALLA</v>
          </cell>
          <cell r="R168" t="str">
            <v>Aeropuerto - Santiago</v>
          </cell>
          <cell r="S168" t="str">
            <v>SCL</v>
          </cell>
          <cell r="T168" t="str">
            <v>Pantallas Digitales</v>
          </cell>
          <cell r="U168">
            <v>1</v>
          </cell>
          <cell r="V168" t="str">
            <v>NA</v>
          </cell>
        </row>
        <row r="169">
          <cell r="A169" t="str">
            <v>SCL 0162_10</v>
          </cell>
          <cell r="B169" t="str">
            <v>Aeropuerto</v>
          </cell>
          <cell r="D169" t="str">
            <v>Pantallas Digitales</v>
          </cell>
          <cell r="E169" t="str">
            <v>Lote 80 Pantallas Samsung</v>
          </cell>
          <cell r="F169" t="str">
            <v>NA</v>
          </cell>
          <cell r="G169" t="str">
            <v>NA</v>
          </cell>
          <cell r="I169" t="str">
            <v>CIRCUITO 1-TOTAL</v>
          </cell>
          <cell r="J169">
            <v>0</v>
          </cell>
          <cell r="K169">
            <v>0</v>
          </cell>
          <cell r="L169">
            <v>6500000</v>
          </cell>
          <cell r="M169" t="str">
            <v>AEROPUERTO INTERNACIONAL ARTURO MERINO B</v>
          </cell>
          <cell r="P169" t="str">
            <v>PUDAHUEL</v>
          </cell>
          <cell r="Q169" t="str">
            <v>PANTALLA</v>
          </cell>
          <cell r="R169" t="str">
            <v>Aeropuerto - Santiago</v>
          </cell>
          <cell r="S169" t="str">
            <v>SCL</v>
          </cell>
          <cell r="T169" t="str">
            <v>Pantallas Digitales</v>
          </cell>
          <cell r="U169">
            <v>1</v>
          </cell>
          <cell r="V169" t="str">
            <v>NA</v>
          </cell>
        </row>
        <row r="170">
          <cell r="A170" t="str">
            <v>SCL 0162_11</v>
          </cell>
          <cell r="B170" t="str">
            <v>Aeropuerto</v>
          </cell>
          <cell r="D170" t="str">
            <v>Pantallas Digitales</v>
          </cell>
          <cell r="E170" t="str">
            <v>Lote 80 Pantallas Samsung</v>
          </cell>
          <cell r="F170" t="str">
            <v>NA</v>
          </cell>
          <cell r="G170" t="str">
            <v>NA</v>
          </cell>
          <cell r="I170" t="str">
            <v>CIRCUITO 1</v>
          </cell>
          <cell r="J170">
            <v>0</v>
          </cell>
          <cell r="K170">
            <v>0</v>
          </cell>
          <cell r="L170">
            <v>6500000</v>
          </cell>
          <cell r="M170" t="str">
            <v>AEROPUERTO INTERNACIONAL ARTURO MERINO B</v>
          </cell>
          <cell r="P170" t="str">
            <v>PUDAHUEL</v>
          </cell>
          <cell r="Q170" t="str">
            <v>PANTALLA</v>
          </cell>
          <cell r="R170" t="str">
            <v>Aeropuerto - Santiago</v>
          </cell>
          <cell r="S170" t="str">
            <v>SCL</v>
          </cell>
          <cell r="T170" t="str">
            <v>Pantallas Digitales</v>
          </cell>
          <cell r="U170">
            <v>1</v>
          </cell>
          <cell r="V170" t="str">
            <v>NA</v>
          </cell>
        </row>
        <row r="171">
          <cell r="A171" t="str">
            <v>SCL 0162_12</v>
          </cell>
          <cell r="B171" t="str">
            <v>Aeropuerto</v>
          </cell>
          <cell r="D171" t="str">
            <v>Pantallas Digitales</v>
          </cell>
          <cell r="E171" t="str">
            <v>Lote 80 Pantallas Samsung</v>
          </cell>
          <cell r="F171" t="str">
            <v>NA</v>
          </cell>
          <cell r="G171" t="str">
            <v>NA</v>
          </cell>
          <cell r="I171" t="str">
            <v>CIRCUITO 1</v>
          </cell>
          <cell r="J171">
            <v>0</v>
          </cell>
          <cell r="K171">
            <v>0</v>
          </cell>
          <cell r="L171">
            <v>6500000</v>
          </cell>
          <cell r="M171" t="str">
            <v>AEROPUERTO INTERNACIONAL ARTURO MERINO B</v>
          </cell>
          <cell r="P171" t="str">
            <v>PUDAHUEL</v>
          </cell>
          <cell r="Q171" t="str">
            <v>PANTALLA</v>
          </cell>
          <cell r="R171" t="str">
            <v>Aeropuerto - Santiago</v>
          </cell>
          <cell r="S171" t="str">
            <v>SCL</v>
          </cell>
          <cell r="T171" t="str">
            <v>Pantallas Digitales</v>
          </cell>
          <cell r="U171">
            <v>1</v>
          </cell>
          <cell r="V171" t="str">
            <v>NA</v>
          </cell>
        </row>
        <row r="172">
          <cell r="A172" t="str">
            <v>SCL 0162_13</v>
          </cell>
          <cell r="B172" t="str">
            <v>Aeropuerto</v>
          </cell>
          <cell r="D172" t="str">
            <v>Pantallas Digitales</v>
          </cell>
          <cell r="E172" t="str">
            <v>Lote 80 Pantallas Samsung</v>
          </cell>
          <cell r="F172" t="str">
            <v>NA</v>
          </cell>
          <cell r="G172" t="str">
            <v>NA</v>
          </cell>
          <cell r="I172" t="str">
            <v>CIRCUITO 1</v>
          </cell>
          <cell r="J172">
            <v>0</v>
          </cell>
          <cell r="K172">
            <v>0</v>
          </cell>
          <cell r="L172">
            <v>6500000</v>
          </cell>
          <cell r="M172" t="str">
            <v>AEROPUERTO INTERNACIONAL ARTURO MERINO B</v>
          </cell>
          <cell r="P172" t="str">
            <v>PUDAHUEL</v>
          </cell>
          <cell r="Q172" t="str">
            <v>PANTALLA</v>
          </cell>
          <cell r="R172" t="str">
            <v>Aeropuerto - Santiago</v>
          </cell>
          <cell r="S172" t="str">
            <v>SCL</v>
          </cell>
          <cell r="T172" t="str">
            <v>Pantallas Digitales</v>
          </cell>
          <cell r="U172">
            <v>1</v>
          </cell>
          <cell r="V172" t="str">
            <v>NA</v>
          </cell>
        </row>
        <row r="173">
          <cell r="A173" t="str">
            <v>SCL 0162_14</v>
          </cell>
          <cell r="B173" t="str">
            <v>Aeropuerto</v>
          </cell>
          <cell r="D173" t="str">
            <v>Pantallas Digitales</v>
          </cell>
          <cell r="E173" t="str">
            <v>Lote 80 Pantallas Samsung</v>
          </cell>
          <cell r="F173" t="str">
            <v>NA</v>
          </cell>
          <cell r="G173" t="str">
            <v>NA</v>
          </cell>
          <cell r="I173" t="str">
            <v>CIRCUITO 1</v>
          </cell>
          <cell r="J173">
            <v>0</v>
          </cell>
          <cell r="K173">
            <v>0</v>
          </cell>
          <cell r="L173">
            <v>6500000</v>
          </cell>
          <cell r="M173" t="str">
            <v>AEROPUERTO INTERNACIONAL ARTURO MERINO B</v>
          </cell>
          <cell r="P173" t="str">
            <v>PUDAHUEL</v>
          </cell>
          <cell r="Q173" t="str">
            <v>PANTALLA</v>
          </cell>
          <cell r="R173" t="str">
            <v>Aeropuerto - Santiago</v>
          </cell>
          <cell r="S173" t="str">
            <v>SCL</v>
          </cell>
          <cell r="T173" t="str">
            <v>Pantallas Digitales</v>
          </cell>
          <cell r="U173">
            <v>1</v>
          </cell>
          <cell r="V173" t="str">
            <v>NA</v>
          </cell>
        </row>
        <row r="174">
          <cell r="A174" t="str">
            <v>SCL 0162_15</v>
          </cell>
          <cell r="B174" t="str">
            <v>Aeropuerto</v>
          </cell>
          <cell r="D174" t="str">
            <v>Pantallas Digitales</v>
          </cell>
          <cell r="E174" t="str">
            <v>Lote 80 Pantallas Samsung</v>
          </cell>
          <cell r="F174" t="str">
            <v>NA</v>
          </cell>
          <cell r="G174" t="str">
            <v>NA</v>
          </cell>
          <cell r="I174" t="str">
            <v>CIRCUITO 1</v>
          </cell>
          <cell r="J174">
            <v>0</v>
          </cell>
          <cell r="K174">
            <v>0</v>
          </cell>
          <cell r="L174">
            <v>6500000</v>
          </cell>
          <cell r="M174" t="str">
            <v>AEROPUERTO INTERNACIONAL ARTURO MERINO B</v>
          </cell>
          <cell r="P174" t="str">
            <v>PUDAHUEL</v>
          </cell>
          <cell r="Q174" t="str">
            <v>PANTALLA</v>
          </cell>
          <cell r="R174" t="str">
            <v>Aeropuerto - Santiago</v>
          </cell>
          <cell r="S174" t="str">
            <v>SCL</v>
          </cell>
          <cell r="T174" t="str">
            <v>Pantallas Digitales</v>
          </cell>
          <cell r="U174">
            <v>1</v>
          </cell>
          <cell r="V174" t="str">
            <v>NA</v>
          </cell>
        </row>
        <row r="175">
          <cell r="A175" t="str">
            <v>SCL 0162_16</v>
          </cell>
          <cell r="B175" t="str">
            <v>Aeropuerto</v>
          </cell>
          <cell r="D175" t="str">
            <v>Pantallas Digitales</v>
          </cell>
          <cell r="E175" t="str">
            <v>Lote 80 Pantallas Samsung</v>
          </cell>
          <cell r="F175" t="str">
            <v>NA</v>
          </cell>
          <cell r="G175" t="str">
            <v>NA</v>
          </cell>
          <cell r="I175" t="str">
            <v>CIRCUITO 1</v>
          </cell>
          <cell r="J175">
            <v>0</v>
          </cell>
          <cell r="K175">
            <v>0</v>
          </cell>
          <cell r="L175">
            <v>6500000</v>
          </cell>
          <cell r="M175" t="str">
            <v>AEROPUERTO INTERNACIONAL ARTURO MERINO B</v>
          </cell>
          <cell r="P175" t="str">
            <v>PUDAHUEL</v>
          </cell>
          <cell r="Q175" t="str">
            <v>PANTALLA</v>
          </cell>
          <cell r="R175" t="str">
            <v>Aeropuerto - Santiago</v>
          </cell>
          <cell r="S175" t="str">
            <v>SCL</v>
          </cell>
          <cell r="T175" t="str">
            <v>Pantallas Digitales</v>
          </cell>
          <cell r="U175">
            <v>1</v>
          </cell>
          <cell r="V175" t="str">
            <v>NA</v>
          </cell>
        </row>
        <row r="176">
          <cell r="A176" t="str">
            <v>SCL 0162_17</v>
          </cell>
          <cell r="B176" t="str">
            <v>Aeropuerto</v>
          </cell>
          <cell r="D176" t="str">
            <v>Pantallas Digitales</v>
          </cell>
          <cell r="E176" t="str">
            <v>Lote 80 Pantallas Samsung</v>
          </cell>
          <cell r="F176" t="str">
            <v>NA</v>
          </cell>
          <cell r="G176" t="str">
            <v>NA</v>
          </cell>
          <cell r="I176" t="str">
            <v>CIRCUITO 1</v>
          </cell>
          <cell r="J176">
            <v>0</v>
          </cell>
          <cell r="K176">
            <v>0</v>
          </cell>
          <cell r="L176">
            <v>6500000</v>
          </cell>
          <cell r="M176" t="str">
            <v>AEROPUERTO INTERNACIONAL ARTURO MERINO B</v>
          </cell>
          <cell r="P176" t="str">
            <v>PUDAHUEL</v>
          </cell>
          <cell r="Q176" t="str">
            <v>PANTALLA</v>
          </cell>
          <cell r="R176" t="str">
            <v>Aeropuerto - Santiago</v>
          </cell>
          <cell r="S176" t="str">
            <v>SCL</v>
          </cell>
          <cell r="T176" t="str">
            <v>Pantallas Digitales</v>
          </cell>
          <cell r="U176">
            <v>1</v>
          </cell>
          <cell r="V176" t="str">
            <v>NA</v>
          </cell>
        </row>
        <row r="177">
          <cell r="A177" t="str">
            <v>SCL 0162_18</v>
          </cell>
          <cell r="B177" t="str">
            <v>Aeropuerto</v>
          </cell>
          <cell r="D177" t="str">
            <v>Pantallas Digitales</v>
          </cell>
          <cell r="E177" t="str">
            <v>Lote 80 Pantallas Samsung</v>
          </cell>
          <cell r="F177" t="str">
            <v>NA</v>
          </cell>
          <cell r="G177" t="str">
            <v>NA</v>
          </cell>
          <cell r="I177" t="str">
            <v>CIRCUITO 1</v>
          </cell>
          <cell r="J177">
            <v>0</v>
          </cell>
          <cell r="K177">
            <v>0</v>
          </cell>
          <cell r="L177">
            <v>6500000</v>
          </cell>
          <cell r="M177" t="str">
            <v>AEROPUERTO INTERNACIONAL ARTURO MERINO B</v>
          </cell>
          <cell r="P177" t="str">
            <v>PUDAHUEL</v>
          </cell>
          <cell r="Q177" t="str">
            <v>PANTALLA</v>
          </cell>
          <cell r="R177" t="str">
            <v>Aeropuerto - Santiago</v>
          </cell>
          <cell r="S177" t="str">
            <v>SCL</v>
          </cell>
          <cell r="T177" t="str">
            <v>Pantallas Digitales</v>
          </cell>
          <cell r="U177">
            <v>1</v>
          </cell>
          <cell r="V177" t="str">
            <v>NA</v>
          </cell>
        </row>
        <row r="178">
          <cell r="A178" t="str">
            <v>SCL 0162_19</v>
          </cell>
          <cell r="B178" t="str">
            <v>Aeropuerto</v>
          </cell>
          <cell r="D178" t="str">
            <v>Pantallas Digitales</v>
          </cell>
          <cell r="E178" t="str">
            <v>Lote 80 Pantallas Samsung</v>
          </cell>
          <cell r="F178" t="str">
            <v>NA</v>
          </cell>
          <cell r="G178" t="str">
            <v>NA</v>
          </cell>
          <cell r="I178" t="str">
            <v>CIRCUITO 1</v>
          </cell>
          <cell r="J178">
            <v>0</v>
          </cell>
          <cell r="K178">
            <v>0</v>
          </cell>
          <cell r="L178">
            <v>6500000</v>
          </cell>
          <cell r="M178" t="str">
            <v>AEROPUERTO INTERNACIONAL ARTURO MERINO B</v>
          </cell>
          <cell r="P178" t="str">
            <v>PUDAHUEL</v>
          </cell>
          <cell r="Q178" t="str">
            <v>PANTALLA</v>
          </cell>
          <cell r="R178" t="str">
            <v>Aeropuerto - Santiago</v>
          </cell>
          <cell r="S178" t="str">
            <v>SCL</v>
          </cell>
          <cell r="T178" t="str">
            <v>Pantallas Digitales</v>
          </cell>
          <cell r="U178">
            <v>1</v>
          </cell>
          <cell r="V178" t="str">
            <v>NA</v>
          </cell>
        </row>
        <row r="179">
          <cell r="A179" t="str">
            <v>SCL 0162_20</v>
          </cell>
          <cell r="B179" t="str">
            <v>Aeropuerto</v>
          </cell>
          <cell r="D179" t="str">
            <v>Pantallas Digitales</v>
          </cell>
          <cell r="E179" t="str">
            <v>Lote 80 Pantallas Samsung</v>
          </cell>
          <cell r="F179" t="str">
            <v>NA</v>
          </cell>
          <cell r="G179" t="str">
            <v>NA</v>
          </cell>
          <cell r="I179" t="str">
            <v>CIRCUITO 1</v>
          </cell>
          <cell r="J179">
            <v>0</v>
          </cell>
          <cell r="K179">
            <v>0</v>
          </cell>
          <cell r="L179">
            <v>6500000</v>
          </cell>
          <cell r="M179" t="str">
            <v>AEROPUERTO INTERNACIONAL ARTURO MERINO B</v>
          </cell>
          <cell r="P179" t="str">
            <v>PUDAHUEL</v>
          </cell>
          <cell r="Q179" t="str">
            <v>PANTALLA</v>
          </cell>
          <cell r="R179" t="str">
            <v>Aeropuerto - Santiago</v>
          </cell>
          <cell r="S179" t="str">
            <v>SCL</v>
          </cell>
          <cell r="T179" t="str">
            <v>Pantallas Digitales</v>
          </cell>
          <cell r="U179">
            <v>1</v>
          </cell>
          <cell r="V179" t="str">
            <v>NA</v>
          </cell>
        </row>
        <row r="180">
          <cell r="A180" t="str">
            <v>SCL 0163_01</v>
          </cell>
          <cell r="B180" t="str">
            <v>Aeropuerto</v>
          </cell>
          <cell r="D180" t="str">
            <v>Pantallas Digitales</v>
          </cell>
          <cell r="E180" t="str">
            <v>Lote 80 Pantallas Samsung</v>
          </cell>
          <cell r="F180" t="str">
            <v>NA</v>
          </cell>
          <cell r="G180" t="str">
            <v>NA</v>
          </cell>
          <cell r="I180" t="str">
            <v>CIRCUITO 2-TOTAL</v>
          </cell>
          <cell r="J180">
            <v>0</v>
          </cell>
          <cell r="K180">
            <v>0</v>
          </cell>
          <cell r="L180">
            <v>6500000</v>
          </cell>
          <cell r="M180" t="str">
            <v>AEROPUERTO INTERNACIONAL ARTURO MERINO B</v>
          </cell>
          <cell r="P180" t="str">
            <v>PUDAHUEL</v>
          </cell>
          <cell r="Q180" t="str">
            <v>PANTALLA</v>
          </cell>
          <cell r="R180" t="str">
            <v>Aeropuerto - Santiago</v>
          </cell>
          <cell r="S180" t="str">
            <v>SCL</v>
          </cell>
          <cell r="T180" t="str">
            <v>Pantallas Digitales</v>
          </cell>
          <cell r="U180">
            <v>1</v>
          </cell>
          <cell r="V180" t="str">
            <v>NA</v>
          </cell>
        </row>
        <row r="181">
          <cell r="A181" t="str">
            <v>SCL 0163_02</v>
          </cell>
          <cell r="B181" t="str">
            <v>Aeropuerto</v>
          </cell>
          <cell r="D181" t="str">
            <v>Pantallas Digitales</v>
          </cell>
          <cell r="E181" t="str">
            <v>Lote 80 Pantallas Samsung</v>
          </cell>
          <cell r="F181" t="str">
            <v>NA</v>
          </cell>
          <cell r="G181" t="str">
            <v>NA</v>
          </cell>
          <cell r="I181" t="str">
            <v>CIRCUITO 2-TOTAL</v>
          </cell>
          <cell r="J181">
            <v>0</v>
          </cell>
          <cell r="K181">
            <v>0</v>
          </cell>
          <cell r="L181">
            <v>6500000</v>
          </cell>
          <cell r="M181" t="str">
            <v>AEROPUERTO INTERNACIONAL ARTURO MERINO B</v>
          </cell>
          <cell r="P181" t="str">
            <v>PUDAHUEL</v>
          </cell>
          <cell r="Q181" t="str">
            <v>PANTALLA</v>
          </cell>
          <cell r="R181" t="str">
            <v>Aeropuerto - Santiago</v>
          </cell>
          <cell r="S181" t="str">
            <v>SCL</v>
          </cell>
          <cell r="T181" t="str">
            <v>Pantallas Digitales</v>
          </cell>
          <cell r="U181">
            <v>1</v>
          </cell>
          <cell r="V181" t="str">
            <v>NA</v>
          </cell>
        </row>
        <row r="182">
          <cell r="A182" t="str">
            <v>SCL 0163_03</v>
          </cell>
          <cell r="B182" t="str">
            <v>Aeropuerto</v>
          </cell>
          <cell r="D182" t="str">
            <v>Pantallas Digitales</v>
          </cell>
          <cell r="E182" t="str">
            <v>Lote 80 Pantallas Samsung</v>
          </cell>
          <cell r="F182" t="str">
            <v>NA</v>
          </cell>
          <cell r="G182" t="str">
            <v>NA</v>
          </cell>
          <cell r="I182" t="str">
            <v>CIRCUITO 2-TOTAL</v>
          </cell>
          <cell r="J182">
            <v>0</v>
          </cell>
          <cell r="K182">
            <v>0</v>
          </cell>
          <cell r="L182">
            <v>6500000</v>
          </cell>
          <cell r="M182" t="str">
            <v>AEROPUERTO INTERNACIONAL ARTURO MERINO B</v>
          </cell>
          <cell r="P182" t="str">
            <v>PUDAHUEL</v>
          </cell>
          <cell r="Q182" t="str">
            <v>PANTALLA</v>
          </cell>
          <cell r="R182" t="str">
            <v>Aeropuerto - Santiago</v>
          </cell>
          <cell r="S182" t="str">
            <v>SCL</v>
          </cell>
          <cell r="T182" t="str">
            <v>Pantallas Digitales</v>
          </cell>
          <cell r="U182">
            <v>1</v>
          </cell>
          <cell r="V182" t="str">
            <v>NA</v>
          </cell>
        </row>
        <row r="183">
          <cell r="A183" t="str">
            <v>SCL 0163_04</v>
          </cell>
          <cell r="B183" t="str">
            <v>Aeropuerto</v>
          </cell>
          <cell r="D183" t="str">
            <v>Pantallas Digitales</v>
          </cell>
          <cell r="E183" t="str">
            <v>Lote 80 Pantallas Samsung</v>
          </cell>
          <cell r="F183" t="str">
            <v>NA</v>
          </cell>
          <cell r="G183" t="str">
            <v>NA</v>
          </cell>
          <cell r="I183" t="str">
            <v>CIRCUITO 2-TOTAL</v>
          </cell>
          <cell r="J183">
            <v>0</v>
          </cell>
          <cell r="K183">
            <v>0</v>
          </cell>
          <cell r="L183">
            <v>6500000</v>
          </cell>
          <cell r="M183" t="str">
            <v>AEROPUERTO INTERNACIONAL ARTURO MERINO B</v>
          </cell>
          <cell r="P183" t="str">
            <v>PUDAHUEL</v>
          </cell>
          <cell r="Q183" t="str">
            <v>PANTALLA</v>
          </cell>
          <cell r="R183" t="str">
            <v>Aeropuerto - Santiago</v>
          </cell>
          <cell r="S183" t="str">
            <v>SCL</v>
          </cell>
          <cell r="T183" t="str">
            <v>Pantallas Digitales</v>
          </cell>
          <cell r="U183">
            <v>1</v>
          </cell>
          <cell r="V183" t="str">
            <v>NA</v>
          </cell>
        </row>
        <row r="184">
          <cell r="A184" t="str">
            <v>SCL 0163_05</v>
          </cell>
          <cell r="B184" t="str">
            <v>Aeropuerto</v>
          </cell>
          <cell r="D184" t="str">
            <v>Pantallas Digitales</v>
          </cell>
          <cell r="E184" t="str">
            <v>Lote 80 Pantallas Samsung</v>
          </cell>
          <cell r="F184" t="str">
            <v>NA</v>
          </cell>
          <cell r="G184" t="str">
            <v>NA</v>
          </cell>
          <cell r="I184" t="str">
            <v>CIRCUITO 2-TOTAL</v>
          </cell>
          <cell r="J184">
            <v>0</v>
          </cell>
          <cell r="K184">
            <v>0</v>
          </cell>
          <cell r="L184">
            <v>6500000</v>
          </cell>
          <cell r="M184" t="str">
            <v>AEROPUERTO INTERNACIONAL ARTURO MERINO B</v>
          </cell>
          <cell r="P184" t="str">
            <v>PUDAHUEL</v>
          </cell>
          <cell r="Q184" t="str">
            <v>PANTALLA</v>
          </cell>
          <cell r="R184" t="str">
            <v>Aeropuerto - Santiago</v>
          </cell>
          <cell r="S184" t="str">
            <v>SCL</v>
          </cell>
          <cell r="T184" t="str">
            <v>Pantallas Digitales</v>
          </cell>
          <cell r="U184">
            <v>1</v>
          </cell>
          <cell r="V184" t="str">
            <v>NA</v>
          </cell>
        </row>
        <row r="185">
          <cell r="A185" t="str">
            <v>SCL 0163_06</v>
          </cell>
          <cell r="B185" t="str">
            <v>Aeropuerto</v>
          </cell>
          <cell r="D185" t="str">
            <v>Pantallas Digitales</v>
          </cell>
          <cell r="E185" t="str">
            <v>Lote 80 Pantallas Samsung</v>
          </cell>
          <cell r="F185" t="str">
            <v>NA</v>
          </cell>
          <cell r="G185" t="str">
            <v>NA</v>
          </cell>
          <cell r="I185" t="str">
            <v>CIRCUITO 2-TOTAL</v>
          </cell>
          <cell r="J185">
            <v>0</v>
          </cell>
          <cell r="K185">
            <v>0</v>
          </cell>
          <cell r="L185">
            <v>6500000</v>
          </cell>
          <cell r="M185" t="str">
            <v>AEROPUERTO INTERNACIONAL ARTURO MERINO B</v>
          </cell>
          <cell r="P185" t="str">
            <v>PUDAHUEL</v>
          </cell>
          <cell r="Q185" t="str">
            <v>PANTALLA</v>
          </cell>
          <cell r="R185" t="str">
            <v>Aeropuerto - Santiago</v>
          </cell>
          <cell r="S185" t="str">
            <v>SCL</v>
          </cell>
          <cell r="T185" t="str">
            <v>Pantallas Digitales</v>
          </cell>
          <cell r="U185">
            <v>1</v>
          </cell>
          <cell r="V185" t="str">
            <v>NA</v>
          </cell>
        </row>
        <row r="186">
          <cell r="A186" t="str">
            <v>SCL 0163_07</v>
          </cell>
          <cell r="B186" t="str">
            <v>Aeropuerto</v>
          </cell>
          <cell r="D186" t="str">
            <v>Pantallas Digitales</v>
          </cell>
          <cell r="E186" t="str">
            <v>Lote 80 Pantallas Samsung</v>
          </cell>
          <cell r="F186" t="str">
            <v>NA</v>
          </cell>
          <cell r="G186" t="str">
            <v>NA</v>
          </cell>
          <cell r="I186" t="str">
            <v>CIRCUITO 2-TOTAL</v>
          </cell>
          <cell r="J186">
            <v>0</v>
          </cell>
          <cell r="K186">
            <v>0</v>
          </cell>
          <cell r="L186">
            <v>6500000</v>
          </cell>
          <cell r="M186" t="str">
            <v>AEROPUERTO INTERNACIONAL ARTURO MERINO B</v>
          </cell>
          <cell r="P186" t="str">
            <v>PUDAHUEL</v>
          </cell>
          <cell r="Q186" t="str">
            <v>PANTALLA</v>
          </cell>
          <cell r="R186" t="str">
            <v>Aeropuerto - Santiago</v>
          </cell>
          <cell r="S186" t="str">
            <v>SCL</v>
          </cell>
          <cell r="T186" t="str">
            <v>Pantallas Digitales</v>
          </cell>
          <cell r="U186">
            <v>1</v>
          </cell>
          <cell r="V186" t="str">
            <v>NA</v>
          </cell>
        </row>
        <row r="187">
          <cell r="A187" t="str">
            <v>SCL 0163_08</v>
          </cell>
          <cell r="B187" t="str">
            <v>Aeropuerto</v>
          </cell>
          <cell r="D187" t="str">
            <v>Pantallas Digitales</v>
          </cell>
          <cell r="E187" t="str">
            <v>Lote 80 Pantallas Samsung</v>
          </cell>
          <cell r="F187" t="str">
            <v>NA</v>
          </cell>
          <cell r="G187" t="str">
            <v>NA</v>
          </cell>
          <cell r="I187" t="str">
            <v>CIRCUITO 2-TOTAL</v>
          </cell>
          <cell r="J187">
            <v>0</v>
          </cell>
          <cell r="K187">
            <v>0</v>
          </cell>
          <cell r="L187">
            <v>6500000</v>
          </cell>
          <cell r="M187" t="str">
            <v>AEROPUERTO INTERNACIONAL ARTURO MERINO B</v>
          </cell>
          <cell r="P187" t="str">
            <v>PUDAHUEL</v>
          </cell>
          <cell r="Q187" t="str">
            <v>PANTALLA</v>
          </cell>
          <cell r="R187" t="str">
            <v>Aeropuerto - Santiago</v>
          </cell>
          <cell r="S187" t="str">
            <v>SCL</v>
          </cell>
          <cell r="T187" t="str">
            <v>Pantallas Digitales</v>
          </cell>
          <cell r="U187">
            <v>1</v>
          </cell>
          <cell r="V187" t="str">
            <v>NA</v>
          </cell>
        </row>
        <row r="188">
          <cell r="A188" t="str">
            <v>SCL 0163_09</v>
          </cell>
          <cell r="B188" t="str">
            <v>Aeropuerto</v>
          </cell>
          <cell r="D188" t="str">
            <v>Pantallas Digitales</v>
          </cell>
          <cell r="E188" t="str">
            <v>Lote 80 Pantallas Samsung</v>
          </cell>
          <cell r="F188" t="str">
            <v>NA</v>
          </cell>
          <cell r="G188" t="str">
            <v>NA</v>
          </cell>
          <cell r="I188" t="str">
            <v>CIRCUITO 2-TOTAL</v>
          </cell>
          <cell r="J188">
            <v>0</v>
          </cell>
          <cell r="K188">
            <v>0</v>
          </cell>
          <cell r="L188">
            <v>6500000</v>
          </cell>
          <cell r="M188" t="str">
            <v>AEROPUERTO INTERNACIONAL ARTURO MERINO B</v>
          </cell>
          <cell r="P188" t="str">
            <v>PUDAHUEL</v>
          </cell>
          <cell r="Q188" t="str">
            <v>PANTALLA</v>
          </cell>
          <cell r="R188" t="str">
            <v>Aeropuerto - Santiago</v>
          </cell>
          <cell r="S188" t="str">
            <v>SCL</v>
          </cell>
          <cell r="T188" t="str">
            <v>Pantallas Digitales</v>
          </cell>
          <cell r="U188">
            <v>1</v>
          </cell>
          <cell r="V188" t="str">
            <v>NA</v>
          </cell>
        </row>
        <row r="189">
          <cell r="A189" t="str">
            <v>SCL 0163_10</v>
          </cell>
          <cell r="B189" t="str">
            <v>Aeropuerto</v>
          </cell>
          <cell r="D189" t="str">
            <v>Pantallas Digitales</v>
          </cell>
          <cell r="E189" t="str">
            <v>Lote 80 Pantallas Samsung</v>
          </cell>
          <cell r="F189" t="str">
            <v>NA</v>
          </cell>
          <cell r="G189" t="str">
            <v>NA</v>
          </cell>
          <cell r="I189" t="str">
            <v>CIRCUITO 2-TOTAL</v>
          </cell>
          <cell r="J189">
            <v>0</v>
          </cell>
          <cell r="K189">
            <v>0</v>
          </cell>
          <cell r="L189">
            <v>6500000</v>
          </cell>
          <cell r="M189" t="str">
            <v>AEROPUERTO INTERNACIONAL ARTURO MERINO B</v>
          </cell>
          <cell r="P189" t="str">
            <v>PUDAHUEL</v>
          </cell>
          <cell r="Q189" t="str">
            <v>PANTALLA</v>
          </cell>
          <cell r="R189" t="str">
            <v>Aeropuerto - Santiago</v>
          </cell>
          <cell r="S189" t="str">
            <v>SCL</v>
          </cell>
          <cell r="T189" t="str">
            <v>Pantallas Digitales</v>
          </cell>
          <cell r="U189">
            <v>1</v>
          </cell>
          <cell r="V189" t="str">
            <v>NA</v>
          </cell>
        </row>
        <row r="190">
          <cell r="A190" t="str">
            <v>SCL 0163_11</v>
          </cell>
          <cell r="B190" t="str">
            <v>Aeropuerto</v>
          </cell>
          <cell r="D190" t="str">
            <v>Pantallas Digitales</v>
          </cell>
          <cell r="E190" t="str">
            <v>Lote 80 Pantallas Samsung</v>
          </cell>
          <cell r="F190" t="str">
            <v>NA</v>
          </cell>
          <cell r="G190" t="str">
            <v>NA</v>
          </cell>
          <cell r="I190" t="str">
            <v>CIRCUITO 2</v>
          </cell>
          <cell r="J190">
            <v>0</v>
          </cell>
          <cell r="K190">
            <v>0</v>
          </cell>
          <cell r="L190">
            <v>6500000</v>
          </cell>
          <cell r="M190" t="str">
            <v>AEROPUERTO INTERNACIONAL ARTURO MERINO B</v>
          </cell>
          <cell r="P190" t="str">
            <v>PUDAHUEL</v>
          </cell>
          <cell r="Q190" t="str">
            <v>PANTALLA</v>
          </cell>
          <cell r="R190" t="str">
            <v>Aeropuerto - Santiago</v>
          </cell>
          <cell r="S190" t="str">
            <v>SCL</v>
          </cell>
          <cell r="T190" t="str">
            <v>Pantallas Digitales</v>
          </cell>
          <cell r="U190">
            <v>1</v>
          </cell>
          <cell r="V190" t="str">
            <v>NA</v>
          </cell>
        </row>
        <row r="191">
          <cell r="A191" t="str">
            <v>SCL 0163_12</v>
          </cell>
          <cell r="B191" t="str">
            <v>Aeropuerto</v>
          </cell>
          <cell r="D191" t="str">
            <v>Pantallas Digitales</v>
          </cell>
          <cell r="E191" t="str">
            <v>Lote 80 Pantallas Samsung</v>
          </cell>
          <cell r="F191" t="str">
            <v>NA</v>
          </cell>
          <cell r="G191" t="str">
            <v>NA</v>
          </cell>
          <cell r="I191" t="str">
            <v>CIRCUITO 2</v>
          </cell>
          <cell r="J191">
            <v>0</v>
          </cell>
          <cell r="K191">
            <v>0</v>
          </cell>
          <cell r="L191">
            <v>6500000</v>
          </cell>
          <cell r="M191" t="str">
            <v>AEROPUERTO INTERNACIONAL ARTURO MERINO B</v>
          </cell>
          <cell r="P191" t="str">
            <v>PUDAHUEL</v>
          </cell>
          <cell r="Q191" t="str">
            <v>PANTALLA</v>
          </cell>
          <cell r="R191" t="str">
            <v>Aeropuerto - Santiago</v>
          </cell>
          <cell r="S191" t="str">
            <v>SCL</v>
          </cell>
          <cell r="T191" t="str">
            <v>Pantallas Digitales</v>
          </cell>
          <cell r="U191">
            <v>1</v>
          </cell>
          <cell r="V191" t="str">
            <v>NA</v>
          </cell>
        </row>
        <row r="192">
          <cell r="A192" t="str">
            <v>SCL 0163_13</v>
          </cell>
          <cell r="B192" t="str">
            <v>Aeropuerto</v>
          </cell>
          <cell r="D192" t="str">
            <v>Pantallas Digitales</v>
          </cell>
          <cell r="E192" t="str">
            <v>Lote 80 Pantallas Samsung</v>
          </cell>
          <cell r="F192" t="str">
            <v>NA</v>
          </cell>
          <cell r="G192" t="str">
            <v>NA</v>
          </cell>
          <cell r="I192" t="str">
            <v>CIRCUITO 2</v>
          </cell>
          <cell r="J192">
            <v>0</v>
          </cell>
          <cell r="K192">
            <v>0</v>
          </cell>
          <cell r="L192">
            <v>6500000</v>
          </cell>
          <cell r="M192" t="str">
            <v>AEROPUERTO INTERNACIONAL ARTURO MERINO B</v>
          </cell>
          <cell r="P192" t="str">
            <v>PUDAHUEL</v>
          </cell>
          <cell r="Q192" t="str">
            <v>PANTALLA</v>
          </cell>
          <cell r="R192" t="str">
            <v>Aeropuerto - Santiago</v>
          </cell>
          <cell r="S192" t="str">
            <v>SCL</v>
          </cell>
          <cell r="T192" t="str">
            <v>Pantallas Digitales</v>
          </cell>
          <cell r="U192">
            <v>1</v>
          </cell>
          <cell r="V192" t="str">
            <v>NA</v>
          </cell>
        </row>
        <row r="193">
          <cell r="A193" t="str">
            <v>SCL 0163_14</v>
          </cell>
          <cell r="B193" t="str">
            <v>Aeropuerto</v>
          </cell>
          <cell r="D193" t="str">
            <v>Pantallas Digitales</v>
          </cell>
          <cell r="E193" t="str">
            <v>Lote 80 Pantallas Samsung</v>
          </cell>
          <cell r="F193" t="str">
            <v>NA</v>
          </cell>
          <cell r="G193" t="str">
            <v>NA</v>
          </cell>
          <cell r="I193" t="str">
            <v>CIRCUITO 2</v>
          </cell>
          <cell r="J193">
            <v>0</v>
          </cell>
          <cell r="K193">
            <v>0</v>
          </cell>
          <cell r="L193">
            <v>6500000</v>
          </cell>
          <cell r="M193" t="str">
            <v>AEROPUERTO INTERNACIONAL ARTURO MERINO B</v>
          </cell>
          <cell r="P193" t="str">
            <v>PUDAHUEL</v>
          </cell>
          <cell r="Q193" t="str">
            <v>PANTALLA</v>
          </cell>
          <cell r="R193" t="str">
            <v>Aeropuerto - Santiago</v>
          </cell>
          <cell r="S193" t="str">
            <v>SCL</v>
          </cell>
          <cell r="T193" t="str">
            <v>Pantallas Digitales</v>
          </cell>
          <cell r="U193">
            <v>1</v>
          </cell>
          <cell r="V193" t="str">
            <v>NA</v>
          </cell>
        </row>
        <row r="194">
          <cell r="A194" t="str">
            <v>SCL 0163_15</v>
          </cell>
          <cell r="B194" t="str">
            <v>Aeropuerto</v>
          </cell>
          <cell r="D194" t="str">
            <v>Pantallas Digitales</v>
          </cell>
          <cell r="E194" t="str">
            <v>Lote 80 Pantallas Samsung</v>
          </cell>
          <cell r="F194" t="str">
            <v>NA</v>
          </cell>
          <cell r="G194" t="str">
            <v>NA</v>
          </cell>
          <cell r="I194" t="str">
            <v>CIRCUITO 2</v>
          </cell>
          <cell r="J194">
            <v>0</v>
          </cell>
          <cell r="K194">
            <v>0</v>
          </cell>
          <cell r="L194">
            <v>6500000</v>
          </cell>
          <cell r="M194" t="str">
            <v>AEROPUERTO INTERNACIONAL ARTURO MERINO B</v>
          </cell>
          <cell r="P194" t="str">
            <v>PUDAHUEL</v>
          </cell>
          <cell r="Q194" t="str">
            <v>PANTALLA</v>
          </cell>
          <cell r="R194" t="str">
            <v>Aeropuerto - Santiago</v>
          </cell>
          <cell r="S194" t="str">
            <v>SCL</v>
          </cell>
          <cell r="T194" t="str">
            <v>Pantallas Digitales</v>
          </cell>
          <cell r="U194">
            <v>1</v>
          </cell>
          <cell r="V194" t="str">
            <v>NA</v>
          </cell>
        </row>
        <row r="195">
          <cell r="A195" t="str">
            <v>SCL 0163_16</v>
          </cell>
          <cell r="B195" t="str">
            <v>Aeropuerto</v>
          </cell>
          <cell r="D195" t="str">
            <v>Pantallas Digitales</v>
          </cell>
          <cell r="E195" t="str">
            <v>Lote 80 Pantallas Samsung</v>
          </cell>
          <cell r="F195" t="str">
            <v>NA</v>
          </cell>
          <cell r="G195" t="str">
            <v>NA</v>
          </cell>
          <cell r="I195" t="str">
            <v>CIRCUITO 2</v>
          </cell>
          <cell r="J195">
            <v>0</v>
          </cell>
          <cell r="K195">
            <v>0</v>
          </cell>
          <cell r="L195">
            <v>6500000</v>
          </cell>
          <cell r="M195" t="str">
            <v>AEROPUERTO INTERNACIONAL ARTURO MERINO B</v>
          </cell>
          <cell r="P195" t="str">
            <v>PUDAHUEL</v>
          </cell>
          <cell r="Q195" t="str">
            <v>PANTALLA</v>
          </cell>
          <cell r="R195" t="str">
            <v>Aeropuerto - Santiago</v>
          </cell>
          <cell r="S195" t="str">
            <v>SCL</v>
          </cell>
          <cell r="T195" t="str">
            <v>Pantallas Digitales</v>
          </cell>
          <cell r="U195">
            <v>1</v>
          </cell>
          <cell r="V195" t="str">
            <v>NA</v>
          </cell>
        </row>
        <row r="196">
          <cell r="A196" t="str">
            <v>SCL 0163_17</v>
          </cell>
          <cell r="B196" t="str">
            <v>Aeropuerto</v>
          </cell>
          <cell r="D196" t="str">
            <v>Pantallas Digitales</v>
          </cell>
          <cell r="E196" t="str">
            <v>Lote 80 Pantallas Samsung</v>
          </cell>
          <cell r="F196" t="str">
            <v>NA</v>
          </cell>
          <cell r="G196" t="str">
            <v>NA</v>
          </cell>
          <cell r="I196" t="str">
            <v>CIRCUITO 2</v>
          </cell>
          <cell r="J196">
            <v>0</v>
          </cell>
          <cell r="K196">
            <v>0</v>
          </cell>
          <cell r="L196">
            <v>6500000</v>
          </cell>
          <cell r="M196" t="str">
            <v>AEROPUERTO INTERNACIONAL ARTURO MERINO B</v>
          </cell>
          <cell r="P196" t="str">
            <v>PUDAHUEL</v>
          </cell>
          <cell r="Q196" t="str">
            <v>PANTALLA</v>
          </cell>
          <cell r="R196" t="str">
            <v>Aeropuerto - Santiago</v>
          </cell>
          <cell r="S196" t="str">
            <v>SCL</v>
          </cell>
          <cell r="T196" t="str">
            <v>Pantallas Digitales</v>
          </cell>
          <cell r="U196">
            <v>1</v>
          </cell>
          <cell r="V196" t="str">
            <v>NA</v>
          </cell>
        </row>
        <row r="197">
          <cell r="A197" t="str">
            <v>SCL 0163_18</v>
          </cell>
          <cell r="B197" t="str">
            <v>Aeropuerto</v>
          </cell>
          <cell r="D197" t="str">
            <v>Pantallas Digitales</v>
          </cell>
          <cell r="E197" t="str">
            <v>Lote 80 Pantallas Samsung</v>
          </cell>
          <cell r="F197" t="str">
            <v>NA</v>
          </cell>
          <cell r="G197" t="str">
            <v>NA</v>
          </cell>
          <cell r="I197" t="str">
            <v>CIRCUITO 2</v>
          </cell>
          <cell r="J197">
            <v>0</v>
          </cell>
          <cell r="K197">
            <v>0</v>
          </cell>
          <cell r="L197">
            <v>6500000</v>
          </cell>
          <cell r="M197" t="str">
            <v>AEROPUERTO INTERNACIONAL ARTURO MERINO B</v>
          </cell>
          <cell r="P197" t="str">
            <v>PUDAHUEL</v>
          </cell>
          <cell r="Q197" t="str">
            <v>PANTALLA</v>
          </cell>
          <cell r="R197" t="str">
            <v>Aeropuerto - Santiago</v>
          </cell>
          <cell r="S197" t="str">
            <v>SCL</v>
          </cell>
          <cell r="T197" t="str">
            <v>Pantallas Digitales</v>
          </cell>
          <cell r="U197">
            <v>1</v>
          </cell>
          <cell r="V197" t="str">
            <v>NA</v>
          </cell>
        </row>
        <row r="198">
          <cell r="A198" t="str">
            <v>SCL 0163_19</v>
          </cell>
          <cell r="B198" t="str">
            <v>Aeropuerto</v>
          </cell>
          <cell r="D198" t="str">
            <v>Pantallas Digitales</v>
          </cell>
          <cell r="E198" t="str">
            <v>Lote 80 Pantallas Samsung</v>
          </cell>
          <cell r="F198" t="str">
            <v>NA</v>
          </cell>
          <cell r="G198" t="str">
            <v>NA</v>
          </cell>
          <cell r="I198" t="str">
            <v>CIRCUITO 2</v>
          </cell>
          <cell r="J198">
            <v>0</v>
          </cell>
          <cell r="K198">
            <v>0</v>
          </cell>
          <cell r="L198">
            <v>6500000</v>
          </cell>
          <cell r="M198" t="str">
            <v>AEROPUERTO INTERNACIONAL ARTURO MERINO B</v>
          </cell>
          <cell r="P198" t="str">
            <v>PUDAHUEL</v>
          </cell>
          <cell r="Q198" t="str">
            <v>PANTALLA</v>
          </cell>
          <cell r="R198" t="str">
            <v>Aeropuerto - Santiago</v>
          </cell>
          <cell r="S198" t="str">
            <v>SCL</v>
          </cell>
          <cell r="T198" t="str">
            <v>Pantallas Digitales</v>
          </cell>
          <cell r="U198">
            <v>1</v>
          </cell>
          <cell r="V198" t="str">
            <v>NA</v>
          </cell>
        </row>
        <row r="199">
          <cell r="A199" t="str">
            <v>SCL 0163_20</v>
          </cell>
          <cell r="B199" t="str">
            <v>Aeropuerto</v>
          </cell>
          <cell r="D199" t="str">
            <v>Pantallas Digitales</v>
          </cell>
          <cell r="E199" t="str">
            <v>Lote 80 Pantallas Samsung</v>
          </cell>
          <cell r="F199" t="str">
            <v>NA</v>
          </cell>
          <cell r="G199" t="str">
            <v>NA</v>
          </cell>
          <cell r="I199" t="str">
            <v>CIRCUITO 2</v>
          </cell>
          <cell r="J199">
            <v>0</v>
          </cell>
          <cell r="K199">
            <v>0</v>
          </cell>
          <cell r="L199">
            <v>6500000</v>
          </cell>
          <cell r="M199" t="str">
            <v>AEROPUERTO INTERNACIONAL ARTURO MERINO B</v>
          </cell>
          <cell r="P199" t="str">
            <v>PUDAHUEL</v>
          </cell>
          <cell r="Q199" t="str">
            <v>PANTALLA</v>
          </cell>
          <cell r="R199" t="str">
            <v>Aeropuerto - Santiago</v>
          </cell>
          <cell r="S199" t="str">
            <v>SCL</v>
          </cell>
          <cell r="T199" t="str">
            <v>Pantallas Digitales</v>
          </cell>
          <cell r="U199">
            <v>1</v>
          </cell>
          <cell r="V199" t="str">
            <v>NA</v>
          </cell>
        </row>
        <row r="200">
          <cell r="A200" t="str">
            <v>SCL 0164_01</v>
          </cell>
          <cell r="B200" t="str">
            <v>Aeropuerto</v>
          </cell>
          <cell r="D200" t="str">
            <v>Pantallas Digitales</v>
          </cell>
          <cell r="E200" t="str">
            <v>Lote 80 Pantallas Samsung</v>
          </cell>
          <cell r="F200" t="str">
            <v>NA</v>
          </cell>
          <cell r="G200" t="str">
            <v>NA</v>
          </cell>
          <cell r="I200" t="str">
            <v>CIRCUITO 3-TOTAL</v>
          </cell>
          <cell r="J200">
            <v>0</v>
          </cell>
          <cell r="K200">
            <v>0</v>
          </cell>
          <cell r="L200">
            <v>6500000</v>
          </cell>
          <cell r="M200" t="str">
            <v>AEROPUERTO INTERNACIONAL ARTURO MERINO B</v>
          </cell>
          <cell r="P200" t="str">
            <v>PUDAHUEL</v>
          </cell>
          <cell r="Q200" t="str">
            <v>PANTALLA</v>
          </cell>
          <cell r="R200" t="str">
            <v>Aeropuerto - Santiago</v>
          </cell>
          <cell r="S200" t="str">
            <v>SCL</v>
          </cell>
          <cell r="T200" t="str">
            <v>Pantallas Digitales</v>
          </cell>
          <cell r="U200">
            <v>1</v>
          </cell>
          <cell r="V200" t="str">
            <v>NA</v>
          </cell>
        </row>
        <row r="201">
          <cell r="A201" t="str">
            <v>SCL 0164_02</v>
          </cell>
          <cell r="B201" t="str">
            <v>Aeropuerto</v>
          </cell>
          <cell r="D201" t="str">
            <v>Pantallas Digitales</v>
          </cell>
          <cell r="E201" t="str">
            <v>Lote 80 Pantallas Samsung</v>
          </cell>
          <cell r="F201" t="str">
            <v>NA</v>
          </cell>
          <cell r="G201" t="str">
            <v>NA</v>
          </cell>
          <cell r="I201" t="str">
            <v>CIRCUITO 3-TOTAL</v>
          </cell>
          <cell r="J201">
            <v>0</v>
          </cell>
          <cell r="K201">
            <v>0</v>
          </cell>
          <cell r="L201">
            <v>6500000</v>
          </cell>
          <cell r="M201" t="str">
            <v>AEROPUERTO INTERNACIONAL ARTURO MERINO B</v>
          </cell>
          <cell r="P201" t="str">
            <v>PUDAHUEL</v>
          </cell>
          <cell r="Q201" t="str">
            <v>PANTALLA</v>
          </cell>
          <cell r="R201" t="str">
            <v>Aeropuerto - Santiago</v>
          </cell>
          <cell r="S201" t="str">
            <v>SCL</v>
          </cell>
          <cell r="T201" t="str">
            <v>Pantallas Digitales</v>
          </cell>
          <cell r="U201">
            <v>1</v>
          </cell>
          <cell r="V201" t="str">
            <v>NA</v>
          </cell>
        </row>
        <row r="202">
          <cell r="A202" t="str">
            <v>SCL 0164_03</v>
          </cell>
          <cell r="B202" t="str">
            <v>Aeropuerto</v>
          </cell>
          <cell r="D202" t="str">
            <v>Pantallas Digitales</v>
          </cell>
          <cell r="E202" t="str">
            <v>Lote 80 Pantallas Samsung</v>
          </cell>
          <cell r="F202" t="str">
            <v>NA</v>
          </cell>
          <cell r="G202" t="str">
            <v>NA</v>
          </cell>
          <cell r="I202" t="str">
            <v>CIRCUITO 3-TOTAL</v>
          </cell>
          <cell r="J202">
            <v>0</v>
          </cell>
          <cell r="K202">
            <v>0</v>
          </cell>
          <cell r="L202">
            <v>6500000</v>
          </cell>
          <cell r="M202" t="str">
            <v>AEROPUERTO INTERNACIONAL ARTURO MERINO B</v>
          </cell>
          <cell r="P202" t="str">
            <v>PUDAHUEL</v>
          </cell>
          <cell r="Q202" t="str">
            <v>PANTALLA</v>
          </cell>
          <cell r="R202" t="str">
            <v>Aeropuerto - Santiago</v>
          </cell>
          <cell r="S202" t="str">
            <v>SCL</v>
          </cell>
          <cell r="T202" t="str">
            <v>Pantallas Digitales</v>
          </cell>
          <cell r="U202">
            <v>1</v>
          </cell>
          <cell r="V202" t="str">
            <v>NA</v>
          </cell>
        </row>
        <row r="203">
          <cell r="A203" t="str">
            <v>SCL 0164_04</v>
          </cell>
          <cell r="B203" t="str">
            <v>Aeropuerto</v>
          </cell>
          <cell r="D203" t="str">
            <v>Pantallas Digitales</v>
          </cell>
          <cell r="E203" t="str">
            <v>Lote 80 Pantallas Samsung</v>
          </cell>
          <cell r="F203" t="str">
            <v>NA</v>
          </cell>
          <cell r="G203" t="str">
            <v>NA</v>
          </cell>
          <cell r="I203" t="str">
            <v>CIRCUITO 3-TOTAL</v>
          </cell>
          <cell r="J203">
            <v>0</v>
          </cell>
          <cell r="K203">
            <v>0</v>
          </cell>
          <cell r="L203">
            <v>6500000</v>
          </cell>
          <cell r="M203" t="str">
            <v>AEROPUERTO INTERNACIONAL ARTURO MERINO B</v>
          </cell>
          <cell r="P203" t="str">
            <v>PUDAHUEL</v>
          </cell>
          <cell r="Q203" t="str">
            <v>PANTALLA</v>
          </cell>
          <cell r="R203" t="str">
            <v>Aeropuerto - Santiago</v>
          </cell>
          <cell r="S203" t="str">
            <v>SCL</v>
          </cell>
          <cell r="T203" t="str">
            <v>Pantallas Digitales</v>
          </cell>
          <cell r="U203">
            <v>1</v>
          </cell>
          <cell r="V203" t="str">
            <v>NA</v>
          </cell>
        </row>
        <row r="204">
          <cell r="A204" t="str">
            <v>SCL 0164_05</v>
          </cell>
          <cell r="B204" t="str">
            <v>Aeropuerto</v>
          </cell>
          <cell r="D204" t="str">
            <v>Pantallas Digitales</v>
          </cell>
          <cell r="E204" t="str">
            <v>Lote 80 Pantallas Samsung</v>
          </cell>
          <cell r="F204" t="str">
            <v>NA</v>
          </cell>
          <cell r="G204" t="str">
            <v>NA</v>
          </cell>
          <cell r="I204" t="str">
            <v>CIRCUITO 3-TOTAL</v>
          </cell>
          <cell r="J204">
            <v>0</v>
          </cell>
          <cell r="K204">
            <v>0</v>
          </cell>
          <cell r="L204">
            <v>6500000</v>
          </cell>
          <cell r="M204" t="str">
            <v>AEROPUERTO INTERNACIONAL ARTURO MERINO B</v>
          </cell>
          <cell r="P204" t="str">
            <v>PUDAHUEL</v>
          </cell>
          <cell r="Q204" t="str">
            <v>PANTALLA</v>
          </cell>
          <cell r="R204" t="str">
            <v>Aeropuerto - Santiago</v>
          </cell>
          <cell r="S204" t="str">
            <v>SCL</v>
          </cell>
          <cell r="T204" t="str">
            <v>Pantallas Digitales</v>
          </cell>
          <cell r="U204">
            <v>1</v>
          </cell>
          <cell r="V204" t="str">
            <v>NA</v>
          </cell>
        </row>
        <row r="205">
          <cell r="A205" t="str">
            <v>SCL 0164_06</v>
          </cell>
          <cell r="B205" t="str">
            <v>Aeropuerto</v>
          </cell>
          <cell r="D205" t="str">
            <v>Pantallas Digitales</v>
          </cell>
          <cell r="E205" t="str">
            <v>Lote 80 Pantallas Samsung</v>
          </cell>
          <cell r="F205" t="str">
            <v>NA</v>
          </cell>
          <cell r="G205" t="str">
            <v>NA</v>
          </cell>
          <cell r="I205" t="str">
            <v>CIRCUITO 3-TOTAL</v>
          </cell>
          <cell r="J205">
            <v>0</v>
          </cell>
          <cell r="K205">
            <v>0</v>
          </cell>
          <cell r="L205">
            <v>6500000</v>
          </cell>
          <cell r="M205" t="str">
            <v>AEROPUERTO INTERNACIONAL ARTURO MERINO B</v>
          </cell>
          <cell r="P205" t="str">
            <v>PUDAHUEL</v>
          </cell>
          <cell r="Q205" t="str">
            <v>PANTALLA</v>
          </cell>
          <cell r="R205" t="str">
            <v>Aeropuerto - Santiago</v>
          </cell>
          <cell r="S205" t="str">
            <v>SCL</v>
          </cell>
          <cell r="T205" t="str">
            <v>Pantallas Digitales</v>
          </cell>
          <cell r="U205">
            <v>1</v>
          </cell>
          <cell r="V205" t="str">
            <v>NA</v>
          </cell>
        </row>
        <row r="206">
          <cell r="A206" t="str">
            <v>SCL 0164_07</v>
          </cell>
          <cell r="B206" t="str">
            <v>Aeropuerto</v>
          </cell>
          <cell r="D206" t="str">
            <v>Pantallas Digitales</v>
          </cell>
          <cell r="E206" t="str">
            <v>Lote 80 Pantallas Samsung</v>
          </cell>
          <cell r="F206" t="str">
            <v>NA</v>
          </cell>
          <cell r="G206" t="str">
            <v>NA</v>
          </cell>
          <cell r="I206" t="str">
            <v>CIRCUITO 3-TOTAL</v>
          </cell>
          <cell r="J206">
            <v>0</v>
          </cell>
          <cell r="K206">
            <v>0</v>
          </cell>
          <cell r="L206">
            <v>6500000</v>
          </cell>
          <cell r="M206" t="str">
            <v>AEROPUERTO INTERNACIONAL ARTURO MERINO B</v>
          </cell>
          <cell r="P206" t="str">
            <v>PUDAHUEL</v>
          </cell>
          <cell r="Q206" t="str">
            <v>PANTALLA</v>
          </cell>
          <cell r="R206" t="str">
            <v>Aeropuerto - Santiago</v>
          </cell>
          <cell r="S206" t="str">
            <v>SCL</v>
          </cell>
          <cell r="T206" t="str">
            <v>Pantallas Digitales</v>
          </cell>
          <cell r="U206">
            <v>1</v>
          </cell>
          <cell r="V206" t="str">
            <v>NA</v>
          </cell>
        </row>
        <row r="207">
          <cell r="A207" t="str">
            <v>SCL 0164_08</v>
          </cell>
          <cell r="B207" t="str">
            <v>Aeropuerto</v>
          </cell>
          <cell r="D207" t="str">
            <v>Pantallas Digitales</v>
          </cell>
          <cell r="E207" t="str">
            <v>Lote 80 Pantallas Samsung</v>
          </cell>
          <cell r="F207" t="str">
            <v>NA</v>
          </cell>
          <cell r="G207" t="str">
            <v>NA</v>
          </cell>
          <cell r="I207" t="str">
            <v>CIRCUITO 3-TOTAL</v>
          </cell>
          <cell r="J207">
            <v>0</v>
          </cell>
          <cell r="K207">
            <v>0</v>
          </cell>
          <cell r="L207">
            <v>6500000</v>
          </cell>
          <cell r="M207" t="str">
            <v>AEROPUERTO INTERNACIONAL ARTURO MERINO B</v>
          </cell>
          <cell r="P207" t="str">
            <v>PUDAHUEL</v>
          </cell>
          <cell r="Q207" t="str">
            <v>PANTALLA</v>
          </cell>
          <cell r="R207" t="str">
            <v>Aeropuerto - Santiago</v>
          </cell>
          <cell r="S207" t="str">
            <v>SCL</v>
          </cell>
          <cell r="T207" t="str">
            <v>Pantallas Digitales</v>
          </cell>
          <cell r="U207">
            <v>1</v>
          </cell>
          <cell r="V207" t="str">
            <v>NA</v>
          </cell>
        </row>
        <row r="208">
          <cell r="A208" t="str">
            <v>SCL 0164_09</v>
          </cell>
          <cell r="B208" t="str">
            <v>Aeropuerto</v>
          </cell>
          <cell r="D208" t="str">
            <v>Pantallas Digitales</v>
          </cell>
          <cell r="E208" t="str">
            <v>Lote 80 Pantallas Samsung</v>
          </cell>
          <cell r="F208" t="str">
            <v>NA</v>
          </cell>
          <cell r="G208" t="str">
            <v>NA</v>
          </cell>
          <cell r="I208" t="str">
            <v>CIRCUITO 3-TOTAL</v>
          </cell>
          <cell r="J208">
            <v>0</v>
          </cell>
          <cell r="K208">
            <v>0</v>
          </cell>
          <cell r="L208">
            <v>6500000</v>
          </cell>
          <cell r="M208" t="str">
            <v>AEROPUERTO INTERNACIONAL ARTURO MERINO B</v>
          </cell>
          <cell r="P208" t="str">
            <v>PUDAHUEL</v>
          </cell>
          <cell r="Q208" t="str">
            <v>PANTALLA</v>
          </cell>
          <cell r="R208" t="str">
            <v>Aeropuerto - Santiago</v>
          </cell>
          <cell r="S208" t="str">
            <v>SCL</v>
          </cell>
          <cell r="T208" t="str">
            <v>Pantallas Digitales</v>
          </cell>
          <cell r="U208">
            <v>1</v>
          </cell>
          <cell r="V208" t="str">
            <v>NA</v>
          </cell>
        </row>
        <row r="209">
          <cell r="A209" t="str">
            <v>SCL 0164_10</v>
          </cell>
          <cell r="B209" t="str">
            <v>Aeropuerto</v>
          </cell>
          <cell r="D209" t="str">
            <v>Pantallas Digitales</v>
          </cell>
          <cell r="E209" t="str">
            <v>Lote 80 Pantallas Samsung</v>
          </cell>
          <cell r="F209" t="str">
            <v>NA</v>
          </cell>
          <cell r="G209" t="str">
            <v>NA</v>
          </cell>
          <cell r="I209" t="str">
            <v>CIRCUITO 3-TOTAL</v>
          </cell>
          <cell r="J209">
            <v>0</v>
          </cell>
          <cell r="K209">
            <v>0</v>
          </cell>
          <cell r="L209">
            <v>6500000</v>
          </cell>
          <cell r="M209" t="str">
            <v>AEROPUERTO INTERNACIONAL ARTURO MERINO B</v>
          </cell>
          <cell r="P209" t="str">
            <v>PUDAHUEL</v>
          </cell>
          <cell r="Q209" t="str">
            <v>PANTALLA</v>
          </cell>
          <cell r="R209" t="str">
            <v>Aeropuerto - Santiago</v>
          </cell>
          <cell r="S209" t="str">
            <v>SCL</v>
          </cell>
          <cell r="T209" t="str">
            <v>Pantallas Digitales</v>
          </cell>
          <cell r="U209">
            <v>1</v>
          </cell>
          <cell r="V209" t="str">
            <v>NA</v>
          </cell>
        </row>
        <row r="210">
          <cell r="A210" t="str">
            <v>SCL 0164_11</v>
          </cell>
          <cell r="B210" t="str">
            <v>Aeropuerto</v>
          </cell>
          <cell r="D210" t="str">
            <v>Pantallas Digitales</v>
          </cell>
          <cell r="E210" t="str">
            <v>Lote 80 Pantallas Samsung</v>
          </cell>
          <cell r="F210" t="str">
            <v>NA</v>
          </cell>
          <cell r="G210" t="str">
            <v>NA</v>
          </cell>
          <cell r="I210" t="str">
            <v>CIRCUITO 3</v>
          </cell>
          <cell r="J210">
            <v>0</v>
          </cell>
          <cell r="K210">
            <v>0</v>
          </cell>
          <cell r="L210">
            <v>6500000</v>
          </cell>
          <cell r="M210" t="str">
            <v>AEROPUERTO INTERNACIONAL ARTURO MERINO B</v>
          </cell>
          <cell r="P210" t="str">
            <v>PUDAHUEL</v>
          </cell>
          <cell r="Q210" t="str">
            <v>PANTALLA</v>
          </cell>
          <cell r="R210" t="str">
            <v>Aeropuerto - Santiago</v>
          </cell>
          <cell r="S210" t="str">
            <v>SCL</v>
          </cell>
          <cell r="T210" t="str">
            <v>Pantallas Digitales</v>
          </cell>
          <cell r="U210">
            <v>1</v>
          </cell>
          <cell r="V210" t="str">
            <v>NA</v>
          </cell>
        </row>
        <row r="211">
          <cell r="A211" t="str">
            <v>SCL 0164_12</v>
          </cell>
          <cell r="B211" t="str">
            <v>Aeropuerto</v>
          </cell>
          <cell r="D211" t="str">
            <v>Pantallas Digitales</v>
          </cell>
          <cell r="E211" t="str">
            <v>Lote 80 Pantallas Samsung</v>
          </cell>
          <cell r="F211" t="str">
            <v>NA</v>
          </cell>
          <cell r="G211" t="str">
            <v>NA</v>
          </cell>
          <cell r="I211" t="str">
            <v>CIRCUITO 3</v>
          </cell>
          <cell r="J211">
            <v>0</v>
          </cell>
          <cell r="K211">
            <v>0</v>
          </cell>
          <cell r="L211">
            <v>6500000</v>
          </cell>
          <cell r="M211" t="str">
            <v>AEROPUERTO INTERNACIONAL ARTURO MERINO B</v>
          </cell>
          <cell r="P211" t="str">
            <v>PUDAHUEL</v>
          </cell>
          <cell r="Q211" t="str">
            <v>PANTALLA</v>
          </cell>
          <cell r="R211" t="str">
            <v>Aeropuerto - Santiago</v>
          </cell>
          <cell r="S211" t="str">
            <v>SCL</v>
          </cell>
          <cell r="T211" t="str">
            <v>Pantallas Digitales</v>
          </cell>
          <cell r="U211">
            <v>1</v>
          </cell>
          <cell r="V211" t="str">
            <v>NA</v>
          </cell>
        </row>
        <row r="212">
          <cell r="A212" t="str">
            <v>SCL 0164_13</v>
          </cell>
          <cell r="B212" t="str">
            <v>Aeropuerto</v>
          </cell>
          <cell r="D212" t="str">
            <v>Pantallas Digitales</v>
          </cell>
          <cell r="E212" t="str">
            <v>Lote 80 Pantallas Samsung</v>
          </cell>
          <cell r="F212" t="str">
            <v>NA</v>
          </cell>
          <cell r="G212" t="str">
            <v>NA</v>
          </cell>
          <cell r="I212" t="str">
            <v>CIRCUITO 3</v>
          </cell>
          <cell r="J212">
            <v>0</v>
          </cell>
          <cell r="K212">
            <v>0</v>
          </cell>
          <cell r="L212">
            <v>6500000</v>
          </cell>
          <cell r="M212" t="str">
            <v>AEROPUERTO INTERNACIONAL ARTURO MERINO B</v>
          </cell>
          <cell r="P212" t="str">
            <v>PUDAHUEL</v>
          </cell>
          <cell r="Q212" t="str">
            <v>PANTALLA</v>
          </cell>
          <cell r="R212" t="str">
            <v>Aeropuerto - Santiago</v>
          </cell>
          <cell r="S212" t="str">
            <v>SCL</v>
          </cell>
          <cell r="T212" t="str">
            <v>Pantallas Digitales</v>
          </cell>
          <cell r="U212">
            <v>1</v>
          </cell>
          <cell r="V212" t="str">
            <v>NA</v>
          </cell>
        </row>
        <row r="213">
          <cell r="A213" t="str">
            <v>SCL 0164_14</v>
          </cell>
          <cell r="B213" t="str">
            <v>Aeropuerto</v>
          </cell>
          <cell r="D213" t="str">
            <v>Pantallas Digitales</v>
          </cell>
          <cell r="E213" t="str">
            <v>Lote 80 Pantallas Samsung</v>
          </cell>
          <cell r="F213" t="str">
            <v>NA</v>
          </cell>
          <cell r="G213" t="str">
            <v>NA</v>
          </cell>
          <cell r="I213" t="str">
            <v>CIRCUITO 3</v>
          </cell>
          <cell r="J213">
            <v>0</v>
          </cell>
          <cell r="K213">
            <v>0</v>
          </cell>
          <cell r="L213">
            <v>6500000</v>
          </cell>
          <cell r="M213" t="str">
            <v>AEROPUERTO INTERNACIONAL ARTURO MERINO B</v>
          </cell>
          <cell r="P213" t="str">
            <v>PUDAHUEL</v>
          </cell>
          <cell r="Q213" t="str">
            <v>PANTALLA</v>
          </cell>
          <cell r="R213" t="str">
            <v>Aeropuerto - Santiago</v>
          </cell>
          <cell r="S213" t="str">
            <v>SCL</v>
          </cell>
          <cell r="T213" t="str">
            <v>Pantallas Digitales</v>
          </cell>
          <cell r="U213">
            <v>1</v>
          </cell>
          <cell r="V213" t="str">
            <v>NA</v>
          </cell>
        </row>
        <row r="214">
          <cell r="A214" t="str">
            <v>SCL 0164_15</v>
          </cell>
          <cell r="B214" t="str">
            <v>Aeropuerto</v>
          </cell>
          <cell r="D214" t="str">
            <v>Pantallas Digitales</v>
          </cell>
          <cell r="E214" t="str">
            <v>Lote 80 Pantallas Samsung</v>
          </cell>
          <cell r="F214" t="str">
            <v>NA</v>
          </cell>
          <cell r="G214" t="str">
            <v>NA</v>
          </cell>
          <cell r="I214" t="str">
            <v>CIRCUITO 3</v>
          </cell>
          <cell r="J214">
            <v>0</v>
          </cell>
          <cell r="K214">
            <v>0</v>
          </cell>
          <cell r="L214">
            <v>6500000</v>
          </cell>
          <cell r="M214" t="str">
            <v>AEROPUERTO INTERNACIONAL ARTURO MERINO B</v>
          </cell>
          <cell r="P214" t="str">
            <v>PUDAHUEL</v>
          </cell>
          <cell r="Q214" t="str">
            <v>PANTALLA</v>
          </cell>
          <cell r="R214" t="str">
            <v>Aeropuerto - Santiago</v>
          </cell>
          <cell r="S214" t="str">
            <v>SCL</v>
          </cell>
          <cell r="T214" t="str">
            <v>Pantallas Digitales</v>
          </cell>
          <cell r="U214">
            <v>1</v>
          </cell>
          <cell r="V214" t="str">
            <v>NA</v>
          </cell>
        </row>
        <row r="215">
          <cell r="A215" t="str">
            <v>SCL 0164_16</v>
          </cell>
          <cell r="B215" t="str">
            <v>Aeropuerto</v>
          </cell>
          <cell r="D215" t="str">
            <v>Pantallas Digitales</v>
          </cell>
          <cell r="E215" t="str">
            <v>Lote 80 Pantallas Samsung</v>
          </cell>
          <cell r="F215" t="str">
            <v>NA</v>
          </cell>
          <cell r="G215" t="str">
            <v>NA</v>
          </cell>
          <cell r="I215" t="str">
            <v>CIRCUITO 3</v>
          </cell>
          <cell r="J215">
            <v>0</v>
          </cell>
          <cell r="K215">
            <v>0</v>
          </cell>
          <cell r="L215">
            <v>6500000</v>
          </cell>
          <cell r="M215" t="str">
            <v>AEROPUERTO INTERNACIONAL ARTURO MERINO B</v>
          </cell>
          <cell r="P215" t="str">
            <v>PUDAHUEL</v>
          </cell>
          <cell r="Q215" t="str">
            <v>PANTALLA</v>
          </cell>
          <cell r="R215" t="str">
            <v>Aeropuerto - Santiago</v>
          </cell>
          <cell r="S215" t="str">
            <v>SCL</v>
          </cell>
          <cell r="T215" t="str">
            <v>Pantallas Digitales</v>
          </cell>
          <cell r="U215">
            <v>1</v>
          </cell>
          <cell r="V215" t="str">
            <v>NA</v>
          </cell>
        </row>
        <row r="216">
          <cell r="A216" t="str">
            <v>SCL 0164_17</v>
          </cell>
          <cell r="B216" t="str">
            <v>Aeropuerto</v>
          </cell>
          <cell r="D216" t="str">
            <v>Pantallas Digitales</v>
          </cell>
          <cell r="E216" t="str">
            <v>Lote 80 Pantallas Samsung</v>
          </cell>
          <cell r="F216" t="str">
            <v>NA</v>
          </cell>
          <cell r="G216" t="str">
            <v>NA</v>
          </cell>
          <cell r="I216" t="str">
            <v>CIRCUITO 3</v>
          </cell>
          <cell r="J216">
            <v>0</v>
          </cell>
          <cell r="K216">
            <v>0</v>
          </cell>
          <cell r="L216">
            <v>6500000</v>
          </cell>
          <cell r="M216" t="str">
            <v>AEROPUERTO INTERNACIONAL ARTURO MERINO B</v>
          </cell>
          <cell r="P216" t="str">
            <v>PUDAHUEL</v>
          </cell>
          <cell r="Q216" t="str">
            <v>PANTALLA</v>
          </cell>
          <cell r="R216" t="str">
            <v>Aeropuerto - Santiago</v>
          </cell>
          <cell r="S216" t="str">
            <v>SCL</v>
          </cell>
          <cell r="T216" t="str">
            <v>Pantallas Digitales</v>
          </cell>
          <cell r="U216">
            <v>1</v>
          </cell>
          <cell r="V216" t="str">
            <v>NA</v>
          </cell>
        </row>
        <row r="217">
          <cell r="A217" t="str">
            <v>SCL 0164_18</v>
          </cell>
          <cell r="B217" t="str">
            <v>Aeropuerto</v>
          </cell>
          <cell r="D217" t="str">
            <v>Pantallas Digitales</v>
          </cell>
          <cell r="E217" t="str">
            <v>Lote 80 Pantallas Samsung</v>
          </cell>
          <cell r="F217" t="str">
            <v>NA</v>
          </cell>
          <cell r="G217" t="str">
            <v>NA</v>
          </cell>
          <cell r="I217" t="str">
            <v>CIRCUITO 3</v>
          </cell>
          <cell r="J217">
            <v>0</v>
          </cell>
          <cell r="K217">
            <v>0</v>
          </cell>
          <cell r="L217">
            <v>6500000</v>
          </cell>
          <cell r="M217" t="str">
            <v>AEROPUERTO INTERNACIONAL ARTURO MERINO B</v>
          </cell>
          <cell r="P217" t="str">
            <v>PUDAHUEL</v>
          </cell>
          <cell r="Q217" t="str">
            <v>PANTALLA</v>
          </cell>
          <cell r="R217" t="str">
            <v>Aeropuerto - Santiago</v>
          </cell>
          <cell r="S217" t="str">
            <v>SCL</v>
          </cell>
          <cell r="T217" t="str">
            <v>Pantallas Digitales</v>
          </cell>
          <cell r="U217">
            <v>1</v>
          </cell>
          <cell r="V217" t="str">
            <v>NA</v>
          </cell>
        </row>
        <row r="218">
          <cell r="A218" t="str">
            <v>SCL 0164_19</v>
          </cell>
          <cell r="B218" t="str">
            <v>Aeropuerto</v>
          </cell>
          <cell r="D218" t="str">
            <v>Pantallas Digitales</v>
          </cell>
          <cell r="E218" t="str">
            <v>Lote 80 Pantallas Samsung</v>
          </cell>
          <cell r="F218" t="str">
            <v>NA</v>
          </cell>
          <cell r="G218" t="str">
            <v>NA</v>
          </cell>
          <cell r="I218" t="str">
            <v>CIRCUITO 3</v>
          </cell>
          <cell r="J218">
            <v>0</v>
          </cell>
          <cell r="K218">
            <v>0</v>
          </cell>
          <cell r="L218">
            <v>6500000</v>
          </cell>
          <cell r="M218" t="str">
            <v>AEROPUERTO INTERNACIONAL ARTURO MERINO B</v>
          </cell>
          <cell r="P218" t="str">
            <v>PUDAHUEL</v>
          </cell>
          <cell r="Q218" t="str">
            <v>PANTALLA</v>
          </cell>
          <cell r="R218" t="str">
            <v>Aeropuerto - Santiago</v>
          </cell>
          <cell r="S218" t="str">
            <v>SCL</v>
          </cell>
          <cell r="T218" t="str">
            <v>Pantallas Digitales</v>
          </cell>
          <cell r="U218">
            <v>1</v>
          </cell>
          <cell r="V218" t="str">
            <v>NA</v>
          </cell>
        </row>
        <row r="219">
          <cell r="A219" t="str">
            <v>SCL 0164_20</v>
          </cell>
          <cell r="B219" t="str">
            <v>Aeropuerto</v>
          </cell>
          <cell r="D219" t="str">
            <v>Pantallas Digitales</v>
          </cell>
          <cell r="E219" t="str">
            <v>Lote 80 Pantallas Samsung</v>
          </cell>
          <cell r="F219" t="str">
            <v>NA</v>
          </cell>
          <cell r="G219" t="str">
            <v>NA</v>
          </cell>
          <cell r="I219" t="str">
            <v>CIRCUITO 3</v>
          </cell>
          <cell r="J219">
            <v>0</v>
          </cell>
          <cell r="K219">
            <v>0</v>
          </cell>
          <cell r="L219">
            <v>6500000</v>
          </cell>
          <cell r="M219" t="str">
            <v>AEROPUERTO INTERNACIONAL ARTURO MERINO B</v>
          </cell>
          <cell r="P219" t="str">
            <v>PUDAHUEL</v>
          </cell>
          <cell r="Q219" t="str">
            <v>PANTALLA</v>
          </cell>
          <cell r="R219" t="str">
            <v>Aeropuerto - Santiago</v>
          </cell>
          <cell r="S219" t="str">
            <v>SCL</v>
          </cell>
          <cell r="T219" t="str">
            <v>Pantallas Digitales</v>
          </cell>
          <cell r="U219">
            <v>1</v>
          </cell>
          <cell r="V219" t="str">
            <v>NA</v>
          </cell>
        </row>
        <row r="220">
          <cell r="A220" t="str">
            <v>SCL 0165A</v>
          </cell>
          <cell r="B220" t="str">
            <v>Aeropuerto</v>
          </cell>
          <cell r="D220" t="str">
            <v>Cajas de luz</v>
          </cell>
          <cell r="E220" t="str">
            <v>Cajas de luz</v>
          </cell>
          <cell r="F220" t="str">
            <v>3.00 * 1.00</v>
          </cell>
          <cell r="G220" t="str">
            <v>3.20 * 1.20</v>
          </cell>
          <cell r="H220" t="str">
            <v>Y</v>
          </cell>
          <cell r="I220" t="str">
            <v>INTERIOR PASILLO</v>
          </cell>
          <cell r="J220">
            <v>0</v>
          </cell>
          <cell r="K220">
            <v>0</v>
          </cell>
          <cell r="L220">
            <v>900000</v>
          </cell>
          <cell r="M220" t="str">
            <v>AEROPUERTO INTERNACIONAL ARTURO MERINO B</v>
          </cell>
          <cell r="P220" t="str">
            <v>PUDAHUEL</v>
          </cell>
          <cell r="Q220" t="str">
            <v>TRADICIONAL</v>
          </cell>
          <cell r="R220" t="str">
            <v>Aeropuerto - Santiago</v>
          </cell>
          <cell r="S220" t="str">
            <v>SCL</v>
          </cell>
          <cell r="T220" t="str">
            <v>Cajas de luz</v>
          </cell>
          <cell r="U220">
            <v>1</v>
          </cell>
          <cell r="V220" t="str">
            <v>3.00 * 1.00</v>
          </cell>
        </row>
        <row r="221">
          <cell r="A221" t="str">
            <v>SCL 0166A</v>
          </cell>
          <cell r="B221" t="str">
            <v>Aeropuerto</v>
          </cell>
          <cell r="D221" t="str">
            <v>Cajas de luz</v>
          </cell>
          <cell r="E221" t="str">
            <v>Caja Backlight Pasarela</v>
          </cell>
          <cell r="F221" t="str">
            <v>9.30 * 1.30</v>
          </cell>
          <cell r="G221" t="str">
            <v>9.50 * 1.50</v>
          </cell>
          <cell r="H221" t="str">
            <v>Y</v>
          </cell>
          <cell r="I221" t="str">
            <v>Pasarela Int.</v>
          </cell>
          <cell r="J221">
            <v>0</v>
          </cell>
          <cell r="K221">
            <v>0</v>
          </cell>
          <cell r="L221">
            <v>900000</v>
          </cell>
          <cell r="M221" t="str">
            <v>AEROPUERTO INTERNACIONAL ARTURO MERINO B</v>
          </cell>
          <cell r="P221" t="str">
            <v>PUDAHUEL</v>
          </cell>
          <cell r="Q221" t="str">
            <v>TRADICIONAL</v>
          </cell>
          <cell r="R221" t="str">
            <v>Aeropuerto - Santiago</v>
          </cell>
          <cell r="S221" t="str">
            <v>SCL</v>
          </cell>
          <cell r="T221" t="str">
            <v>Cajas de luz</v>
          </cell>
          <cell r="U221">
            <v>1</v>
          </cell>
          <cell r="V221" t="str">
            <v>9.30 * 1.30</v>
          </cell>
        </row>
        <row r="222">
          <cell r="A222" t="str">
            <v>SCL 0167A</v>
          </cell>
          <cell r="B222" t="str">
            <v>Aeropuerto</v>
          </cell>
          <cell r="D222" t="str">
            <v>Cajas de luz</v>
          </cell>
          <cell r="E222" t="str">
            <v>Caja Backlight Pasarela</v>
          </cell>
          <cell r="F222" t="str">
            <v>9.30 * 1.30</v>
          </cell>
          <cell r="G222" t="str">
            <v>9.50 * 1.50</v>
          </cell>
          <cell r="H222" t="str">
            <v>Y</v>
          </cell>
          <cell r="I222" t="str">
            <v>Pasarela Int.</v>
          </cell>
          <cell r="J222">
            <v>0</v>
          </cell>
          <cell r="K222">
            <v>0</v>
          </cell>
          <cell r="L222">
            <v>900000</v>
          </cell>
          <cell r="M222" t="str">
            <v>AEROPUERTO INTERNACIONAL ARTURO MERINO B</v>
          </cell>
          <cell r="P222" t="str">
            <v>PUDAHUEL</v>
          </cell>
          <cell r="Q222" t="str">
            <v>TRADICIONAL</v>
          </cell>
          <cell r="R222" t="str">
            <v>Aeropuerto - Santiago</v>
          </cell>
          <cell r="S222" t="str">
            <v>SCL</v>
          </cell>
          <cell r="T222" t="str">
            <v>Cajas de luz</v>
          </cell>
          <cell r="U222">
            <v>1</v>
          </cell>
          <cell r="V222" t="str">
            <v>9.30 * 1.30</v>
          </cell>
        </row>
        <row r="223">
          <cell r="A223" t="str">
            <v>SCL 0168A</v>
          </cell>
          <cell r="B223" t="str">
            <v>Aeropuerto</v>
          </cell>
          <cell r="D223" t="str">
            <v>Cajas de luz</v>
          </cell>
          <cell r="E223" t="str">
            <v>Caja Backlight Pasarela</v>
          </cell>
          <cell r="F223" t="str">
            <v>9.30 * 1.30</v>
          </cell>
          <cell r="G223" t="str">
            <v>9.50 * 1.50</v>
          </cell>
          <cell r="H223" t="str">
            <v>Y</v>
          </cell>
          <cell r="I223" t="str">
            <v>Pasarela Int.</v>
          </cell>
          <cell r="J223">
            <v>0</v>
          </cell>
          <cell r="K223">
            <v>0</v>
          </cell>
          <cell r="L223">
            <v>900000</v>
          </cell>
          <cell r="M223" t="str">
            <v>AEROPUERTO INTERNACIONAL ARTURO MERINO B</v>
          </cell>
          <cell r="P223" t="str">
            <v>PUDAHUEL</v>
          </cell>
          <cell r="Q223" t="str">
            <v>TRADICIONAL</v>
          </cell>
          <cell r="R223" t="str">
            <v>Aeropuerto - Santiago</v>
          </cell>
          <cell r="S223" t="str">
            <v>SCL</v>
          </cell>
          <cell r="T223" t="str">
            <v>Cajas de luz</v>
          </cell>
          <cell r="U223">
            <v>1</v>
          </cell>
          <cell r="V223" t="str">
            <v>9.30 * 1.30</v>
          </cell>
        </row>
        <row r="224">
          <cell r="A224" t="str">
            <v>SCL 0169A</v>
          </cell>
          <cell r="B224" t="str">
            <v>Aeropuerto</v>
          </cell>
          <cell r="D224" t="str">
            <v>Cajas de luz</v>
          </cell>
          <cell r="E224" t="str">
            <v>Caja Backlight Pasarela</v>
          </cell>
          <cell r="F224" t="str">
            <v>9.30 * 1.30</v>
          </cell>
          <cell r="G224" t="str">
            <v>9.50 * 1.50</v>
          </cell>
          <cell r="H224" t="str">
            <v>Y</v>
          </cell>
          <cell r="I224" t="str">
            <v>Pasarela Int.</v>
          </cell>
          <cell r="J224">
            <v>0</v>
          </cell>
          <cell r="K224">
            <v>0</v>
          </cell>
          <cell r="L224">
            <v>900000</v>
          </cell>
          <cell r="M224" t="str">
            <v>AEROPUERTO INTERNACIONAL ARTURO MERINO B</v>
          </cell>
          <cell r="P224" t="str">
            <v>PUDAHUEL</v>
          </cell>
          <cell r="Q224" t="str">
            <v>TRADICIONAL</v>
          </cell>
          <cell r="R224" t="str">
            <v>Aeropuerto - Santiago</v>
          </cell>
          <cell r="S224" t="str">
            <v>SCL</v>
          </cell>
          <cell r="T224" t="str">
            <v>Cajas de luz</v>
          </cell>
          <cell r="U224">
            <v>1</v>
          </cell>
          <cell r="V224" t="str">
            <v>9.30 * 1.30</v>
          </cell>
        </row>
        <row r="225">
          <cell r="A225" t="str">
            <v>SCL 0170A</v>
          </cell>
          <cell r="B225" t="str">
            <v>Aeropuerto</v>
          </cell>
          <cell r="D225" t="str">
            <v>Cajas de luz</v>
          </cell>
          <cell r="E225" t="str">
            <v>Caja Backlight Pasarela</v>
          </cell>
          <cell r="F225" t="str">
            <v>9.30 * 1.30</v>
          </cell>
          <cell r="G225" t="str">
            <v>9.50 * 1.50</v>
          </cell>
          <cell r="H225" t="str">
            <v>Y</v>
          </cell>
          <cell r="I225" t="str">
            <v>Pasarela Int.</v>
          </cell>
          <cell r="J225">
            <v>0</v>
          </cell>
          <cell r="K225">
            <v>0</v>
          </cell>
          <cell r="L225">
            <v>800000</v>
          </cell>
          <cell r="M225" t="str">
            <v>AEROPUERTO INTERNACIONAL ARTURO MERINO B</v>
          </cell>
          <cell r="P225" t="str">
            <v>PUDAHUEL</v>
          </cell>
          <cell r="Q225" t="str">
            <v>TRADICIONAL</v>
          </cell>
          <cell r="R225" t="str">
            <v>Aeropuerto - Santiago</v>
          </cell>
          <cell r="S225" t="str">
            <v>SCL</v>
          </cell>
          <cell r="T225" t="str">
            <v>Cajas de luz</v>
          </cell>
          <cell r="U225">
            <v>1</v>
          </cell>
          <cell r="V225" t="str">
            <v>9.30 * 1.30</v>
          </cell>
        </row>
        <row r="226">
          <cell r="A226" t="str">
            <v>SCL 0171A</v>
          </cell>
          <cell r="B226" t="str">
            <v>Aeropuerto</v>
          </cell>
          <cell r="D226" t="str">
            <v>Cajas de luz</v>
          </cell>
          <cell r="E226" t="str">
            <v>Caja Backlight Pasarela</v>
          </cell>
          <cell r="F226" t="str">
            <v>9.30 * 1.30</v>
          </cell>
          <cell r="G226" t="str">
            <v>9.50 * 1.50</v>
          </cell>
          <cell r="H226" t="str">
            <v>Y</v>
          </cell>
          <cell r="I226" t="str">
            <v>Pasarela Int.</v>
          </cell>
          <cell r="J226">
            <v>0</v>
          </cell>
          <cell r="K226">
            <v>0</v>
          </cell>
          <cell r="L226">
            <v>800000</v>
          </cell>
          <cell r="M226" t="str">
            <v>AEROPUERTO INTERNACIONAL ARTURO MERINO B</v>
          </cell>
          <cell r="P226" t="str">
            <v>PUDAHUEL</v>
          </cell>
          <cell r="Q226" t="str">
            <v>TRADICIONAL</v>
          </cell>
          <cell r="R226" t="str">
            <v>Aeropuerto - Santiago</v>
          </cell>
          <cell r="S226" t="str">
            <v>SCL</v>
          </cell>
          <cell r="T226" t="str">
            <v>Cajas de luz</v>
          </cell>
          <cell r="U226">
            <v>1</v>
          </cell>
          <cell r="V226" t="str">
            <v>9.30 * 1.30</v>
          </cell>
        </row>
        <row r="227">
          <cell r="A227" t="str">
            <v>SCL 0172A</v>
          </cell>
          <cell r="B227" t="str">
            <v>Aeropuerto</v>
          </cell>
          <cell r="D227" t="str">
            <v>Cajas de luz</v>
          </cell>
          <cell r="E227" t="str">
            <v>Caja Backlight Pasarela</v>
          </cell>
          <cell r="F227" t="str">
            <v>9.30 * 1.30</v>
          </cell>
          <cell r="G227" t="str">
            <v>9.50 * 1.50</v>
          </cell>
          <cell r="H227" t="str">
            <v>Y</v>
          </cell>
          <cell r="I227" t="str">
            <v>Pasarela Int.</v>
          </cell>
          <cell r="J227">
            <v>0</v>
          </cell>
          <cell r="K227">
            <v>0</v>
          </cell>
          <cell r="L227">
            <v>800000</v>
          </cell>
          <cell r="M227" t="str">
            <v>AEROPUERTO INTERNACIONAL ARTURO MERINO B</v>
          </cell>
          <cell r="P227" t="str">
            <v>PUDAHUEL</v>
          </cell>
          <cell r="Q227" t="str">
            <v>TRADICIONAL</v>
          </cell>
          <cell r="R227" t="str">
            <v>Aeropuerto - Santiago</v>
          </cell>
          <cell r="S227" t="str">
            <v>SCL</v>
          </cell>
          <cell r="T227" t="str">
            <v>Cajas de luz</v>
          </cell>
          <cell r="U227">
            <v>1</v>
          </cell>
          <cell r="V227" t="str">
            <v>9.30 * 1.30</v>
          </cell>
        </row>
        <row r="228">
          <cell r="A228" t="str">
            <v>SCL 0173A</v>
          </cell>
          <cell r="B228" t="str">
            <v>Aeropuerto</v>
          </cell>
          <cell r="D228" t="str">
            <v>Cajas de luz</v>
          </cell>
          <cell r="E228" t="str">
            <v>Caja Backlight Pasarela</v>
          </cell>
          <cell r="F228" t="str">
            <v>9.30 * 1.30</v>
          </cell>
          <cell r="G228" t="str">
            <v>9.50 * 1.50</v>
          </cell>
          <cell r="H228" t="str">
            <v>Y</v>
          </cell>
          <cell r="I228" t="str">
            <v>Pasarela Int.</v>
          </cell>
          <cell r="J228">
            <v>0</v>
          </cell>
          <cell r="K228">
            <v>0</v>
          </cell>
          <cell r="L228">
            <v>900000</v>
          </cell>
          <cell r="M228" t="str">
            <v>AEROPUERTO INTERNACIONAL ARTURO MERINO B</v>
          </cell>
          <cell r="P228" t="str">
            <v>PUDAHUEL</v>
          </cell>
          <cell r="Q228" t="str">
            <v>TRADICIONAL</v>
          </cell>
          <cell r="R228" t="str">
            <v>Aeropuerto - Santiago</v>
          </cell>
          <cell r="S228" t="str">
            <v>SCL</v>
          </cell>
          <cell r="T228" t="str">
            <v>Cajas de luz</v>
          </cell>
          <cell r="U228">
            <v>1</v>
          </cell>
          <cell r="V228" t="str">
            <v>9.30 * 1.30</v>
          </cell>
        </row>
        <row r="229">
          <cell r="A229" t="str">
            <v>SCL 0174A</v>
          </cell>
          <cell r="B229" t="str">
            <v>Aeropuerto</v>
          </cell>
          <cell r="D229" t="str">
            <v>Cajas de luz</v>
          </cell>
          <cell r="E229" t="str">
            <v>Caja Backlight Pasarela</v>
          </cell>
          <cell r="F229" t="str">
            <v>9.30 * 1.30</v>
          </cell>
          <cell r="G229" t="str">
            <v>9.50 * 1.50</v>
          </cell>
          <cell r="H229" t="str">
            <v>Y</v>
          </cell>
          <cell r="I229" t="str">
            <v>Pasarela Int.</v>
          </cell>
          <cell r="J229">
            <v>0</v>
          </cell>
          <cell r="K229">
            <v>0</v>
          </cell>
          <cell r="L229">
            <v>900000</v>
          </cell>
          <cell r="M229" t="str">
            <v>AEROPUERTO INTERNACIONAL ARTURO MERINO B</v>
          </cell>
          <cell r="P229" t="str">
            <v>PUDAHUEL</v>
          </cell>
          <cell r="Q229" t="str">
            <v>TRADICIONAL</v>
          </cell>
          <cell r="R229" t="str">
            <v>Aeropuerto - Santiago</v>
          </cell>
          <cell r="S229" t="str">
            <v>SCL</v>
          </cell>
          <cell r="T229" t="str">
            <v>Cajas de luz</v>
          </cell>
          <cell r="U229">
            <v>1</v>
          </cell>
          <cell r="V229" t="str">
            <v>9.30 * 1.30</v>
          </cell>
        </row>
        <row r="230">
          <cell r="A230" t="str">
            <v>SCL 0175A</v>
          </cell>
          <cell r="B230" t="str">
            <v>Aeropuerto</v>
          </cell>
          <cell r="D230" t="str">
            <v>P.E.: GLOBOS CORPOREO</v>
          </cell>
          <cell r="E230" t="str">
            <v>GLOBOS CORPOREO</v>
          </cell>
          <cell r="F230" t="str">
            <v>Ver Ficha</v>
          </cell>
          <cell r="G230" t="str">
            <v>Ver Ficha</v>
          </cell>
          <cell r="H230" t="str">
            <v>X</v>
          </cell>
          <cell r="I230" t="str">
            <v>ESTACIONAMIENTO</v>
          </cell>
          <cell r="J230">
            <v>200000</v>
          </cell>
          <cell r="L230">
            <v>0</v>
          </cell>
          <cell r="M230" t="str">
            <v>AEROPUERTO INTERNACIONAL ARTURO MERINO B</v>
          </cell>
          <cell r="P230" t="str">
            <v>PUDAHUEL</v>
          </cell>
          <cell r="Q230" t="str">
            <v>ESPECIAL</v>
          </cell>
          <cell r="R230" t="str">
            <v>Aeropuerto - Santiago</v>
          </cell>
          <cell r="S230" t="str">
            <v>SCL</v>
          </cell>
          <cell r="T230" t="str">
            <v>Productos Especiales</v>
          </cell>
          <cell r="U230">
            <v>1</v>
          </cell>
          <cell r="V230" t="str">
            <v>5.00 * 3.30 * 1.20</v>
          </cell>
        </row>
        <row r="231">
          <cell r="A231" t="str">
            <v>SCL 0176A</v>
          </cell>
          <cell r="B231" t="str">
            <v>Aeropuerto</v>
          </cell>
          <cell r="D231" t="str">
            <v>Cajas de luz</v>
          </cell>
          <cell r="E231" t="str">
            <v>Cajas de luz</v>
          </cell>
          <cell r="F231" t="str">
            <v>3.00 * 1.00</v>
          </cell>
          <cell r="G231" t="str">
            <v>3.20 * 1.20</v>
          </cell>
          <cell r="H231" t="str">
            <v>Y</v>
          </cell>
          <cell r="J231">
            <v>0</v>
          </cell>
          <cell r="K231">
            <v>0</v>
          </cell>
          <cell r="L231">
            <v>900000</v>
          </cell>
          <cell r="M231" t="str">
            <v>AEROPUERTO INTERNACIONAL ARTURO MERINO B</v>
          </cell>
          <cell r="P231" t="str">
            <v>PUDAHUEL</v>
          </cell>
          <cell r="Q231" t="str">
            <v>TRADICIONAL</v>
          </cell>
          <cell r="R231" t="str">
            <v>Aeropuerto - Santiago</v>
          </cell>
          <cell r="S231" t="str">
            <v>SCL</v>
          </cell>
          <cell r="T231" t="str">
            <v>Cajas de luz</v>
          </cell>
          <cell r="U231">
            <v>1</v>
          </cell>
          <cell r="V231" t="str">
            <v>3.00 * 1.00</v>
          </cell>
        </row>
        <row r="232">
          <cell r="A232" t="str">
            <v>SCL 0177A</v>
          </cell>
          <cell r="B232" t="str">
            <v>Aeropuerto</v>
          </cell>
          <cell r="D232" t="str">
            <v>Cajas de luz</v>
          </cell>
          <cell r="E232" t="str">
            <v>Cajas de luz</v>
          </cell>
          <cell r="F232" t="str">
            <v>3.00 * 1.00</v>
          </cell>
          <cell r="G232" t="str">
            <v>3.20 * 1.20</v>
          </cell>
          <cell r="H232" t="str">
            <v>Y</v>
          </cell>
          <cell r="J232">
            <v>0</v>
          </cell>
          <cell r="K232">
            <v>0</v>
          </cell>
          <cell r="L232">
            <v>900000</v>
          </cell>
          <cell r="M232" t="str">
            <v>AEROPUERTO INTERNACIONAL ARTURO MERINO B</v>
          </cell>
          <cell r="P232" t="str">
            <v>PUDAHUEL</v>
          </cell>
          <cell r="Q232" t="str">
            <v>TRADICIONAL</v>
          </cell>
          <cell r="R232" t="str">
            <v>Aeropuerto - Santiago</v>
          </cell>
          <cell r="S232" t="str">
            <v>SCL</v>
          </cell>
          <cell r="T232" t="str">
            <v>Cajas de luz</v>
          </cell>
          <cell r="U232">
            <v>1</v>
          </cell>
          <cell r="V232" t="str">
            <v>3.00 * 1.00</v>
          </cell>
        </row>
        <row r="233">
          <cell r="A233" t="str">
            <v>SCL 0178A</v>
          </cell>
          <cell r="B233" t="str">
            <v>Aeropuerto</v>
          </cell>
          <cell r="D233" t="str">
            <v>P.E.: LOTE 100 CARROS NUEVOS AEROPUERTO</v>
          </cell>
          <cell r="E233" t="str">
            <v>LOTE 100 CARROS NUEVOS AEROPUERTO</v>
          </cell>
          <cell r="F233" t="str">
            <v>NA</v>
          </cell>
          <cell r="G233" t="str">
            <v>NA</v>
          </cell>
          <cell r="H233" t="str">
            <v>Y</v>
          </cell>
          <cell r="I233" t="str">
            <v>TODA EL AREA</v>
          </cell>
          <cell r="J233" t="str">
            <v>?</v>
          </cell>
          <cell r="K233">
            <v>0</v>
          </cell>
          <cell r="L233">
            <v>850000</v>
          </cell>
          <cell r="M233" t="str">
            <v>AEROPUERTO INTERNACIONAL ARTURO MERINO B</v>
          </cell>
          <cell r="P233" t="str">
            <v>PENALOLEN</v>
          </cell>
          <cell r="Q233" t="str">
            <v>ESPECIAL</v>
          </cell>
          <cell r="R233" t="str">
            <v>Aeropuerto - Santiago</v>
          </cell>
          <cell r="S233" t="str">
            <v>SCL</v>
          </cell>
          <cell r="T233" t="str">
            <v>Especiales Permanentes</v>
          </cell>
          <cell r="U233">
            <v>100</v>
          </cell>
          <cell r="V233" t="str">
            <v>NA</v>
          </cell>
        </row>
        <row r="234">
          <cell r="A234" t="str">
            <v>SCL 0179A</v>
          </cell>
          <cell r="B234" t="str">
            <v>Aeropuerto</v>
          </cell>
          <cell r="D234" t="str">
            <v>P.E.: LOTE LUNETAS WINDOW VISION</v>
          </cell>
          <cell r="E234" t="str">
            <v>LOTE LUNETAS WINDOW VISION</v>
          </cell>
          <cell r="F234" t="str">
            <v>Ver Ficha</v>
          </cell>
          <cell r="G234" t="str">
            <v>Ver Ficha</v>
          </cell>
          <cell r="H234" t="str">
            <v>X</v>
          </cell>
          <cell r="I234" t="str">
            <v>EXTERIORES</v>
          </cell>
          <cell r="J234">
            <v>186400</v>
          </cell>
          <cell r="L234">
            <v>5400000</v>
          </cell>
          <cell r="M234" t="str">
            <v>AEROPUERTO INTERNACIONAL ARTURO MERINO B</v>
          </cell>
          <cell r="P234" t="str">
            <v>PUDAHUEL</v>
          </cell>
          <cell r="Q234" t="str">
            <v>ESPECIAL</v>
          </cell>
          <cell r="R234" t="str">
            <v>Aeropuerto - Santiago</v>
          </cell>
          <cell r="S234" t="str">
            <v>SCL</v>
          </cell>
          <cell r="T234" t="str">
            <v>Especiales Permanentes</v>
          </cell>
          <cell r="U234">
            <v>1</v>
          </cell>
          <cell r="V234" t="str">
            <v>NA</v>
          </cell>
        </row>
        <row r="235">
          <cell r="A235" t="str">
            <v>SCL 0181A</v>
          </cell>
          <cell r="B235" t="str">
            <v>Aeropuerto</v>
          </cell>
          <cell r="D235" t="str">
            <v>P.E.: MANGAS DE EMBAR. Y DESEMBARQUE</v>
          </cell>
          <cell r="E235" t="str">
            <v>MANGAS DE EMBAR. Y DESEMBARQUE</v>
          </cell>
          <cell r="F235" t="str">
            <v>NA</v>
          </cell>
          <cell r="G235" t="str">
            <v>NA</v>
          </cell>
          <cell r="H235" t="str">
            <v>E</v>
          </cell>
          <cell r="I235" t="str">
            <v>EXT. MANGA 17 AN</v>
          </cell>
          <cell r="J235">
            <v>0</v>
          </cell>
          <cell r="K235">
            <v>0</v>
          </cell>
          <cell r="L235">
            <v>2500000</v>
          </cell>
          <cell r="M235" t="str">
            <v>AEROPUERTO INTERNACIONAL ARTURO MERINO B</v>
          </cell>
          <cell r="P235" t="str">
            <v>PUDAHUEL</v>
          </cell>
          <cell r="Q235" t="str">
            <v>ESPECIAL</v>
          </cell>
          <cell r="R235" t="str">
            <v>Aeropuerto - Santiago</v>
          </cell>
          <cell r="S235" t="str">
            <v>SCL</v>
          </cell>
          <cell r="T235" t="str">
            <v>Especiales Permanentes</v>
          </cell>
          <cell r="U235">
            <v>1</v>
          </cell>
          <cell r="V235" t="str">
            <v>NA</v>
          </cell>
        </row>
        <row r="236">
          <cell r="A236" t="str">
            <v>SCL 0182A</v>
          </cell>
          <cell r="B236" t="str">
            <v>Aeropuerto</v>
          </cell>
          <cell r="D236" t="str">
            <v>P.E.: MANGAS DE EMBAR. Y DESEMBARQUE</v>
          </cell>
          <cell r="E236" t="str">
            <v>MANGAS DE EMBAR. Y DESEMBARQUE</v>
          </cell>
          <cell r="F236" t="str">
            <v>NA</v>
          </cell>
          <cell r="G236" t="str">
            <v>NA</v>
          </cell>
          <cell r="H236" t="str">
            <v>E</v>
          </cell>
          <cell r="I236" t="str">
            <v>EXT.MANGA18</v>
          </cell>
          <cell r="J236">
            <v>0</v>
          </cell>
          <cell r="K236">
            <v>0</v>
          </cell>
          <cell r="L236">
            <v>2500000</v>
          </cell>
          <cell r="M236" t="str">
            <v>AEROPUERTO INTERNACIONAL ARTURO MERINO B</v>
          </cell>
          <cell r="P236" t="str">
            <v>PUDAHUEL</v>
          </cell>
          <cell r="Q236" t="str">
            <v>ESPECIAL</v>
          </cell>
          <cell r="R236" t="str">
            <v>Aeropuerto - Santiago</v>
          </cell>
          <cell r="S236" t="str">
            <v>SCL</v>
          </cell>
          <cell r="T236" t="str">
            <v>Especiales Permanentes</v>
          </cell>
          <cell r="U236">
            <v>1</v>
          </cell>
          <cell r="V236" t="str">
            <v>NA</v>
          </cell>
        </row>
        <row r="237">
          <cell r="A237" t="str">
            <v>SCL 0183A</v>
          </cell>
          <cell r="B237" t="str">
            <v>Aeropuerto</v>
          </cell>
          <cell r="D237" t="str">
            <v>P.E.: MANGAS DE EMBAR. Y DESEMBARQUE</v>
          </cell>
          <cell r="E237" t="str">
            <v>MANGAS DE EMBAR. Y DESEMBARQUE</v>
          </cell>
          <cell r="F237" t="str">
            <v>NA</v>
          </cell>
          <cell r="G237" t="str">
            <v>NA</v>
          </cell>
          <cell r="H237" t="str">
            <v>E</v>
          </cell>
          <cell r="I237" t="str">
            <v>EXT. MANGA 19 AN</v>
          </cell>
          <cell r="J237">
            <v>0</v>
          </cell>
          <cell r="K237">
            <v>0</v>
          </cell>
          <cell r="L237">
            <v>2500000</v>
          </cell>
          <cell r="M237" t="str">
            <v>AEROPUERTO INTERNACIONAL ARTURO MERINO B</v>
          </cell>
          <cell r="P237" t="str">
            <v>PUDAHUEL</v>
          </cell>
          <cell r="Q237" t="str">
            <v>ESPECIAL</v>
          </cell>
          <cell r="R237" t="str">
            <v>Aeropuerto - Santiago</v>
          </cell>
          <cell r="S237" t="str">
            <v>SCL</v>
          </cell>
          <cell r="T237" t="str">
            <v>Especiales Permanentes</v>
          </cell>
          <cell r="U237">
            <v>1</v>
          </cell>
          <cell r="V237" t="str">
            <v>NA</v>
          </cell>
        </row>
        <row r="238">
          <cell r="A238" t="str">
            <v>SCL 0184A</v>
          </cell>
          <cell r="B238" t="str">
            <v>Aeropuerto</v>
          </cell>
          <cell r="D238" t="str">
            <v>P.E.: MANGAS DE EMBAR. Y DESEMBARQUE</v>
          </cell>
          <cell r="E238" t="str">
            <v>MANGAS DE EMBAR. Y DESEMBARQUE</v>
          </cell>
          <cell r="F238" t="str">
            <v>NA</v>
          </cell>
          <cell r="G238" t="str">
            <v>NA</v>
          </cell>
          <cell r="H238" t="str">
            <v>E</v>
          </cell>
          <cell r="I238" t="str">
            <v>EXT. MANGA20</v>
          </cell>
          <cell r="J238">
            <v>0</v>
          </cell>
          <cell r="K238">
            <v>0</v>
          </cell>
          <cell r="L238">
            <v>4500000</v>
          </cell>
          <cell r="M238" t="str">
            <v>AEROPUERTO INTERNACIONAL ARTURO MERINO B</v>
          </cell>
          <cell r="P238" t="str">
            <v>PUDAHUEL</v>
          </cell>
          <cell r="Q238" t="str">
            <v>ESPECIAL</v>
          </cell>
          <cell r="R238" t="str">
            <v>Aeropuerto - Santiago</v>
          </cell>
          <cell r="S238" t="str">
            <v>SCL</v>
          </cell>
          <cell r="T238" t="str">
            <v>Especiales Permanentes</v>
          </cell>
          <cell r="U238">
            <v>1</v>
          </cell>
          <cell r="V238" t="str">
            <v>NA</v>
          </cell>
        </row>
        <row r="239">
          <cell r="A239" t="str">
            <v>SCL 0185A</v>
          </cell>
          <cell r="B239" t="str">
            <v>Aeropuerto</v>
          </cell>
          <cell r="D239" t="str">
            <v>P.E.: MODULO</v>
          </cell>
          <cell r="E239" t="str">
            <v>MODULO</v>
          </cell>
          <cell r="F239" t="str">
            <v>Ver Ficha</v>
          </cell>
          <cell r="G239" t="str">
            <v>Ver Ficha</v>
          </cell>
          <cell r="I239" t="str">
            <v>INTERIOR PASILLO</v>
          </cell>
          <cell r="L239">
            <v>0</v>
          </cell>
          <cell r="M239" t="str">
            <v>AEROPUERTO INTERNACIONAL ARTURO MERINO B</v>
          </cell>
          <cell r="P239" t="str">
            <v>PUDAHUEL</v>
          </cell>
          <cell r="Q239" t="str">
            <v>ESPECIAL</v>
          </cell>
          <cell r="R239" t="str">
            <v>Aeropuerto - Santiago</v>
          </cell>
          <cell r="S239" t="str">
            <v>SCL</v>
          </cell>
          <cell r="T239" t="str">
            <v>Productos Especiales</v>
          </cell>
          <cell r="U239">
            <v>1</v>
          </cell>
          <cell r="V239" t="str">
            <v>NA</v>
          </cell>
        </row>
        <row r="240">
          <cell r="A240" t="str">
            <v>SCL 0190A</v>
          </cell>
          <cell r="B240" t="str">
            <v>Aeropuerto</v>
          </cell>
          <cell r="D240" t="str">
            <v>Cajas de luz</v>
          </cell>
          <cell r="E240" t="str">
            <v>Cajas de luz</v>
          </cell>
          <cell r="F240" t="str">
            <v>2.39 * 2.58</v>
          </cell>
          <cell r="G240" t="str">
            <v>2.45 * 2.64</v>
          </cell>
          <cell r="I240" t="str">
            <v>INTERIOR EMBARQU</v>
          </cell>
          <cell r="L240">
            <v>1800000</v>
          </cell>
          <cell r="M240" t="str">
            <v>AEROPUERTO INTERNACIONAL ARTURO MERINO B</v>
          </cell>
          <cell r="P240" t="str">
            <v>PUDAHUEL</v>
          </cell>
          <cell r="Q240" t="str">
            <v>TRADICIONAL</v>
          </cell>
          <cell r="R240" t="str">
            <v>Aeropuerto - Santiago</v>
          </cell>
          <cell r="S240" t="str">
            <v>SCL</v>
          </cell>
          <cell r="T240" t="str">
            <v>Cajas de luz</v>
          </cell>
          <cell r="U240">
            <v>1</v>
          </cell>
          <cell r="V240" t="str">
            <v>2.39 * 2.58</v>
          </cell>
        </row>
        <row r="241">
          <cell r="A241" t="str">
            <v>FAAP0001A</v>
          </cell>
          <cell r="B241" t="str">
            <v>Farmacia</v>
          </cell>
          <cell r="D241" t="str">
            <v>Minipoles</v>
          </cell>
          <cell r="E241" t="str">
            <v>Minipoles</v>
          </cell>
          <cell r="F241" t="str">
            <v>2.80 * 1.30</v>
          </cell>
          <cell r="G241" t="str">
            <v>3.10 * 1.60</v>
          </cell>
          <cell r="H241" t="str">
            <v>E</v>
          </cell>
          <cell r="I241" t="str">
            <v>ESTACIONAMIENTOS</v>
          </cell>
          <cell r="L241">
            <v>530000</v>
          </cell>
          <cell r="M241" t="str">
            <v>FASA Apoquindo esq Coronel Pereira</v>
          </cell>
          <cell r="P241" t="str">
            <v>LAS CONDES</v>
          </cell>
          <cell r="Q241" t="str">
            <v>TRADICIONAL</v>
          </cell>
          <cell r="R241" t="str">
            <v>Farmacia - Santiago</v>
          </cell>
          <cell r="S241" t="str">
            <v>Farmacias Ahumada</v>
          </cell>
          <cell r="T241" t="str">
            <v>Minipoles</v>
          </cell>
          <cell r="U241">
            <v>1</v>
          </cell>
          <cell r="V241" t="str">
            <v>2.80 * 1.30</v>
          </cell>
        </row>
        <row r="242">
          <cell r="A242" t="str">
            <v>FAAP0002A</v>
          </cell>
          <cell r="B242" t="str">
            <v>Farmacia</v>
          </cell>
          <cell r="D242" t="str">
            <v>Cajas de luz</v>
          </cell>
          <cell r="E242" t="str">
            <v>Cajas de luz</v>
          </cell>
          <cell r="F242" t="str">
            <v>3.80 x 1.80</v>
          </cell>
          <cell r="G242" t="str">
            <v>4.00 x 2.00</v>
          </cell>
          <cell r="H242" t="str">
            <v>E</v>
          </cell>
          <cell r="I242" t="str">
            <v>ESTACIONAMIENTOS</v>
          </cell>
          <cell r="L242">
            <v>580000</v>
          </cell>
          <cell r="M242" t="str">
            <v>FASA Apoquindo esq Coronel Pereira</v>
          </cell>
          <cell r="P242" t="str">
            <v>LAS CONDES</v>
          </cell>
          <cell r="Q242" t="str">
            <v>TRADICIONAL</v>
          </cell>
          <cell r="R242" t="str">
            <v>Farmacia - Santiago</v>
          </cell>
          <cell r="S242" t="str">
            <v>Farmacias Ahumada</v>
          </cell>
          <cell r="T242" t="str">
            <v>Cajas de luz</v>
          </cell>
          <cell r="U242">
            <v>1</v>
          </cell>
          <cell r="V242" t="str">
            <v>3.80 * 1.80</v>
          </cell>
        </row>
        <row r="243">
          <cell r="A243" t="str">
            <v>FABH0001A</v>
          </cell>
          <cell r="B243" t="str">
            <v>Farmacia</v>
          </cell>
          <cell r="D243" t="str">
            <v>Cajas de luz</v>
          </cell>
          <cell r="E243" t="str">
            <v>Cajas de luz</v>
          </cell>
          <cell r="F243" t="str">
            <v>3.80 x 1.80</v>
          </cell>
          <cell r="G243" t="str">
            <v>4.00 x 2.00</v>
          </cell>
          <cell r="H243" t="str">
            <v>E</v>
          </cell>
          <cell r="I243" t="str">
            <v>ESTACIONAMIENTOS</v>
          </cell>
          <cell r="L243">
            <v>580000</v>
          </cell>
          <cell r="M243" t="str">
            <v>FASA F.Bilbao con Avda Holanda</v>
          </cell>
          <cell r="P243" t="str">
            <v>PROVIDENCIA</v>
          </cell>
          <cell r="Q243" t="str">
            <v>TRADICIONAL</v>
          </cell>
          <cell r="R243" t="str">
            <v>Farmacia - Santiago</v>
          </cell>
          <cell r="S243" t="str">
            <v>Farmacias Ahumada</v>
          </cell>
          <cell r="T243" t="str">
            <v>Cajas de luz</v>
          </cell>
          <cell r="U243">
            <v>1</v>
          </cell>
          <cell r="V243" t="str">
            <v>3.80 * 1.80</v>
          </cell>
        </row>
        <row r="244">
          <cell r="A244" t="str">
            <v>FAFB0001A</v>
          </cell>
          <cell r="B244" t="str">
            <v>Farmacia</v>
          </cell>
          <cell r="D244" t="str">
            <v>Minipoles</v>
          </cell>
          <cell r="E244" t="str">
            <v>Minipoles</v>
          </cell>
          <cell r="F244" t="str">
            <v>2.80 * 1.30</v>
          </cell>
          <cell r="G244" t="str">
            <v>3.10 * 1.60</v>
          </cell>
          <cell r="H244" t="str">
            <v>E</v>
          </cell>
          <cell r="I244" t="str">
            <v>ESTACIONAMIENTOS</v>
          </cell>
          <cell r="L244">
            <v>530000</v>
          </cell>
          <cell r="M244" t="str">
            <v>FASA Francisco Bilbao 7411</v>
          </cell>
          <cell r="P244" t="str">
            <v>PROVIDENCIA</v>
          </cell>
          <cell r="Q244" t="str">
            <v>TRADICIONAL</v>
          </cell>
          <cell r="R244" t="str">
            <v>Farmacia - Santiago</v>
          </cell>
          <cell r="S244" t="str">
            <v>Farmacias Ahumada</v>
          </cell>
          <cell r="T244" t="str">
            <v>Minipoles</v>
          </cell>
          <cell r="U244">
            <v>1</v>
          </cell>
          <cell r="V244" t="str">
            <v>2.80 * 1.30</v>
          </cell>
        </row>
        <row r="245">
          <cell r="A245" t="str">
            <v>FALC0001A</v>
          </cell>
          <cell r="B245" t="str">
            <v>Farmacia</v>
          </cell>
          <cell r="D245" t="str">
            <v>Minipoles</v>
          </cell>
          <cell r="E245" t="str">
            <v>Minipoles</v>
          </cell>
          <cell r="F245" t="str">
            <v>2.80 * 1.30</v>
          </cell>
          <cell r="G245" t="str">
            <v>3.10 * 1.60</v>
          </cell>
          <cell r="H245" t="str">
            <v>E</v>
          </cell>
          <cell r="I245" t="str">
            <v>ESTACIONAMIENTOS</v>
          </cell>
          <cell r="L245">
            <v>530000</v>
          </cell>
          <cell r="M245" t="str">
            <v>FASA Avda Las Condes FACH</v>
          </cell>
          <cell r="P245" t="str">
            <v>LAS CONDES</v>
          </cell>
          <cell r="Q245" t="str">
            <v>TRADICIONAL</v>
          </cell>
          <cell r="R245" t="str">
            <v>Farmacia - Santiago</v>
          </cell>
          <cell r="S245" t="str">
            <v>Farmacias Ahumada</v>
          </cell>
          <cell r="T245" t="str">
            <v>Minipoles</v>
          </cell>
          <cell r="U245">
            <v>1</v>
          </cell>
          <cell r="V245" t="str">
            <v>2.80 * 1.30</v>
          </cell>
        </row>
        <row r="246">
          <cell r="A246" t="str">
            <v>FALL0001A</v>
          </cell>
          <cell r="B246" t="str">
            <v>Farmacia</v>
          </cell>
          <cell r="D246" t="str">
            <v>Paletas</v>
          </cell>
          <cell r="E246" t="str">
            <v>PALETA SUPER SCREEN</v>
          </cell>
          <cell r="F246" t="str">
            <v>1.20 * 1.70</v>
          </cell>
          <cell r="G246" t="str">
            <v>1.23 * 1.75</v>
          </cell>
          <cell r="H246" t="str">
            <v>E</v>
          </cell>
          <cell r="I246" t="str">
            <v>ESTACIONAMIENTO</v>
          </cell>
          <cell r="L246">
            <v>380000</v>
          </cell>
          <cell r="M246" t="str">
            <v>FASA Eleodoro Yañez Los Leones</v>
          </cell>
          <cell r="P246" t="str">
            <v>PROVIDENCIA</v>
          </cell>
          <cell r="Q246" t="str">
            <v>TRADICIONAL</v>
          </cell>
          <cell r="R246" t="str">
            <v>Farmacia - Santiago</v>
          </cell>
          <cell r="S246" t="str">
            <v>Farmacias Ahumada</v>
          </cell>
          <cell r="T246" t="str">
            <v>Paletas</v>
          </cell>
          <cell r="U246">
            <v>1</v>
          </cell>
          <cell r="V246" t="str">
            <v>1.20 * 1.70</v>
          </cell>
        </row>
        <row r="247">
          <cell r="A247" t="str">
            <v>FALL0001B</v>
          </cell>
          <cell r="B247" t="str">
            <v>Farmacia</v>
          </cell>
          <cell r="D247" t="str">
            <v>NO VENDIBLE</v>
          </cell>
          <cell r="E247" t="str">
            <v>PALETA SUPER SCREEN</v>
          </cell>
          <cell r="F247" t="str">
            <v>1.20 * 1.70</v>
          </cell>
          <cell r="G247" t="str">
            <v>1.23 * 1.75</v>
          </cell>
          <cell r="H247" t="str">
            <v>E</v>
          </cell>
          <cell r="I247" t="str">
            <v>ESTACIONAMIENTO</v>
          </cell>
          <cell r="L247">
            <v>380000</v>
          </cell>
          <cell r="M247" t="str">
            <v>FASA Eleodoro Yañez Los Leones</v>
          </cell>
          <cell r="O247" t="str">
            <v>Sí</v>
          </cell>
          <cell r="P247" t="str">
            <v>PROVIDENCIA</v>
          </cell>
          <cell r="Q247" t="str">
            <v>TRADICIONAL</v>
          </cell>
          <cell r="R247" t="str">
            <v>Farmacia - Santiago</v>
          </cell>
          <cell r="S247" t="str">
            <v>Farmacias Ahumada</v>
          </cell>
          <cell r="T247" t="str">
            <v>Paletas</v>
          </cell>
          <cell r="U247">
            <v>1</v>
          </cell>
          <cell r="V247" t="str">
            <v>1.20 * 1.70</v>
          </cell>
        </row>
        <row r="248">
          <cell r="A248" t="str">
            <v>FAPG0001A</v>
          </cell>
          <cell r="B248" t="str">
            <v>Farmacia</v>
          </cell>
          <cell r="D248" t="str">
            <v>Cajas de luz</v>
          </cell>
          <cell r="E248" t="str">
            <v>Cajas de luz</v>
          </cell>
          <cell r="F248" t="str">
            <v>3.80 x 1.80</v>
          </cell>
          <cell r="G248" t="str">
            <v>4.00 x 2.00</v>
          </cell>
          <cell r="H248" t="str">
            <v>E</v>
          </cell>
          <cell r="I248" t="str">
            <v>ESTACIONAMIENTOS</v>
          </cell>
          <cell r="L248">
            <v>580000</v>
          </cell>
          <cell r="M248" t="str">
            <v>FASA Principe de GAles 7230</v>
          </cell>
          <cell r="P248" t="str">
            <v>LA REINA</v>
          </cell>
          <cell r="Q248" t="str">
            <v>TRADICIONAL</v>
          </cell>
          <cell r="R248" t="str">
            <v>Farmacia - Santiago</v>
          </cell>
          <cell r="S248" t="str">
            <v>Farmacias Ahumada</v>
          </cell>
          <cell r="T248" t="str">
            <v>Cajas de luz</v>
          </cell>
          <cell r="U248">
            <v>1</v>
          </cell>
          <cell r="V248" t="str">
            <v>3.80 * 1.80</v>
          </cell>
        </row>
        <row r="249">
          <cell r="A249" t="str">
            <v>FAPV0001A</v>
          </cell>
          <cell r="B249" t="str">
            <v>Farmacia</v>
          </cell>
          <cell r="D249" t="str">
            <v>Minipoles</v>
          </cell>
          <cell r="E249" t="str">
            <v>Minipoles</v>
          </cell>
          <cell r="F249" t="str">
            <v>2.80 * 1.30</v>
          </cell>
          <cell r="G249" t="str">
            <v>3.10 * 1.60</v>
          </cell>
          <cell r="H249" t="str">
            <v>E</v>
          </cell>
          <cell r="I249" t="str">
            <v>ESTACIONAMIENTOS</v>
          </cell>
          <cell r="L249">
            <v>530000</v>
          </cell>
          <cell r="M249" t="str">
            <v>FASA Pedro de Valdivia</v>
          </cell>
          <cell r="P249" t="str">
            <v>PROVIDENCIA</v>
          </cell>
          <cell r="Q249" t="str">
            <v>TRADICIONAL</v>
          </cell>
          <cell r="R249" t="str">
            <v>Farmacia - Santiago</v>
          </cell>
          <cell r="S249" t="str">
            <v>Farmacias Ahumada</v>
          </cell>
          <cell r="T249" t="str">
            <v>Minipoles</v>
          </cell>
          <cell r="U249">
            <v>1</v>
          </cell>
          <cell r="V249" t="str">
            <v>2.80 * 1.30</v>
          </cell>
        </row>
        <row r="250">
          <cell r="A250" t="str">
            <v>FASD0001A</v>
          </cell>
          <cell r="B250" t="str">
            <v>Farmacia</v>
          </cell>
          <cell r="D250" t="str">
            <v>Minipoles</v>
          </cell>
          <cell r="E250" t="str">
            <v>Minipoles</v>
          </cell>
          <cell r="F250" t="str">
            <v>2.80 * 1.30</v>
          </cell>
          <cell r="G250" t="str">
            <v>3.10 * 1.60</v>
          </cell>
          <cell r="H250" t="str">
            <v>E</v>
          </cell>
          <cell r="I250" t="str">
            <v>ESTACIONAMIENTOS</v>
          </cell>
          <cell r="L250">
            <v>530000</v>
          </cell>
          <cell r="M250" t="str">
            <v>FASA San Damian</v>
          </cell>
          <cell r="P250" t="str">
            <v>LAS CONDES</v>
          </cell>
          <cell r="Q250" t="str">
            <v>TRADICIONAL</v>
          </cell>
          <cell r="R250" t="str">
            <v>Farmacia - Santiago</v>
          </cell>
          <cell r="S250" t="str">
            <v>Farmacias Ahumada</v>
          </cell>
          <cell r="T250" t="str">
            <v>Minipoles</v>
          </cell>
          <cell r="U250">
            <v>1</v>
          </cell>
          <cell r="V250" t="str">
            <v>2.80 * 1.30</v>
          </cell>
        </row>
        <row r="251">
          <cell r="A251" t="str">
            <v>FASD0002A</v>
          </cell>
          <cell r="B251" t="str">
            <v>Farmacia</v>
          </cell>
          <cell r="D251" t="str">
            <v>Paletas</v>
          </cell>
          <cell r="E251" t="str">
            <v>PALETA SUPER SCREEN</v>
          </cell>
          <cell r="F251" t="str">
            <v>1.20 * 1.70</v>
          </cell>
          <cell r="G251" t="str">
            <v>1.23 * 1.75</v>
          </cell>
          <cell r="H251" t="str">
            <v>E</v>
          </cell>
          <cell r="I251" t="str">
            <v>ESTACIONAMIENTO</v>
          </cell>
          <cell r="L251">
            <v>380000</v>
          </cell>
          <cell r="M251" t="str">
            <v>FASA San Damian</v>
          </cell>
          <cell r="P251" t="str">
            <v>LAS CONDES</v>
          </cell>
          <cell r="Q251" t="str">
            <v>TRADICIONAL</v>
          </cell>
          <cell r="R251" t="str">
            <v>Farmacia - Santiago</v>
          </cell>
          <cell r="S251" t="str">
            <v>Farmacias Ahumada</v>
          </cell>
          <cell r="T251" t="str">
            <v>Paletas</v>
          </cell>
          <cell r="U251">
            <v>1</v>
          </cell>
          <cell r="V251" t="str">
            <v>1.20 * 1.70</v>
          </cell>
        </row>
        <row r="252">
          <cell r="A252" t="str">
            <v>FASD0002B</v>
          </cell>
          <cell r="B252" t="str">
            <v>Farmacia</v>
          </cell>
          <cell r="D252" t="str">
            <v>Paletas</v>
          </cell>
          <cell r="E252" t="str">
            <v>PALETA SUPER SCREEN</v>
          </cell>
          <cell r="F252" t="str">
            <v>1.20 * 1.70</v>
          </cell>
          <cell r="G252" t="str">
            <v>1.23 * 1.75</v>
          </cell>
          <cell r="H252" t="str">
            <v>E</v>
          </cell>
          <cell r="I252" t="str">
            <v>ESTACIONAMIENTO</v>
          </cell>
          <cell r="L252">
            <v>380000</v>
          </cell>
          <cell r="M252" t="str">
            <v>FASA San Damian</v>
          </cell>
          <cell r="P252" t="str">
            <v>LAS CONDES</v>
          </cell>
          <cell r="Q252" t="str">
            <v>TRADICIONAL</v>
          </cell>
          <cell r="R252" t="str">
            <v>Farmacia - Santiago</v>
          </cell>
          <cell r="S252" t="str">
            <v>Farmacias Ahumada</v>
          </cell>
          <cell r="T252" t="str">
            <v>Paletas</v>
          </cell>
          <cell r="U252">
            <v>1</v>
          </cell>
          <cell r="V252" t="str">
            <v>1.20 * 1.70</v>
          </cell>
        </row>
        <row r="253">
          <cell r="A253" t="str">
            <v>SBAT0001A</v>
          </cell>
          <cell r="B253" t="str">
            <v>Farmacia</v>
          </cell>
          <cell r="D253" t="str">
            <v>Minipoles</v>
          </cell>
          <cell r="E253" t="str">
            <v>BACKLIGHT</v>
          </cell>
          <cell r="F253" t="str">
            <v>3.00 * 1.50</v>
          </cell>
          <cell r="G253" t="str">
            <v>3.20 * 1.70</v>
          </cell>
          <cell r="H253" t="str">
            <v>X</v>
          </cell>
          <cell r="I253" t="str">
            <v>EXTERIORES</v>
          </cell>
          <cell r="J253">
            <v>0</v>
          </cell>
          <cell r="K253">
            <v>0</v>
          </cell>
          <cell r="L253">
            <v>480000</v>
          </cell>
          <cell r="M253" t="str">
            <v>SALCO BRAND APOQUINDO TOMAS MORO</v>
          </cell>
          <cell r="P253" t="str">
            <v>LAS CONDES</v>
          </cell>
          <cell r="Q253" t="str">
            <v>TRADICIONAL</v>
          </cell>
          <cell r="R253" t="str">
            <v>Farmacia - Santiago</v>
          </cell>
          <cell r="S253" t="str">
            <v>SalcoBrand</v>
          </cell>
          <cell r="T253" t="str">
            <v>Minipoles</v>
          </cell>
          <cell r="U253">
            <v>1</v>
          </cell>
          <cell r="V253" t="str">
            <v>3.00 * 1.50</v>
          </cell>
        </row>
        <row r="254">
          <cell r="A254" t="str">
            <v>SBCH0001AB</v>
          </cell>
          <cell r="B254" t="str">
            <v>Farmacia</v>
          </cell>
          <cell r="D254" t="str">
            <v>Paletas</v>
          </cell>
          <cell r="E254" t="str">
            <v>Paletas (Recto/Verso)</v>
          </cell>
          <cell r="F254" t="str">
            <v>1.10 * 1.53</v>
          </cell>
          <cell r="G254" t="str">
            <v>1.15 * 1.57</v>
          </cell>
          <cell r="H254" t="str">
            <v>E</v>
          </cell>
          <cell r="I254" t="str">
            <v>ESTACIONAMIENTOS</v>
          </cell>
          <cell r="J254">
            <v>0</v>
          </cell>
          <cell r="K254">
            <v>0</v>
          </cell>
          <cell r="L254">
            <v>480000</v>
          </cell>
          <cell r="M254" t="str">
            <v>SALCO BRAND LAS CONDES PADRE HURTADO</v>
          </cell>
          <cell r="P254" t="str">
            <v>LAS CONDES</v>
          </cell>
          <cell r="Q254" t="str">
            <v>TRADICIONAL</v>
          </cell>
          <cell r="R254" t="str">
            <v>Farmacia - Santiago</v>
          </cell>
          <cell r="S254" t="str">
            <v>SalcoBrand</v>
          </cell>
          <cell r="T254" t="str">
            <v>Paletas</v>
          </cell>
          <cell r="U254">
            <v>2</v>
          </cell>
          <cell r="V254" t="str">
            <v>1.10 * 1.53</v>
          </cell>
        </row>
        <row r="255">
          <cell r="A255" t="str">
            <v>SBCM0001A</v>
          </cell>
          <cell r="B255" t="str">
            <v>Farmacia</v>
          </cell>
          <cell r="D255" t="str">
            <v>Cajas de luz</v>
          </cell>
          <cell r="E255" t="str">
            <v>Cajas de luz</v>
          </cell>
          <cell r="F255" t="str">
            <v>3.80 * 1.80</v>
          </cell>
          <cell r="G255" t="str">
            <v>4.00 * 2.00</v>
          </cell>
          <cell r="H255" t="str">
            <v>E</v>
          </cell>
          <cell r="I255" t="str">
            <v>ESTACIONAMIENTOS</v>
          </cell>
          <cell r="J255">
            <v>0</v>
          </cell>
          <cell r="K255">
            <v>0</v>
          </cell>
          <cell r="L255">
            <v>520000</v>
          </cell>
          <cell r="M255" t="str">
            <v>SALCO BRAND COLON 6064 MANQUEHUE</v>
          </cell>
          <cell r="P255" t="str">
            <v>LAS CONDES</v>
          </cell>
          <cell r="Q255" t="str">
            <v>TRADICIONAL</v>
          </cell>
          <cell r="R255" t="str">
            <v>Farmacia - Santiago</v>
          </cell>
          <cell r="S255" t="str">
            <v>SalcoBrand</v>
          </cell>
          <cell r="T255" t="str">
            <v>Cajas de luz</v>
          </cell>
          <cell r="U255">
            <v>1</v>
          </cell>
          <cell r="V255" t="str">
            <v>3.80 * 1.80</v>
          </cell>
        </row>
        <row r="256">
          <cell r="A256" t="str">
            <v>SBCM0002AB</v>
          </cell>
          <cell r="B256" t="str">
            <v>Farmacia</v>
          </cell>
          <cell r="D256" t="str">
            <v>Paletas</v>
          </cell>
          <cell r="E256" t="str">
            <v>Paletas (Recto/Verso)</v>
          </cell>
          <cell r="F256" t="str">
            <v>1.10 * 1.53</v>
          </cell>
          <cell r="G256" t="str">
            <v>1.15 * 1.57</v>
          </cell>
          <cell r="H256" t="str">
            <v>E</v>
          </cell>
          <cell r="I256" t="str">
            <v>ESTACIONAMIENTOS</v>
          </cell>
          <cell r="J256">
            <v>0</v>
          </cell>
          <cell r="K256">
            <v>0</v>
          </cell>
          <cell r="L256">
            <v>480000</v>
          </cell>
          <cell r="M256" t="str">
            <v>SALCO BRAND COLON 6064 MANQUEHUE</v>
          </cell>
          <cell r="P256" t="str">
            <v>LAS CONDES</v>
          </cell>
          <cell r="Q256" t="str">
            <v>TRADICIONAL</v>
          </cell>
          <cell r="R256" t="str">
            <v>Farmacia - Santiago</v>
          </cell>
          <cell r="S256" t="str">
            <v>SalcoBrand</v>
          </cell>
          <cell r="T256" t="str">
            <v>Paletas</v>
          </cell>
          <cell r="U256">
            <v>2</v>
          </cell>
          <cell r="V256" t="str">
            <v>1.10 * 1.53</v>
          </cell>
        </row>
        <row r="257">
          <cell r="A257" t="str">
            <v>SBCO0001AB</v>
          </cell>
          <cell r="B257" t="str">
            <v>Farmacia</v>
          </cell>
          <cell r="D257" t="str">
            <v>Paletas</v>
          </cell>
          <cell r="E257" t="str">
            <v>Paletas (Recto/Verso)</v>
          </cell>
          <cell r="F257" t="str">
            <v>1.10 * 1.53</v>
          </cell>
          <cell r="G257" t="str">
            <v>1.15 * 1.57</v>
          </cell>
          <cell r="H257" t="str">
            <v>E</v>
          </cell>
          <cell r="I257" t="str">
            <v>ESTACIONAMIENTOS</v>
          </cell>
          <cell r="J257">
            <v>0</v>
          </cell>
          <cell r="K257">
            <v>0</v>
          </cell>
          <cell r="L257">
            <v>480000</v>
          </cell>
          <cell r="M257" t="str">
            <v>SALCO BRAND COLON 6720</v>
          </cell>
          <cell r="P257" t="str">
            <v>LAS CONDES</v>
          </cell>
          <cell r="Q257" t="str">
            <v>TRADICIONAL</v>
          </cell>
          <cell r="R257" t="str">
            <v>Farmacia - Santiago</v>
          </cell>
          <cell r="S257" t="str">
            <v>SalcoBrand</v>
          </cell>
          <cell r="T257" t="str">
            <v>Paletas</v>
          </cell>
          <cell r="U257">
            <v>2</v>
          </cell>
          <cell r="V257" t="str">
            <v>1.10 * 1.53</v>
          </cell>
        </row>
        <row r="258">
          <cell r="A258" t="str">
            <v>SBHB0001A</v>
          </cell>
          <cell r="B258" t="str">
            <v>Farmacia</v>
          </cell>
          <cell r="D258" t="str">
            <v>Minipoles</v>
          </cell>
          <cell r="E258" t="str">
            <v>BACKLIGHT</v>
          </cell>
          <cell r="F258" t="str">
            <v>3.00 * 1.50</v>
          </cell>
          <cell r="G258" t="str">
            <v>3.20 * 1.70</v>
          </cell>
          <cell r="H258" t="str">
            <v>X</v>
          </cell>
          <cell r="I258" t="str">
            <v>EXTERIORES</v>
          </cell>
          <cell r="J258">
            <v>0</v>
          </cell>
          <cell r="K258">
            <v>0</v>
          </cell>
          <cell r="L258">
            <v>480000</v>
          </cell>
          <cell r="M258" t="str">
            <v>SALCO BRAND P. HURTADO BOCACCIO</v>
          </cell>
          <cell r="P258" t="str">
            <v>LAS CONDES</v>
          </cell>
          <cell r="Q258" t="str">
            <v>TRADICIONAL</v>
          </cell>
          <cell r="R258" t="str">
            <v>Farmacia - Santiago</v>
          </cell>
          <cell r="S258" t="str">
            <v>SalcoBrand</v>
          </cell>
          <cell r="T258" t="str">
            <v>Minipoles</v>
          </cell>
          <cell r="U258">
            <v>1</v>
          </cell>
          <cell r="V258" t="str">
            <v>3.00 * 1.50</v>
          </cell>
        </row>
        <row r="259">
          <cell r="A259" t="str">
            <v>SBMM0001AB</v>
          </cell>
          <cell r="B259" t="str">
            <v>Farmacia</v>
          </cell>
          <cell r="D259" t="str">
            <v>Paletas</v>
          </cell>
          <cell r="E259" t="str">
            <v>Paletas (Recto/Verso)</v>
          </cell>
          <cell r="F259" t="str">
            <v>1.10 * 1.53</v>
          </cell>
          <cell r="G259" t="str">
            <v>1.15 * 1.57</v>
          </cell>
          <cell r="H259" t="str">
            <v>E</v>
          </cell>
          <cell r="I259" t="str">
            <v>ESTACIONAMIENTOS</v>
          </cell>
          <cell r="J259">
            <v>0</v>
          </cell>
          <cell r="K259">
            <v>0</v>
          </cell>
          <cell r="L259">
            <v>480000</v>
          </cell>
          <cell r="M259" t="str">
            <v>SALCO BRAND MANQUEHUE LOS MILITARES</v>
          </cell>
          <cell r="P259" t="str">
            <v>LAS CONDES</v>
          </cell>
          <cell r="Q259" t="str">
            <v>TRADICIONAL</v>
          </cell>
          <cell r="R259" t="str">
            <v>Farmacia - Santiago</v>
          </cell>
          <cell r="S259" t="str">
            <v>SalcoBrand</v>
          </cell>
          <cell r="T259" t="str">
            <v>Paletas</v>
          </cell>
          <cell r="U259">
            <v>2</v>
          </cell>
          <cell r="V259" t="str">
            <v>1.10 * 1.53</v>
          </cell>
        </row>
        <row r="260">
          <cell r="A260" t="str">
            <v>SBPG0001A</v>
          </cell>
          <cell r="B260" t="str">
            <v>Farmacia</v>
          </cell>
          <cell r="D260" t="str">
            <v>Minipoles</v>
          </cell>
          <cell r="E260" t="str">
            <v>BACKLIGHT</v>
          </cell>
          <cell r="F260" t="str">
            <v>3.00 * 1.50</v>
          </cell>
          <cell r="G260" t="str">
            <v>3.20 * 1.70</v>
          </cell>
          <cell r="H260" t="str">
            <v>X</v>
          </cell>
          <cell r="I260" t="str">
            <v>EXTERIORES</v>
          </cell>
          <cell r="J260">
            <v>0</v>
          </cell>
          <cell r="K260">
            <v>0</v>
          </cell>
          <cell r="L260">
            <v>480000</v>
          </cell>
          <cell r="M260" t="str">
            <v>SALCO BRAND PRINCIPE DE GALES 7215</v>
          </cell>
          <cell r="P260" t="str">
            <v>LA REINA</v>
          </cell>
          <cell r="Q260" t="str">
            <v>TRADICIONAL</v>
          </cell>
          <cell r="R260" t="str">
            <v>Farmacia - Santiago</v>
          </cell>
          <cell r="S260" t="str">
            <v>SalcoBrand</v>
          </cell>
          <cell r="T260" t="str">
            <v>Minipoles</v>
          </cell>
          <cell r="U260">
            <v>1</v>
          </cell>
          <cell r="V260" t="str">
            <v>3.00 * 1.50</v>
          </cell>
        </row>
        <row r="261">
          <cell r="A261" t="str">
            <v>SBRO0001A</v>
          </cell>
          <cell r="B261" t="str">
            <v>Farmacia</v>
          </cell>
          <cell r="D261" t="str">
            <v>Minipoles</v>
          </cell>
          <cell r="E261" t="str">
            <v>BACKLIGHT</v>
          </cell>
          <cell r="F261" t="str">
            <v>3.00 * 1.50</v>
          </cell>
          <cell r="G261" t="str">
            <v>3.20 * 1.70</v>
          </cell>
          <cell r="H261" t="str">
            <v>X</v>
          </cell>
          <cell r="I261" t="str">
            <v>EXTERIORES</v>
          </cell>
          <cell r="J261">
            <v>0</v>
          </cell>
          <cell r="K261">
            <v>0</v>
          </cell>
          <cell r="L261">
            <v>480000</v>
          </cell>
          <cell r="M261" t="str">
            <v>SALCO BRAND EL RODEO ESQ. HINGANAL</v>
          </cell>
          <cell r="P261" t="str">
            <v>VITACURA</v>
          </cell>
          <cell r="Q261" t="str">
            <v>TRADICIONAL</v>
          </cell>
          <cell r="R261" t="str">
            <v>Farmacia - Santiago</v>
          </cell>
          <cell r="S261" t="str">
            <v>SalcoBrand</v>
          </cell>
          <cell r="T261" t="str">
            <v>Minipoles</v>
          </cell>
          <cell r="U261">
            <v>1</v>
          </cell>
          <cell r="V261" t="str">
            <v>3.00 * 1.50</v>
          </cell>
        </row>
        <row r="262">
          <cell r="A262" t="str">
            <v>SBSB0001AB</v>
          </cell>
          <cell r="B262" t="str">
            <v>Farmacia</v>
          </cell>
          <cell r="D262" t="str">
            <v>Paletas</v>
          </cell>
          <cell r="E262" t="str">
            <v>Paletas (Recto/Verso)</v>
          </cell>
          <cell r="F262" t="str">
            <v>1.10 * 1.53</v>
          </cell>
          <cell r="G262" t="str">
            <v>1.15 * 1.57</v>
          </cell>
          <cell r="H262" t="str">
            <v>E</v>
          </cell>
          <cell r="I262" t="str">
            <v>ESTACIONAMIENTOS</v>
          </cell>
          <cell r="J262">
            <v>0</v>
          </cell>
          <cell r="K262">
            <v>0</v>
          </cell>
          <cell r="L262">
            <v>480000</v>
          </cell>
          <cell r="M262" t="str">
            <v>SALCO BRAND SANTA BLANCA</v>
          </cell>
          <cell r="P262" t="str">
            <v>LO BARNECHEA</v>
          </cell>
          <cell r="Q262" t="str">
            <v>TRADICIONAL</v>
          </cell>
          <cell r="R262" t="str">
            <v>Farmacia - Santiago</v>
          </cell>
          <cell r="S262" t="str">
            <v>SalcoBrand</v>
          </cell>
          <cell r="T262" t="str">
            <v>Paletas</v>
          </cell>
          <cell r="U262">
            <v>2</v>
          </cell>
          <cell r="V262" t="str">
            <v>1.10 * 1.53</v>
          </cell>
        </row>
        <row r="263">
          <cell r="A263" t="str">
            <v>SBSB0002AB</v>
          </cell>
          <cell r="B263" t="str">
            <v>Farmacia</v>
          </cell>
          <cell r="D263" t="str">
            <v>Paletas</v>
          </cell>
          <cell r="E263" t="str">
            <v>Paletas (Recto/Verso)</v>
          </cell>
          <cell r="F263" t="str">
            <v>1.10 * 1.53</v>
          </cell>
          <cell r="G263" t="str">
            <v>1.15 * 1.57</v>
          </cell>
          <cell r="H263" t="str">
            <v>E</v>
          </cell>
          <cell r="I263" t="str">
            <v>ESTACIONAMIENTOS</v>
          </cell>
          <cell r="J263">
            <v>0</v>
          </cell>
          <cell r="K263">
            <v>0</v>
          </cell>
          <cell r="L263">
            <v>480000</v>
          </cell>
          <cell r="M263" t="str">
            <v>SALCO BRAND SANTA BLANCA</v>
          </cell>
          <cell r="P263" t="str">
            <v>LO BARNECHEA</v>
          </cell>
          <cell r="Q263" t="str">
            <v>TRADICIONAL</v>
          </cell>
          <cell r="R263" t="str">
            <v>Farmacia - Santiago</v>
          </cell>
          <cell r="S263" t="str">
            <v>SalcoBrand</v>
          </cell>
          <cell r="T263" t="str">
            <v>Paletas</v>
          </cell>
          <cell r="U263">
            <v>2</v>
          </cell>
          <cell r="V263" t="str">
            <v>1.10 * 1.53</v>
          </cell>
        </row>
        <row r="264">
          <cell r="A264" t="str">
            <v>SBVI0001A</v>
          </cell>
          <cell r="B264" t="str">
            <v>Farmacia</v>
          </cell>
          <cell r="D264" t="str">
            <v>Cajas de luz</v>
          </cell>
          <cell r="E264" t="str">
            <v>Cajas de luz</v>
          </cell>
          <cell r="F264" t="str">
            <v>3.80 * 1.80</v>
          </cell>
          <cell r="G264" t="str">
            <v>4.00 * 2.00</v>
          </cell>
          <cell r="H264" t="str">
            <v>E</v>
          </cell>
          <cell r="I264" t="str">
            <v>ESTACIONAMIENTOS</v>
          </cell>
          <cell r="J264">
            <v>0</v>
          </cell>
          <cell r="K264">
            <v>0</v>
          </cell>
          <cell r="L264">
            <v>520000</v>
          </cell>
          <cell r="M264" t="str">
            <v>SALCO BRAND VITACURA 8111 INDIANA</v>
          </cell>
          <cell r="P264" t="str">
            <v>VITACURA</v>
          </cell>
          <cell r="Q264" t="str">
            <v>TRADICIONAL</v>
          </cell>
          <cell r="R264" t="str">
            <v>Farmacia - Santiago</v>
          </cell>
          <cell r="S264" t="str">
            <v>SalcoBrand</v>
          </cell>
          <cell r="T264" t="str">
            <v>Cajas de luz</v>
          </cell>
          <cell r="U264">
            <v>1</v>
          </cell>
          <cell r="V264" t="str">
            <v>3.80 * 1.80</v>
          </cell>
        </row>
        <row r="265">
          <cell r="A265" t="str">
            <v>ALC 0030A</v>
          </cell>
          <cell r="B265" t="str">
            <v>Mall</v>
          </cell>
          <cell r="D265" t="str">
            <v>Cajas de luz</v>
          </cell>
          <cell r="E265" t="str">
            <v>Cajas de luz</v>
          </cell>
          <cell r="F265" t="str">
            <v>4.00 * 2.00</v>
          </cell>
          <cell r="G265" t="str">
            <v>4.20 * 2.20</v>
          </cell>
          <cell r="L265">
            <v>650000</v>
          </cell>
          <cell r="M265" t="str">
            <v>MALL ALTO LAS CONDES</v>
          </cell>
          <cell r="P265" t="str">
            <v>LAS CONDES</v>
          </cell>
          <cell r="Q265" t="str">
            <v>TRADICIONAL</v>
          </cell>
          <cell r="R265" t="str">
            <v>Mall - Santiago</v>
          </cell>
          <cell r="S265" t="str">
            <v>Inversiones Las Verbenas</v>
          </cell>
          <cell r="T265" t="str">
            <v>Cajas de luz</v>
          </cell>
          <cell r="U265">
            <v>1</v>
          </cell>
          <cell r="V265" t="str">
            <v>4.00 * 2.00</v>
          </cell>
        </row>
        <row r="266">
          <cell r="A266" t="str">
            <v>ALC 0031A</v>
          </cell>
          <cell r="B266" t="str">
            <v>Mall</v>
          </cell>
          <cell r="D266" t="str">
            <v>Cajas de luz</v>
          </cell>
          <cell r="E266" t="str">
            <v>Cajas de luz</v>
          </cell>
          <cell r="F266" t="str">
            <v>4.00 * 2.00</v>
          </cell>
          <cell r="G266" t="str">
            <v>4.20 * 2.20</v>
          </cell>
          <cell r="L266">
            <v>700000</v>
          </cell>
          <cell r="M266" t="str">
            <v>MALL ALTO LAS CONDES</v>
          </cell>
          <cell r="P266" t="str">
            <v>LAS CONDES</v>
          </cell>
          <cell r="Q266" t="str">
            <v>TRADICIONAL</v>
          </cell>
          <cell r="R266" t="str">
            <v>Mall - Santiago</v>
          </cell>
          <cell r="S266" t="str">
            <v>Inversiones Las Verbenas</v>
          </cell>
          <cell r="T266" t="str">
            <v>Cajas de luz</v>
          </cell>
          <cell r="U266">
            <v>1</v>
          </cell>
          <cell r="V266" t="str">
            <v>4.00 * 2.00</v>
          </cell>
        </row>
        <row r="267">
          <cell r="A267" t="str">
            <v>ALC 0031B</v>
          </cell>
          <cell r="B267" t="str">
            <v>Mall</v>
          </cell>
          <cell r="D267" t="str">
            <v>Cajas de luz</v>
          </cell>
          <cell r="E267" t="str">
            <v>Cajas de luz</v>
          </cell>
          <cell r="F267" t="str">
            <v>4.00 * 2.00</v>
          </cell>
          <cell r="G267" t="str">
            <v>4.20 * 2.20</v>
          </cell>
          <cell r="L267">
            <v>700000</v>
          </cell>
          <cell r="M267" t="str">
            <v>MALL ALTO LAS CONDES</v>
          </cell>
          <cell r="P267" t="str">
            <v>LAS CONDES</v>
          </cell>
          <cell r="Q267" t="str">
            <v>TRADICIONAL</v>
          </cell>
          <cell r="R267" t="str">
            <v>Mall - Santiago</v>
          </cell>
          <cell r="S267" t="str">
            <v>Inversiones Las Verbenas</v>
          </cell>
          <cell r="T267" t="str">
            <v>Cajas de luz</v>
          </cell>
          <cell r="U267">
            <v>1</v>
          </cell>
          <cell r="V267" t="str">
            <v>4.00 * 2.00</v>
          </cell>
        </row>
        <row r="268">
          <cell r="A268" t="str">
            <v>ALC 0032A</v>
          </cell>
          <cell r="B268" t="str">
            <v>Mall</v>
          </cell>
          <cell r="D268" t="str">
            <v>Cajas de luz</v>
          </cell>
          <cell r="E268" t="str">
            <v>Cajas de luz</v>
          </cell>
          <cell r="F268" t="str">
            <v>4.00 * 2.00</v>
          </cell>
          <cell r="G268" t="str">
            <v>4.00 * 2.20</v>
          </cell>
          <cell r="L268">
            <v>700000</v>
          </cell>
          <cell r="M268" t="str">
            <v>MALL ALTO LAS CONDES</v>
          </cell>
          <cell r="P268" t="str">
            <v>LAS CONDES</v>
          </cell>
          <cell r="Q268" t="str">
            <v>TRADICIONAL</v>
          </cell>
          <cell r="R268" t="str">
            <v>Mall - Santiago</v>
          </cell>
          <cell r="S268" t="str">
            <v>Inversiones Las Verbenas</v>
          </cell>
          <cell r="T268" t="str">
            <v>Cajas de luz</v>
          </cell>
          <cell r="U268">
            <v>1</v>
          </cell>
          <cell r="V268" t="str">
            <v>4.00 * 2.00</v>
          </cell>
        </row>
        <row r="269">
          <cell r="A269" t="str">
            <v>ALC 0033A</v>
          </cell>
          <cell r="B269" t="str">
            <v>Mall</v>
          </cell>
          <cell r="D269" t="str">
            <v>P.E.: MESAS - 80% Cobertura</v>
          </cell>
          <cell r="E269" t="str">
            <v>MESAS - 80% Cobertura</v>
          </cell>
          <cell r="F269" t="str">
            <v>Ver Ficha</v>
          </cell>
          <cell r="G269" t="str">
            <v>Ver Ficha</v>
          </cell>
          <cell r="I269" t="str">
            <v>ESTACIONAMIENTOS</v>
          </cell>
          <cell r="J269">
            <v>459000</v>
          </cell>
          <cell r="L269">
            <v>5500000</v>
          </cell>
          <cell r="M269" t="str">
            <v>MALL ALTO LAS CONDES</v>
          </cell>
          <cell r="P269" t="str">
            <v>LAS CONDES</v>
          </cell>
          <cell r="Q269" t="str">
            <v>ESPECIAL</v>
          </cell>
          <cell r="R269" t="str">
            <v>Mall - Santiago</v>
          </cell>
          <cell r="S269" t="str">
            <v>Inversiones Las Verbenas</v>
          </cell>
          <cell r="T269" t="str">
            <v>Productos Especiales</v>
          </cell>
          <cell r="U269">
            <v>1</v>
          </cell>
          <cell r="V269" t="str">
            <v>NA</v>
          </cell>
        </row>
        <row r="270">
          <cell r="A270" t="str">
            <v>ALC 0033B</v>
          </cell>
          <cell r="B270" t="str">
            <v>Mall</v>
          </cell>
          <cell r="D270" t="str">
            <v>P.E.: MESAS - 50% Cobertura</v>
          </cell>
          <cell r="E270" t="str">
            <v>MESAS - 50% Cobertura</v>
          </cell>
          <cell r="F270" t="str">
            <v>Ver Ficha</v>
          </cell>
          <cell r="G270" t="str">
            <v>Ver Ficha</v>
          </cell>
          <cell r="I270" t="str">
            <v>ESTACIONAMIENTOS</v>
          </cell>
          <cell r="J270">
            <v>271000</v>
          </cell>
          <cell r="L270">
            <v>3700000</v>
          </cell>
          <cell r="M270" t="str">
            <v>MALL ALTO LAS CONDES</v>
          </cell>
          <cell r="P270" t="str">
            <v>LAS CONDES</v>
          </cell>
          <cell r="Q270" t="str">
            <v>ESPECIAL</v>
          </cell>
          <cell r="R270" t="str">
            <v>Mall - Santiago</v>
          </cell>
          <cell r="S270" t="str">
            <v>Inversiones Las Verbenas</v>
          </cell>
          <cell r="T270" t="str">
            <v>Productos Especiales</v>
          </cell>
          <cell r="U270">
            <v>1</v>
          </cell>
          <cell r="V270" t="str">
            <v>NA</v>
          </cell>
        </row>
        <row r="271">
          <cell r="A271" t="str">
            <v>ALC 0034A</v>
          </cell>
          <cell r="B271" t="str">
            <v>Mall</v>
          </cell>
          <cell r="D271" t="str">
            <v>P.E.: CENEFA PATIO DE COMIDA</v>
          </cell>
          <cell r="E271" t="str">
            <v>CENEFA PATIO DE COMIDA</v>
          </cell>
          <cell r="F271" t="str">
            <v>Ver Ficha</v>
          </cell>
          <cell r="G271" t="str">
            <v>Ver Ficha</v>
          </cell>
          <cell r="I271" t="str">
            <v>PATIO DE COMIDA</v>
          </cell>
          <cell r="J271">
            <v>70000</v>
          </cell>
          <cell r="L271">
            <v>2200000</v>
          </cell>
          <cell r="M271" t="str">
            <v>MALL ALTO LAS CONDES</v>
          </cell>
          <cell r="P271" t="str">
            <v>LAS CONDES</v>
          </cell>
          <cell r="Q271" t="str">
            <v>ESPECIAL</v>
          </cell>
          <cell r="R271" t="str">
            <v>Mall - Santiago</v>
          </cell>
          <cell r="S271" t="str">
            <v>Inversiones Las Verbenas</v>
          </cell>
          <cell r="T271" t="str">
            <v>Productos Especiales</v>
          </cell>
          <cell r="U271">
            <v>1</v>
          </cell>
          <cell r="V271" t="str">
            <v>NA</v>
          </cell>
        </row>
        <row r="272">
          <cell r="A272" t="str">
            <v>ALC 0035A</v>
          </cell>
          <cell r="B272" t="str">
            <v>Mall</v>
          </cell>
          <cell r="D272" t="str">
            <v>P.E.: Pendones Patio Comida</v>
          </cell>
          <cell r="E272" t="str">
            <v>Pendones Patio Comida</v>
          </cell>
          <cell r="F272" t="str">
            <v>Ver Ficha</v>
          </cell>
          <cell r="G272" t="str">
            <v>Ver Ficha</v>
          </cell>
          <cell r="I272" t="str">
            <v>ESTACIONAMIENTOS</v>
          </cell>
          <cell r="J272">
            <v>122000</v>
          </cell>
          <cell r="L272">
            <v>2500000</v>
          </cell>
          <cell r="M272" t="str">
            <v>MALL ALTO LAS CONDES</v>
          </cell>
          <cell r="P272" t="str">
            <v>LAS CONDES</v>
          </cell>
          <cell r="Q272" t="str">
            <v>ESPECIAL</v>
          </cell>
          <cell r="R272" t="str">
            <v>Mall - Santiago</v>
          </cell>
          <cell r="S272" t="str">
            <v>Inversiones Las Verbenas</v>
          </cell>
          <cell r="T272" t="str">
            <v>Productos Especiales</v>
          </cell>
          <cell r="U272">
            <v>1</v>
          </cell>
          <cell r="V272" t="str">
            <v>NA</v>
          </cell>
        </row>
        <row r="273">
          <cell r="A273" t="str">
            <v>ALC 0040A</v>
          </cell>
          <cell r="B273" t="str">
            <v>Mall</v>
          </cell>
          <cell r="D273" t="str">
            <v>P.E.: FACHADAS ASCENSORES</v>
          </cell>
          <cell r="E273" t="str">
            <v>FACHADAS ASCENSORES</v>
          </cell>
          <cell r="F273" t="str">
            <v>Ver ficha</v>
          </cell>
          <cell r="G273" t="str">
            <v>Ver ficha</v>
          </cell>
          <cell r="J273">
            <v>43000</v>
          </cell>
          <cell r="L273">
            <v>6000000</v>
          </cell>
          <cell r="M273" t="str">
            <v>MALL ALTO LAS CONDES</v>
          </cell>
          <cell r="P273" t="str">
            <v>LAS CONDES</v>
          </cell>
          <cell r="Q273" t="str">
            <v>ESPECIAL</v>
          </cell>
          <cell r="R273" t="str">
            <v>Mall - Santiago</v>
          </cell>
          <cell r="S273" t="str">
            <v>Inversiones Las Verbenas</v>
          </cell>
          <cell r="T273" t="str">
            <v>Productos Especiales</v>
          </cell>
          <cell r="U273">
            <v>1</v>
          </cell>
          <cell r="V273" t="str">
            <v>NA</v>
          </cell>
        </row>
        <row r="274">
          <cell r="A274" t="str">
            <v>MAAR0048A</v>
          </cell>
          <cell r="B274" t="str">
            <v>Mall</v>
          </cell>
          <cell r="D274" t="str">
            <v>P.E.: PASARELA ACCESO</v>
          </cell>
          <cell r="E274" t="str">
            <v>PASARELA ACCESO</v>
          </cell>
          <cell r="F274" t="str">
            <v>VER FICHA</v>
          </cell>
          <cell r="G274" t="str">
            <v>VER FICHA</v>
          </cell>
          <cell r="H274" t="str">
            <v>X</v>
          </cell>
          <cell r="I274" t="str">
            <v>PASARELA 15 NORT</v>
          </cell>
          <cell r="J274">
            <v>135000</v>
          </cell>
          <cell r="L274">
            <v>2800000</v>
          </cell>
          <cell r="M274" t="str">
            <v>MALL MARINA ARAUCO</v>
          </cell>
          <cell r="P274" t="str">
            <v>VINA DEL MAR</v>
          </cell>
          <cell r="Q274" t="str">
            <v>ESPECIAL</v>
          </cell>
          <cell r="R274" t="str">
            <v>Mall - V Region</v>
          </cell>
          <cell r="S274" t="str">
            <v>Inversiones Calama</v>
          </cell>
          <cell r="T274" t="str">
            <v>Productos Especiales</v>
          </cell>
          <cell r="U274">
            <v>1</v>
          </cell>
          <cell r="V274" t="str">
            <v>NA</v>
          </cell>
        </row>
        <row r="275">
          <cell r="A275" t="str">
            <v>MACA0011A</v>
          </cell>
          <cell r="B275" t="str">
            <v>Mall</v>
          </cell>
          <cell r="D275" t="str">
            <v>P.E.: CORPOREO</v>
          </cell>
          <cell r="E275" t="str">
            <v>CORPOREO</v>
          </cell>
          <cell r="F275" t="str">
            <v>Ver Ficha</v>
          </cell>
          <cell r="G275" t="str">
            <v>Ver Ficha</v>
          </cell>
          <cell r="I275" t="str">
            <v>ESTACIONAMIENTO</v>
          </cell>
          <cell r="J275" t="str">
            <v>SEGÚN CORPOREO</v>
          </cell>
          <cell r="K275">
            <v>125000</v>
          </cell>
          <cell r="L275">
            <v>2125000</v>
          </cell>
          <cell r="M275" t="str">
            <v>MALL CALAMA</v>
          </cell>
          <cell r="P275" t="str">
            <v>CALAMA</v>
          </cell>
          <cell r="Q275" t="str">
            <v>ESPECIAL</v>
          </cell>
          <cell r="R275" t="str">
            <v>Mall - Norte</v>
          </cell>
          <cell r="S275" t="str">
            <v>Inversiones Calama</v>
          </cell>
          <cell r="T275" t="str">
            <v>Productos Especiales</v>
          </cell>
          <cell r="U275">
            <v>1</v>
          </cell>
          <cell r="V275" t="str">
            <v>NA</v>
          </cell>
        </row>
        <row r="276">
          <cell r="A276" t="str">
            <v>MACA0012A</v>
          </cell>
          <cell r="B276" t="str">
            <v>Mall</v>
          </cell>
          <cell r="D276" t="str">
            <v>P.E.: CORPOREO</v>
          </cell>
          <cell r="E276" t="str">
            <v>CORPOREO</v>
          </cell>
          <cell r="F276" t="str">
            <v>Ver Ficha</v>
          </cell>
          <cell r="G276" t="str">
            <v>Ver Ficha</v>
          </cell>
          <cell r="J276" t="str">
            <v>SEGÚN CORPOREO</v>
          </cell>
          <cell r="K276">
            <v>125000</v>
          </cell>
          <cell r="L276">
            <v>2125000</v>
          </cell>
          <cell r="M276" t="str">
            <v>MALL CALAMA</v>
          </cell>
          <cell r="P276" t="str">
            <v>CALAMA</v>
          </cell>
          <cell r="Q276" t="str">
            <v>ESPECIAL</v>
          </cell>
          <cell r="R276" t="str">
            <v>Mall - Norte</v>
          </cell>
          <cell r="S276" t="str">
            <v>Inversiones Calama</v>
          </cell>
          <cell r="T276" t="str">
            <v>Productos Especiales</v>
          </cell>
          <cell r="U276">
            <v>1</v>
          </cell>
          <cell r="V276" t="str">
            <v>NA</v>
          </cell>
        </row>
        <row r="277">
          <cell r="A277" t="str">
            <v>MAFC0009A</v>
          </cell>
          <cell r="B277" t="str">
            <v>Mall</v>
          </cell>
          <cell r="D277" t="str">
            <v>P.E.: CORPOREO</v>
          </cell>
          <cell r="E277" t="str">
            <v>CORPOREO</v>
          </cell>
          <cell r="F277" t="str">
            <v>Ver Ficha</v>
          </cell>
          <cell r="G277" t="str">
            <v>Ver Ficha</v>
          </cell>
          <cell r="I277" t="str">
            <v>ESTACIONAMIENTOS</v>
          </cell>
          <cell r="J277" t="str">
            <v>Según corpóreo</v>
          </cell>
          <cell r="L277">
            <v>2550000</v>
          </cell>
          <cell r="M277" t="str">
            <v>MALL FLORIDA CENTER</v>
          </cell>
          <cell r="P277" t="str">
            <v>LA FLORIDA</v>
          </cell>
          <cell r="Q277" t="str">
            <v>ESPECIAL</v>
          </cell>
          <cell r="R277" t="str">
            <v>Mall - Santiago</v>
          </cell>
          <cell r="S277" t="str">
            <v>Inversiones Las Verbenas</v>
          </cell>
          <cell r="T277" t="str">
            <v>Productos Especiales</v>
          </cell>
          <cell r="U277">
            <v>1</v>
          </cell>
          <cell r="V277" t="str">
            <v>NA</v>
          </cell>
        </row>
        <row r="278">
          <cell r="A278" t="str">
            <v>MAFC0011A</v>
          </cell>
          <cell r="B278" t="str">
            <v>Mall</v>
          </cell>
          <cell r="D278" t="str">
            <v>P.E.: ESPEJOS BAÑOS HOMBRES</v>
          </cell>
          <cell r="E278" t="str">
            <v>ESPEJOS BAÑOS HOMBRES</v>
          </cell>
          <cell r="F278" t="str">
            <v>Ver Ficha</v>
          </cell>
          <cell r="G278" t="str">
            <v>Ver Ficha</v>
          </cell>
          <cell r="J278">
            <v>70000</v>
          </cell>
          <cell r="L278">
            <v>2300000</v>
          </cell>
          <cell r="M278" t="str">
            <v>MALL FLORIDA CENTER</v>
          </cell>
          <cell r="P278" t="str">
            <v>LA FLORIDA</v>
          </cell>
          <cell r="Q278" t="str">
            <v>ESPECIAL</v>
          </cell>
          <cell r="R278" t="str">
            <v>Mall - Santiago</v>
          </cell>
          <cell r="S278" t="str">
            <v>Inversiones Las Verbenas</v>
          </cell>
          <cell r="T278" t="str">
            <v>Productos Especiales</v>
          </cell>
          <cell r="U278">
            <v>1</v>
          </cell>
          <cell r="V278" t="str">
            <v>NA</v>
          </cell>
        </row>
        <row r="279">
          <cell r="A279" t="str">
            <v>MAFC0011B</v>
          </cell>
          <cell r="B279" t="str">
            <v>Mall</v>
          </cell>
          <cell r="D279" t="str">
            <v>P.E.: ESPEJOS BAÑOS MUJERES</v>
          </cell>
          <cell r="E279" t="str">
            <v>ESPEJOS BAÑOS MUJERES</v>
          </cell>
          <cell r="F279" t="str">
            <v>Ver Ficha</v>
          </cell>
          <cell r="G279" t="str">
            <v>Ver Ficha</v>
          </cell>
          <cell r="J279">
            <v>68000</v>
          </cell>
          <cell r="L279">
            <v>2300000</v>
          </cell>
          <cell r="M279" t="str">
            <v>MALL FLORIDA CENTER</v>
          </cell>
          <cell r="P279" t="str">
            <v>LA FLORIDA</v>
          </cell>
          <cell r="Q279" t="str">
            <v>ESPECIAL</v>
          </cell>
          <cell r="R279" t="str">
            <v>Mall - Santiago</v>
          </cell>
          <cell r="S279" t="str">
            <v>Inversiones Las Verbenas</v>
          </cell>
          <cell r="T279" t="str">
            <v>Productos Especiales</v>
          </cell>
          <cell r="U279">
            <v>1</v>
          </cell>
          <cell r="V279" t="str">
            <v>NA</v>
          </cell>
        </row>
        <row r="280">
          <cell r="A280" t="str">
            <v>MAFC0012A</v>
          </cell>
          <cell r="B280" t="str">
            <v>Mall</v>
          </cell>
          <cell r="D280" t="str">
            <v>P.E.: PASARELA ACCESO</v>
          </cell>
          <cell r="E280" t="str">
            <v>PASARELA ACCESO</v>
          </cell>
          <cell r="F280" t="str">
            <v>Ver ficha</v>
          </cell>
          <cell r="G280" t="str">
            <v>Ver ficha</v>
          </cell>
          <cell r="J280">
            <v>202000</v>
          </cell>
          <cell r="K280">
            <v>0</v>
          </cell>
          <cell r="L280">
            <v>4000000</v>
          </cell>
          <cell r="M280" t="str">
            <v>MALL FLORIDA CENTER</v>
          </cell>
          <cell r="P280" t="str">
            <v>LA FLORIDA</v>
          </cell>
          <cell r="Q280" t="str">
            <v>ESPECIAL</v>
          </cell>
          <cell r="R280" t="str">
            <v>Mall - Santiago</v>
          </cell>
          <cell r="S280" t="str">
            <v>Inversiones Las Verbenas</v>
          </cell>
          <cell r="T280" t="str">
            <v>Productos Especiales</v>
          </cell>
          <cell r="U280">
            <v>1</v>
          </cell>
          <cell r="V280" t="str">
            <v>NA</v>
          </cell>
        </row>
        <row r="281">
          <cell r="A281" t="str">
            <v>MAFC0013A</v>
          </cell>
          <cell r="B281" t="str">
            <v>Mall</v>
          </cell>
          <cell r="D281" t="str">
            <v>P.E.: MESAS - 80% Cobertura</v>
          </cell>
          <cell r="E281" t="str">
            <v>MESAS - 80% Cobertura</v>
          </cell>
          <cell r="F281" t="str">
            <v>Ver ficha</v>
          </cell>
          <cell r="G281" t="str">
            <v>Ver ficha</v>
          </cell>
          <cell r="J281">
            <v>660000</v>
          </cell>
          <cell r="L281">
            <v>6000000</v>
          </cell>
          <cell r="M281" t="str">
            <v>MALL FLORIDA CENTER</v>
          </cell>
          <cell r="P281" t="str">
            <v>LA FLORIDA</v>
          </cell>
          <cell r="Q281" t="str">
            <v>ESPECIAL</v>
          </cell>
          <cell r="R281" t="str">
            <v>Mall - Santiago</v>
          </cell>
          <cell r="S281" t="str">
            <v>Inversiones Las Verbenas</v>
          </cell>
          <cell r="T281" t="str">
            <v>Productos Especiales</v>
          </cell>
          <cell r="U281">
            <v>1</v>
          </cell>
          <cell r="V281" t="str">
            <v>NA</v>
          </cell>
        </row>
        <row r="282">
          <cell r="A282" t="str">
            <v>MAFC0013B</v>
          </cell>
          <cell r="B282" t="str">
            <v>Mall</v>
          </cell>
          <cell r="D282" t="str">
            <v>P.E.: MESAS - 50% Cobertura</v>
          </cell>
          <cell r="E282" t="str">
            <v>MESAS - 50% Cobertura</v>
          </cell>
          <cell r="F282" t="str">
            <v>Ver ficha</v>
          </cell>
          <cell r="G282" t="str">
            <v>Ver ficha</v>
          </cell>
          <cell r="J282">
            <v>435000</v>
          </cell>
          <cell r="L282">
            <v>4000000</v>
          </cell>
          <cell r="M282" t="str">
            <v>MALL FLORIDA CENTER</v>
          </cell>
          <cell r="P282" t="str">
            <v>LA FLORIDA</v>
          </cell>
          <cell r="Q282" t="str">
            <v>ESPECIAL</v>
          </cell>
          <cell r="R282" t="str">
            <v>Mall - Santiago</v>
          </cell>
          <cell r="S282" t="str">
            <v>Inversiones Las Verbenas</v>
          </cell>
          <cell r="T282" t="str">
            <v>Productos Especiales</v>
          </cell>
          <cell r="U282">
            <v>1</v>
          </cell>
          <cell r="V282" t="str">
            <v>NA</v>
          </cell>
        </row>
        <row r="283">
          <cell r="A283" t="str">
            <v>MAFC0014A</v>
          </cell>
          <cell r="B283" t="str">
            <v>Mall</v>
          </cell>
          <cell r="D283" t="str">
            <v>P.E.: Pendón Bifaz</v>
          </cell>
          <cell r="E283" t="str">
            <v>Pendón Bifaz</v>
          </cell>
          <cell r="F283" t="str">
            <v>Ver ficha</v>
          </cell>
          <cell r="G283" t="str">
            <v>Ver ficha</v>
          </cell>
          <cell r="L283">
            <v>4200000</v>
          </cell>
          <cell r="M283" t="str">
            <v>MALL FLORIDA CENTER</v>
          </cell>
          <cell r="P283" t="str">
            <v>LA FLORIDA</v>
          </cell>
          <cell r="Q283" t="str">
            <v>ESPECIAL</v>
          </cell>
          <cell r="R283" t="str">
            <v>Mall - Santiago</v>
          </cell>
          <cell r="S283" t="str">
            <v>Inversiones Las Verbenas</v>
          </cell>
          <cell r="T283" t="str">
            <v>Productos Especiales</v>
          </cell>
          <cell r="U283">
            <v>1</v>
          </cell>
          <cell r="V283" t="str">
            <v>NA</v>
          </cell>
        </row>
        <row r="284">
          <cell r="A284" t="str">
            <v>MAFC0015A</v>
          </cell>
          <cell r="B284" t="str">
            <v>Mall</v>
          </cell>
          <cell r="D284" t="str">
            <v>P.E.: ESCALERAS MECÁNICAS</v>
          </cell>
          <cell r="E284" t="str">
            <v>ESCALERAS MECÁNICAS</v>
          </cell>
          <cell r="F284" t="str">
            <v>Ver ficha</v>
          </cell>
          <cell r="G284" t="str">
            <v>Ver ficha</v>
          </cell>
          <cell r="L284">
            <v>3600000</v>
          </cell>
          <cell r="M284" t="str">
            <v>MALL FLORIDA CENTER</v>
          </cell>
          <cell r="P284" t="str">
            <v>LA FLORIDA</v>
          </cell>
          <cell r="Q284" t="str">
            <v>ESPECIAL</v>
          </cell>
          <cell r="R284" t="str">
            <v>Mall - Santiago</v>
          </cell>
          <cell r="S284" t="str">
            <v>Inversiones Las Verbenas</v>
          </cell>
          <cell r="T284" t="str">
            <v>Productos Especiales</v>
          </cell>
          <cell r="U284">
            <v>1</v>
          </cell>
          <cell r="V284" t="str">
            <v>NA</v>
          </cell>
        </row>
        <row r="285">
          <cell r="A285" t="str">
            <v>MAPN0030B</v>
          </cell>
          <cell r="B285" t="str">
            <v>Mall</v>
          </cell>
          <cell r="C285" t="str">
            <v>Mall Plaza</v>
          </cell>
          <cell r="D285" t="str">
            <v>P.E.: MESAS - 50% Cobertura</v>
          </cell>
          <cell r="E285" t="str">
            <v>MESAS - 50% Cobertura</v>
          </cell>
          <cell r="F285" t="str">
            <v>Ver Ficha</v>
          </cell>
          <cell r="G285" t="str">
            <v>Ver Ficha</v>
          </cell>
          <cell r="I285" t="str">
            <v>PATIO COMIDAS</v>
          </cell>
          <cell r="J285">
            <v>273000</v>
          </cell>
          <cell r="L285">
            <v>2200000</v>
          </cell>
          <cell r="M285" t="str">
            <v>MALL PLAZA NORTE</v>
          </cell>
          <cell r="P285" t="str">
            <v>HUECHURABA</v>
          </cell>
          <cell r="Q285" t="str">
            <v>ESPECIAL</v>
          </cell>
          <cell r="R285" t="str">
            <v>Mall - Santiago</v>
          </cell>
          <cell r="S285" t="str">
            <v>Mall Plaza</v>
          </cell>
          <cell r="T285" t="str">
            <v>Productos Especiales</v>
          </cell>
          <cell r="U285">
            <v>1</v>
          </cell>
          <cell r="V285" t="str">
            <v>NA</v>
          </cell>
        </row>
        <row r="286">
          <cell r="A286" t="str">
            <v>MAPN0032A</v>
          </cell>
          <cell r="B286" t="str">
            <v>Mall</v>
          </cell>
          <cell r="C286" t="str">
            <v>Mall Plaza</v>
          </cell>
          <cell r="D286" t="str">
            <v>P.E.: ESCALERAS MECÁNICAS</v>
          </cell>
          <cell r="E286" t="str">
            <v>ESCALERAS MECÁNICAS</v>
          </cell>
          <cell r="F286" t="str">
            <v>VER FICHA</v>
          </cell>
          <cell r="G286" t="str">
            <v>VER FICHA</v>
          </cell>
          <cell r="I286" t="str">
            <v>INTERIOR MALL</v>
          </cell>
          <cell r="J286">
            <v>180000</v>
          </cell>
          <cell r="L286">
            <v>3750000</v>
          </cell>
          <cell r="M286" t="str">
            <v>MALL PLAZA NORTE</v>
          </cell>
          <cell r="P286" t="str">
            <v>HUECHURABA</v>
          </cell>
          <cell r="Q286" t="str">
            <v>ESPECIAL</v>
          </cell>
          <cell r="R286" t="str">
            <v>Mall - Santiago</v>
          </cell>
          <cell r="S286" t="str">
            <v>Mall Plaza</v>
          </cell>
          <cell r="T286" t="str">
            <v>Productos Especiales</v>
          </cell>
          <cell r="U286">
            <v>1</v>
          </cell>
          <cell r="V286" t="str">
            <v>NA</v>
          </cell>
        </row>
        <row r="287">
          <cell r="A287" t="str">
            <v>MAPN0032B</v>
          </cell>
          <cell r="B287" t="str">
            <v>Mall</v>
          </cell>
          <cell r="C287" t="str">
            <v>Mall Plaza</v>
          </cell>
          <cell r="D287" t="str">
            <v>P.E.: ESCALERAS MECÁNICAS</v>
          </cell>
          <cell r="E287" t="str">
            <v>ESCALERAS MECÁNICAS</v>
          </cell>
          <cell r="F287" t="str">
            <v>VER FICHA</v>
          </cell>
          <cell r="G287" t="str">
            <v>VER FICHA</v>
          </cell>
          <cell r="I287" t="str">
            <v>INTERIOR MALL</v>
          </cell>
          <cell r="J287">
            <v>180000</v>
          </cell>
          <cell r="L287">
            <v>3200000</v>
          </cell>
          <cell r="M287" t="str">
            <v>MALL PLAZA NORTE</v>
          </cell>
          <cell r="P287" t="str">
            <v>HUECHURABA</v>
          </cell>
          <cell r="Q287" t="str">
            <v>ESPECIAL</v>
          </cell>
          <cell r="R287" t="str">
            <v>Mall - Santiago</v>
          </cell>
          <cell r="S287" t="str">
            <v>Mall Plaza</v>
          </cell>
          <cell r="T287" t="str">
            <v>Productos Especiales</v>
          </cell>
          <cell r="U287">
            <v>1</v>
          </cell>
          <cell r="V287" t="str">
            <v>NA</v>
          </cell>
        </row>
        <row r="288">
          <cell r="A288" t="str">
            <v>MAPN0032C</v>
          </cell>
          <cell r="B288" t="str">
            <v>Mall</v>
          </cell>
          <cell r="C288" t="str">
            <v>Mall Plaza</v>
          </cell>
          <cell r="D288" t="str">
            <v>P.E.: ESCALERAS MECÁNICAS</v>
          </cell>
          <cell r="E288" t="str">
            <v>ESCALERAS MECÁNICAS</v>
          </cell>
          <cell r="F288" t="str">
            <v>VER FICHA</v>
          </cell>
          <cell r="G288" t="str">
            <v>VER FICHA</v>
          </cell>
          <cell r="I288" t="str">
            <v>INTERIOR MALL</v>
          </cell>
          <cell r="J288">
            <v>90000</v>
          </cell>
          <cell r="L288">
            <v>2200000</v>
          </cell>
          <cell r="M288" t="str">
            <v>MALL PLAZA NORTE</v>
          </cell>
          <cell r="P288" t="str">
            <v>HUECHURABA</v>
          </cell>
          <cell r="Q288" t="str">
            <v>ESPECIAL</v>
          </cell>
          <cell r="R288" t="str">
            <v>Mall - Santiago</v>
          </cell>
          <cell r="S288" t="str">
            <v>Mall Plaza</v>
          </cell>
          <cell r="T288" t="str">
            <v>Productos Especiales</v>
          </cell>
          <cell r="U288">
            <v>1</v>
          </cell>
          <cell r="V288" t="str">
            <v>NA</v>
          </cell>
        </row>
        <row r="289">
          <cell r="A289" t="str">
            <v>MAPN0033A</v>
          </cell>
          <cell r="B289" t="str">
            <v>Mall</v>
          </cell>
          <cell r="C289" t="str">
            <v>Mall Plaza</v>
          </cell>
          <cell r="D289" t="str">
            <v>P.E.: BARANDAS CENTRALES</v>
          </cell>
          <cell r="E289" t="str">
            <v>BARANDAS CENTRALES</v>
          </cell>
          <cell r="F289" t="str">
            <v>VER FICHA</v>
          </cell>
          <cell r="G289" t="str">
            <v>VER FICHA</v>
          </cell>
          <cell r="H289" t="str">
            <v>I</v>
          </cell>
          <cell r="I289" t="str">
            <v>PLAZA CENTRAL</v>
          </cell>
          <cell r="J289">
            <v>257000</v>
          </cell>
          <cell r="L289" t="str">
            <v>2.700.00</v>
          </cell>
          <cell r="M289" t="str">
            <v>MALL PLAZA NORTE</v>
          </cell>
          <cell r="P289" t="str">
            <v>HUECHURABA</v>
          </cell>
          <cell r="Q289" t="str">
            <v>ESPECIAL</v>
          </cell>
          <cell r="R289" t="str">
            <v>Mall - Santiago</v>
          </cell>
          <cell r="S289" t="str">
            <v>Mall Plaza</v>
          </cell>
          <cell r="T289" t="str">
            <v>Productos Especiales</v>
          </cell>
          <cell r="U289">
            <v>1</v>
          </cell>
          <cell r="V289" t="str">
            <v>NA</v>
          </cell>
        </row>
        <row r="290">
          <cell r="A290" t="str">
            <v>MAPO0029A</v>
          </cell>
          <cell r="B290" t="str">
            <v>Mall</v>
          </cell>
          <cell r="C290" t="str">
            <v>Mall Plaza</v>
          </cell>
          <cell r="D290" t="str">
            <v>P.E.: CORPOREO</v>
          </cell>
          <cell r="E290" t="str">
            <v>CORPOREO</v>
          </cell>
          <cell r="F290" t="str">
            <v>Ver Ficha</v>
          </cell>
          <cell r="G290" t="str">
            <v>Ver Ficha</v>
          </cell>
          <cell r="H290" t="str">
            <v>E</v>
          </cell>
          <cell r="I290" t="str">
            <v>EXTERIOR ESTACIO</v>
          </cell>
          <cell r="J290" t="str">
            <v>Según Corporeo</v>
          </cell>
          <cell r="L290">
            <v>2500000</v>
          </cell>
          <cell r="M290" t="str">
            <v>MALL PLAZA OESTE</v>
          </cell>
          <cell r="P290" t="str">
            <v>CERRILLOS</v>
          </cell>
          <cell r="Q290" t="str">
            <v>ESPECIAL</v>
          </cell>
          <cell r="R290" t="str">
            <v>Mall - Santiago</v>
          </cell>
          <cell r="S290" t="str">
            <v>Mall Plaza</v>
          </cell>
          <cell r="T290" t="str">
            <v>Productos Especiales</v>
          </cell>
          <cell r="U290">
            <v>1</v>
          </cell>
          <cell r="V290" t="str">
            <v>NA</v>
          </cell>
        </row>
        <row r="291">
          <cell r="A291" t="str">
            <v>MAPO0035A</v>
          </cell>
          <cell r="B291" t="str">
            <v>Mall</v>
          </cell>
          <cell r="C291" t="str">
            <v>Mall Plaza</v>
          </cell>
          <cell r="D291" t="str">
            <v>P.E.: MESAS - 80% Cobertura</v>
          </cell>
          <cell r="E291" t="str">
            <v>MESAS - 80% Cobertura</v>
          </cell>
          <cell r="F291" t="str">
            <v>Ver Ficha</v>
          </cell>
          <cell r="G291" t="str">
            <v>Ver Ficha</v>
          </cell>
          <cell r="H291" t="str">
            <v>I</v>
          </cell>
          <cell r="I291" t="str">
            <v>PATIO COMIDAS</v>
          </cell>
          <cell r="J291">
            <v>437000</v>
          </cell>
          <cell r="L291">
            <v>3250000</v>
          </cell>
          <cell r="M291" t="str">
            <v>MALL PLAZA OESTE</v>
          </cell>
          <cell r="P291" t="str">
            <v>CERRILLOS</v>
          </cell>
          <cell r="Q291" t="str">
            <v>ESPECIAL</v>
          </cell>
          <cell r="R291" t="str">
            <v>Mall - Santiago</v>
          </cell>
          <cell r="S291" t="str">
            <v>Mall Plaza</v>
          </cell>
          <cell r="T291" t="str">
            <v>Productos Especiales</v>
          </cell>
          <cell r="U291">
            <v>1</v>
          </cell>
        </row>
        <row r="292">
          <cell r="A292" t="str">
            <v>MAPO0035B</v>
          </cell>
          <cell r="B292" t="str">
            <v>Mall</v>
          </cell>
          <cell r="C292" t="str">
            <v>Mall Plaza</v>
          </cell>
          <cell r="D292" t="str">
            <v>P.E.: MESAS - 50% Cobertura</v>
          </cell>
          <cell r="E292" t="str">
            <v>MESAS - 50% Cobertura</v>
          </cell>
          <cell r="F292" t="str">
            <v>Ver Ficha</v>
          </cell>
          <cell r="G292" t="str">
            <v>Ver Ficha</v>
          </cell>
          <cell r="H292" t="str">
            <v>I</v>
          </cell>
          <cell r="I292" t="str">
            <v>PATIO COMIDAS</v>
          </cell>
          <cell r="J292">
            <v>257000</v>
          </cell>
          <cell r="L292">
            <v>2200000</v>
          </cell>
          <cell r="M292" t="str">
            <v>MALL PLAZA OESTE</v>
          </cell>
          <cell r="P292" t="str">
            <v>CERRILLOS</v>
          </cell>
          <cell r="Q292" t="str">
            <v>ESPECIAL</v>
          </cell>
          <cell r="R292" t="str">
            <v>Mall - Santiago</v>
          </cell>
          <cell r="S292" t="str">
            <v>Mall Plaza</v>
          </cell>
          <cell r="T292" t="str">
            <v>Productos Especiales</v>
          </cell>
          <cell r="U292">
            <v>1</v>
          </cell>
        </row>
        <row r="293">
          <cell r="A293" t="str">
            <v>MAPO0038A</v>
          </cell>
          <cell r="B293" t="str">
            <v>Mall</v>
          </cell>
          <cell r="C293" t="str">
            <v>Mall Plaza</v>
          </cell>
          <cell r="D293" t="str">
            <v>P.E.: ESPEJOS BAÑOS HOMBRES</v>
          </cell>
          <cell r="E293" t="str">
            <v>ESPEJOS BAÑOS HOMBRES</v>
          </cell>
          <cell r="F293" t="str">
            <v>Ver Ficha</v>
          </cell>
          <cell r="G293" t="str">
            <v>Ver Ficha</v>
          </cell>
          <cell r="H293" t="str">
            <v>I</v>
          </cell>
          <cell r="I293" t="str">
            <v>INTERIOR BAÑOS</v>
          </cell>
          <cell r="J293">
            <v>51000</v>
          </cell>
          <cell r="L293">
            <v>2200000</v>
          </cell>
          <cell r="M293" t="str">
            <v>MALL PLAZA OESTE</v>
          </cell>
          <cell r="P293" t="str">
            <v>CERRILLOS</v>
          </cell>
          <cell r="Q293" t="str">
            <v>ESPECIAL</v>
          </cell>
          <cell r="R293" t="str">
            <v>Mall - Santiago</v>
          </cell>
          <cell r="S293" t="str">
            <v>Mall Plaza</v>
          </cell>
          <cell r="T293" t="str">
            <v>Productos Especiales</v>
          </cell>
          <cell r="U293">
            <v>1</v>
          </cell>
          <cell r="V293" t="str">
            <v>NA</v>
          </cell>
        </row>
        <row r="294">
          <cell r="A294" t="str">
            <v>MAPO0038B</v>
          </cell>
          <cell r="B294" t="str">
            <v>Mall</v>
          </cell>
          <cell r="C294" t="str">
            <v>Mall Plaza</v>
          </cell>
          <cell r="D294" t="str">
            <v>P.E.: ESPEJOS BAÑOS MUJERES</v>
          </cell>
          <cell r="E294" t="str">
            <v>ESPEJOS BAÑOS MUJERES</v>
          </cell>
          <cell r="F294" t="str">
            <v>Ver Ficha</v>
          </cell>
          <cell r="G294" t="str">
            <v>Ver Ficha</v>
          </cell>
          <cell r="H294" t="str">
            <v>I</v>
          </cell>
          <cell r="I294" t="str">
            <v>INTERIOR BAÑOS</v>
          </cell>
          <cell r="J294">
            <v>51000</v>
          </cell>
          <cell r="L294">
            <v>2200000</v>
          </cell>
          <cell r="M294" t="str">
            <v>MALL PLAZA OESTE</v>
          </cell>
          <cell r="P294" t="str">
            <v>CERRILLOS</v>
          </cell>
          <cell r="Q294" t="str">
            <v>ESPECIAL</v>
          </cell>
          <cell r="R294" t="str">
            <v>Mall - Santiago</v>
          </cell>
          <cell r="S294" t="str">
            <v>Mall Plaza</v>
          </cell>
          <cell r="T294" t="str">
            <v>Productos Especiales</v>
          </cell>
          <cell r="U294">
            <v>1</v>
          </cell>
          <cell r="V294" t="str">
            <v>NA</v>
          </cell>
        </row>
        <row r="295">
          <cell r="A295" t="str">
            <v>MAPO0041A</v>
          </cell>
          <cell r="B295" t="str">
            <v>Mall</v>
          </cell>
          <cell r="C295" t="str">
            <v>Mall Plaza</v>
          </cell>
          <cell r="D295" t="str">
            <v>P.E.: CENEFA ASCENSOR</v>
          </cell>
          <cell r="E295" t="str">
            <v>CENEFA ASCENSOR</v>
          </cell>
          <cell r="F295" t="str">
            <v>Ver Ficha</v>
          </cell>
          <cell r="G295" t="str">
            <v>Ver Ficha</v>
          </cell>
          <cell r="I295" t="str">
            <v>INTERIOR</v>
          </cell>
          <cell r="J295">
            <v>33000</v>
          </cell>
          <cell r="L295">
            <v>2000000</v>
          </cell>
          <cell r="M295" t="str">
            <v>MALL PLAZA OESTE</v>
          </cell>
          <cell r="P295" t="str">
            <v>CERRILLOS</v>
          </cell>
          <cell r="Q295" t="str">
            <v>ESPECIAL</v>
          </cell>
          <cell r="R295" t="str">
            <v>Mall - Santiago</v>
          </cell>
          <cell r="S295" t="str">
            <v>Mall Plaza</v>
          </cell>
          <cell r="T295" t="str">
            <v>Productos Especiales</v>
          </cell>
          <cell r="U295">
            <v>1</v>
          </cell>
          <cell r="V295" t="str">
            <v>NA</v>
          </cell>
        </row>
        <row r="296">
          <cell r="A296" t="str">
            <v>MAPO0042A</v>
          </cell>
          <cell r="B296" t="str">
            <v>Mall</v>
          </cell>
          <cell r="C296" t="str">
            <v>Mall Plaza</v>
          </cell>
          <cell r="D296" t="str">
            <v>P.E.: FACHADAS ASCENSORES</v>
          </cell>
          <cell r="E296" t="str">
            <v>FACHADAS ASCENSORES</v>
          </cell>
          <cell r="F296" t="str">
            <v>VER FICHA</v>
          </cell>
          <cell r="G296" t="str">
            <v>VER FICHA</v>
          </cell>
          <cell r="I296" t="str">
            <v>INTERIOR</v>
          </cell>
          <cell r="J296">
            <v>144000</v>
          </cell>
          <cell r="L296">
            <v>4400000</v>
          </cell>
          <cell r="M296" t="str">
            <v>MALL PLAZA OESTE</v>
          </cell>
          <cell r="P296" t="str">
            <v>CERRILLOS</v>
          </cell>
          <cell r="Q296" t="str">
            <v>ESPECIAL</v>
          </cell>
          <cell r="R296" t="str">
            <v>Mall - Santiago</v>
          </cell>
          <cell r="S296" t="str">
            <v>Mall Plaza</v>
          </cell>
          <cell r="T296" t="str">
            <v>Productos Especiales</v>
          </cell>
          <cell r="U296">
            <v>1</v>
          </cell>
          <cell r="V296" t="str">
            <v>NA</v>
          </cell>
        </row>
        <row r="297">
          <cell r="A297" t="str">
            <v>MAPO0043A</v>
          </cell>
          <cell r="B297" t="str">
            <v>Mall</v>
          </cell>
          <cell r="C297" t="str">
            <v>Mall Plaza</v>
          </cell>
          <cell r="D297" t="str">
            <v>P.E.: BARANDAS CENTRALES</v>
          </cell>
          <cell r="E297" t="str">
            <v>BARANDAS CENTRALES</v>
          </cell>
          <cell r="F297" t="str">
            <v>Ver Ficha</v>
          </cell>
          <cell r="G297" t="str">
            <v>Ver Ficha</v>
          </cell>
          <cell r="H297" t="str">
            <v>I</v>
          </cell>
          <cell r="I297" t="str">
            <v>PLAZA CENTRAL</v>
          </cell>
          <cell r="J297">
            <v>117000</v>
          </cell>
          <cell r="L297">
            <v>2700000</v>
          </cell>
          <cell r="M297" t="str">
            <v>MALL PLAZA OESTE</v>
          </cell>
          <cell r="P297" t="str">
            <v>CERRILLOS</v>
          </cell>
          <cell r="Q297" t="str">
            <v>ESPECIAL</v>
          </cell>
          <cell r="R297" t="str">
            <v>Mall - Santiago</v>
          </cell>
          <cell r="S297" t="str">
            <v>Mall Plaza</v>
          </cell>
          <cell r="T297" t="str">
            <v>Productos Especiales</v>
          </cell>
          <cell r="U297">
            <v>1</v>
          </cell>
          <cell r="V297" t="str">
            <v>NA</v>
          </cell>
        </row>
        <row r="298">
          <cell r="A298" t="str">
            <v>MAPT0032A</v>
          </cell>
          <cell r="B298" t="str">
            <v>Mall</v>
          </cell>
          <cell r="C298" t="str">
            <v>Mall Plaza</v>
          </cell>
          <cell r="D298" t="str">
            <v>P.E.: Pendones Ascensores</v>
          </cell>
          <cell r="E298" t="str">
            <v>Pendones Ascensores</v>
          </cell>
          <cell r="F298" t="str">
            <v>Ver Ficha</v>
          </cell>
          <cell r="G298" t="str">
            <v>Ver Ficha</v>
          </cell>
          <cell r="I298" t="str">
            <v>INTERIOR MALL</v>
          </cell>
          <cell r="J298">
            <v>71000</v>
          </cell>
          <cell r="L298">
            <v>1900000</v>
          </cell>
          <cell r="M298" t="str">
            <v>MALL PLAZA DEL TREBOL</v>
          </cell>
          <cell r="P298" t="str">
            <v>CONCEPCION</v>
          </cell>
          <cell r="Q298" t="str">
            <v>ESPECIAL</v>
          </cell>
          <cell r="R298" t="str">
            <v>Mall - Sur</v>
          </cell>
          <cell r="S298" t="str">
            <v>Mall Plaza</v>
          </cell>
          <cell r="T298" t="str">
            <v>Productos Especiales</v>
          </cell>
          <cell r="U298">
            <v>1</v>
          </cell>
          <cell r="V298" t="str">
            <v>NA</v>
          </cell>
        </row>
        <row r="299">
          <cell r="A299" t="str">
            <v>MAPT0033A</v>
          </cell>
          <cell r="B299" t="str">
            <v>Mall</v>
          </cell>
          <cell r="C299" t="str">
            <v>Mall Plaza</v>
          </cell>
          <cell r="D299" t="str">
            <v>P.E.: Pendones Escalera Mecanica</v>
          </cell>
          <cell r="E299" t="str">
            <v>Pendones Escalera Mecanica</v>
          </cell>
          <cell r="F299" t="str">
            <v>Ver Ficha</v>
          </cell>
          <cell r="G299" t="str">
            <v>Ver Ficha</v>
          </cell>
          <cell r="I299" t="str">
            <v>INTERIOR MALL</v>
          </cell>
          <cell r="J299">
            <v>71000</v>
          </cell>
          <cell r="L299">
            <v>1900000</v>
          </cell>
          <cell r="M299" t="str">
            <v>MALL PLAZA DEL TREBOL</v>
          </cell>
          <cell r="P299" t="str">
            <v>CONCEPCION</v>
          </cell>
          <cell r="Q299" t="str">
            <v>ESPECIAL</v>
          </cell>
          <cell r="R299" t="str">
            <v>Mall - Sur</v>
          </cell>
          <cell r="S299" t="str">
            <v>Mall Plaza</v>
          </cell>
          <cell r="T299" t="str">
            <v>Productos Especiales</v>
          </cell>
          <cell r="U299">
            <v>1</v>
          </cell>
          <cell r="V299" t="str">
            <v>NA</v>
          </cell>
        </row>
        <row r="300">
          <cell r="A300" t="str">
            <v>MAPT0034A</v>
          </cell>
          <cell r="B300" t="str">
            <v>Mall</v>
          </cell>
          <cell r="C300" t="str">
            <v>Mall Plaza</v>
          </cell>
          <cell r="D300" t="str">
            <v>P.E.: MAMPARA</v>
          </cell>
          <cell r="E300" t="str">
            <v>MAMPARA</v>
          </cell>
          <cell r="F300" t="str">
            <v>VER FICHA</v>
          </cell>
          <cell r="G300" t="str">
            <v>VER FICHA</v>
          </cell>
          <cell r="H300" t="str">
            <v>X</v>
          </cell>
          <cell r="I300" t="str">
            <v>ACCESO MALL</v>
          </cell>
          <cell r="J300">
            <v>59000</v>
          </cell>
          <cell r="L300">
            <v>3150000</v>
          </cell>
          <cell r="M300" t="str">
            <v>MALL PLAZA DEL TREBOL</v>
          </cell>
          <cell r="P300" t="str">
            <v>CONCEPCION</v>
          </cell>
          <cell r="Q300" t="str">
            <v>ESPECIAL</v>
          </cell>
          <cell r="R300" t="str">
            <v>Mall - Sur</v>
          </cell>
          <cell r="S300" t="str">
            <v>Mall Plaza</v>
          </cell>
          <cell r="T300" t="str">
            <v>Productos Especiales</v>
          </cell>
          <cell r="U300">
            <v>1</v>
          </cell>
          <cell r="V300" t="str">
            <v>NA</v>
          </cell>
        </row>
        <row r="301">
          <cell r="A301" t="str">
            <v>MAPT0035A</v>
          </cell>
          <cell r="B301" t="str">
            <v>Mall</v>
          </cell>
          <cell r="C301" t="str">
            <v>Mall Plaza</v>
          </cell>
          <cell r="D301" t="str">
            <v>P.E.: BARANDAS CENTRALES</v>
          </cell>
          <cell r="E301" t="str">
            <v>BARANDAS CENTRALES</v>
          </cell>
          <cell r="F301" t="str">
            <v>VER FICHA</v>
          </cell>
          <cell r="G301" t="str">
            <v>VER FICHA</v>
          </cell>
          <cell r="H301" t="str">
            <v>I</v>
          </cell>
          <cell r="I301" t="str">
            <v>PLAZA CENTRAL</v>
          </cell>
          <cell r="J301">
            <v>150000</v>
          </cell>
          <cell r="L301">
            <v>2700000</v>
          </cell>
          <cell r="M301" t="str">
            <v>MALL PLAZA DEL TREBOL</v>
          </cell>
          <cell r="P301" t="str">
            <v>CONCEPCION</v>
          </cell>
          <cell r="Q301" t="str">
            <v>ESPECIAL</v>
          </cell>
          <cell r="R301" t="str">
            <v>Mall - Sur</v>
          </cell>
          <cell r="S301" t="str">
            <v>Mall Plaza</v>
          </cell>
          <cell r="T301" t="str">
            <v>Productos Especiales</v>
          </cell>
          <cell r="U301">
            <v>1</v>
          </cell>
          <cell r="V301" t="str">
            <v>NA</v>
          </cell>
        </row>
        <row r="302">
          <cell r="A302" t="str">
            <v>MAPT0036A</v>
          </cell>
          <cell r="B302" t="str">
            <v>Mall</v>
          </cell>
          <cell r="C302" t="str">
            <v>Mall Plaza</v>
          </cell>
          <cell r="D302" t="str">
            <v>P.E.: ESPEJOS BAÑOS HOMBRES</v>
          </cell>
          <cell r="E302" t="str">
            <v>ESPEJOS BAÑOS HOMBRES</v>
          </cell>
          <cell r="F302" t="str">
            <v>VER FICHA</v>
          </cell>
          <cell r="G302" t="str">
            <v>VER FICHA</v>
          </cell>
          <cell r="H302" t="str">
            <v>I</v>
          </cell>
          <cell r="I302" t="str">
            <v>INTERIOR BAÑOS</v>
          </cell>
          <cell r="J302">
            <v>44000</v>
          </cell>
          <cell r="L302">
            <v>2000000</v>
          </cell>
          <cell r="M302" t="str">
            <v>MALL PLAZA DEL TREBOL</v>
          </cell>
          <cell r="P302" t="str">
            <v>CONCEPCION</v>
          </cell>
          <cell r="Q302" t="str">
            <v>ESPECIAL</v>
          </cell>
          <cell r="R302" t="str">
            <v>Mall - Sur</v>
          </cell>
          <cell r="S302" t="str">
            <v>Mall Plaza</v>
          </cell>
          <cell r="T302" t="str">
            <v>Productos Especiales</v>
          </cell>
          <cell r="U302">
            <v>1</v>
          </cell>
          <cell r="V302" t="str">
            <v>NA</v>
          </cell>
        </row>
        <row r="303">
          <cell r="A303" t="str">
            <v>MAPT0036B</v>
          </cell>
          <cell r="B303" t="str">
            <v>Mall</v>
          </cell>
          <cell r="C303" t="str">
            <v>Mall Plaza</v>
          </cell>
          <cell r="D303" t="str">
            <v>P.E.: ESPEJOS BAÑOS MUJERES</v>
          </cell>
          <cell r="E303" t="str">
            <v>ESPEJOS BAÑOS MUJERES</v>
          </cell>
          <cell r="F303" t="str">
            <v>VER FICHA</v>
          </cell>
          <cell r="G303" t="str">
            <v>VER FICHA</v>
          </cell>
          <cell r="H303" t="str">
            <v>I</v>
          </cell>
          <cell r="I303" t="str">
            <v>INTERIOR BAÑOS</v>
          </cell>
          <cell r="J303">
            <v>52000</v>
          </cell>
          <cell r="L303">
            <v>2000000</v>
          </cell>
          <cell r="M303" t="str">
            <v>MALL PLAZA DEL TREBOL</v>
          </cell>
          <cell r="P303" t="str">
            <v>CONCEPCION</v>
          </cell>
          <cell r="Q303" t="str">
            <v>ESPECIAL</v>
          </cell>
          <cell r="R303" t="str">
            <v>Mall - Sur</v>
          </cell>
          <cell r="S303" t="str">
            <v>Mall Plaza</v>
          </cell>
          <cell r="T303" t="str">
            <v>Productos Especiales</v>
          </cell>
          <cell r="U303">
            <v>1</v>
          </cell>
          <cell r="V303" t="str">
            <v>NA</v>
          </cell>
        </row>
        <row r="304">
          <cell r="A304" t="str">
            <v>MAPV0053B</v>
          </cell>
          <cell r="B304" t="str">
            <v>Mall</v>
          </cell>
          <cell r="C304" t="str">
            <v>Mall Plaza</v>
          </cell>
          <cell r="D304" t="str">
            <v>P.E.: PUERTAS BAÑOS MUJERES</v>
          </cell>
          <cell r="E304" t="str">
            <v>PUERTAS BAÑOS MUJERES</v>
          </cell>
          <cell r="F304" t="str">
            <v>Ver Ficha</v>
          </cell>
          <cell r="G304" t="str">
            <v>Ver Ficha</v>
          </cell>
          <cell r="I304" t="str">
            <v>INTERIOR BAÑOS</v>
          </cell>
          <cell r="J304">
            <v>125000</v>
          </cell>
          <cell r="L304">
            <v>2250000</v>
          </cell>
          <cell r="M304" t="str">
            <v>MALL PLAZA VESPUCIO</v>
          </cell>
          <cell r="P304" t="str">
            <v>LA FLORIDA</v>
          </cell>
          <cell r="Q304" t="str">
            <v>ESPECIAL</v>
          </cell>
          <cell r="R304" t="str">
            <v>Mall - Santiago</v>
          </cell>
          <cell r="S304" t="str">
            <v>Mall Plaza</v>
          </cell>
          <cell r="T304" t="str">
            <v>Productos Especiales</v>
          </cell>
          <cell r="U304">
            <v>1</v>
          </cell>
          <cell r="V304" t="str">
            <v>NA</v>
          </cell>
        </row>
        <row r="305">
          <cell r="A305" t="str">
            <v>MAPV0061A</v>
          </cell>
          <cell r="B305" t="str">
            <v>Mall</v>
          </cell>
          <cell r="C305" t="str">
            <v>Mall Plaza</v>
          </cell>
          <cell r="D305" t="str">
            <v>P.E.: TELA MONUMENTAL FACHADA</v>
          </cell>
          <cell r="E305" t="str">
            <v>TELA MONUMENTAL FACHADA</v>
          </cell>
          <cell r="F305" t="str">
            <v>Ver Ficha</v>
          </cell>
          <cell r="G305" t="str">
            <v>Ver Ficha</v>
          </cell>
          <cell r="H305" t="str">
            <v>X</v>
          </cell>
          <cell r="I305" t="str">
            <v>EXTERIORES</v>
          </cell>
          <cell r="J305">
            <v>567000</v>
          </cell>
          <cell r="K305">
            <v>0</v>
          </cell>
          <cell r="L305">
            <v>4050000</v>
          </cell>
          <cell r="M305" t="str">
            <v>MALL PLAZA VESPUCIO</v>
          </cell>
          <cell r="P305" t="str">
            <v>LA FLORIDA</v>
          </cell>
          <cell r="Q305" t="str">
            <v>ESPECIAL</v>
          </cell>
          <cell r="R305" t="str">
            <v>Mall - Santiago</v>
          </cell>
          <cell r="S305" t="str">
            <v>Mall Plaza</v>
          </cell>
          <cell r="T305" t="str">
            <v>Productos Especiales</v>
          </cell>
          <cell r="U305">
            <v>1</v>
          </cell>
          <cell r="V305" t="str">
            <v>NA</v>
          </cell>
        </row>
        <row r="306">
          <cell r="A306" t="str">
            <v>MAPV0062B</v>
          </cell>
          <cell r="B306" t="str">
            <v>Mall</v>
          </cell>
          <cell r="C306" t="str">
            <v>Mall Plaza</v>
          </cell>
          <cell r="D306" t="str">
            <v>P.E.: ESCALERAS MECÁNICAS</v>
          </cell>
          <cell r="E306" t="str">
            <v>ESCALERAS MECÁNICAS</v>
          </cell>
          <cell r="F306" t="str">
            <v>VER FICHA</v>
          </cell>
          <cell r="G306" t="str">
            <v>VER FICHA</v>
          </cell>
          <cell r="H306" t="str">
            <v>I</v>
          </cell>
          <cell r="I306" t="str">
            <v>INTERIORES</v>
          </cell>
          <cell r="J306">
            <v>166000</v>
          </cell>
          <cell r="L306">
            <v>3950000</v>
          </cell>
          <cell r="M306" t="str">
            <v>MALL PLAZA VESPUCIO</v>
          </cell>
          <cell r="P306" t="str">
            <v>LA FLORIDA</v>
          </cell>
          <cell r="Q306" t="str">
            <v>ESPECIAL</v>
          </cell>
          <cell r="R306" t="str">
            <v>Mall - Santiago</v>
          </cell>
          <cell r="S306" t="str">
            <v>Mall Plaza</v>
          </cell>
          <cell r="T306" t="str">
            <v>Productos Especiales</v>
          </cell>
          <cell r="U306">
            <v>1</v>
          </cell>
          <cell r="V306" t="str">
            <v>NA</v>
          </cell>
        </row>
        <row r="307">
          <cell r="A307" t="str">
            <v>MAPV0068A</v>
          </cell>
          <cell r="B307" t="str">
            <v>Mall</v>
          </cell>
          <cell r="C307" t="str">
            <v>Mall Plaza</v>
          </cell>
          <cell r="D307" t="str">
            <v>P.E.: BARANDAS CENTRALES</v>
          </cell>
          <cell r="E307" t="str">
            <v>BARANDAS CENTRALES</v>
          </cell>
          <cell r="F307" t="str">
            <v>VER FICHA</v>
          </cell>
          <cell r="G307" t="str">
            <v>VER FICHA</v>
          </cell>
          <cell r="H307" t="str">
            <v>I</v>
          </cell>
          <cell r="I307" t="str">
            <v>PLAZA CENTRAL</v>
          </cell>
          <cell r="J307">
            <v>145000</v>
          </cell>
          <cell r="L307">
            <v>3000000</v>
          </cell>
          <cell r="M307" t="str">
            <v>MALL PLAZA VESPUCIO</v>
          </cell>
          <cell r="P307" t="str">
            <v>LA FLORIDA</v>
          </cell>
          <cell r="Q307" t="str">
            <v>ESPECIAL</v>
          </cell>
          <cell r="R307" t="str">
            <v>Mall - Santiago</v>
          </cell>
          <cell r="S307" t="str">
            <v>Mall Plaza</v>
          </cell>
          <cell r="T307" t="str">
            <v>Productos Especiales</v>
          </cell>
          <cell r="U307">
            <v>1</v>
          </cell>
          <cell r="V307" t="str">
            <v>NA</v>
          </cell>
        </row>
        <row r="308">
          <cell r="A308" t="str">
            <v>MASE0030A</v>
          </cell>
          <cell r="B308" t="str">
            <v>Mall</v>
          </cell>
          <cell r="C308" t="str">
            <v>Mall Plaza</v>
          </cell>
          <cell r="D308" t="str">
            <v>P.E.: ESPEJOS BAÑOS MUJERES</v>
          </cell>
          <cell r="E308" t="str">
            <v>ESPEJOS BAÑOS MUJERES</v>
          </cell>
          <cell r="F308" t="str">
            <v>Ver Ficha</v>
          </cell>
          <cell r="G308" t="str">
            <v>Ver Ficha</v>
          </cell>
          <cell r="H308" t="str">
            <v>I</v>
          </cell>
          <cell r="I308" t="str">
            <v>BAÑOS</v>
          </cell>
          <cell r="J308">
            <v>30000</v>
          </cell>
          <cell r="L308">
            <v>1500000</v>
          </cell>
          <cell r="M308" t="str">
            <v>MALL PLAZA LA SERENA</v>
          </cell>
          <cell r="P308" t="str">
            <v>LA SERENA</v>
          </cell>
          <cell r="Q308" t="str">
            <v>ESPECIAL</v>
          </cell>
          <cell r="R308" t="str">
            <v>Mall - Norte</v>
          </cell>
          <cell r="S308" t="str">
            <v>Mall Plaza</v>
          </cell>
          <cell r="T308" t="str">
            <v>Productos Especiales</v>
          </cell>
          <cell r="U308">
            <v>1</v>
          </cell>
          <cell r="V308" t="str">
            <v>NA</v>
          </cell>
        </row>
        <row r="309">
          <cell r="A309" t="str">
            <v>MATO0020A</v>
          </cell>
          <cell r="B309" t="str">
            <v>Mall</v>
          </cell>
          <cell r="C309" t="str">
            <v>Mall Plaza</v>
          </cell>
          <cell r="D309" t="str">
            <v>P.E.: MAMPARA</v>
          </cell>
          <cell r="E309" t="str">
            <v>MAMPARA</v>
          </cell>
          <cell r="F309" t="str">
            <v>Ver Ficha</v>
          </cell>
          <cell r="G309" t="str">
            <v>Ver Ficha</v>
          </cell>
          <cell r="H309" t="str">
            <v>V</v>
          </cell>
          <cell r="I309" t="str">
            <v>ACCESO SALA DE V</v>
          </cell>
          <cell r="J309">
            <v>15000</v>
          </cell>
          <cell r="K309">
            <v>0</v>
          </cell>
          <cell r="L309">
            <v>2050000</v>
          </cell>
          <cell r="M309" t="str">
            <v>MALL PLAZA TOBALABA</v>
          </cell>
          <cell r="P309" t="str">
            <v>PUENTE ALTO</v>
          </cell>
          <cell r="Q309" t="str">
            <v>ESPECIAL</v>
          </cell>
          <cell r="R309" t="str">
            <v>Mall - Santiago</v>
          </cell>
          <cell r="S309" t="str">
            <v>Mall Plaza</v>
          </cell>
          <cell r="T309" t="str">
            <v>Productos Especiales</v>
          </cell>
          <cell r="U309">
            <v>1</v>
          </cell>
          <cell r="V309" t="str">
            <v>NA</v>
          </cell>
        </row>
        <row r="310">
          <cell r="A310" t="str">
            <v>MATO0021A</v>
          </cell>
          <cell r="B310" t="str">
            <v>Mall</v>
          </cell>
          <cell r="C310" t="str">
            <v>Mall Plaza</v>
          </cell>
          <cell r="D310" t="str">
            <v>P.E.: ASCENSOR</v>
          </cell>
          <cell r="E310" t="str">
            <v>ASCENSOR</v>
          </cell>
          <cell r="F310" t="str">
            <v>Ver Ficha</v>
          </cell>
          <cell r="G310" t="str">
            <v>Ver Ficha</v>
          </cell>
          <cell r="I310" t="str">
            <v>INTERIOR</v>
          </cell>
          <cell r="J310">
            <v>15000</v>
          </cell>
          <cell r="L310">
            <v>1600000</v>
          </cell>
          <cell r="M310" t="str">
            <v>MALL PLAZA TOBALABA</v>
          </cell>
          <cell r="P310" t="str">
            <v>PUENTE ALTO</v>
          </cell>
          <cell r="Q310" t="str">
            <v>ESPECIAL</v>
          </cell>
          <cell r="R310" t="str">
            <v>Mall - Santiago</v>
          </cell>
          <cell r="S310" t="str">
            <v>Mall Plaza</v>
          </cell>
          <cell r="T310" t="str">
            <v>Productos Especiales</v>
          </cell>
          <cell r="U310">
            <v>1</v>
          </cell>
          <cell r="V310" t="str">
            <v>NA</v>
          </cell>
        </row>
        <row r="311">
          <cell r="A311" t="str">
            <v>MATO0022A</v>
          </cell>
          <cell r="B311" t="str">
            <v>Mall</v>
          </cell>
          <cell r="C311" t="str">
            <v>Mall Plaza</v>
          </cell>
          <cell r="D311" t="str">
            <v>P.E.: ESPEJOS BAÑOS HOMBRES</v>
          </cell>
          <cell r="E311" t="str">
            <v>ESPEJOS BAÑOS HOMBRES</v>
          </cell>
          <cell r="F311" t="str">
            <v>Ver Ficha</v>
          </cell>
          <cell r="G311" t="str">
            <v>Ver Ficha</v>
          </cell>
          <cell r="H311" t="str">
            <v>I</v>
          </cell>
          <cell r="I311" t="str">
            <v>INTERIOR BAÑOS</v>
          </cell>
          <cell r="J311">
            <v>24000</v>
          </cell>
          <cell r="L311">
            <v>1500000</v>
          </cell>
          <cell r="M311" t="str">
            <v>MALL PLAZA TOBALABA</v>
          </cell>
          <cell r="P311" t="str">
            <v>PUENTE ALTO</v>
          </cell>
          <cell r="Q311" t="str">
            <v>ESPECIAL</v>
          </cell>
          <cell r="R311" t="str">
            <v>Mall - Santiago</v>
          </cell>
          <cell r="S311" t="str">
            <v>Mall Plaza</v>
          </cell>
          <cell r="T311" t="str">
            <v>Productos Especiales</v>
          </cell>
          <cell r="U311">
            <v>1</v>
          </cell>
          <cell r="V311" t="str">
            <v>NA</v>
          </cell>
        </row>
        <row r="312">
          <cell r="A312" t="str">
            <v>MATO0022B</v>
          </cell>
          <cell r="B312" t="str">
            <v>Mall</v>
          </cell>
          <cell r="C312" t="str">
            <v>Mall Plaza</v>
          </cell>
          <cell r="D312" t="str">
            <v>P.E.: ESPEJOS BAÑOS MUJERES</v>
          </cell>
          <cell r="E312" t="str">
            <v>ESPEJOS BAÑOS MUJERES</v>
          </cell>
          <cell r="F312" t="str">
            <v>Ver Ficha</v>
          </cell>
          <cell r="G312" t="str">
            <v>Ver Ficha</v>
          </cell>
          <cell r="H312" t="str">
            <v>I</v>
          </cell>
          <cell r="I312" t="str">
            <v>INTERIOR BAÑOS</v>
          </cell>
          <cell r="J312">
            <v>40000</v>
          </cell>
          <cell r="L312">
            <v>1500000</v>
          </cell>
          <cell r="M312" t="str">
            <v>MALL PLAZA TOBALABA</v>
          </cell>
          <cell r="P312" t="str">
            <v>PUENTE ALTO</v>
          </cell>
          <cell r="Q312" t="str">
            <v>ESPECIAL</v>
          </cell>
          <cell r="R312" t="str">
            <v>Mall - Santiago</v>
          </cell>
          <cell r="S312" t="str">
            <v>Mall Plaza</v>
          </cell>
          <cell r="T312" t="str">
            <v>Productos Especiales</v>
          </cell>
          <cell r="U312">
            <v>1</v>
          </cell>
          <cell r="V312" t="str">
            <v>NA</v>
          </cell>
        </row>
        <row r="313">
          <cell r="A313" t="str">
            <v>MATO0023A</v>
          </cell>
          <cell r="B313" t="str">
            <v>Mall</v>
          </cell>
          <cell r="C313" t="str">
            <v>Mall Plaza</v>
          </cell>
          <cell r="D313" t="str">
            <v>P.E.: MESAS - 80% Cobertura</v>
          </cell>
          <cell r="E313" t="str">
            <v>MESAS - 80% Cobertura</v>
          </cell>
          <cell r="F313" t="str">
            <v>Ver Ficha</v>
          </cell>
          <cell r="G313" t="str">
            <v>Ver Ficha</v>
          </cell>
          <cell r="I313" t="str">
            <v>PATIO COMIDA</v>
          </cell>
          <cell r="J313">
            <v>340000</v>
          </cell>
          <cell r="L313">
            <v>3250000</v>
          </cell>
          <cell r="M313" t="str">
            <v>MALL PLAZA TOBALABA</v>
          </cell>
          <cell r="P313" t="str">
            <v>PUENTE ALTO</v>
          </cell>
          <cell r="Q313" t="str">
            <v>ESPECIAL</v>
          </cell>
          <cell r="R313" t="str">
            <v>Mall - Santiago</v>
          </cell>
          <cell r="S313" t="str">
            <v>Mall Plaza</v>
          </cell>
          <cell r="T313" t="str">
            <v>Productos Especiales</v>
          </cell>
          <cell r="U313">
            <v>1</v>
          </cell>
          <cell r="V313" t="str">
            <v>NA</v>
          </cell>
        </row>
        <row r="314">
          <cell r="A314" t="str">
            <v>MATO0023B</v>
          </cell>
          <cell r="B314" t="str">
            <v>Mall</v>
          </cell>
          <cell r="C314" t="str">
            <v>Mall Plaza</v>
          </cell>
          <cell r="D314" t="str">
            <v>P.E.: MESAS - 50% Cobertura</v>
          </cell>
          <cell r="E314" t="str">
            <v>MESAS - 50% Cobertura</v>
          </cell>
          <cell r="F314" t="str">
            <v>Ver Ficha</v>
          </cell>
          <cell r="G314" t="str">
            <v>Ver Ficha</v>
          </cell>
          <cell r="I314" t="str">
            <v>PATIO COMIDA</v>
          </cell>
          <cell r="J314">
            <v>197000</v>
          </cell>
          <cell r="L314">
            <v>2200000</v>
          </cell>
          <cell r="M314" t="str">
            <v>MALL PLAZA TOBALABA</v>
          </cell>
          <cell r="P314" t="str">
            <v>PUENTE ALTO</v>
          </cell>
          <cell r="Q314" t="str">
            <v>ESPECIAL</v>
          </cell>
          <cell r="R314" t="str">
            <v>Mall - Santiago</v>
          </cell>
          <cell r="S314" t="str">
            <v>Mall Plaza</v>
          </cell>
          <cell r="T314" t="str">
            <v>Productos Especiales</v>
          </cell>
          <cell r="U314">
            <v>1</v>
          </cell>
          <cell r="V314" t="str">
            <v>NA</v>
          </cell>
        </row>
        <row r="315">
          <cell r="A315" t="str">
            <v>MATO0024A</v>
          </cell>
          <cell r="B315" t="str">
            <v>Mall</v>
          </cell>
          <cell r="C315" t="str">
            <v>Mall Plaza</v>
          </cell>
          <cell r="D315" t="str">
            <v>P.E.: ESCALERAS MECÁNICAS</v>
          </cell>
          <cell r="E315" t="str">
            <v>ESCALERAS MECÁNICAS</v>
          </cell>
          <cell r="F315" t="str">
            <v>VER FICHA</v>
          </cell>
          <cell r="G315" t="str">
            <v>VER FICHA</v>
          </cell>
          <cell r="I315" t="str">
            <v>INTERIOR PASILLO</v>
          </cell>
          <cell r="J315">
            <v>192000</v>
          </cell>
          <cell r="L315">
            <v>3200000</v>
          </cell>
          <cell r="M315" t="str">
            <v>MALL PLAZA TOBALABA</v>
          </cell>
          <cell r="P315" t="str">
            <v>PUENTE ALTO</v>
          </cell>
          <cell r="Q315" t="str">
            <v>ESPECIAL</v>
          </cell>
          <cell r="R315" t="str">
            <v>Mall - Santiago</v>
          </cell>
          <cell r="S315" t="str">
            <v>Mall Plaza</v>
          </cell>
          <cell r="T315" t="str">
            <v>Productos Especiales</v>
          </cell>
          <cell r="U315">
            <v>1</v>
          </cell>
          <cell r="V315" t="str">
            <v>NA</v>
          </cell>
        </row>
        <row r="316">
          <cell r="A316" t="str">
            <v>MATO0025A</v>
          </cell>
          <cell r="B316" t="str">
            <v>Mall</v>
          </cell>
          <cell r="C316" t="str">
            <v>Mall Plaza</v>
          </cell>
          <cell r="D316" t="str">
            <v>P.E.: BARANDAS CENTRALES</v>
          </cell>
          <cell r="E316" t="str">
            <v>BARANDAS CENTRALES</v>
          </cell>
          <cell r="F316" t="str">
            <v>VER FICHA</v>
          </cell>
          <cell r="G316" t="str">
            <v>VER FICHA</v>
          </cell>
          <cell r="I316" t="str">
            <v>INTERIOR</v>
          </cell>
          <cell r="J316">
            <v>96000</v>
          </cell>
          <cell r="L316">
            <v>2350000</v>
          </cell>
          <cell r="M316" t="str">
            <v>MALL PLAZA TOBALABA</v>
          </cell>
          <cell r="P316" t="str">
            <v>PUENTE ALTO</v>
          </cell>
          <cell r="Q316" t="str">
            <v>ESPECIAL</v>
          </cell>
          <cell r="R316" t="str">
            <v>Farmacia - Santiago</v>
          </cell>
          <cell r="S316" t="str">
            <v>Mall Plaza</v>
          </cell>
          <cell r="T316" t="str">
            <v>Productos Especiales</v>
          </cell>
          <cell r="U316">
            <v>1</v>
          </cell>
          <cell r="V316" t="str">
            <v>NA</v>
          </cell>
        </row>
        <row r="317">
          <cell r="A317" t="str">
            <v>PAAR0008B</v>
          </cell>
          <cell r="B317" t="str">
            <v>Mall</v>
          </cell>
          <cell r="D317" t="str">
            <v>Minipoles</v>
          </cell>
          <cell r="E317" t="str">
            <v>Minipoles</v>
          </cell>
          <cell r="F317" t="str">
            <v>2.80 * 1.30</v>
          </cell>
          <cell r="G317" t="str">
            <v>3.10 * 1.60</v>
          </cell>
          <cell r="J317">
            <v>0</v>
          </cell>
          <cell r="K317">
            <v>0</v>
          </cell>
          <cell r="L317">
            <v>620000</v>
          </cell>
          <cell r="M317" t="str">
            <v>MALL PARQUE ARAUCO</v>
          </cell>
          <cell r="P317" t="str">
            <v>LAS CONDES</v>
          </cell>
          <cell r="Q317" t="str">
            <v>TRADICIONAL</v>
          </cell>
          <cell r="R317" t="str">
            <v>Mall - Santiago</v>
          </cell>
          <cell r="S317" t="str">
            <v>Parque Arauco</v>
          </cell>
          <cell r="T317" t="str">
            <v>Minipoles</v>
          </cell>
          <cell r="U317">
            <v>1</v>
          </cell>
          <cell r="V317" t="str">
            <v>2.80 * 1.30</v>
          </cell>
        </row>
        <row r="318">
          <cell r="A318" t="str">
            <v>PAAR0017A</v>
          </cell>
          <cell r="B318" t="str">
            <v>Mall</v>
          </cell>
          <cell r="D318" t="str">
            <v>Paletas</v>
          </cell>
          <cell r="E318" t="str">
            <v>PALETA SUPER SCREEN</v>
          </cell>
          <cell r="F318" t="str">
            <v>1.20 * 1.70</v>
          </cell>
          <cell r="G318" t="str">
            <v>1.23 * 1.75</v>
          </cell>
          <cell r="I318" t="str">
            <v>ESTACIONAMIENTOS</v>
          </cell>
          <cell r="L318">
            <v>380000</v>
          </cell>
          <cell r="M318" t="str">
            <v>MALL PARQUE ARAUCO</v>
          </cell>
          <cell r="P318" t="str">
            <v>LAS CONDES</v>
          </cell>
          <cell r="Q318" t="str">
            <v>TRADICIONAL</v>
          </cell>
          <cell r="R318" t="str">
            <v>Mall - Santiago</v>
          </cell>
          <cell r="S318" t="str">
            <v>Parque Arauco</v>
          </cell>
          <cell r="T318" t="str">
            <v>Paletas</v>
          </cell>
          <cell r="U318">
            <v>1</v>
          </cell>
          <cell r="V318" t="str">
            <v>1.20 * 1.70</v>
          </cell>
        </row>
        <row r="319">
          <cell r="A319" t="str">
            <v>PAAR0017B</v>
          </cell>
          <cell r="B319" t="str">
            <v>Mall</v>
          </cell>
          <cell r="D319" t="str">
            <v>Paletas</v>
          </cell>
          <cell r="E319" t="str">
            <v>PALETA SUPER SCREEN</v>
          </cell>
          <cell r="F319" t="str">
            <v>1.20 * 1.70</v>
          </cell>
          <cell r="G319" t="str">
            <v>1.23 * 1.75</v>
          </cell>
          <cell r="L319">
            <v>380000</v>
          </cell>
          <cell r="M319" t="str">
            <v>MALL PARQUE ARAUCO</v>
          </cell>
          <cell r="P319" t="str">
            <v>LAS CONDES</v>
          </cell>
          <cell r="Q319" t="str">
            <v>TRADICIONAL</v>
          </cell>
          <cell r="R319" t="str">
            <v>Mall - Santiago</v>
          </cell>
          <cell r="S319" t="str">
            <v>Parque Arauco</v>
          </cell>
          <cell r="T319" t="str">
            <v>Paletas</v>
          </cell>
          <cell r="U319">
            <v>1</v>
          </cell>
          <cell r="V319" t="str">
            <v>1.20 * 1.70</v>
          </cell>
        </row>
        <row r="320">
          <cell r="A320" t="str">
            <v>PAAR0065B</v>
          </cell>
          <cell r="B320" t="str">
            <v>Mall</v>
          </cell>
          <cell r="D320" t="str">
            <v>P.E.: MESAS - 50% Cobertura</v>
          </cell>
          <cell r="E320" t="str">
            <v>MESAS - 50% Cobertura</v>
          </cell>
          <cell r="F320" t="str">
            <v>Ver Ficha</v>
          </cell>
          <cell r="G320" t="str">
            <v>Ver Ficha</v>
          </cell>
          <cell r="I320" t="str">
            <v>INTERIOR</v>
          </cell>
          <cell r="J320">
            <v>278000</v>
          </cell>
          <cell r="L320">
            <v>3100000</v>
          </cell>
          <cell r="M320" t="str">
            <v>MALL PARQUE ARAUCO</v>
          </cell>
          <cell r="P320" t="str">
            <v>LAS CONDES</v>
          </cell>
          <cell r="Q320" t="str">
            <v>ESPECIAL</v>
          </cell>
          <cell r="R320" t="str">
            <v>Mall - Santiago</v>
          </cell>
          <cell r="S320" t="str">
            <v>Parque Arauco</v>
          </cell>
          <cell r="T320" t="str">
            <v>Productos Especiales</v>
          </cell>
          <cell r="U320">
            <v>1</v>
          </cell>
          <cell r="V320" t="str">
            <v>NA</v>
          </cell>
        </row>
        <row r="321">
          <cell r="A321" t="str">
            <v>PAAR0069A</v>
          </cell>
          <cell r="B321" t="str">
            <v>Mall</v>
          </cell>
          <cell r="D321" t="str">
            <v>Cajas de luz</v>
          </cell>
          <cell r="E321" t="str">
            <v>Cajas de luz</v>
          </cell>
          <cell r="F321" t="str">
            <v>4.00 * 2.00</v>
          </cell>
          <cell r="G321" t="str">
            <v>4.20 * 2.20</v>
          </cell>
          <cell r="I321" t="str">
            <v>ACCESO ESTACIONA</v>
          </cell>
          <cell r="L321">
            <v>650000</v>
          </cell>
          <cell r="M321" t="str">
            <v>MALL PARQUE ARAUCO</v>
          </cell>
          <cell r="P321" t="str">
            <v>LAS CONDES</v>
          </cell>
          <cell r="Q321" t="str">
            <v>TRADICIONAL</v>
          </cell>
          <cell r="R321" t="str">
            <v>Mall - Santiago</v>
          </cell>
          <cell r="S321" t="str">
            <v>Parque Arauco</v>
          </cell>
          <cell r="T321" t="str">
            <v>Cajas de luz</v>
          </cell>
          <cell r="U321">
            <v>1</v>
          </cell>
          <cell r="V321" t="str">
            <v>4.00 * 2.00</v>
          </cell>
        </row>
        <row r="322">
          <cell r="A322" t="str">
            <v>PAAR0070A</v>
          </cell>
          <cell r="B322" t="str">
            <v>Mall</v>
          </cell>
          <cell r="D322" t="str">
            <v>P.E.: Pendón Bifaz</v>
          </cell>
          <cell r="E322" t="str">
            <v>Pendón Bifaz</v>
          </cell>
          <cell r="F322" t="str">
            <v>Ver Ficha</v>
          </cell>
          <cell r="G322" t="str">
            <v>Ver Ficha</v>
          </cell>
          <cell r="I322" t="str">
            <v>INTERIOR MALL</v>
          </cell>
          <cell r="J322">
            <v>390000</v>
          </cell>
          <cell r="L322">
            <v>4500000</v>
          </cell>
          <cell r="M322" t="str">
            <v>MALL PARQUE ARAUCO</v>
          </cell>
          <cell r="P322" t="str">
            <v>LAS CONDES</v>
          </cell>
          <cell r="Q322" t="str">
            <v>ESPECIAL</v>
          </cell>
          <cell r="R322" t="str">
            <v>Mall - Santiago</v>
          </cell>
          <cell r="S322" t="str">
            <v>Parque Arauco</v>
          </cell>
          <cell r="T322" t="str">
            <v>Productos Especiales</v>
          </cell>
          <cell r="U322">
            <v>1</v>
          </cell>
          <cell r="V322" t="str">
            <v>NA</v>
          </cell>
        </row>
        <row r="323">
          <cell r="A323" t="str">
            <v>PAAR0071A</v>
          </cell>
          <cell r="B323" t="str">
            <v>Mall</v>
          </cell>
          <cell r="D323" t="str">
            <v>P.E.: ESCALERAS MECÁNICAS</v>
          </cell>
          <cell r="E323" t="str">
            <v>ESCALERAS MECÁNICAS</v>
          </cell>
          <cell r="F323" t="str">
            <v>Ver ficha</v>
          </cell>
          <cell r="G323" t="str">
            <v>Ver ficha</v>
          </cell>
          <cell r="I323" t="str">
            <v>INTERIOR MALL</v>
          </cell>
          <cell r="J323">
            <v>930000</v>
          </cell>
          <cell r="L323">
            <v>5000000</v>
          </cell>
          <cell r="M323" t="str">
            <v>MALL PARQUE ARAUCO</v>
          </cell>
          <cell r="P323" t="str">
            <v>LAS CONDES</v>
          </cell>
          <cell r="Q323" t="str">
            <v>ESPECIAL</v>
          </cell>
          <cell r="R323" t="str">
            <v>Mall - Santiago</v>
          </cell>
          <cell r="S323" t="str">
            <v>Parque Arauco</v>
          </cell>
          <cell r="T323" t="str">
            <v>Productos Especiales</v>
          </cell>
          <cell r="U323">
            <v>1</v>
          </cell>
          <cell r="V323" t="str">
            <v>NA</v>
          </cell>
        </row>
        <row r="324">
          <cell r="A324" t="str">
            <v>PAAR0072A</v>
          </cell>
          <cell r="B324" t="str">
            <v>Mall</v>
          </cell>
          <cell r="D324" t="str">
            <v>P.E.: ESCALERAS MECÁNICAS</v>
          </cell>
          <cell r="E324" t="str">
            <v>ESCALERAS MECÁNICAS</v>
          </cell>
          <cell r="F324" t="str">
            <v>Ver ficha</v>
          </cell>
          <cell r="G324" t="str">
            <v>Ver ficha</v>
          </cell>
          <cell r="I324" t="str">
            <v>INTERIOR MALL</v>
          </cell>
          <cell r="J324">
            <v>460000</v>
          </cell>
          <cell r="L324">
            <v>4500000</v>
          </cell>
          <cell r="M324" t="str">
            <v>MALL PARQUE ARAUCO</v>
          </cell>
          <cell r="P324" t="str">
            <v>LAS CONDES</v>
          </cell>
          <cell r="Q324" t="str">
            <v>ESPECIAL</v>
          </cell>
          <cell r="R324" t="str">
            <v>Mall - Santiago</v>
          </cell>
          <cell r="S324" t="str">
            <v>Parque Arauco</v>
          </cell>
          <cell r="T324" t="str">
            <v>Productos Especiales</v>
          </cell>
          <cell r="U324">
            <v>1</v>
          </cell>
          <cell r="V324" t="str">
            <v>NA</v>
          </cell>
        </row>
        <row r="325">
          <cell r="A325" t="str">
            <v>PAAR0073B</v>
          </cell>
          <cell r="B325" t="str">
            <v>Mall</v>
          </cell>
          <cell r="D325" t="str">
            <v>Pantallas Digitales</v>
          </cell>
          <cell r="E325" t="str">
            <v>Pantallas</v>
          </cell>
          <cell r="I325" t="str">
            <v>INTERIOR MALL</v>
          </cell>
          <cell r="L325">
            <v>1800000</v>
          </cell>
          <cell r="M325" t="str">
            <v>MALL PARQUE ARAUCO</v>
          </cell>
          <cell r="P325" t="str">
            <v>LAS CONDES</v>
          </cell>
          <cell r="Q325" t="str">
            <v>PANTALLA</v>
          </cell>
          <cell r="R325" t="str">
            <v>Mall - Santiago</v>
          </cell>
          <cell r="S325" t="str">
            <v>Parque Arauco</v>
          </cell>
          <cell r="T325" t="str">
            <v>Pantallas Digitales</v>
          </cell>
          <cell r="U325">
            <v>1</v>
          </cell>
          <cell r="V325" t="str">
            <v>NA</v>
          </cell>
        </row>
        <row r="326">
          <cell r="A326" t="str">
            <v>PAAR0073C</v>
          </cell>
          <cell r="B326" t="str">
            <v>Mall</v>
          </cell>
          <cell r="D326" t="str">
            <v>Pantallas Digitales</v>
          </cell>
          <cell r="E326" t="str">
            <v>Pantallas</v>
          </cell>
          <cell r="I326" t="str">
            <v>INTERIOR MALL</v>
          </cell>
          <cell r="L326">
            <v>1800000</v>
          </cell>
          <cell r="M326" t="str">
            <v>MALL PARQUE ARAUCO</v>
          </cell>
          <cell r="P326" t="str">
            <v>LAS CONDES</v>
          </cell>
          <cell r="Q326" t="str">
            <v>PANTALLA</v>
          </cell>
          <cell r="R326" t="str">
            <v>Mall - Santiago</v>
          </cell>
          <cell r="S326" t="str">
            <v>Parque Arauco</v>
          </cell>
          <cell r="T326" t="str">
            <v>Pantallas Digitales</v>
          </cell>
          <cell r="U326">
            <v>1</v>
          </cell>
          <cell r="V326" t="str">
            <v>NA</v>
          </cell>
        </row>
        <row r="327">
          <cell r="A327" t="str">
            <v>PAAR0073D</v>
          </cell>
          <cell r="B327" t="str">
            <v>Mall</v>
          </cell>
          <cell r="D327" t="str">
            <v>Pantallas Digitales</v>
          </cell>
          <cell r="E327" t="str">
            <v>Pantallas</v>
          </cell>
          <cell r="L327">
            <v>1800000</v>
          </cell>
          <cell r="M327" t="str">
            <v>MALL PARQUE ARAUCO</v>
          </cell>
          <cell r="P327" t="str">
            <v>LAS CONDES</v>
          </cell>
          <cell r="Q327" t="str">
            <v>PANTALLA</v>
          </cell>
          <cell r="R327" t="str">
            <v>Mall - Santiago</v>
          </cell>
          <cell r="S327" t="str">
            <v>Parque Arauco</v>
          </cell>
          <cell r="T327" t="str">
            <v>Pantallas Digitales</v>
          </cell>
          <cell r="U327">
            <v>1</v>
          </cell>
          <cell r="V327" t="str">
            <v>NA</v>
          </cell>
        </row>
        <row r="328">
          <cell r="A328" t="str">
            <v>PAAR0073E</v>
          </cell>
          <cell r="B328" t="str">
            <v>Mall</v>
          </cell>
          <cell r="D328" t="str">
            <v>Pantallas Digitales</v>
          </cell>
          <cell r="E328" t="str">
            <v>Pantallas</v>
          </cell>
          <cell r="L328">
            <v>1800000</v>
          </cell>
          <cell r="M328" t="str">
            <v>MALL PARQUE ARAUCO</v>
          </cell>
          <cell r="P328" t="str">
            <v>LAS CONDES</v>
          </cell>
          <cell r="Q328" t="str">
            <v>PANTALLA</v>
          </cell>
          <cell r="R328" t="str">
            <v>Mall - Santiago</v>
          </cell>
          <cell r="S328" t="str">
            <v>Parque Arauco</v>
          </cell>
          <cell r="T328" t="str">
            <v>Pantallas Digitales</v>
          </cell>
          <cell r="U328">
            <v>1</v>
          </cell>
          <cell r="V328" t="str">
            <v>NA</v>
          </cell>
        </row>
        <row r="329">
          <cell r="A329" t="str">
            <v>PAAR0073F</v>
          </cell>
          <cell r="B329" t="str">
            <v>Mall</v>
          </cell>
          <cell r="D329" t="str">
            <v>Pantallas Digitales</v>
          </cell>
          <cell r="E329" t="str">
            <v>Pantallas</v>
          </cell>
          <cell r="L329">
            <v>1800000</v>
          </cell>
          <cell r="M329" t="str">
            <v>MALL PARQUE ARAUCO</v>
          </cell>
          <cell r="P329" t="str">
            <v>LAS CONDES</v>
          </cell>
          <cell r="Q329" t="str">
            <v>PANTALLA</v>
          </cell>
          <cell r="R329" t="str">
            <v>Mall - Santiago</v>
          </cell>
          <cell r="S329" t="str">
            <v>Parque Arauco</v>
          </cell>
          <cell r="T329" t="str">
            <v>Pantallas Digitales</v>
          </cell>
          <cell r="U329">
            <v>1</v>
          </cell>
          <cell r="V329" t="str">
            <v>NA</v>
          </cell>
        </row>
        <row r="330">
          <cell r="A330" t="str">
            <v>PAAR0073G</v>
          </cell>
          <cell r="B330" t="str">
            <v>Mall</v>
          </cell>
          <cell r="D330" t="str">
            <v>Pantallas Digitales</v>
          </cell>
          <cell r="E330" t="str">
            <v>Pantallas</v>
          </cell>
          <cell r="L330">
            <v>1800000</v>
          </cell>
          <cell r="M330" t="str">
            <v>MALL PARQUE ARAUCO</v>
          </cell>
          <cell r="P330" t="str">
            <v>LAS CONDES</v>
          </cell>
          <cell r="Q330" t="str">
            <v>PANTALLA</v>
          </cell>
          <cell r="R330" t="str">
            <v>Mall - Santiago</v>
          </cell>
          <cell r="S330" t="str">
            <v>Parque Arauco</v>
          </cell>
          <cell r="T330" t="str">
            <v>Pantallas Digitales</v>
          </cell>
          <cell r="U330">
            <v>1</v>
          </cell>
          <cell r="V330" t="str">
            <v>NA</v>
          </cell>
        </row>
        <row r="331">
          <cell r="A331" t="str">
            <v>PAAR0073H</v>
          </cell>
          <cell r="B331" t="str">
            <v>Mall</v>
          </cell>
          <cell r="D331" t="str">
            <v>Pantallas Digitales</v>
          </cell>
          <cell r="E331" t="str">
            <v>Pantallas</v>
          </cell>
          <cell r="L331">
            <v>1800000</v>
          </cell>
          <cell r="M331" t="str">
            <v>MALL PARQUE ARAUCO</v>
          </cell>
          <cell r="P331" t="str">
            <v>LAS CONDES</v>
          </cell>
          <cell r="Q331" t="str">
            <v>PANTALLA</v>
          </cell>
          <cell r="R331" t="str">
            <v>Mall - Santiago</v>
          </cell>
          <cell r="S331" t="str">
            <v>Parque Arauco</v>
          </cell>
          <cell r="T331" t="str">
            <v>Pantallas Digitales</v>
          </cell>
          <cell r="U331">
            <v>1</v>
          </cell>
          <cell r="V331" t="str">
            <v>NA</v>
          </cell>
        </row>
        <row r="332">
          <cell r="A332" t="str">
            <v>PAAR0073I</v>
          </cell>
          <cell r="B332" t="str">
            <v>Mall</v>
          </cell>
          <cell r="D332" t="str">
            <v>Pantallas Digitales</v>
          </cell>
          <cell r="E332" t="str">
            <v>Pantallas</v>
          </cell>
          <cell r="L332">
            <v>1800000</v>
          </cell>
          <cell r="M332" t="str">
            <v>MALL PARQUE ARAUCO</v>
          </cell>
          <cell r="P332" t="str">
            <v>LAS CONDES</v>
          </cell>
          <cell r="Q332" t="str">
            <v>PANTALLA</v>
          </cell>
          <cell r="R332" t="str">
            <v>Mall - Santiago</v>
          </cell>
          <cell r="S332" t="str">
            <v>Parque Arauco</v>
          </cell>
          <cell r="T332" t="str">
            <v>Pantallas Digitales</v>
          </cell>
          <cell r="U332">
            <v>1</v>
          </cell>
          <cell r="V332" t="str">
            <v>NA</v>
          </cell>
        </row>
        <row r="333">
          <cell r="A333" t="str">
            <v>PAAR0073J</v>
          </cell>
          <cell r="B333" t="str">
            <v>Mall</v>
          </cell>
          <cell r="D333" t="str">
            <v>Pantallas Digitales</v>
          </cell>
          <cell r="E333" t="str">
            <v>Pantallas</v>
          </cell>
          <cell r="L333">
            <v>1800000</v>
          </cell>
          <cell r="M333" t="str">
            <v>MALL PARQUE ARAUCO</v>
          </cell>
          <cell r="P333" t="str">
            <v>LAS CONDES</v>
          </cell>
          <cell r="Q333" t="str">
            <v>PANTALLA</v>
          </cell>
          <cell r="R333" t="str">
            <v>Mall - Santiago</v>
          </cell>
          <cell r="S333" t="str">
            <v>Parque Arauco</v>
          </cell>
          <cell r="T333" t="str">
            <v>Pantallas Digitales</v>
          </cell>
          <cell r="U333">
            <v>1</v>
          </cell>
          <cell r="V333" t="str">
            <v>NA</v>
          </cell>
        </row>
        <row r="334">
          <cell r="A334" t="str">
            <v>PAAR0073K</v>
          </cell>
          <cell r="B334" t="str">
            <v>Mall</v>
          </cell>
          <cell r="D334" t="str">
            <v>Pantallas Digitales</v>
          </cell>
          <cell r="E334" t="str">
            <v>Pantallas</v>
          </cell>
          <cell r="L334">
            <v>1800000</v>
          </cell>
          <cell r="M334" t="str">
            <v>MALL PARQUE ARAUCO</v>
          </cell>
          <cell r="P334" t="str">
            <v>LAS CONDES</v>
          </cell>
          <cell r="Q334" t="str">
            <v>PANTALLA</v>
          </cell>
          <cell r="R334" t="str">
            <v>Mall - Santiago</v>
          </cell>
          <cell r="S334" t="str">
            <v>Parque Arauco</v>
          </cell>
          <cell r="T334" t="str">
            <v>Pantallas Digitales</v>
          </cell>
          <cell r="U334">
            <v>1</v>
          </cell>
          <cell r="V334" t="str">
            <v>NA</v>
          </cell>
        </row>
        <row r="335">
          <cell r="A335" t="str">
            <v>PAAR0073L</v>
          </cell>
          <cell r="B335" t="str">
            <v>Mall</v>
          </cell>
          <cell r="D335" t="str">
            <v>Pantallas Digitales</v>
          </cell>
          <cell r="E335" t="str">
            <v>Pantallas</v>
          </cell>
          <cell r="L335">
            <v>1800000</v>
          </cell>
          <cell r="M335" t="str">
            <v>MALL PARQUE ARAUCO</v>
          </cell>
          <cell r="P335" t="str">
            <v>LAS CONDES</v>
          </cell>
          <cell r="Q335" t="str">
            <v>PANTALLA</v>
          </cell>
          <cell r="R335" t="str">
            <v>Mall - Santiago</v>
          </cell>
          <cell r="S335" t="str">
            <v>Parque Arauco</v>
          </cell>
          <cell r="T335" t="str">
            <v>Pantallas Digitales</v>
          </cell>
          <cell r="U335">
            <v>1</v>
          </cell>
          <cell r="V335" t="str">
            <v>NA</v>
          </cell>
        </row>
        <row r="336">
          <cell r="A336" t="str">
            <v>PAAR0073M</v>
          </cell>
          <cell r="B336" t="str">
            <v>Mall</v>
          </cell>
          <cell r="D336" t="str">
            <v>Pantallas Digitales</v>
          </cell>
          <cell r="E336" t="str">
            <v>Pantallas</v>
          </cell>
          <cell r="L336">
            <v>1800000</v>
          </cell>
          <cell r="M336" t="str">
            <v>MALL PARQUE ARAUCO</v>
          </cell>
          <cell r="P336" t="str">
            <v>LAS CONDES</v>
          </cell>
          <cell r="Q336" t="str">
            <v>PANTALLA</v>
          </cell>
          <cell r="R336" t="str">
            <v>Mall - Santiago</v>
          </cell>
          <cell r="S336" t="str">
            <v>Parque Arauco</v>
          </cell>
          <cell r="T336" t="str">
            <v>Pantallas Digitales</v>
          </cell>
          <cell r="U336">
            <v>1</v>
          </cell>
          <cell r="V336" t="str">
            <v>NA</v>
          </cell>
        </row>
        <row r="337">
          <cell r="A337" t="str">
            <v>PAAR0073N</v>
          </cell>
          <cell r="B337" t="str">
            <v>Mall</v>
          </cell>
          <cell r="D337" t="str">
            <v>Pantallas Digitales</v>
          </cell>
          <cell r="E337" t="str">
            <v>Pantallas</v>
          </cell>
          <cell r="L337">
            <v>1800000</v>
          </cell>
          <cell r="M337" t="str">
            <v>MALL PARQUE ARAUCO</v>
          </cell>
          <cell r="P337" t="str">
            <v>LAS CONDES</v>
          </cell>
          <cell r="Q337" t="str">
            <v>PANTALLA</v>
          </cell>
          <cell r="R337" t="str">
            <v>Mall - Santiago</v>
          </cell>
          <cell r="S337" t="str">
            <v>Parque Arauco</v>
          </cell>
          <cell r="T337" t="str">
            <v>Pantallas Digitales</v>
          </cell>
          <cell r="U337">
            <v>1</v>
          </cell>
          <cell r="V337" t="str">
            <v>NA</v>
          </cell>
        </row>
        <row r="338">
          <cell r="A338" t="str">
            <v>PAAR0073Ñ</v>
          </cell>
          <cell r="B338" t="str">
            <v>Mall</v>
          </cell>
          <cell r="D338" t="str">
            <v>Pantallas Digitales</v>
          </cell>
          <cell r="E338" t="str">
            <v>Pantallas</v>
          </cell>
          <cell r="L338">
            <v>1800000</v>
          </cell>
          <cell r="M338" t="str">
            <v>MALL PARQUE ARAUCO</v>
          </cell>
          <cell r="P338" t="str">
            <v>LAS CONDES</v>
          </cell>
          <cell r="Q338" t="str">
            <v>PANTALLA</v>
          </cell>
          <cell r="R338" t="str">
            <v>Mall - Santiago</v>
          </cell>
          <cell r="S338" t="str">
            <v>Parque Arauco</v>
          </cell>
          <cell r="T338" t="str">
            <v>Pantallas Digitales</v>
          </cell>
          <cell r="U338">
            <v>1</v>
          </cell>
          <cell r="V338" t="str">
            <v>NA</v>
          </cell>
        </row>
        <row r="339">
          <cell r="A339" t="str">
            <v>PAAR0074A</v>
          </cell>
          <cell r="B339" t="str">
            <v>Mall</v>
          </cell>
          <cell r="D339" t="str">
            <v>P.E.: SET MAMPARAS</v>
          </cell>
          <cell r="E339" t="str">
            <v>SET MAMPARAS</v>
          </cell>
          <cell r="F339" t="str">
            <v>Ver ficha</v>
          </cell>
          <cell r="G339" t="str">
            <v>Ver ficha</v>
          </cell>
          <cell r="I339" t="str">
            <v>ACCESO MALL</v>
          </cell>
          <cell r="J339">
            <v>150000</v>
          </cell>
          <cell r="L339">
            <v>7200000</v>
          </cell>
          <cell r="M339" t="str">
            <v>MALL PARQUE ARAUCO</v>
          </cell>
          <cell r="P339" t="str">
            <v>LAS CONDES</v>
          </cell>
          <cell r="Q339" t="str">
            <v>ESPECIAL</v>
          </cell>
          <cell r="R339" t="str">
            <v>Mall - Santiago</v>
          </cell>
          <cell r="S339" t="str">
            <v>Parque Arauco</v>
          </cell>
          <cell r="T339" t="str">
            <v>Productos Especiales</v>
          </cell>
          <cell r="U339">
            <v>1</v>
          </cell>
          <cell r="V339" t="str">
            <v>NA</v>
          </cell>
        </row>
        <row r="340">
          <cell r="A340" t="str">
            <v>PAAR0075A</v>
          </cell>
          <cell r="B340" t="str">
            <v>Mall</v>
          </cell>
          <cell r="D340" t="str">
            <v>P.E.: Panel acceso boulevard-RT</v>
          </cell>
          <cell r="E340" t="str">
            <v>Panel acceso boulevard-RT</v>
          </cell>
          <cell r="F340" t="str">
            <v>Ver ficha</v>
          </cell>
          <cell r="G340" t="str">
            <v>Ver ficha</v>
          </cell>
          <cell r="J340">
            <v>50000</v>
          </cell>
          <cell r="L340">
            <v>1430000</v>
          </cell>
          <cell r="M340" t="str">
            <v>MALL PARQUE ARAUCO</v>
          </cell>
          <cell r="P340" t="str">
            <v>LAS CONDES</v>
          </cell>
          <cell r="Q340" t="str">
            <v>ESPECIAL</v>
          </cell>
          <cell r="R340" t="str">
            <v>Mall - Santiago</v>
          </cell>
          <cell r="S340" t="str">
            <v>Parque Arauco</v>
          </cell>
          <cell r="T340" t="str">
            <v>Productos Especiales</v>
          </cell>
          <cell r="U340">
            <v>1</v>
          </cell>
          <cell r="V340" t="str">
            <v>2.40 * 3.00</v>
          </cell>
        </row>
        <row r="341">
          <cell r="A341" t="str">
            <v>PAAR0076A</v>
          </cell>
          <cell r="B341" t="str">
            <v>Mall</v>
          </cell>
          <cell r="D341" t="str">
            <v>P.E.: VENTANAL</v>
          </cell>
          <cell r="E341" t="str">
            <v>VENTANAL</v>
          </cell>
          <cell r="F341" t="str">
            <v>Ver ficha</v>
          </cell>
          <cell r="G341" t="str">
            <v>Ver ficha</v>
          </cell>
          <cell r="I341" t="str">
            <v>2º NIVEL MOKKA</v>
          </cell>
          <cell r="J341">
            <v>75000</v>
          </cell>
          <cell r="L341">
            <v>1680000</v>
          </cell>
          <cell r="M341" t="str">
            <v>MALL PARQUE ARAUCO</v>
          </cell>
          <cell r="Q341" t="str">
            <v>ESPECIAL</v>
          </cell>
          <cell r="R341" t="str">
            <v>Mall - Santiago</v>
          </cell>
          <cell r="S341" t="str">
            <v>Parque Arauco</v>
          </cell>
          <cell r="T341" t="str">
            <v>Productos Especiales</v>
          </cell>
          <cell r="U341">
            <v>1</v>
          </cell>
          <cell r="V341" t="str">
            <v>NA</v>
          </cell>
        </row>
        <row r="342">
          <cell r="A342" t="str">
            <v>PAAR0077A</v>
          </cell>
          <cell r="B342" t="str">
            <v>Mall</v>
          </cell>
          <cell r="D342" t="str">
            <v>P.E.: SET ESCALERAS</v>
          </cell>
          <cell r="E342" t="str">
            <v>SET ESCALERAS</v>
          </cell>
          <cell r="F342" t="str">
            <v>Ver ficha</v>
          </cell>
          <cell r="G342" t="str">
            <v>Ver ficha</v>
          </cell>
          <cell r="J342">
            <v>150000</v>
          </cell>
          <cell r="L342">
            <v>3600000</v>
          </cell>
          <cell r="M342" t="str">
            <v>MALL PARQUE ARAUCO</v>
          </cell>
          <cell r="P342" t="str">
            <v>LAS CONDES</v>
          </cell>
          <cell r="Q342" t="str">
            <v>ESPECIAL</v>
          </cell>
          <cell r="R342" t="str">
            <v>Mall - Santiago</v>
          </cell>
          <cell r="S342" t="str">
            <v>Parque Arauco</v>
          </cell>
          <cell r="T342" t="str">
            <v>Productos Especiales</v>
          </cell>
          <cell r="U342">
            <v>1</v>
          </cell>
          <cell r="V342" t="str">
            <v>NA</v>
          </cell>
        </row>
        <row r="343">
          <cell r="A343" t="str">
            <v>PAAR0078A</v>
          </cell>
          <cell r="B343" t="str">
            <v>Mall</v>
          </cell>
          <cell r="D343" t="str">
            <v>P.E.: CENEFAS ESTACIONAMIENTOS</v>
          </cell>
          <cell r="E343" t="str">
            <v>CENEFAS ESTACIONAMIENTOS</v>
          </cell>
          <cell r="F343" t="str">
            <v>Ver ficha</v>
          </cell>
          <cell r="G343" t="str">
            <v>Ver ficha</v>
          </cell>
          <cell r="J343">
            <v>215000</v>
          </cell>
          <cell r="L343">
            <v>3080000</v>
          </cell>
          <cell r="M343" t="str">
            <v>MALL PARQUE ARAUCO</v>
          </cell>
          <cell r="P343" t="str">
            <v>LAS CONDES</v>
          </cell>
          <cell r="Q343" t="str">
            <v>ESPECIAL</v>
          </cell>
          <cell r="R343" t="str">
            <v>Mall - Santiago</v>
          </cell>
          <cell r="S343" t="str">
            <v>Parque Arauco</v>
          </cell>
          <cell r="T343" t="str">
            <v>Productos Especiales</v>
          </cell>
          <cell r="U343">
            <v>4</v>
          </cell>
          <cell r="V343" t="str">
            <v>NA</v>
          </cell>
        </row>
        <row r="344">
          <cell r="A344" t="str">
            <v>PAAR0078B</v>
          </cell>
          <cell r="B344" t="str">
            <v>Mall</v>
          </cell>
          <cell r="D344" t="str">
            <v>P.E.: CENEFAS ESTACIONAMIENTOS</v>
          </cell>
          <cell r="E344" t="str">
            <v>CENEFAS ESTACIONAMIENTOS</v>
          </cell>
          <cell r="F344" t="str">
            <v>Ver ficha</v>
          </cell>
          <cell r="G344" t="str">
            <v>Ver ficha</v>
          </cell>
          <cell r="J344">
            <v>215000</v>
          </cell>
          <cell r="L344">
            <v>3080000</v>
          </cell>
          <cell r="M344" t="str">
            <v>MALL PARQUE ARAUCO</v>
          </cell>
          <cell r="P344" t="str">
            <v>LAS CONDES</v>
          </cell>
          <cell r="Q344" t="str">
            <v>ESPECIAL</v>
          </cell>
          <cell r="R344" t="str">
            <v>Mall - Santiago</v>
          </cell>
          <cell r="S344" t="str">
            <v>Parque Arauco</v>
          </cell>
          <cell r="T344" t="str">
            <v>Productos Especiales</v>
          </cell>
          <cell r="U344">
            <v>4</v>
          </cell>
          <cell r="V344" t="str">
            <v>NA</v>
          </cell>
        </row>
        <row r="345">
          <cell r="A345" t="str">
            <v>PAAR0078C</v>
          </cell>
          <cell r="B345" t="str">
            <v>Mall</v>
          </cell>
          <cell r="D345" t="str">
            <v>P.E.: CENEFAS ESTACIONAMIENTOS</v>
          </cell>
          <cell r="E345" t="str">
            <v>CENEFAS ESTACIONAMIENTOS</v>
          </cell>
          <cell r="J345">
            <v>215000</v>
          </cell>
          <cell r="L345">
            <v>3080000</v>
          </cell>
          <cell r="M345" t="str">
            <v>MALL PARQUE ARAUCO</v>
          </cell>
          <cell r="P345" t="str">
            <v>LAS CONDES</v>
          </cell>
          <cell r="Q345" t="str">
            <v>ESPECIAL</v>
          </cell>
          <cell r="R345" t="str">
            <v>Mall - Santiago</v>
          </cell>
          <cell r="S345" t="str">
            <v>Parque Arauco</v>
          </cell>
          <cell r="T345" t="str">
            <v>Productos Especiales</v>
          </cell>
          <cell r="U345">
            <v>4</v>
          </cell>
          <cell r="V345" t="str">
            <v>NA</v>
          </cell>
        </row>
        <row r="346">
          <cell r="A346" t="str">
            <v>PAAR0078D</v>
          </cell>
          <cell r="B346" t="str">
            <v>Mall</v>
          </cell>
          <cell r="D346" t="str">
            <v>P.E.: CENEFAS ESTACIONAMIENTOS</v>
          </cell>
          <cell r="E346" t="str">
            <v>CENEFAS ESTACIONAMIENTOS</v>
          </cell>
          <cell r="F346" t="str">
            <v>Ver ficha</v>
          </cell>
          <cell r="G346" t="str">
            <v>Ver ficha</v>
          </cell>
          <cell r="J346">
            <v>215000</v>
          </cell>
          <cell r="L346">
            <v>3080000</v>
          </cell>
          <cell r="M346" t="str">
            <v>MALL PARQUE ARAUCO</v>
          </cell>
          <cell r="P346" t="str">
            <v>LAS CONDES</v>
          </cell>
          <cell r="Q346" t="str">
            <v>ESPECIAL</v>
          </cell>
          <cell r="R346" t="str">
            <v>Mall - Santiago</v>
          </cell>
          <cell r="S346" t="str">
            <v>Parque Arauco</v>
          </cell>
          <cell r="T346" t="str">
            <v>Productos Especiales</v>
          </cell>
          <cell r="U346">
            <v>4</v>
          </cell>
          <cell r="V346" t="str">
            <v>NA</v>
          </cell>
        </row>
        <row r="347">
          <cell r="A347" t="str">
            <v>PAAR0079A</v>
          </cell>
          <cell r="B347" t="str">
            <v>Mall</v>
          </cell>
          <cell r="D347" t="str">
            <v>P.E.: CORPOREO</v>
          </cell>
          <cell r="E347" t="str">
            <v>CORPOREO</v>
          </cell>
          <cell r="F347" t="str">
            <v>Ver ficha</v>
          </cell>
          <cell r="G347" t="str">
            <v>Ver ficha</v>
          </cell>
          <cell r="J347">
            <v>455000</v>
          </cell>
          <cell r="L347">
            <v>2100000</v>
          </cell>
          <cell r="M347" t="str">
            <v>MALL PARQUE ARAUCO</v>
          </cell>
          <cell r="Q347" t="str">
            <v>ESPECIAL</v>
          </cell>
          <cell r="R347" t="str">
            <v>Mall - Santiago</v>
          </cell>
          <cell r="S347" t="str">
            <v>Parque Arauco</v>
          </cell>
          <cell r="T347" t="str">
            <v>Productos Especiales</v>
          </cell>
          <cell r="U347">
            <v>1</v>
          </cell>
          <cell r="V347" t="str">
            <v>NA</v>
          </cell>
        </row>
        <row r="348">
          <cell r="A348" t="str">
            <v>PAAR0080A</v>
          </cell>
          <cell r="B348" t="str">
            <v>Mall</v>
          </cell>
          <cell r="D348" t="str">
            <v>P.E.: CORPOREO</v>
          </cell>
          <cell r="E348" t="str">
            <v>CORPOREO</v>
          </cell>
          <cell r="F348" t="str">
            <v>Ver ficha</v>
          </cell>
          <cell r="G348" t="str">
            <v>Ver ficha</v>
          </cell>
          <cell r="J348">
            <v>455000</v>
          </cell>
          <cell r="L348">
            <v>2100000</v>
          </cell>
          <cell r="M348" t="str">
            <v>MALL PARQUE ARAUCO</v>
          </cell>
          <cell r="P348" t="str">
            <v>LAS CONDES</v>
          </cell>
          <cell r="Q348" t="str">
            <v>ESPECIAL</v>
          </cell>
          <cell r="R348" t="str">
            <v>Mall - Santiago</v>
          </cell>
          <cell r="S348" t="str">
            <v>Parque Arauco</v>
          </cell>
          <cell r="T348" t="str">
            <v>Productos Especiales</v>
          </cell>
          <cell r="U348">
            <v>4</v>
          </cell>
          <cell r="V348" t="str">
            <v>NA</v>
          </cell>
        </row>
        <row r="349">
          <cell r="A349" t="str">
            <v>PAAR0081A</v>
          </cell>
          <cell r="B349" t="str">
            <v>Mall</v>
          </cell>
          <cell r="D349" t="str">
            <v>P.E.: MAMPARA</v>
          </cell>
          <cell r="E349" t="str">
            <v>MAMPARA</v>
          </cell>
          <cell r="F349" t="str">
            <v>Ver ficha</v>
          </cell>
          <cell r="G349" t="str">
            <v>Ver ficha</v>
          </cell>
          <cell r="J349">
            <v>50000</v>
          </cell>
          <cell r="L349">
            <v>3500000</v>
          </cell>
          <cell r="M349" t="str">
            <v>MALL PARQUE ARAUCO</v>
          </cell>
          <cell r="P349" t="str">
            <v>LAS CONDES</v>
          </cell>
          <cell r="Q349" t="str">
            <v>ESPECIAL</v>
          </cell>
          <cell r="R349" t="str">
            <v>Mall - Santiago</v>
          </cell>
          <cell r="T349" t="str">
            <v>Productos Especiales</v>
          </cell>
          <cell r="U349">
            <v>4</v>
          </cell>
          <cell r="V349" t="str">
            <v>NA</v>
          </cell>
        </row>
        <row r="350">
          <cell r="A350" t="str">
            <v>PAAR0082A</v>
          </cell>
          <cell r="B350" t="str">
            <v>Mall</v>
          </cell>
          <cell r="D350" t="str">
            <v>P.E.: VENTANAL</v>
          </cell>
          <cell r="E350" t="str">
            <v>VENTANAL</v>
          </cell>
          <cell r="F350" t="str">
            <v>Ver ficha</v>
          </cell>
          <cell r="G350" t="str">
            <v>Ver ficha</v>
          </cell>
          <cell r="J350">
            <v>320000</v>
          </cell>
          <cell r="L350">
            <v>2250000</v>
          </cell>
          <cell r="M350" t="str">
            <v>MALL PARQUE ARAUCO</v>
          </cell>
          <cell r="P350" t="str">
            <v>LAS CONDES</v>
          </cell>
          <cell r="Q350" t="str">
            <v>ESPECIAL</v>
          </cell>
          <cell r="R350" t="str">
            <v>Mall - Santiago</v>
          </cell>
          <cell r="T350" t="str">
            <v>Productos Especiales</v>
          </cell>
          <cell r="U350">
            <v>4</v>
          </cell>
          <cell r="V350" t="str">
            <v>NA</v>
          </cell>
        </row>
        <row r="351">
          <cell r="A351" t="str">
            <v>PAAR0083A</v>
          </cell>
          <cell r="B351" t="str">
            <v>Mall</v>
          </cell>
          <cell r="D351" t="str">
            <v>P.E.: PANEL ACCESO</v>
          </cell>
          <cell r="E351" t="str">
            <v>PANEL ACCESO</v>
          </cell>
          <cell r="F351" t="str">
            <v>Ver ficha</v>
          </cell>
          <cell r="G351" t="str">
            <v>Ver ficha</v>
          </cell>
          <cell r="J351">
            <v>400000</v>
          </cell>
          <cell r="L351">
            <v>4200000</v>
          </cell>
          <cell r="M351" t="str">
            <v>MALL PARQUE ARAUCO</v>
          </cell>
          <cell r="P351" t="str">
            <v>LAS CONDES</v>
          </cell>
          <cell r="Q351" t="str">
            <v>ESPECIAL</v>
          </cell>
          <cell r="R351" t="str">
            <v>Mall - Santiago</v>
          </cell>
          <cell r="T351" t="str">
            <v>Productos Especiales</v>
          </cell>
          <cell r="U351">
            <v>4</v>
          </cell>
          <cell r="V351" t="str">
            <v>NA</v>
          </cell>
        </row>
        <row r="352">
          <cell r="A352" t="str">
            <v>POLD0007A</v>
          </cell>
          <cell r="B352" t="str">
            <v>Mall</v>
          </cell>
          <cell r="D352" t="str">
            <v>P.E.: Adhesivos Escaleras y Pisos</v>
          </cell>
          <cell r="E352" t="str">
            <v>Adhesivos Escaleras y Pisos</v>
          </cell>
          <cell r="F352" t="str">
            <v>ver ficha</v>
          </cell>
          <cell r="G352" t="str">
            <v>ver ficha</v>
          </cell>
          <cell r="J352">
            <v>180000</v>
          </cell>
          <cell r="L352">
            <v>5312000</v>
          </cell>
          <cell r="M352" t="str">
            <v>PORTAL LA DEHESA</v>
          </cell>
          <cell r="P352" t="str">
            <v>LO BARNECHEA</v>
          </cell>
          <cell r="Q352" t="str">
            <v>ESPECIAL</v>
          </cell>
          <cell r="R352" t="str">
            <v>Mall - Santiago</v>
          </cell>
          <cell r="S352" t="str">
            <v>Inversiones Las Verbenas</v>
          </cell>
          <cell r="T352" t="str">
            <v>Productos Especiales</v>
          </cell>
          <cell r="U352">
            <v>1</v>
          </cell>
          <cell r="V352" t="str">
            <v>NA</v>
          </cell>
        </row>
        <row r="353">
          <cell r="A353" t="str">
            <v>POLD0008A</v>
          </cell>
          <cell r="B353" t="str">
            <v>Mall</v>
          </cell>
          <cell r="D353" t="str">
            <v>P.E.: Adhesivos espejos baños y puertas</v>
          </cell>
          <cell r="E353" t="str">
            <v>Adhesivos espejos baños y puertas</v>
          </cell>
          <cell r="F353" t="str">
            <v>Ver ficha</v>
          </cell>
          <cell r="G353" t="str">
            <v>Ver ficha</v>
          </cell>
          <cell r="J353">
            <v>3600000</v>
          </cell>
          <cell r="L353">
            <v>3600000</v>
          </cell>
          <cell r="M353" t="str">
            <v>PORTAL LA DEHESA</v>
          </cell>
          <cell r="P353" t="str">
            <v>LO BARNECHEA</v>
          </cell>
          <cell r="Q353" t="str">
            <v>ESPECIAL</v>
          </cell>
          <cell r="R353" t="str">
            <v>Mall - Santiago</v>
          </cell>
          <cell r="S353" t="str">
            <v>Inversiones Las Verbenas</v>
          </cell>
          <cell r="T353" t="str">
            <v>Productos Especiales</v>
          </cell>
          <cell r="U353">
            <v>1</v>
          </cell>
          <cell r="V353" t="str">
            <v>NA</v>
          </cell>
        </row>
        <row r="354">
          <cell r="A354" t="str">
            <v>ALC 0001A</v>
          </cell>
          <cell r="B354" t="str">
            <v>Mall</v>
          </cell>
          <cell r="D354" t="str">
            <v>Paletas</v>
          </cell>
          <cell r="E354" t="str">
            <v>Paletas</v>
          </cell>
          <cell r="F354" t="str">
            <v>1.10 * 1.53</v>
          </cell>
          <cell r="G354" t="str">
            <v>1.15 * 1.57</v>
          </cell>
          <cell r="H354" t="str">
            <v>E</v>
          </cell>
          <cell r="I354" t="str">
            <v>ESTACIONAMIENTOS</v>
          </cell>
          <cell r="J354">
            <v>0</v>
          </cell>
          <cell r="K354">
            <v>0</v>
          </cell>
          <cell r="L354">
            <v>380000</v>
          </cell>
          <cell r="M354" t="str">
            <v>MALL ALTO LAS CONDES</v>
          </cell>
          <cell r="P354" t="str">
            <v>LAS CONDES</v>
          </cell>
          <cell r="Q354" t="str">
            <v>TRADICIONAL</v>
          </cell>
          <cell r="R354" t="str">
            <v>Mall - Santiago</v>
          </cell>
          <cell r="S354" t="str">
            <v>Inversiones Las Verbenas</v>
          </cell>
          <cell r="T354" t="str">
            <v>Paletas</v>
          </cell>
          <cell r="U354">
            <v>1</v>
          </cell>
          <cell r="V354" t="str">
            <v>1.10 * 1.53</v>
          </cell>
        </row>
        <row r="355">
          <cell r="A355" t="str">
            <v>ALC 0001B</v>
          </cell>
          <cell r="B355" t="str">
            <v>Mall</v>
          </cell>
          <cell r="D355" t="str">
            <v>Paletas</v>
          </cell>
          <cell r="E355" t="str">
            <v>Paletas</v>
          </cell>
          <cell r="F355" t="str">
            <v>1.10 * 1.53</v>
          </cell>
          <cell r="G355" t="str">
            <v>1.15 * 1.57</v>
          </cell>
          <cell r="H355" t="str">
            <v>E</v>
          </cell>
          <cell r="I355" t="str">
            <v>ESTACIONAMIENTOS</v>
          </cell>
          <cell r="J355">
            <v>0</v>
          </cell>
          <cell r="K355">
            <v>0</v>
          </cell>
          <cell r="L355">
            <v>160000</v>
          </cell>
          <cell r="M355" t="str">
            <v>MALL ALTO LAS CONDES</v>
          </cell>
          <cell r="P355" t="str">
            <v>LAS CONDES</v>
          </cell>
          <cell r="Q355" t="str">
            <v>TRADICIONAL</v>
          </cell>
          <cell r="R355" t="str">
            <v>Mall - Santiago</v>
          </cell>
          <cell r="S355" t="str">
            <v>Inversiones Las Verbenas</v>
          </cell>
          <cell r="T355" t="str">
            <v>Paletas</v>
          </cell>
          <cell r="U355">
            <v>1</v>
          </cell>
          <cell r="V355" t="str">
            <v>1.10 * 1.53</v>
          </cell>
        </row>
        <row r="356">
          <cell r="A356" t="str">
            <v>ALC 0002A</v>
          </cell>
          <cell r="B356" t="str">
            <v>Mall</v>
          </cell>
          <cell r="D356" t="str">
            <v>Paletas</v>
          </cell>
          <cell r="E356" t="str">
            <v>Paletas</v>
          </cell>
          <cell r="F356" t="str">
            <v>1.10 * 1.53</v>
          </cell>
          <cell r="G356" t="str">
            <v>1.15 * 1.57</v>
          </cell>
          <cell r="H356" t="str">
            <v>E</v>
          </cell>
          <cell r="I356" t="str">
            <v>ESTACIONAMIENTOS</v>
          </cell>
          <cell r="J356">
            <v>0</v>
          </cell>
          <cell r="K356">
            <v>0</v>
          </cell>
          <cell r="L356">
            <v>380000</v>
          </cell>
          <cell r="M356" t="str">
            <v>MALL ALTO LAS CONDES</v>
          </cell>
          <cell r="P356" t="str">
            <v>LAS CONDES</v>
          </cell>
          <cell r="Q356" t="str">
            <v>TRADICIONAL</v>
          </cell>
          <cell r="R356" t="str">
            <v>Mall - Santiago</v>
          </cell>
          <cell r="S356" t="str">
            <v>Inversiones Las Verbenas</v>
          </cell>
          <cell r="T356" t="str">
            <v>Paletas</v>
          </cell>
          <cell r="U356">
            <v>1</v>
          </cell>
          <cell r="V356" t="str">
            <v>1.10 * 1.53</v>
          </cell>
        </row>
        <row r="357">
          <cell r="A357" t="str">
            <v>ALC 0003A</v>
          </cell>
          <cell r="B357" t="str">
            <v>Mall</v>
          </cell>
          <cell r="D357" t="str">
            <v>Paletas</v>
          </cell>
          <cell r="E357" t="str">
            <v>Paletas</v>
          </cell>
          <cell r="F357" t="str">
            <v>1.10 * 1.53</v>
          </cell>
          <cell r="G357" t="str">
            <v>1.15 * 1.57</v>
          </cell>
          <cell r="H357" t="str">
            <v>E</v>
          </cell>
          <cell r="I357" t="str">
            <v>ESTACIONAMIENTOS</v>
          </cell>
          <cell r="J357">
            <v>0</v>
          </cell>
          <cell r="K357">
            <v>0</v>
          </cell>
          <cell r="L357">
            <v>380000</v>
          </cell>
          <cell r="M357" t="str">
            <v>MALL ALTO LAS CONDES</v>
          </cell>
          <cell r="P357" t="str">
            <v>LAS CONDES</v>
          </cell>
          <cell r="Q357" t="str">
            <v>TRADICIONAL</v>
          </cell>
          <cell r="R357" t="str">
            <v>Mall - Santiago</v>
          </cell>
          <cell r="S357" t="str">
            <v>Inversiones Las Verbenas</v>
          </cell>
          <cell r="T357" t="str">
            <v>Paletas</v>
          </cell>
          <cell r="U357">
            <v>1</v>
          </cell>
          <cell r="V357" t="str">
            <v>1.10 * 1.53</v>
          </cell>
        </row>
        <row r="358">
          <cell r="A358" t="str">
            <v>ALC 0003B</v>
          </cell>
          <cell r="B358" t="str">
            <v>Mall</v>
          </cell>
          <cell r="D358" t="str">
            <v>Paletas</v>
          </cell>
          <cell r="E358" t="str">
            <v>Paletas</v>
          </cell>
          <cell r="F358" t="str">
            <v>1.10 * 1.53</v>
          </cell>
          <cell r="G358" t="str">
            <v>1.15 * 1.57</v>
          </cell>
          <cell r="H358" t="str">
            <v>E</v>
          </cell>
          <cell r="I358" t="str">
            <v>ESTACIONAMIENTOS</v>
          </cell>
          <cell r="J358">
            <v>0</v>
          </cell>
          <cell r="K358">
            <v>0</v>
          </cell>
          <cell r="L358">
            <v>0</v>
          </cell>
          <cell r="M358" t="str">
            <v>MALL ALTO LAS CONDES</v>
          </cell>
          <cell r="P358" t="str">
            <v>LAS CONDES</v>
          </cell>
          <cell r="Q358" t="str">
            <v>TRADICIONAL</v>
          </cell>
          <cell r="R358" t="str">
            <v>Mall - Santiago</v>
          </cell>
          <cell r="S358" t="str">
            <v>Inversiones Las Verbenas</v>
          </cell>
          <cell r="T358" t="str">
            <v>Paletas</v>
          </cell>
          <cell r="U358">
            <v>1</v>
          </cell>
          <cell r="V358" t="str">
            <v>1.10 * 1.53</v>
          </cell>
        </row>
        <row r="359">
          <cell r="A359" t="str">
            <v>ALC 0004A</v>
          </cell>
          <cell r="B359" t="str">
            <v>Mall</v>
          </cell>
          <cell r="D359" t="str">
            <v>Paletas</v>
          </cell>
          <cell r="E359" t="str">
            <v>Paletas</v>
          </cell>
          <cell r="F359" t="str">
            <v>1.10 * 1.53</v>
          </cell>
          <cell r="G359" t="str">
            <v>1.15 * 1.57</v>
          </cell>
          <cell r="H359" t="str">
            <v>E</v>
          </cell>
          <cell r="I359" t="str">
            <v>ESTACIONAMIENTOS</v>
          </cell>
          <cell r="J359">
            <v>0</v>
          </cell>
          <cell r="K359">
            <v>0</v>
          </cell>
          <cell r="L359">
            <v>380000</v>
          </cell>
          <cell r="M359" t="str">
            <v>MALL ALTO LAS CONDES</v>
          </cell>
          <cell r="P359" t="str">
            <v>LAS CONDES</v>
          </cell>
          <cell r="Q359" t="str">
            <v>TRADICIONAL</v>
          </cell>
          <cell r="R359" t="str">
            <v>Mall - Santiago</v>
          </cell>
          <cell r="S359" t="str">
            <v>Inversiones Las Verbenas</v>
          </cell>
          <cell r="T359" t="str">
            <v>Paletas</v>
          </cell>
          <cell r="U359">
            <v>1</v>
          </cell>
          <cell r="V359" t="str">
            <v>1.10 * 1.53</v>
          </cell>
        </row>
        <row r="360">
          <cell r="A360" t="str">
            <v>ALC 0004B</v>
          </cell>
          <cell r="B360" t="str">
            <v>Mall</v>
          </cell>
          <cell r="D360" t="str">
            <v>Paletas</v>
          </cell>
          <cell r="E360" t="str">
            <v>Paletas</v>
          </cell>
          <cell r="F360" t="str">
            <v>1.10 * 1.53</v>
          </cell>
          <cell r="G360" t="str">
            <v>1.15 * 1.57</v>
          </cell>
          <cell r="H360" t="str">
            <v>E</v>
          </cell>
          <cell r="I360" t="str">
            <v>ESTACIONAMIENTOS</v>
          </cell>
          <cell r="J360">
            <v>0</v>
          </cell>
          <cell r="K360">
            <v>0</v>
          </cell>
          <cell r="L360">
            <v>0</v>
          </cell>
          <cell r="M360" t="str">
            <v>MALL ALTO LAS CONDES</v>
          </cell>
          <cell r="P360" t="str">
            <v>LAS CONDES</v>
          </cell>
          <cell r="Q360" t="str">
            <v>TRADICIONAL</v>
          </cell>
          <cell r="R360" t="str">
            <v>Mall - Santiago</v>
          </cell>
          <cell r="S360" t="str">
            <v>Inversiones Las Verbenas</v>
          </cell>
          <cell r="T360" t="str">
            <v>Paletas</v>
          </cell>
          <cell r="U360">
            <v>1</v>
          </cell>
          <cell r="V360" t="str">
            <v>1.10 * 1.53</v>
          </cell>
        </row>
        <row r="361">
          <cell r="A361" t="str">
            <v>ALC 0005A</v>
          </cell>
          <cell r="B361" t="str">
            <v>Mall</v>
          </cell>
          <cell r="D361" t="str">
            <v>Paletas</v>
          </cell>
          <cell r="E361" t="str">
            <v>Paletas</v>
          </cell>
          <cell r="F361" t="str">
            <v>1.10 * 1.53</v>
          </cell>
          <cell r="G361" t="str">
            <v>1.15 * 1.57</v>
          </cell>
          <cell r="H361" t="str">
            <v>E</v>
          </cell>
          <cell r="I361" t="str">
            <v>ESTACIONAMIENTOS</v>
          </cell>
          <cell r="J361">
            <v>0</v>
          </cell>
          <cell r="K361">
            <v>0</v>
          </cell>
          <cell r="L361">
            <v>380000</v>
          </cell>
          <cell r="M361" t="str">
            <v>MALL ALTO LAS CONDES</v>
          </cell>
          <cell r="P361" t="str">
            <v>LAS CONDES</v>
          </cell>
          <cell r="Q361" t="str">
            <v>TRADICIONAL</v>
          </cell>
          <cell r="R361" t="str">
            <v>Mall - Santiago</v>
          </cell>
          <cell r="S361" t="str">
            <v>Inversiones Las Verbenas</v>
          </cell>
          <cell r="T361" t="str">
            <v>Paletas</v>
          </cell>
          <cell r="U361">
            <v>1</v>
          </cell>
          <cell r="V361" t="str">
            <v>1.10 * 1.53</v>
          </cell>
        </row>
        <row r="362">
          <cell r="A362" t="str">
            <v>ALC 0006A</v>
          </cell>
          <cell r="B362" t="str">
            <v>Mall</v>
          </cell>
          <cell r="D362" t="str">
            <v>Paletas</v>
          </cell>
          <cell r="E362" t="str">
            <v>Paletas</v>
          </cell>
          <cell r="F362" t="str">
            <v>1.10 * 1.53</v>
          </cell>
          <cell r="G362" t="str">
            <v>1.15 * 1.57</v>
          </cell>
          <cell r="H362" t="str">
            <v>E</v>
          </cell>
          <cell r="I362" t="str">
            <v>ESTACIONAMIENTOS</v>
          </cell>
          <cell r="J362">
            <v>0</v>
          </cell>
          <cell r="K362">
            <v>0</v>
          </cell>
          <cell r="L362">
            <v>380000</v>
          </cell>
          <cell r="M362" t="str">
            <v>MALL ALTO LAS CONDES</v>
          </cell>
          <cell r="P362" t="str">
            <v>LAS CONDES</v>
          </cell>
          <cell r="Q362" t="str">
            <v>TRADICIONAL</v>
          </cell>
          <cell r="R362" t="str">
            <v>Mall - Santiago</v>
          </cell>
          <cell r="S362" t="str">
            <v>Inversiones Las Verbenas</v>
          </cell>
          <cell r="T362" t="str">
            <v>Paletas</v>
          </cell>
          <cell r="U362">
            <v>1</v>
          </cell>
          <cell r="V362" t="str">
            <v>1.10 * 1.53</v>
          </cell>
        </row>
        <row r="363">
          <cell r="A363" t="str">
            <v>ALC 0006B</v>
          </cell>
          <cell r="B363" t="str">
            <v>Mall</v>
          </cell>
          <cell r="D363" t="str">
            <v>Paletas</v>
          </cell>
          <cell r="E363" t="str">
            <v>Paletas</v>
          </cell>
          <cell r="F363" t="str">
            <v>1.10 * 1.53</v>
          </cell>
          <cell r="G363" t="str">
            <v>1.15 * 1.57</v>
          </cell>
          <cell r="H363" t="str">
            <v>E</v>
          </cell>
          <cell r="I363" t="str">
            <v>ESTACIONAMIENTOS</v>
          </cell>
          <cell r="J363">
            <v>0</v>
          </cell>
          <cell r="K363">
            <v>0</v>
          </cell>
          <cell r="L363">
            <v>180000</v>
          </cell>
          <cell r="M363" t="str">
            <v>MALL ALTO LAS CONDES</v>
          </cell>
          <cell r="P363" t="str">
            <v>LAS CONDES</v>
          </cell>
          <cell r="Q363" t="str">
            <v>TRADICIONAL</v>
          </cell>
          <cell r="R363" t="str">
            <v>Mall - Santiago</v>
          </cell>
          <cell r="S363" t="str">
            <v>Inversiones Las Verbenas</v>
          </cell>
          <cell r="T363" t="str">
            <v>Paletas</v>
          </cell>
          <cell r="U363">
            <v>1</v>
          </cell>
          <cell r="V363" t="str">
            <v>1.10 * 1.53</v>
          </cell>
        </row>
        <row r="364">
          <cell r="A364" t="str">
            <v>ALC 0007A</v>
          </cell>
          <cell r="B364" t="str">
            <v>Mall</v>
          </cell>
          <cell r="D364" t="str">
            <v>Paletas</v>
          </cell>
          <cell r="E364" t="str">
            <v>Paletas</v>
          </cell>
          <cell r="F364" t="str">
            <v>1.10 * 1.53</v>
          </cell>
          <cell r="G364" t="str">
            <v>1.15 * 1.57</v>
          </cell>
          <cell r="H364" t="str">
            <v>E</v>
          </cell>
          <cell r="I364" t="str">
            <v>ESTACIONAMIENTOS</v>
          </cell>
          <cell r="J364">
            <v>0</v>
          </cell>
          <cell r="K364">
            <v>0</v>
          </cell>
          <cell r="L364">
            <v>380000</v>
          </cell>
          <cell r="M364" t="str">
            <v>MALL ALTO LAS CONDES</v>
          </cell>
          <cell r="P364" t="str">
            <v>LAS CONDES</v>
          </cell>
          <cell r="Q364" t="str">
            <v>TRADICIONAL</v>
          </cell>
          <cell r="R364" t="str">
            <v>Mall - Santiago</v>
          </cell>
          <cell r="S364" t="str">
            <v>Inversiones Las Verbenas</v>
          </cell>
          <cell r="T364" t="str">
            <v>Paletas</v>
          </cell>
          <cell r="U364">
            <v>1</v>
          </cell>
          <cell r="V364" t="str">
            <v>1.10 * 1.53</v>
          </cell>
        </row>
        <row r="365">
          <cell r="A365" t="str">
            <v>ALC 0007B</v>
          </cell>
          <cell r="B365" t="str">
            <v>Mall</v>
          </cell>
          <cell r="D365" t="str">
            <v>Paletas</v>
          </cell>
          <cell r="E365" t="str">
            <v>Paletas</v>
          </cell>
          <cell r="F365" t="str">
            <v>1.10 * 1.53</v>
          </cell>
          <cell r="G365" t="str">
            <v>1.15 * 1.57</v>
          </cell>
          <cell r="H365" t="str">
            <v>E</v>
          </cell>
          <cell r="I365" t="str">
            <v>ESTACIONAMIENTOS</v>
          </cell>
          <cell r="J365">
            <v>0</v>
          </cell>
          <cell r="K365">
            <v>0</v>
          </cell>
          <cell r="L365">
            <v>380000</v>
          </cell>
          <cell r="M365" t="str">
            <v>MALL ALTO LAS CONDES</v>
          </cell>
          <cell r="P365" t="str">
            <v>LAS CONDES</v>
          </cell>
          <cell r="Q365" t="str">
            <v>TRADICIONAL</v>
          </cell>
          <cell r="R365" t="str">
            <v>Mall - Santiago</v>
          </cell>
          <cell r="S365" t="str">
            <v>Inversiones Las Verbenas</v>
          </cell>
          <cell r="T365" t="str">
            <v>Paletas</v>
          </cell>
          <cell r="U365">
            <v>1</v>
          </cell>
          <cell r="V365" t="str">
            <v>1.10 * 1.53</v>
          </cell>
        </row>
        <row r="366">
          <cell r="A366" t="str">
            <v>ALC 0008A</v>
          </cell>
          <cell r="B366" t="str">
            <v>Mall</v>
          </cell>
          <cell r="D366" t="str">
            <v>Paletas</v>
          </cell>
          <cell r="E366" t="str">
            <v>Paletas</v>
          </cell>
          <cell r="F366" t="str">
            <v>1.10 * 1.53</v>
          </cell>
          <cell r="G366" t="str">
            <v>1.15 * 1.57</v>
          </cell>
          <cell r="H366" t="str">
            <v>E</v>
          </cell>
          <cell r="I366" t="str">
            <v>ESTACIONAMIENTOS</v>
          </cell>
          <cell r="J366">
            <v>0</v>
          </cell>
          <cell r="K366">
            <v>0</v>
          </cell>
          <cell r="L366">
            <v>380000</v>
          </cell>
          <cell r="M366" t="str">
            <v>MALL ALTO LAS CONDES</v>
          </cell>
          <cell r="P366" t="str">
            <v>LAS CONDES</v>
          </cell>
          <cell r="Q366" t="str">
            <v>TRADICIONAL</v>
          </cell>
          <cell r="R366" t="str">
            <v>Mall - Santiago</v>
          </cell>
          <cell r="S366" t="str">
            <v>Inversiones Las Verbenas</v>
          </cell>
          <cell r="T366" t="str">
            <v>Paletas</v>
          </cell>
          <cell r="U366">
            <v>1</v>
          </cell>
          <cell r="V366" t="str">
            <v>1.10 * 1.53</v>
          </cell>
        </row>
        <row r="367">
          <cell r="A367" t="str">
            <v>ALC 0008B</v>
          </cell>
          <cell r="B367" t="str">
            <v>Mall</v>
          </cell>
          <cell r="D367" t="str">
            <v>Paletas</v>
          </cell>
          <cell r="E367" t="str">
            <v>Paletas</v>
          </cell>
          <cell r="F367" t="str">
            <v>1.10 * 1.53</v>
          </cell>
          <cell r="G367" t="str">
            <v>1.15 * 1.57</v>
          </cell>
          <cell r="H367" t="str">
            <v>E</v>
          </cell>
          <cell r="I367" t="str">
            <v>ESTACIONAMIENTOS</v>
          </cell>
          <cell r="J367">
            <v>0</v>
          </cell>
          <cell r="K367">
            <v>0</v>
          </cell>
          <cell r="L367">
            <v>0</v>
          </cell>
          <cell r="M367" t="str">
            <v>MALL ALTO LAS CONDES</v>
          </cell>
          <cell r="P367" t="str">
            <v>LAS CONDES</v>
          </cell>
          <cell r="Q367" t="str">
            <v>TRADICIONAL</v>
          </cell>
          <cell r="R367" t="str">
            <v>Mall - Santiago</v>
          </cell>
          <cell r="S367" t="str">
            <v>Inversiones Las Verbenas</v>
          </cell>
          <cell r="T367" t="str">
            <v>Paletas</v>
          </cell>
          <cell r="U367">
            <v>1</v>
          </cell>
          <cell r="V367" t="str">
            <v>1.10 * 1.53</v>
          </cell>
        </row>
        <row r="368">
          <cell r="A368" t="str">
            <v>ALC 0009A</v>
          </cell>
          <cell r="B368" t="str">
            <v>Mall</v>
          </cell>
          <cell r="D368" t="str">
            <v>Paletas</v>
          </cell>
          <cell r="E368" t="str">
            <v>Paletas</v>
          </cell>
          <cell r="F368" t="str">
            <v>1.10 * 1.53</v>
          </cell>
          <cell r="G368" t="str">
            <v>1.15 * 1.57</v>
          </cell>
          <cell r="H368" t="str">
            <v>E</v>
          </cell>
          <cell r="I368" t="str">
            <v>ESTACIONAMIENTOS</v>
          </cell>
          <cell r="J368">
            <v>0</v>
          </cell>
          <cell r="K368">
            <v>0</v>
          </cell>
          <cell r="L368">
            <v>380000</v>
          </cell>
          <cell r="M368" t="str">
            <v>MALL ALTO LAS CONDES</v>
          </cell>
          <cell r="P368" t="str">
            <v>LAS CONDES</v>
          </cell>
          <cell r="Q368" t="str">
            <v>TRADICIONAL</v>
          </cell>
          <cell r="R368" t="str">
            <v>Mall - Santiago</v>
          </cell>
          <cell r="S368" t="str">
            <v>Inversiones Las Verbenas</v>
          </cell>
          <cell r="T368" t="str">
            <v>Paletas</v>
          </cell>
          <cell r="U368">
            <v>1</v>
          </cell>
          <cell r="V368" t="str">
            <v>1.10 * 1.53</v>
          </cell>
        </row>
        <row r="369">
          <cell r="A369" t="str">
            <v>ALC 0010A</v>
          </cell>
          <cell r="B369" t="str">
            <v>Mall</v>
          </cell>
          <cell r="D369" t="str">
            <v>Paletas</v>
          </cell>
          <cell r="E369" t="str">
            <v>Paletas</v>
          </cell>
          <cell r="F369" t="str">
            <v>1.10 * 1.53</v>
          </cell>
          <cell r="G369" t="str">
            <v>1.15 * 1.57</v>
          </cell>
          <cell r="H369" t="str">
            <v>E</v>
          </cell>
          <cell r="I369" t="str">
            <v>ESTACIONAMIENTOS</v>
          </cell>
          <cell r="J369">
            <v>0</v>
          </cell>
          <cell r="K369">
            <v>0</v>
          </cell>
          <cell r="L369">
            <v>380000</v>
          </cell>
          <cell r="M369" t="str">
            <v>MALL ALTO LAS CONDES</v>
          </cell>
          <cell r="P369" t="str">
            <v>LAS CONDES</v>
          </cell>
          <cell r="Q369" t="str">
            <v>TRADICIONAL</v>
          </cell>
          <cell r="R369" t="str">
            <v>Mall - Santiago</v>
          </cell>
          <cell r="S369" t="str">
            <v>Inversiones Las Verbenas</v>
          </cell>
          <cell r="T369" t="str">
            <v>Paletas</v>
          </cell>
          <cell r="U369">
            <v>1</v>
          </cell>
          <cell r="V369" t="str">
            <v>1.10 * 1.53</v>
          </cell>
        </row>
        <row r="370">
          <cell r="A370" t="str">
            <v>ALC 0010B</v>
          </cell>
          <cell r="B370" t="str">
            <v>Mall</v>
          </cell>
          <cell r="D370" t="str">
            <v>Paletas</v>
          </cell>
          <cell r="E370" t="str">
            <v>Paletas</v>
          </cell>
          <cell r="F370" t="str">
            <v>1.10 * 1.53</v>
          </cell>
          <cell r="G370" t="str">
            <v>1.15 * 1.57</v>
          </cell>
          <cell r="H370" t="str">
            <v>E</v>
          </cell>
          <cell r="I370" t="str">
            <v>ESTACIONAMIENTOS</v>
          </cell>
          <cell r="J370">
            <v>0</v>
          </cell>
          <cell r="K370">
            <v>0</v>
          </cell>
          <cell r="L370">
            <v>180000</v>
          </cell>
          <cell r="M370" t="str">
            <v>MALL ALTO LAS CONDES</v>
          </cell>
          <cell r="P370" t="str">
            <v>LAS CONDES</v>
          </cell>
          <cell r="Q370" t="str">
            <v>TRADICIONAL</v>
          </cell>
          <cell r="R370" t="str">
            <v>Mall - Santiago</v>
          </cell>
          <cell r="S370" t="str">
            <v>Inversiones Las Verbenas</v>
          </cell>
          <cell r="T370" t="str">
            <v>Paletas</v>
          </cell>
          <cell r="U370">
            <v>1</v>
          </cell>
          <cell r="V370" t="str">
            <v>1.10 * 1.53</v>
          </cell>
        </row>
        <row r="371">
          <cell r="A371" t="str">
            <v>ALC 0011A</v>
          </cell>
          <cell r="B371" t="str">
            <v>Mall</v>
          </cell>
          <cell r="D371" t="str">
            <v>Cajas de luz</v>
          </cell>
          <cell r="E371" t="str">
            <v>Cajas de luz</v>
          </cell>
          <cell r="F371" t="str">
            <v>3.92 * 1.92</v>
          </cell>
          <cell r="G371" t="str">
            <v>4.20 * 2.20</v>
          </cell>
          <cell r="H371" t="str">
            <v>S</v>
          </cell>
          <cell r="I371" t="str">
            <v>ACCESO SALA DE V</v>
          </cell>
          <cell r="J371">
            <v>0</v>
          </cell>
          <cell r="K371">
            <v>0</v>
          </cell>
          <cell r="L371">
            <v>600000</v>
          </cell>
          <cell r="M371" t="str">
            <v>MALL ALTO LAS CONDES</v>
          </cell>
          <cell r="P371" t="str">
            <v>LAS CONDES</v>
          </cell>
          <cell r="Q371" t="str">
            <v>TRADICIONAL</v>
          </cell>
          <cell r="R371" t="str">
            <v>Mall - Santiago</v>
          </cell>
          <cell r="S371" t="str">
            <v>Inversiones Las Verbenas</v>
          </cell>
          <cell r="T371" t="str">
            <v>Cajas de luz</v>
          </cell>
          <cell r="U371">
            <v>1</v>
          </cell>
          <cell r="V371" t="str">
            <v>3.92 * 1.92</v>
          </cell>
        </row>
        <row r="372">
          <cell r="A372" t="str">
            <v>ALC 0012A</v>
          </cell>
          <cell r="B372" t="str">
            <v>Mall</v>
          </cell>
          <cell r="D372" t="str">
            <v>Cajas de luz</v>
          </cell>
          <cell r="E372" t="str">
            <v>Cajas de luz</v>
          </cell>
          <cell r="F372" t="str">
            <v>3.92 * 1.92</v>
          </cell>
          <cell r="G372" t="str">
            <v>4.20 * 2.20</v>
          </cell>
          <cell r="H372" t="str">
            <v>S</v>
          </cell>
          <cell r="I372" t="str">
            <v>ACCESO SALA DE V</v>
          </cell>
          <cell r="J372">
            <v>0</v>
          </cell>
          <cell r="K372">
            <v>0</v>
          </cell>
          <cell r="L372">
            <v>600000</v>
          </cell>
          <cell r="M372" t="str">
            <v>MALL ALTO LAS CONDES</v>
          </cell>
          <cell r="P372" t="str">
            <v>LAS CONDES</v>
          </cell>
          <cell r="Q372" t="str">
            <v>TRADICIONAL</v>
          </cell>
          <cell r="R372" t="str">
            <v>Mall - Santiago</v>
          </cell>
          <cell r="S372" t="str">
            <v>Inversiones Las Verbenas</v>
          </cell>
          <cell r="T372" t="str">
            <v>Cajas de luz</v>
          </cell>
          <cell r="U372">
            <v>1</v>
          </cell>
          <cell r="V372" t="str">
            <v>3.92 * 1.92</v>
          </cell>
        </row>
        <row r="373">
          <cell r="A373" t="str">
            <v>ALC 0013A</v>
          </cell>
          <cell r="B373" t="str">
            <v>Mall</v>
          </cell>
          <cell r="D373" t="str">
            <v>Cajas de luz</v>
          </cell>
          <cell r="E373" t="str">
            <v>Cajas de luz</v>
          </cell>
          <cell r="F373" t="str">
            <v>4.00 * 2.00</v>
          </cell>
          <cell r="G373" t="str">
            <v>4.20 * 2.20</v>
          </cell>
          <cell r="H373" t="str">
            <v>S</v>
          </cell>
          <cell r="I373" t="str">
            <v>ACCESO SALA DE V</v>
          </cell>
          <cell r="J373">
            <v>0</v>
          </cell>
          <cell r="K373">
            <v>0</v>
          </cell>
          <cell r="L373">
            <v>600000</v>
          </cell>
          <cell r="M373" t="str">
            <v>MALL ALTO LAS CONDES</v>
          </cell>
          <cell r="P373" t="str">
            <v>LAS CONDES</v>
          </cell>
          <cell r="Q373" t="str">
            <v>TRADICIONAL</v>
          </cell>
          <cell r="R373" t="str">
            <v>Mall - Santiago</v>
          </cell>
          <cell r="S373" t="str">
            <v>Inversiones Las Verbenas</v>
          </cell>
          <cell r="T373" t="str">
            <v>Cajas de luz</v>
          </cell>
          <cell r="U373">
            <v>1</v>
          </cell>
          <cell r="V373" t="str">
            <v>4.00 * 2.00</v>
          </cell>
        </row>
        <row r="374">
          <cell r="A374" t="str">
            <v>ALC 0014A</v>
          </cell>
          <cell r="B374" t="str">
            <v>Mall</v>
          </cell>
          <cell r="D374" t="str">
            <v>Cajas de luz</v>
          </cell>
          <cell r="E374" t="str">
            <v>Cajas de luz</v>
          </cell>
          <cell r="F374" t="str">
            <v>3.92 * 1.92</v>
          </cell>
          <cell r="G374" t="str">
            <v>4.20 * 2.20</v>
          </cell>
          <cell r="H374" t="str">
            <v>V</v>
          </cell>
          <cell r="I374" t="str">
            <v>ACCESO SALA DE V</v>
          </cell>
          <cell r="J374">
            <v>0</v>
          </cell>
          <cell r="K374">
            <v>0</v>
          </cell>
          <cell r="L374">
            <v>600000</v>
          </cell>
          <cell r="M374" t="str">
            <v>MALL ALTO LAS CONDES</v>
          </cell>
          <cell r="P374" t="str">
            <v>LAS CONDES</v>
          </cell>
          <cell r="Q374" t="str">
            <v>TRADICIONAL</v>
          </cell>
          <cell r="R374" t="str">
            <v>Mall - Santiago</v>
          </cell>
          <cell r="S374" t="str">
            <v>Inversiones Las Verbenas</v>
          </cell>
          <cell r="T374" t="str">
            <v>Cajas de luz</v>
          </cell>
          <cell r="U374">
            <v>1</v>
          </cell>
          <cell r="V374" t="str">
            <v>3.92 * 1.92</v>
          </cell>
        </row>
        <row r="375">
          <cell r="A375" t="str">
            <v>ALC 0015A</v>
          </cell>
          <cell r="B375" t="str">
            <v>Mall</v>
          </cell>
          <cell r="D375" t="str">
            <v>Cajas de luz</v>
          </cell>
          <cell r="E375" t="str">
            <v>Cajas de luz</v>
          </cell>
          <cell r="F375" t="str">
            <v>3.92 * 1.92</v>
          </cell>
          <cell r="G375" t="str">
            <v>4.20 * 2.20</v>
          </cell>
          <cell r="H375" t="str">
            <v>V</v>
          </cell>
          <cell r="I375" t="str">
            <v>ACCESO SALA DE V</v>
          </cell>
          <cell r="J375">
            <v>0</v>
          </cell>
          <cell r="K375">
            <v>0</v>
          </cell>
          <cell r="L375">
            <v>600000</v>
          </cell>
          <cell r="M375" t="str">
            <v>MALL ALTO LAS CONDES</v>
          </cell>
          <cell r="P375" t="str">
            <v>LAS CONDES</v>
          </cell>
          <cell r="Q375" t="str">
            <v>TRADICIONAL</v>
          </cell>
          <cell r="R375" t="str">
            <v>Mall - Santiago</v>
          </cell>
          <cell r="S375" t="str">
            <v>Inversiones Las Verbenas</v>
          </cell>
          <cell r="T375" t="str">
            <v>Cajas de luz</v>
          </cell>
          <cell r="U375">
            <v>1</v>
          </cell>
          <cell r="V375" t="str">
            <v>3.92 * 1.92</v>
          </cell>
        </row>
        <row r="376">
          <cell r="A376" t="str">
            <v>ALC 0016A</v>
          </cell>
          <cell r="B376" t="str">
            <v>Mall</v>
          </cell>
          <cell r="D376" t="str">
            <v>Cajas de luz</v>
          </cell>
          <cell r="E376" t="str">
            <v>Cajas de luz</v>
          </cell>
          <cell r="F376" t="str">
            <v>3.92 * 1.92</v>
          </cell>
          <cell r="G376" t="str">
            <v>4.20 * 2.20</v>
          </cell>
          <cell r="H376" t="str">
            <v>V</v>
          </cell>
          <cell r="I376" t="str">
            <v>ACCESO SALA DE V</v>
          </cell>
          <cell r="J376">
            <v>0</v>
          </cell>
          <cell r="K376">
            <v>0</v>
          </cell>
          <cell r="L376">
            <v>600000</v>
          </cell>
          <cell r="M376" t="str">
            <v>MALL ALTO LAS CONDES</v>
          </cell>
          <cell r="P376" t="str">
            <v>LAS CONDES</v>
          </cell>
          <cell r="Q376" t="str">
            <v>TRADICIONAL</v>
          </cell>
          <cell r="R376" t="str">
            <v>Mall - Santiago</v>
          </cell>
          <cell r="S376" t="str">
            <v>Inversiones Las Verbenas</v>
          </cell>
          <cell r="T376" t="str">
            <v>Cajas de luz</v>
          </cell>
          <cell r="U376">
            <v>1</v>
          </cell>
          <cell r="V376" t="str">
            <v>3.92 * 1.92</v>
          </cell>
        </row>
        <row r="377">
          <cell r="A377" t="str">
            <v>ALC 0017A</v>
          </cell>
          <cell r="B377" t="str">
            <v>Mall</v>
          </cell>
          <cell r="D377" t="str">
            <v>Pantallas Digitales</v>
          </cell>
          <cell r="E377" t="str">
            <v>Pantallas</v>
          </cell>
          <cell r="F377" t="str">
            <v>NA</v>
          </cell>
          <cell r="G377" t="str">
            <v>NA</v>
          </cell>
          <cell r="H377" t="str">
            <v>I</v>
          </cell>
          <cell r="I377" t="str">
            <v>Lote de 12 TV</v>
          </cell>
          <cell r="J377">
            <v>0</v>
          </cell>
          <cell r="K377">
            <v>0</v>
          </cell>
          <cell r="L377">
            <v>1100000</v>
          </cell>
          <cell r="M377" t="str">
            <v>MALL ALTO LAS CONDES</v>
          </cell>
          <cell r="P377" t="str">
            <v>LAS CONDES</v>
          </cell>
          <cell r="Q377" t="str">
            <v>PANTALLA</v>
          </cell>
          <cell r="R377" t="str">
            <v>Mall - Santiago</v>
          </cell>
          <cell r="S377" t="str">
            <v>Inversiones las Verbenas Digital</v>
          </cell>
          <cell r="T377" t="str">
            <v>Pantallas Digitales</v>
          </cell>
          <cell r="U377">
            <v>1</v>
          </cell>
          <cell r="V377" t="str">
            <v>NA</v>
          </cell>
        </row>
        <row r="378">
          <cell r="A378" t="str">
            <v>ALC 0017B</v>
          </cell>
          <cell r="B378" t="str">
            <v>Mall</v>
          </cell>
          <cell r="D378" t="str">
            <v>Pantallas Digitales</v>
          </cell>
          <cell r="E378" t="str">
            <v>Pantallas</v>
          </cell>
          <cell r="F378" t="str">
            <v>NA</v>
          </cell>
          <cell r="G378" t="str">
            <v>NA</v>
          </cell>
          <cell r="H378" t="str">
            <v>I</v>
          </cell>
          <cell r="I378" t="str">
            <v>Lote de 12 TV</v>
          </cell>
          <cell r="J378">
            <v>0</v>
          </cell>
          <cell r="K378">
            <v>0</v>
          </cell>
          <cell r="L378">
            <v>1100000</v>
          </cell>
          <cell r="M378" t="str">
            <v>MALL ALTO LAS CONDES</v>
          </cell>
          <cell r="P378" t="str">
            <v>LAS CONDES</v>
          </cell>
          <cell r="Q378" t="str">
            <v>PANTALLA</v>
          </cell>
          <cell r="R378" t="str">
            <v>Mall - Santiago</v>
          </cell>
          <cell r="S378" t="str">
            <v>Inversiones las Verbenas Digital</v>
          </cell>
          <cell r="T378" t="str">
            <v>Pantallas Digitales</v>
          </cell>
          <cell r="U378">
            <v>1</v>
          </cell>
          <cell r="V378" t="str">
            <v>NA</v>
          </cell>
        </row>
        <row r="379">
          <cell r="A379" t="str">
            <v>ALC 0017C</v>
          </cell>
          <cell r="B379" t="str">
            <v>Mall</v>
          </cell>
          <cell r="D379" t="str">
            <v>Pantallas Digitales</v>
          </cell>
          <cell r="E379" t="str">
            <v>Pantallas</v>
          </cell>
          <cell r="F379" t="str">
            <v>NA</v>
          </cell>
          <cell r="G379" t="str">
            <v>NA</v>
          </cell>
          <cell r="H379" t="str">
            <v>I</v>
          </cell>
          <cell r="I379" t="str">
            <v>lote de 12 tv</v>
          </cell>
          <cell r="J379">
            <v>0</v>
          </cell>
          <cell r="K379">
            <v>0</v>
          </cell>
          <cell r="L379">
            <v>1100000</v>
          </cell>
          <cell r="M379" t="str">
            <v>MALL ALTO LAS CONDES</v>
          </cell>
          <cell r="P379" t="str">
            <v>LAS CONDES</v>
          </cell>
          <cell r="Q379" t="str">
            <v>PANTALLA</v>
          </cell>
          <cell r="R379" t="str">
            <v>Mall - Santiago</v>
          </cell>
          <cell r="S379" t="str">
            <v>Inversiones las Verbenas Digital</v>
          </cell>
          <cell r="T379" t="str">
            <v>Pantallas Digitales</v>
          </cell>
          <cell r="U379">
            <v>1</v>
          </cell>
          <cell r="V379" t="str">
            <v>NA</v>
          </cell>
        </row>
        <row r="380">
          <cell r="A380" t="str">
            <v>ALC 0017D</v>
          </cell>
          <cell r="B380" t="str">
            <v>Mall</v>
          </cell>
          <cell r="D380" t="str">
            <v>Pantallas Digitales</v>
          </cell>
          <cell r="E380" t="str">
            <v>Pantallas</v>
          </cell>
          <cell r="F380" t="str">
            <v>NA</v>
          </cell>
          <cell r="G380" t="str">
            <v>NA</v>
          </cell>
          <cell r="H380" t="str">
            <v>I</v>
          </cell>
          <cell r="I380" t="str">
            <v>Lote de 12 TV</v>
          </cell>
          <cell r="J380">
            <v>0</v>
          </cell>
          <cell r="K380">
            <v>0</v>
          </cell>
          <cell r="L380">
            <v>1100000</v>
          </cell>
          <cell r="M380" t="str">
            <v>MALL ALTO LAS CONDES</v>
          </cell>
          <cell r="P380" t="str">
            <v>LAS CONDES</v>
          </cell>
          <cell r="Q380" t="str">
            <v>PANTALLA</v>
          </cell>
          <cell r="R380" t="str">
            <v>Mall - Santiago</v>
          </cell>
          <cell r="S380" t="str">
            <v>Inversiones las Verbenas Digital</v>
          </cell>
          <cell r="T380" t="str">
            <v>Pantallas Digitales</v>
          </cell>
          <cell r="U380">
            <v>1</v>
          </cell>
          <cell r="V380" t="str">
            <v>NA</v>
          </cell>
        </row>
        <row r="381">
          <cell r="A381" t="str">
            <v>ALC 0017E</v>
          </cell>
          <cell r="B381" t="str">
            <v>Mall</v>
          </cell>
          <cell r="D381" t="str">
            <v>Pantallas Digitales</v>
          </cell>
          <cell r="E381" t="str">
            <v>Pantallas</v>
          </cell>
          <cell r="F381" t="str">
            <v>NA</v>
          </cell>
          <cell r="G381" t="str">
            <v>NA</v>
          </cell>
          <cell r="I381" t="str">
            <v>Lote de 12 TV</v>
          </cell>
          <cell r="J381">
            <v>0</v>
          </cell>
          <cell r="K381">
            <v>0</v>
          </cell>
          <cell r="L381">
            <v>1100000</v>
          </cell>
          <cell r="M381" t="str">
            <v>MALL ALTO LAS CONDES</v>
          </cell>
          <cell r="P381" t="str">
            <v>LAS CONDES</v>
          </cell>
          <cell r="Q381" t="str">
            <v>PANTALLA</v>
          </cell>
          <cell r="R381" t="str">
            <v>Mall - Santiago</v>
          </cell>
          <cell r="S381" t="str">
            <v>Inversiones las Verbenas Digital</v>
          </cell>
          <cell r="T381" t="str">
            <v>Pantallas Digitales</v>
          </cell>
          <cell r="U381">
            <v>1</v>
          </cell>
          <cell r="V381" t="str">
            <v>NA</v>
          </cell>
        </row>
        <row r="382">
          <cell r="A382" t="str">
            <v>ALC 0017F</v>
          </cell>
          <cell r="B382" t="str">
            <v>Mall</v>
          </cell>
          <cell r="D382" t="str">
            <v>Pantallas Digitales</v>
          </cell>
          <cell r="E382" t="str">
            <v>Pantallas</v>
          </cell>
          <cell r="F382" t="str">
            <v>NA</v>
          </cell>
          <cell r="G382" t="str">
            <v>NA</v>
          </cell>
          <cell r="I382" t="str">
            <v>Lote de 12 TV</v>
          </cell>
          <cell r="J382">
            <v>0</v>
          </cell>
          <cell r="K382">
            <v>0</v>
          </cell>
          <cell r="L382">
            <v>1100000</v>
          </cell>
          <cell r="M382" t="str">
            <v>MALL ALTO LAS CONDES</v>
          </cell>
          <cell r="P382" t="str">
            <v>LAS CONDES</v>
          </cell>
          <cell r="Q382" t="str">
            <v>PANTALLA</v>
          </cell>
          <cell r="R382" t="str">
            <v>Mall - Santiago</v>
          </cell>
          <cell r="S382" t="str">
            <v>Inversiones las Verbenas Digital</v>
          </cell>
          <cell r="T382" t="str">
            <v>Pantallas Digitales</v>
          </cell>
          <cell r="U382">
            <v>1</v>
          </cell>
          <cell r="V382" t="str">
            <v>NA</v>
          </cell>
        </row>
        <row r="383">
          <cell r="A383" t="str">
            <v>ALC 0017G</v>
          </cell>
          <cell r="B383" t="str">
            <v>Mall</v>
          </cell>
          <cell r="D383" t="str">
            <v>Pantallas Digitales</v>
          </cell>
          <cell r="E383" t="str">
            <v>Pantallas</v>
          </cell>
          <cell r="F383" t="str">
            <v>NA</v>
          </cell>
          <cell r="G383" t="str">
            <v>NA</v>
          </cell>
          <cell r="I383" t="str">
            <v>Lote de 12 TV</v>
          </cell>
          <cell r="J383">
            <v>0</v>
          </cell>
          <cell r="K383">
            <v>0</v>
          </cell>
          <cell r="L383">
            <v>1100000</v>
          </cell>
          <cell r="M383" t="str">
            <v>MALL ALTO LAS CONDES</v>
          </cell>
          <cell r="P383" t="str">
            <v>LAS CONDES</v>
          </cell>
          <cell r="Q383" t="str">
            <v>PANTALLA</v>
          </cell>
          <cell r="R383" t="str">
            <v>Mall - Santiago</v>
          </cell>
          <cell r="S383" t="str">
            <v>Inversiones las Verbenas Digital</v>
          </cell>
          <cell r="T383" t="str">
            <v>Pantallas Digitales</v>
          </cell>
          <cell r="U383">
            <v>1</v>
          </cell>
          <cell r="V383" t="str">
            <v>NA</v>
          </cell>
        </row>
        <row r="384">
          <cell r="A384" t="str">
            <v>ALC 0017H</v>
          </cell>
          <cell r="B384" t="str">
            <v>Mall</v>
          </cell>
          <cell r="D384" t="str">
            <v>Pantallas Digitales</v>
          </cell>
          <cell r="E384" t="str">
            <v>Pantallas</v>
          </cell>
          <cell r="F384" t="str">
            <v>NA</v>
          </cell>
          <cell r="G384" t="str">
            <v>NA</v>
          </cell>
          <cell r="I384" t="str">
            <v>Lote de 12 TV</v>
          </cell>
          <cell r="J384">
            <v>0</v>
          </cell>
          <cell r="K384">
            <v>0</v>
          </cell>
          <cell r="L384">
            <v>1100000</v>
          </cell>
          <cell r="M384" t="str">
            <v>MALL ALTO LAS CONDES</v>
          </cell>
          <cell r="P384" t="str">
            <v>LAS CONDES</v>
          </cell>
          <cell r="Q384" t="str">
            <v>PANTALLA</v>
          </cell>
          <cell r="R384" t="str">
            <v>Mall - Santiago</v>
          </cell>
          <cell r="S384" t="str">
            <v>Inversiones las Verbenas Digital</v>
          </cell>
          <cell r="T384" t="str">
            <v>Pantallas Digitales</v>
          </cell>
          <cell r="U384">
            <v>1</v>
          </cell>
          <cell r="V384" t="str">
            <v>NA</v>
          </cell>
        </row>
        <row r="385">
          <cell r="A385" t="str">
            <v>ALC 0017I</v>
          </cell>
          <cell r="B385" t="str">
            <v>Mall</v>
          </cell>
          <cell r="D385" t="str">
            <v>Pantallas Digitales</v>
          </cell>
          <cell r="E385" t="str">
            <v>Pantallas</v>
          </cell>
          <cell r="F385" t="str">
            <v>NA</v>
          </cell>
          <cell r="G385" t="str">
            <v>NA</v>
          </cell>
          <cell r="I385" t="str">
            <v>Lote de 12 TV</v>
          </cell>
          <cell r="J385">
            <v>0</v>
          </cell>
          <cell r="K385">
            <v>0</v>
          </cell>
          <cell r="L385">
            <v>1100000</v>
          </cell>
          <cell r="M385" t="str">
            <v>MALL ALTO LAS CONDES</v>
          </cell>
          <cell r="P385" t="str">
            <v>LAS CONDES</v>
          </cell>
          <cell r="Q385" t="str">
            <v>PANTALLA</v>
          </cell>
          <cell r="R385" t="str">
            <v>Mall - Santiago</v>
          </cell>
          <cell r="S385" t="str">
            <v>Inversiones las Verbenas Digital</v>
          </cell>
          <cell r="T385" t="str">
            <v>Pantallas Digitales</v>
          </cell>
          <cell r="U385">
            <v>1</v>
          </cell>
          <cell r="V385" t="str">
            <v>NA</v>
          </cell>
        </row>
        <row r="386">
          <cell r="A386" t="str">
            <v>ALC 0017J</v>
          </cell>
          <cell r="B386" t="str">
            <v>Mall</v>
          </cell>
          <cell r="D386" t="str">
            <v>Pantallas Digitales</v>
          </cell>
          <cell r="E386" t="str">
            <v>Pantallas</v>
          </cell>
          <cell r="F386" t="str">
            <v>NA</v>
          </cell>
          <cell r="G386" t="str">
            <v>NA</v>
          </cell>
          <cell r="I386" t="str">
            <v>Lote de 12 TV</v>
          </cell>
          <cell r="J386">
            <v>0</v>
          </cell>
          <cell r="K386">
            <v>0</v>
          </cell>
          <cell r="L386">
            <v>1100000</v>
          </cell>
          <cell r="M386" t="str">
            <v>MALL ALTO LAS CONDES</v>
          </cell>
          <cell r="P386" t="str">
            <v>LAS CONDES</v>
          </cell>
          <cell r="Q386" t="str">
            <v>PANTALLA</v>
          </cell>
          <cell r="R386" t="str">
            <v>Mall - Santiago</v>
          </cell>
          <cell r="S386" t="str">
            <v>Inversiones las Verbenas Digital</v>
          </cell>
          <cell r="T386" t="str">
            <v>Pantallas Digitales</v>
          </cell>
          <cell r="U386">
            <v>1</v>
          </cell>
          <cell r="V386" t="str">
            <v>NA</v>
          </cell>
        </row>
        <row r="387">
          <cell r="A387" t="str">
            <v>ALC 0017K</v>
          </cell>
          <cell r="B387" t="str">
            <v>Mall</v>
          </cell>
          <cell r="D387" t="str">
            <v>Pantallas Digitales</v>
          </cell>
          <cell r="E387" t="str">
            <v>Pantallas</v>
          </cell>
          <cell r="F387" t="str">
            <v>NA</v>
          </cell>
          <cell r="G387" t="str">
            <v>NA</v>
          </cell>
          <cell r="I387" t="str">
            <v>Lote de 12 TV</v>
          </cell>
          <cell r="J387">
            <v>0</v>
          </cell>
          <cell r="K387">
            <v>0</v>
          </cell>
          <cell r="L387">
            <v>2400000</v>
          </cell>
          <cell r="M387" t="str">
            <v>MALL ALTO LAS CONDES</v>
          </cell>
          <cell r="P387" t="str">
            <v>LAS CONDES</v>
          </cell>
          <cell r="Q387" t="str">
            <v>PANTALLA</v>
          </cell>
          <cell r="R387" t="str">
            <v>Mall - Santiago</v>
          </cell>
          <cell r="S387" t="str">
            <v>Inversiones las Verbenas Digital</v>
          </cell>
          <cell r="T387" t="str">
            <v>Pantallas Digitales</v>
          </cell>
          <cell r="U387">
            <v>1</v>
          </cell>
          <cell r="V387" t="str">
            <v>NA</v>
          </cell>
        </row>
        <row r="388">
          <cell r="A388" t="str">
            <v>ALC 0017L</v>
          </cell>
          <cell r="B388" t="str">
            <v>Mall</v>
          </cell>
          <cell r="D388" t="str">
            <v>Pantallas Digitales</v>
          </cell>
          <cell r="E388" t="str">
            <v>Pantallas</v>
          </cell>
          <cell r="F388" t="str">
            <v>NA</v>
          </cell>
          <cell r="G388" t="str">
            <v>NA</v>
          </cell>
          <cell r="I388" t="str">
            <v>Lote de 12 TV</v>
          </cell>
          <cell r="J388">
            <v>0</v>
          </cell>
          <cell r="K388">
            <v>0</v>
          </cell>
          <cell r="L388">
            <v>2400000</v>
          </cell>
          <cell r="M388" t="str">
            <v>MALL ALTO LAS CONDES</v>
          </cell>
          <cell r="P388" t="str">
            <v>LAS CONDES</v>
          </cell>
          <cell r="Q388" t="str">
            <v>PANTALLA</v>
          </cell>
          <cell r="R388" t="str">
            <v>Mall - Santiago</v>
          </cell>
          <cell r="S388" t="str">
            <v>Inversiones las Verbenas Digital</v>
          </cell>
          <cell r="T388" t="str">
            <v>Pantallas Digitales</v>
          </cell>
          <cell r="U388">
            <v>1</v>
          </cell>
          <cell r="V388" t="str">
            <v>NA</v>
          </cell>
        </row>
        <row r="389">
          <cell r="A389" t="str">
            <v>ALC 0017M</v>
          </cell>
          <cell r="B389" t="str">
            <v>Mall</v>
          </cell>
          <cell r="D389" t="str">
            <v>Pantallas Digitales</v>
          </cell>
          <cell r="E389" t="str">
            <v>Pantallas</v>
          </cell>
          <cell r="F389" t="str">
            <v>NA</v>
          </cell>
          <cell r="G389" t="str">
            <v>NA</v>
          </cell>
          <cell r="I389" t="str">
            <v>Lote de 12 TV</v>
          </cell>
          <cell r="J389">
            <v>0</v>
          </cell>
          <cell r="K389">
            <v>0</v>
          </cell>
          <cell r="L389">
            <v>2400000</v>
          </cell>
          <cell r="M389" t="str">
            <v>MALL ALTO LAS CONDES</v>
          </cell>
          <cell r="P389" t="str">
            <v>LAS CONDES</v>
          </cell>
          <cell r="Q389" t="str">
            <v>PANTALLA</v>
          </cell>
          <cell r="R389" t="str">
            <v>Mall - Santiago</v>
          </cell>
          <cell r="S389" t="str">
            <v>Inversiones las Verbenas Digital</v>
          </cell>
          <cell r="T389" t="str">
            <v>Pantallas Digitales</v>
          </cell>
          <cell r="U389">
            <v>1</v>
          </cell>
          <cell r="V389" t="str">
            <v>NA</v>
          </cell>
        </row>
        <row r="390">
          <cell r="A390" t="str">
            <v>ALC 0017N</v>
          </cell>
          <cell r="B390" t="str">
            <v>Mall</v>
          </cell>
          <cell r="D390" t="str">
            <v>Pantallas Digitales</v>
          </cell>
          <cell r="E390" t="str">
            <v>Pantallas</v>
          </cell>
          <cell r="F390" t="str">
            <v>NA</v>
          </cell>
          <cell r="G390" t="str">
            <v>NA</v>
          </cell>
          <cell r="I390" t="str">
            <v>Lotade 12 TV</v>
          </cell>
          <cell r="J390">
            <v>0</v>
          </cell>
          <cell r="K390">
            <v>0</v>
          </cell>
          <cell r="L390">
            <v>1100000</v>
          </cell>
          <cell r="M390" t="str">
            <v>MALL ALTO LAS CONDES</v>
          </cell>
          <cell r="P390" t="str">
            <v>LAS CONDES</v>
          </cell>
          <cell r="Q390" t="str">
            <v>PANTALLA</v>
          </cell>
          <cell r="R390" t="str">
            <v>Mall - Santiago</v>
          </cell>
          <cell r="S390" t="str">
            <v>Inversiones las Verbenas Digital</v>
          </cell>
          <cell r="T390" t="str">
            <v>Pantallas Digitales</v>
          </cell>
          <cell r="U390">
            <v>1</v>
          </cell>
          <cell r="V390" t="str">
            <v>NA</v>
          </cell>
        </row>
        <row r="391">
          <cell r="A391" t="str">
            <v>ALC 0017Ñ</v>
          </cell>
          <cell r="B391" t="str">
            <v>Mall</v>
          </cell>
          <cell r="D391" t="str">
            <v>Pantallas Digitales</v>
          </cell>
          <cell r="E391" t="str">
            <v>Pantallas</v>
          </cell>
          <cell r="F391" t="str">
            <v>NA</v>
          </cell>
          <cell r="G391" t="str">
            <v>NA</v>
          </cell>
          <cell r="I391" t="str">
            <v>Lote de 12 TV</v>
          </cell>
          <cell r="J391">
            <v>0</v>
          </cell>
          <cell r="K391">
            <v>0</v>
          </cell>
          <cell r="L391">
            <v>2400000</v>
          </cell>
          <cell r="M391" t="str">
            <v>MALL ALTO LAS CONDES</v>
          </cell>
          <cell r="P391" t="str">
            <v>LAS CONDES</v>
          </cell>
          <cell r="Q391" t="str">
            <v>PANTALLA</v>
          </cell>
          <cell r="R391" t="str">
            <v>Mall - Santiago</v>
          </cell>
          <cell r="S391" t="str">
            <v>Inversiones las Verbenas Digital</v>
          </cell>
          <cell r="T391" t="str">
            <v>Pantallas Digitales</v>
          </cell>
          <cell r="U391">
            <v>1</v>
          </cell>
          <cell r="V391" t="str">
            <v>NA</v>
          </cell>
        </row>
        <row r="392">
          <cell r="A392" t="str">
            <v>ALC 0018A</v>
          </cell>
          <cell r="B392" t="str">
            <v>Mall</v>
          </cell>
          <cell r="D392" t="str">
            <v>Paletas</v>
          </cell>
          <cell r="E392" t="str">
            <v>Paletas</v>
          </cell>
          <cell r="F392" t="str">
            <v>1.10 * 1.53</v>
          </cell>
          <cell r="G392" t="str">
            <v>1.15*1.57</v>
          </cell>
          <cell r="H392" t="str">
            <v>E</v>
          </cell>
          <cell r="I392" t="str">
            <v>ESTACIONAMIENTOS</v>
          </cell>
          <cell r="J392">
            <v>0</v>
          </cell>
          <cell r="K392">
            <v>0</v>
          </cell>
          <cell r="L392">
            <v>380000</v>
          </cell>
          <cell r="M392" t="str">
            <v>MALL ALTO LAS CONDES</v>
          </cell>
          <cell r="P392" t="str">
            <v>LAS CONDES</v>
          </cell>
          <cell r="Q392" t="str">
            <v>TRADICIONAL</v>
          </cell>
          <cell r="R392" t="str">
            <v>Mall - Santiago</v>
          </cell>
          <cell r="S392" t="str">
            <v>Inversiones Las Verbenas</v>
          </cell>
          <cell r="T392" t="str">
            <v>Paletas</v>
          </cell>
          <cell r="U392">
            <v>1</v>
          </cell>
          <cell r="V392" t="str">
            <v>1.10 * 1.53</v>
          </cell>
        </row>
        <row r="393">
          <cell r="A393" t="str">
            <v>ALC 0020A</v>
          </cell>
          <cell r="B393" t="str">
            <v>Mall</v>
          </cell>
          <cell r="D393" t="str">
            <v>Paletas</v>
          </cell>
          <cell r="E393" t="str">
            <v>Paletas</v>
          </cell>
          <cell r="F393" t="str">
            <v>1.10 * 1.53</v>
          </cell>
          <cell r="G393" t="str">
            <v>1.15*1.57</v>
          </cell>
          <cell r="H393" t="str">
            <v>E</v>
          </cell>
          <cell r="I393" t="str">
            <v>ESTACIONAMIENTOS</v>
          </cell>
          <cell r="J393">
            <v>0</v>
          </cell>
          <cell r="K393">
            <v>0</v>
          </cell>
          <cell r="L393">
            <v>380000</v>
          </cell>
          <cell r="M393" t="str">
            <v>MALL ALTO LAS CONDES</v>
          </cell>
          <cell r="P393" t="str">
            <v>LAS CONDES</v>
          </cell>
          <cell r="Q393" t="str">
            <v>TRADICIONAL</v>
          </cell>
          <cell r="R393" t="str">
            <v>Mall - Santiago</v>
          </cell>
          <cell r="S393" t="str">
            <v>Inversiones Las Verbenas</v>
          </cell>
          <cell r="T393" t="str">
            <v>Paletas</v>
          </cell>
          <cell r="U393">
            <v>1</v>
          </cell>
          <cell r="V393" t="str">
            <v>1.10 * 1.53</v>
          </cell>
        </row>
        <row r="394">
          <cell r="A394" t="str">
            <v>ALC 0020B</v>
          </cell>
          <cell r="B394" t="str">
            <v>Mall</v>
          </cell>
          <cell r="D394" t="str">
            <v>Paletas</v>
          </cell>
          <cell r="E394" t="str">
            <v>Paletas</v>
          </cell>
          <cell r="F394" t="str">
            <v>1.10 * 1.53</v>
          </cell>
          <cell r="G394" t="str">
            <v>1.15*1.57</v>
          </cell>
          <cell r="H394" t="str">
            <v>E</v>
          </cell>
          <cell r="I394" t="str">
            <v>ESTACIONAMIENTOS</v>
          </cell>
          <cell r="J394">
            <v>0</v>
          </cell>
          <cell r="K394">
            <v>0</v>
          </cell>
          <cell r="L394">
            <v>380000</v>
          </cell>
          <cell r="M394" t="str">
            <v>MALL ALTO LAS CONDES</v>
          </cell>
          <cell r="P394" t="str">
            <v>LAS CONDES</v>
          </cell>
          <cell r="Q394" t="str">
            <v>TRADICIONAL</v>
          </cell>
          <cell r="R394" t="str">
            <v>Mall - Santiago</v>
          </cell>
          <cell r="S394" t="str">
            <v>Inversiones Las Verbenas</v>
          </cell>
          <cell r="T394" t="str">
            <v>Paletas</v>
          </cell>
          <cell r="U394">
            <v>1</v>
          </cell>
          <cell r="V394" t="str">
            <v>1.10 * 1.53</v>
          </cell>
        </row>
        <row r="395">
          <cell r="A395" t="str">
            <v>ALC 0021A</v>
          </cell>
          <cell r="B395" t="str">
            <v>Mall</v>
          </cell>
          <cell r="D395" t="str">
            <v>Paletas</v>
          </cell>
          <cell r="E395" t="str">
            <v>Paletas</v>
          </cell>
          <cell r="F395" t="str">
            <v>1.10 * 1.53</v>
          </cell>
          <cell r="G395" t="str">
            <v>1.15*1.57</v>
          </cell>
          <cell r="H395" t="str">
            <v>E</v>
          </cell>
          <cell r="I395" t="str">
            <v>ESTACINAMIENTOS</v>
          </cell>
          <cell r="J395">
            <v>0</v>
          </cell>
          <cell r="K395">
            <v>0</v>
          </cell>
          <cell r="L395">
            <v>380000</v>
          </cell>
          <cell r="M395" t="str">
            <v>MALL ALTO LAS CONDES</v>
          </cell>
          <cell r="P395" t="str">
            <v>LAS CONDES</v>
          </cell>
          <cell r="Q395" t="str">
            <v>TRADICIONAL</v>
          </cell>
          <cell r="R395" t="str">
            <v>Mall - Santiago</v>
          </cell>
          <cell r="S395" t="str">
            <v>Inversiones Las Verbenas</v>
          </cell>
          <cell r="T395" t="str">
            <v>Paletas</v>
          </cell>
          <cell r="U395">
            <v>1</v>
          </cell>
          <cell r="V395" t="str">
            <v>1.10 * 1.53</v>
          </cell>
        </row>
        <row r="396">
          <cell r="A396" t="str">
            <v>ALC 0022A</v>
          </cell>
          <cell r="B396" t="str">
            <v>Mall</v>
          </cell>
          <cell r="D396" t="str">
            <v>Paletas</v>
          </cell>
          <cell r="E396" t="str">
            <v>Paletas</v>
          </cell>
          <cell r="F396" t="str">
            <v>1.10 * 1.53</v>
          </cell>
          <cell r="G396" t="str">
            <v>1.15*1.57</v>
          </cell>
          <cell r="H396" t="str">
            <v>E</v>
          </cell>
          <cell r="I396" t="str">
            <v>ESTACIONAMIENTOS</v>
          </cell>
          <cell r="J396">
            <v>0</v>
          </cell>
          <cell r="K396">
            <v>0</v>
          </cell>
          <cell r="L396">
            <v>380000</v>
          </cell>
          <cell r="M396" t="str">
            <v>MALL ALTO LAS CONDES</v>
          </cell>
          <cell r="P396" t="str">
            <v>LAS CONDES</v>
          </cell>
          <cell r="Q396" t="str">
            <v>TRADICIONAL</v>
          </cell>
          <cell r="R396" t="str">
            <v>Mall - Santiago</v>
          </cell>
          <cell r="S396" t="str">
            <v>Inversiones Las Verbenas</v>
          </cell>
          <cell r="T396" t="str">
            <v>Paletas</v>
          </cell>
          <cell r="U396">
            <v>1</v>
          </cell>
          <cell r="V396" t="str">
            <v>1.10 * 1.53</v>
          </cell>
        </row>
        <row r="397">
          <cell r="A397" t="str">
            <v>ALC 0022B</v>
          </cell>
          <cell r="B397" t="str">
            <v>Mall</v>
          </cell>
          <cell r="D397" t="str">
            <v>Paletas</v>
          </cell>
          <cell r="E397" t="str">
            <v>Paletas</v>
          </cell>
          <cell r="F397" t="str">
            <v>1.10 * 1.53</v>
          </cell>
          <cell r="G397" t="str">
            <v>1.15*1.57</v>
          </cell>
          <cell r="H397" t="str">
            <v>E</v>
          </cell>
          <cell r="I397" t="str">
            <v>ESTACIONAMIENTOS</v>
          </cell>
          <cell r="J397">
            <v>0</v>
          </cell>
          <cell r="K397">
            <v>0</v>
          </cell>
          <cell r="L397">
            <v>380000</v>
          </cell>
          <cell r="M397" t="str">
            <v>MALL ALTO LAS CONDES</v>
          </cell>
          <cell r="P397" t="str">
            <v>LAS CONDES</v>
          </cell>
          <cell r="Q397" t="str">
            <v>TRADICIONAL</v>
          </cell>
          <cell r="R397" t="str">
            <v>Mall - Santiago</v>
          </cell>
          <cell r="S397" t="str">
            <v>Inversiones Las Verbenas</v>
          </cell>
          <cell r="T397" t="str">
            <v>Paletas</v>
          </cell>
          <cell r="U397">
            <v>1</v>
          </cell>
          <cell r="V397" t="str">
            <v>1.10 * 1.53</v>
          </cell>
        </row>
        <row r="398">
          <cell r="A398" t="str">
            <v>ALC 0023A</v>
          </cell>
          <cell r="B398" t="str">
            <v>Mall</v>
          </cell>
          <cell r="D398" t="str">
            <v>Cajas de luz</v>
          </cell>
          <cell r="E398" t="str">
            <v>Cajas de luz</v>
          </cell>
          <cell r="F398" t="str">
            <v>2.92* 1.42</v>
          </cell>
          <cell r="G398" t="str">
            <v>3.20 * 1.70</v>
          </cell>
          <cell r="H398" t="str">
            <v>V</v>
          </cell>
          <cell r="I398" t="str">
            <v>ACCESO SALA DE V</v>
          </cell>
          <cell r="J398">
            <v>0</v>
          </cell>
          <cell r="K398">
            <v>0</v>
          </cell>
          <cell r="L398">
            <v>500000</v>
          </cell>
          <cell r="M398" t="str">
            <v>MALL ALTO LAS CONDES</v>
          </cell>
          <cell r="P398" t="str">
            <v>LAS CONDES</v>
          </cell>
          <cell r="Q398" t="str">
            <v>TRADICIONAL</v>
          </cell>
          <cell r="R398" t="str">
            <v>Mall - Santiago</v>
          </cell>
          <cell r="S398" t="str">
            <v>Inversiones Las Verbenas</v>
          </cell>
          <cell r="T398" t="str">
            <v>Cajas de luz</v>
          </cell>
          <cell r="U398">
            <v>1</v>
          </cell>
          <cell r="V398" t="str">
            <v>2.92 * 1.42</v>
          </cell>
        </row>
        <row r="399">
          <cell r="A399" t="str">
            <v>ALC 0024A</v>
          </cell>
          <cell r="B399" t="str">
            <v>Mall</v>
          </cell>
          <cell r="D399" t="str">
            <v>Cajas de luz</v>
          </cell>
          <cell r="E399" t="str">
            <v>Cajas de luz</v>
          </cell>
          <cell r="F399" t="str">
            <v>3.92 * 1.92</v>
          </cell>
          <cell r="G399" t="str">
            <v>4.20 * 2.20</v>
          </cell>
          <cell r="H399" t="str">
            <v>S</v>
          </cell>
          <cell r="I399" t="str">
            <v>ACCESO SALA DE V</v>
          </cell>
          <cell r="J399">
            <v>0</v>
          </cell>
          <cell r="K399">
            <v>0</v>
          </cell>
          <cell r="L399">
            <v>600000</v>
          </cell>
          <cell r="M399" t="str">
            <v>MALL ALTO LAS CONDES</v>
          </cell>
          <cell r="P399" t="str">
            <v>LAS CONDES</v>
          </cell>
          <cell r="Q399" t="str">
            <v>TRADICIONAL</v>
          </cell>
          <cell r="R399" t="str">
            <v>Mall - Santiago</v>
          </cell>
          <cell r="S399" t="str">
            <v>Inversiones Las Verbenas</v>
          </cell>
          <cell r="T399" t="str">
            <v>Cajas de luz</v>
          </cell>
          <cell r="U399">
            <v>1</v>
          </cell>
          <cell r="V399" t="str">
            <v>3.92 * 1.92</v>
          </cell>
        </row>
        <row r="400">
          <cell r="A400" t="str">
            <v>ALC 0025A</v>
          </cell>
          <cell r="B400" t="str">
            <v>Mall</v>
          </cell>
          <cell r="D400" t="str">
            <v>Cajas de luz</v>
          </cell>
          <cell r="E400" t="str">
            <v>Cajas de luz</v>
          </cell>
          <cell r="F400" t="str">
            <v>3.80 * 2.00</v>
          </cell>
          <cell r="G400" t="str">
            <v>4.00 * 2.20</v>
          </cell>
          <cell r="H400" t="str">
            <v>S</v>
          </cell>
          <cell r="I400" t="str">
            <v>ESTACIONAMIENTOS</v>
          </cell>
          <cell r="J400">
            <v>0</v>
          </cell>
          <cell r="K400">
            <v>0</v>
          </cell>
          <cell r="L400">
            <v>600000</v>
          </cell>
          <cell r="M400" t="str">
            <v>MALL ALTO LAS CONDES</v>
          </cell>
          <cell r="P400" t="str">
            <v>LAS CONDES</v>
          </cell>
          <cell r="Q400" t="str">
            <v>TRADICIONAL</v>
          </cell>
          <cell r="R400" t="str">
            <v>Mall - Santiago</v>
          </cell>
          <cell r="S400" t="str">
            <v>Inversiones Las Verbenas</v>
          </cell>
          <cell r="T400" t="str">
            <v>Cajas de luz</v>
          </cell>
          <cell r="U400">
            <v>1</v>
          </cell>
          <cell r="V400" t="str">
            <v>3.80 * 2.00</v>
          </cell>
        </row>
        <row r="401">
          <cell r="A401" t="str">
            <v>ALC 0026A</v>
          </cell>
          <cell r="B401" t="str">
            <v>Mall</v>
          </cell>
          <cell r="D401" t="str">
            <v>P.E.: CORPOREO</v>
          </cell>
          <cell r="E401" t="str">
            <v>CORPOREO</v>
          </cell>
          <cell r="F401" t="str">
            <v>Ver Ficha</v>
          </cell>
          <cell r="G401" t="str">
            <v>Ver Ficha</v>
          </cell>
          <cell r="H401" t="str">
            <v>E</v>
          </cell>
          <cell r="I401" t="str">
            <v>ACCESO MALL</v>
          </cell>
          <cell r="J401" t="str">
            <v>Según Corporeo</v>
          </cell>
          <cell r="K401">
            <v>0</v>
          </cell>
          <cell r="L401">
            <v>3800000</v>
          </cell>
          <cell r="M401" t="str">
            <v>MALL ALTO LAS CONDES</v>
          </cell>
          <cell r="P401" t="str">
            <v>LAS CONDES</v>
          </cell>
          <cell r="Q401" t="str">
            <v>ESPECIAL</v>
          </cell>
          <cell r="R401" t="str">
            <v>Mall - Santiago</v>
          </cell>
          <cell r="S401" t="str">
            <v>Inversiones Las Verbenas</v>
          </cell>
          <cell r="T401" t="str">
            <v>Productos Especiales</v>
          </cell>
          <cell r="U401">
            <v>1</v>
          </cell>
          <cell r="V401" t="str">
            <v>NA</v>
          </cell>
        </row>
        <row r="402">
          <cell r="A402" t="str">
            <v>ALC 0027A</v>
          </cell>
          <cell r="B402" t="str">
            <v>Mall</v>
          </cell>
          <cell r="D402" t="str">
            <v>P.E.: ESPEJOS BAÑOS HOMBRES</v>
          </cell>
          <cell r="E402" t="str">
            <v>ESPEJOS BAÑOS HOMBRES</v>
          </cell>
          <cell r="F402" t="str">
            <v>Ver Ficha</v>
          </cell>
          <cell r="G402" t="str">
            <v>Ver Ficha</v>
          </cell>
          <cell r="H402" t="str">
            <v>I</v>
          </cell>
          <cell r="I402" t="str">
            <v>Interior baños</v>
          </cell>
          <cell r="J402">
            <v>45000</v>
          </cell>
          <cell r="K402">
            <v>0</v>
          </cell>
          <cell r="L402">
            <v>2500000</v>
          </cell>
          <cell r="M402" t="str">
            <v>MALL ALTO LAS CONDES</v>
          </cell>
          <cell r="P402" t="str">
            <v>LAS CONDES</v>
          </cell>
          <cell r="Q402" t="str">
            <v>ESPECIAL</v>
          </cell>
          <cell r="R402" t="str">
            <v>Mall - Santiago</v>
          </cell>
          <cell r="S402" t="str">
            <v>Inversiones Las Verbenas</v>
          </cell>
          <cell r="T402" t="str">
            <v>Productos Especiales</v>
          </cell>
          <cell r="U402">
            <v>1</v>
          </cell>
          <cell r="V402" t="str">
            <v>NA</v>
          </cell>
        </row>
        <row r="403">
          <cell r="A403" t="str">
            <v>ALC 0027B</v>
          </cell>
          <cell r="B403" t="str">
            <v>Mall</v>
          </cell>
          <cell r="D403" t="str">
            <v>P.E.: ESPEJOS BAÑOS MUJERES</v>
          </cell>
          <cell r="E403" t="str">
            <v>ESPEJOS BAÑOS MUJERES</v>
          </cell>
          <cell r="F403" t="str">
            <v>Ver Ficha</v>
          </cell>
          <cell r="G403" t="str">
            <v>Ver Ficha</v>
          </cell>
          <cell r="I403" t="str">
            <v>Interior baños</v>
          </cell>
          <cell r="J403">
            <v>51000</v>
          </cell>
          <cell r="L403">
            <v>2500000</v>
          </cell>
          <cell r="M403" t="str">
            <v>MALL ALTO LAS CONDES</v>
          </cell>
          <cell r="P403" t="str">
            <v>LAS CONDES</v>
          </cell>
          <cell r="Q403" t="str">
            <v>ESPECIAL</v>
          </cell>
          <cell r="R403" t="str">
            <v>Mall - Santiago</v>
          </cell>
          <cell r="S403" t="str">
            <v>Inversiones Las Verbenas</v>
          </cell>
          <cell r="T403" t="str">
            <v>Productos Especiales</v>
          </cell>
          <cell r="U403">
            <v>1</v>
          </cell>
          <cell r="V403" t="str">
            <v>NA</v>
          </cell>
        </row>
        <row r="404">
          <cell r="A404" t="str">
            <v>ALC 0028B</v>
          </cell>
          <cell r="B404" t="str">
            <v>Mall</v>
          </cell>
          <cell r="D404" t="str">
            <v>P.E.: PUERTAS BAÑOS MUJERES</v>
          </cell>
          <cell r="E404" t="str">
            <v>PUERTAS BAÑOS MUJERES</v>
          </cell>
          <cell r="F404" t="str">
            <v>Ver Ficha</v>
          </cell>
          <cell r="G404" t="str">
            <v>Ver Ficha</v>
          </cell>
          <cell r="H404" t="str">
            <v>I</v>
          </cell>
          <cell r="I404" t="str">
            <v>interior baño</v>
          </cell>
          <cell r="J404">
            <v>92000</v>
          </cell>
          <cell r="L404">
            <v>2300000</v>
          </cell>
          <cell r="M404" t="str">
            <v>MALL ALTO LAS CONDES</v>
          </cell>
          <cell r="P404" t="str">
            <v>LAS CONDES</v>
          </cell>
          <cell r="Q404" t="str">
            <v>ESPECIAL</v>
          </cell>
          <cell r="R404" t="str">
            <v>Mall - Santiago</v>
          </cell>
          <cell r="S404" t="str">
            <v>Inversiones Las Verbenas</v>
          </cell>
          <cell r="T404" t="str">
            <v>Productos Especiales</v>
          </cell>
          <cell r="U404">
            <v>1</v>
          </cell>
          <cell r="V404" t="str">
            <v>NA</v>
          </cell>
        </row>
        <row r="405">
          <cell r="A405" t="str">
            <v>ALC 0029A</v>
          </cell>
          <cell r="B405" t="str">
            <v>Mall</v>
          </cell>
          <cell r="D405" t="str">
            <v>Paletas</v>
          </cell>
          <cell r="E405" t="str">
            <v>SCROLLING</v>
          </cell>
          <cell r="F405" t="str">
            <v>1.12 * 1.70</v>
          </cell>
          <cell r="G405" t="str">
            <v>1.18 * 1.76</v>
          </cell>
          <cell r="L405">
            <v>300000</v>
          </cell>
          <cell r="M405" t="str">
            <v>MALL ALTO LAS CONDES</v>
          </cell>
          <cell r="P405" t="str">
            <v>LAS CONDES</v>
          </cell>
          <cell r="Q405" t="str">
            <v>TRADICIONAL</v>
          </cell>
          <cell r="R405" t="str">
            <v>Mall - Santiago</v>
          </cell>
          <cell r="S405" t="str">
            <v>Inversiones Las Verbenas</v>
          </cell>
          <cell r="T405" t="str">
            <v>Paletas</v>
          </cell>
          <cell r="U405">
            <v>1</v>
          </cell>
          <cell r="V405" t="str">
            <v>1.12 * 1.70</v>
          </cell>
        </row>
        <row r="406">
          <cell r="A406" t="str">
            <v>ALC 0036A</v>
          </cell>
          <cell r="B406" t="str">
            <v>Mall</v>
          </cell>
          <cell r="D406" t="str">
            <v>P.E.: Pendón Bifaz</v>
          </cell>
          <cell r="E406" t="str">
            <v>Pendón Bifaz</v>
          </cell>
          <cell r="F406" t="str">
            <v>Ver ficha</v>
          </cell>
          <cell r="G406" t="str">
            <v>Ver ficha</v>
          </cell>
          <cell r="H406" t="str">
            <v>I</v>
          </cell>
          <cell r="I406" t="str">
            <v>INTERIOR MALL</v>
          </cell>
          <cell r="J406">
            <v>472000</v>
          </cell>
          <cell r="K406">
            <v>0</v>
          </cell>
          <cell r="L406">
            <v>4850000</v>
          </cell>
          <cell r="M406" t="str">
            <v>MALL ALTO LAS CONDES</v>
          </cell>
          <cell r="P406" t="str">
            <v>LAS CONDES</v>
          </cell>
          <cell r="Q406" t="str">
            <v>ESPECIAL</v>
          </cell>
          <cell r="R406" t="str">
            <v>Mall - Santiago</v>
          </cell>
          <cell r="S406" t="str">
            <v>Inversiones Las Verbenas</v>
          </cell>
          <cell r="T406" t="str">
            <v>Productos Especiales</v>
          </cell>
          <cell r="U406">
            <v>1</v>
          </cell>
          <cell r="V406" t="str">
            <v>NA</v>
          </cell>
        </row>
        <row r="407">
          <cell r="A407" t="str">
            <v>ALC 0037A</v>
          </cell>
          <cell r="B407" t="str">
            <v>Mall</v>
          </cell>
          <cell r="D407" t="str">
            <v>Paletas</v>
          </cell>
          <cell r="E407" t="str">
            <v>Paletas</v>
          </cell>
          <cell r="F407" t="str">
            <v>1.10 * 1.53</v>
          </cell>
          <cell r="G407" t="str">
            <v>1.15 * 1.57</v>
          </cell>
          <cell r="H407" t="str">
            <v>E</v>
          </cell>
          <cell r="J407">
            <v>0</v>
          </cell>
          <cell r="K407">
            <v>0</v>
          </cell>
          <cell r="L407">
            <v>380000</v>
          </cell>
          <cell r="M407" t="str">
            <v>MALL ALTO LAS CONDES</v>
          </cell>
          <cell r="P407" t="str">
            <v>LAS CONDES</v>
          </cell>
          <cell r="Q407" t="str">
            <v>TRADICIONAL</v>
          </cell>
          <cell r="R407" t="str">
            <v>Mall - Santiago</v>
          </cell>
          <cell r="S407" t="str">
            <v>Inversiones Las Verbenas</v>
          </cell>
          <cell r="T407" t="str">
            <v>Paletas</v>
          </cell>
          <cell r="U407">
            <v>1</v>
          </cell>
          <cell r="V407" t="str">
            <v>1.10 * 1.53</v>
          </cell>
        </row>
        <row r="408">
          <cell r="A408" t="str">
            <v>ALC 0039A</v>
          </cell>
          <cell r="B408" t="str">
            <v>Mall</v>
          </cell>
          <cell r="D408" t="str">
            <v>P.E.: PILAR ACCESO SALA</v>
          </cell>
          <cell r="E408" t="str">
            <v>PILAR ACCESO SALA</v>
          </cell>
          <cell r="F408" t="str">
            <v>Ver ficha</v>
          </cell>
          <cell r="G408" t="str">
            <v>Ver ficha</v>
          </cell>
          <cell r="J408">
            <v>143000</v>
          </cell>
          <cell r="L408">
            <v>2000000</v>
          </cell>
          <cell r="M408" t="str">
            <v>MALL ALTO LAS CONDES</v>
          </cell>
          <cell r="P408" t="str">
            <v>LAS CONDES</v>
          </cell>
          <cell r="Q408" t="str">
            <v>ESPECIAL</v>
          </cell>
          <cell r="R408" t="str">
            <v>Mall - Santiago</v>
          </cell>
          <cell r="S408" t="str">
            <v>Inversiones Las Verbenas</v>
          </cell>
          <cell r="T408" t="str">
            <v>Productos Especiales</v>
          </cell>
          <cell r="U408">
            <v>1</v>
          </cell>
          <cell r="V408" t="str">
            <v>NA</v>
          </cell>
        </row>
        <row r="409">
          <cell r="A409" t="str">
            <v>ALC 0041A</v>
          </cell>
          <cell r="B409" t="str">
            <v>Mall</v>
          </cell>
          <cell r="D409" t="str">
            <v>P.E.: PILARES</v>
          </cell>
          <cell r="E409" t="str">
            <v>PILARES</v>
          </cell>
          <cell r="H409" t="str">
            <v>E</v>
          </cell>
          <cell r="I409" t="str">
            <v>ESTACIONAMIENTOS</v>
          </cell>
          <cell r="J409">
            <v>280000</v>
          </cell>
          <cell r="K409">
            <v>0</v>
          </cell>
          <cell r="L409">
            <v>2840000</v>
          </cell>
          <cell r="M409" t="str">
            <v>MALL ALTO LAS CONDES</v>
          </cell>
          <cell r="P409" t="str">
            <v>LAS CONDES</v>
          </cell>
          <cell r="Q409" t="str">
            <v>ESPECIAL</v>
          </cell>
          <cell r="R409" t="str">
            <v>Mall - Santiago</v>
          </cell>
          <cell r="S409" t="str">
            <v>Inversiones Las Verbenas</v>
          </cell>
          <cell r="T409" t="str">
            <v>Productos Especiales</v>
          </cell>
          <cell r="U409">
            <v>4</v>
          </cell>
          <cell r="V409" t="str">
            <v>NA</v>
          </cell>
        </row>
        <row r="410">
          <cell r="A410" t="str">
            <v>ALC 0042A</v>
          </cell>
          <cell r="B410" t="str">
            <v>Mall</v>
          </cell>
          <cell r="D410" t="str">
            <v>P.E.: ESCALERAS MECÁNICAS</v>
          </cell>
          <cell r="E410" t="str">
            <v>ESCALERAS MECÁNICAS</v>
          </cell>
          <cell r="H410" t="str">
            <v>E</v>
          </cell>
          <cell r="I410" t="str">
            <v>INTERIOR</v>
          </cell>
          <cell r="J410">
            <v>475000</v>
          </cell>
          <cell r="K410">
            <v>0</v>
          </cell>
          <cell r="L410">
            <v>4800000</v>
          </cell>
          <cell r="M410" t="str">
            <v>MALL ALTO LAS CONDES</v>
          </cell>
          <cell r="P410" t="str">
            <v>LAS CONDES</v>
          </cell>
          <cell r="Q410" t="str">
            <v>ESPECIAL</v>
          </cell>
          <cell r="R410" t="str">
            <v>Mall - Santiago</v>
          </cell>
          <cell r="S410" t="str">
            <v>Inversiones Las Verbenas</v>
          </cell>
          <cell r="T410" t="str">
            <v>Especiales Permanentes</v>
          </cell>
          <cell r="U410">
            <v>1</v>
          </cell>
          <cell r="V410" t="str">
            <v>NA</v>
          </cell>
        </row>
        <row r="411">
          <cell r="A411" t="str">
            <v>JUKE0023A</v>
          </cell>
          <cell r="B411" t="str">
            <v>Mall</v>
          </cell>
          <cell r="D411" t="str">
            <v>Cajas de luz</v>
          </cell>
          <cell r="E411" t="str">
            <v>Cajas de luz</v>
          </cell>
          <cell r="F411" t="str">
            <v>2,92 * 1,92</v>
          </cell>
          <cell r="G411" t="str">
            <v>3,20 * 2,20</v>
          </cell>
          <cell r="I411" t="str">
            <v>ACCESO SALA</v>
          </cell>
          <cell r="L411">
            <v>550000</v>
          </cell>
          <cell r="M411" t="str">
            <v>JUMBO KENNEDY</v>
          </cell>
          <cell r="P411" t="str">
            <v>LAS CONDES</v>
          </cell>
          <cell r="Q411" t="str">
            <v>TRADICIONAL</v>
          </cell>
          <cell r="R411" t="str">
            <v>Supermercado - Santiago</v>
          </cell>
          <cell r="S411" t="str">
            <v>Inversiones Las Verbenas</v>
          </cell>
          <cell r="T411" t="str">
            <v>Cajas de luz</v>
          </cell>
          <cell r="U411">
            <v>1</v>
          </cell>
          <cell r="V411" t="str">
            <v>2.92 * 1.92</v>
          </cell>
        </row>
        <row r="412">
          <cell r="A412" t="str">
            <v>JUKE0024A</v>
          </cell>
          <cell r="B412" t="str">
            <v>Mall</v>
          </cell>
          <cell r="D412" t="str">
            <v>Cajas de luz</v>
          </cell>
          <cell r="E412" t="str">
            <v>Cajas de luz</v>
          </cell>
          <cell r="F412" t="str">
            <v>2,92 * 1,92</v>
          </cell>
          <cell r="G412" t="str">
            <v>3,20 * 2,20</v>
          </cell>
          <cell r="I412" t="str">
            <v>ACCESO SALA</v>
          </cell>
          <cell r="L412">
            <v>450000</v>
          </cell>
          <cell r="M412" t="str">
            <v>JUMBO KENNEDY</v>
          </cell>
          <cell r="P412" t="str">
            <v>LAS CONDES</v>
          </cell>
          <cell r="Q412" t="str">
            <v>TRADICIONAL</v>
          </cell>
          <cell r="R412" t="str">
            <v>Supermercado - Santiago</v>
          </cell>
          <cell r="S412" t="str">
            <v>Inversiones Las Verbenas</v>
          </cell>
          <cell r="T412" t="str">
            <v>Cajas de luz</v>
          </cell>
          <cell r="U412">
            <v>1</v>
          </cell>
          <cell r="V412" t="str">
            <v>2.92 * 1.92</v>
          </cell>
        </row>
        <row r="413">
          <cell r="A413" t="str">
            <v>JULR0008A</v>
          </cell>
          <cell r="B413" t="str">
            <v>Mall</v>
          </cell>
          <cell r="D413" t="str">
            <v>Cajas de luz</v>
          </cell>
          <cell r="E413" t="str">
            <v>Cajas de luz</v>
          </cell>
          <cell r="F413" t="str">
            <v>2.00 * 1.50</v>
          </cell>
          <cell r="G413" t="str">
            <v>2.20 * 1.70</v>
          </cell>
          <cell r="H413" t="str">
            <v>V</v>
          </cell>
          <cell r="I413" t="str">
            <v>ACCESO SALA DE V</v>
          </cell>
          <cell r="J413">
            <v>0</v>
          </cell>
          <cell r="K413">
            <v>0</v>
          </cell>
          <cell r="L413">
            <v>350000</v>
          </cell>
          <cell r="M413" t="str">
            <v>JUMBO PORTAL LA REINA</v>
          </cell>
          <cell r="P413" t="str">
            <v>LA REINA</v>
          </cell>
          <cell r="Q413" t="str">
            <v>TRADICIONAL</v>
          </cell>
          <cell r="R413" t="str">
            <v>Supermercado - Santiago</v>
          </cell>
          <cell r="S413" t="str">
            <v>Jumbo</v>
          </cell>
          <cell r="T413" t="str">
            <v>Cajas de luz</v>
          </cell>
          <cell r="U413">
            <v>1</v>
          </cell>
          <cell r="V413" t="str">
            <v>2.00 * 1.50</v>
          </cell>
        </row>
        <row r="414">
          <cell r="A414" t="str">
            <v>JULR0009A</v>
          </cell>
          <cell r="B414" t="str">
            <v>Mall</v>
          </cell>
          <cell r="D414" t="str">
            <v>Cajas de luz</v>
          </cell>
          <cell r="E414" t="str">
            <v>Cajas de luz</v>
          </cell>
          <cell r="F414" t="str">
            <v>3.80 * 1.80</v>
          </cell>
          <cell r="G414" t="str">
            <v>4.00 * 2.00</v>
          </cell>
          <cell r="H414" t="str">
            <v>V</v>
          </cell>
          <cell r="I414" t="str">
            <v>ACCESO SALA DE V</v>
          </cell>
          <cell r="J414">
            <v>0</v>
          </cell>
          <cell r="K414">
            <v>0</v>
          </cell>
          <cell r="L414">
            <v>450000</v>
          </cell>
          <cell r="M414" t="str">
            <v>JUMBO PORTAL LA REINA</v>
          </cell>
          <cell r="P414" t="str">
            <v>LA REINA</v>
          </cell>
          <cell r="Q414" t="str">
            <v>TRADICIONAL</v>
          </cell>
          <cell r="R414" t="str">
            <v>Supermercado - Santiago</v>
          </cell>
          <cell r="S414" t="str">
            <v>Jumbo</v>
          </cell>
          <cell r="T414" t="str">
            <v>Cajas de luz</v>
          </cell>
          <cell r="U414">
            <v>1</v>
          </cell>
          <cell r="V414" t="str">
            <v>3.80 * 1.80</v>
          </cell>
        </row>
        <row r="415">
          <cell r="A415" t="str">
            <v>JULR0010A</v>
          </cell>
          <cell r="B415" t="str">
            <v>Mall</v>
          </cell>
          <cell r="D415" t="str">
            <v>Cajas de luz</v>
          </cell>
          <cell r="E415" t="str">
            <v>Cajas de luz</v>
          </cell>
          <cell r="F415" t="str">
            <v>3.92 * 1.92</v>
          </cell>
          <cell r="G415" t="str">
            <v>4.20 * 2.20</v>
          </cell>
          <cell r="H415" t="str">
            <v>A</v>
          </cell>
          <cell r="I415" t="str">
            <v>ACCESO ESTAC</v>
          </cell>
          <cell r="J415">
            <v>0</v>
          </cell>
          <cell r="K415">
            <v>0</v>
          </cell>
          <cell r="L415">
            <v>520000</v>
          </cell>
          <cell r="M415" t="str">
            <v>JUMBO PORTAL LA REINA</v>
          </cell>
          <cell r="P415" t="str">
            <v>LA REINA</v>
          </cell>
          <cell r="Q415" t="str">
            <v>TRADICIONAL</v>
          </cell>
          <cell r="R415" t="str">
            <v>Supermercado - Santiago</v>
          </cell>
          <cell r="S415" t="str">
            <v>Jumbo</v>
          </cell>
          <cell r="T415" t="str">
            <v>Cajas de luz</v>
          </cell>
          <cell r="U415">
            <v>1</v>
          </cell>
          <cell r="V415" t="str">
            <v>3.92 * 1.92</v>
          </cell>
        </row>
        <row r="416">
          <cell r="A416" t="str">
            <v>JULR0011A</v>
          </cell>
          <cell r="B416" t="str">
            <v>Mall</v>
          </cell>
          <cell r="D416" t="str">
            <v>Cajas de luz</v>
          </cell>
          <cell r="E416" t="str">
            <v>Cajas de luz</v>
          </cell>
          <cell r="F416" t="str">
            <v>3.92 * 1.92</v>
          </cell>
          <cell r="G416" t="str">
            <v>4.20 * 2.20</v>
          </cell>
          <cell r="H416" t="str">
            <v>A</v>
          </cell>
          <cell r="I416" t="str">
            <v>ACCESO ESTAC</v>
          </cell>
          <cell r="J416">
            <v>0</v>
          </cell>
          <cell r="K416">
            <v>0</v>
          </cell>
          <cell r="L416">
            <v>520000</v>
          </cell>
          <cell r="M416" t="str">
            <v>JUMBO PORTAL LA REINA</v>
          </cell>
          <cell r="P416" t="str">
            <v>LA REINA</v>
          </cell>
          <cell r="Q416" t="str">
            <v>TRADICIONAL</v>
          </cell>
          <cell r="R416" t="str">
            <v>Supermercado - Santiago</v>
          </cell>
          <cell r="S416" t="str">
            <v>Jumbo</v>
          </cell>
          <cell r="T416" t="str">
            <v>Cajas de luz</v>
          </cell>
          <cell r="U416">
            <v>1</v>
          </cell>
          <cell r="V416" t="str">
            <v>3.92 * 1.92</v>
          </cell>
        </row>
        <row r="417">
          <cell r="A417" t="str">
            <v>MAAR0002B</v>
          </cell>
          <cell r="B417" t="str">
            <v>Mall</v>
          </cell>
          <cell r="D417" t="str">
            <v>Paletas</v>
          </cell>
          <cell r="E417" t="str">
            <v>Paletas</v>
          </cell>
          <cell r="F417" t="str">
            <v>1.20 * 1.70</v>
          </cell>
          <cell r="G417" t="str">
            <v>1.23 * 1.75</v>
          </cell>
          <cell r="H417" t="str">
            <v>X</v>
          </cell>
          <cell r="I417" t="str">
            <v>EXTERIORES</v>
          </cell>
          <cell r="J417">
            <v>0</v>
          </cell>
          <cell r="K417">
            <v>0</v>
          </cell>
          <cell r="L417">
            <v>340000</v>
          </cell>
          <cell r="M417" t="str">
            <v>MALL MARINA ARAUCO</v>
          </cell>
          <cell r="P417" t="str">
            <v>VINA DEL MAR</v>
          </cell>
          <cell r="Q417" t="str">
            <v>TRADICIONAL</v>
          </cell>
          <cell r="R417" t="str">
            <v>Mall - V Region</v>
          </cell>
          <cell r="S417" t="str">
            <v>Inversiones Calama</v>
          </cell>
          <cell r="T417" t="str">
            <v>Paletas</v>
          </cell>
          <cell r="U417">
            <v>1</v>
          </cell>
          <cell r="V417" t="str">
            <v>1.20 * 1.70</v>
          </cell>
        </row>
        <row r="418">
          <cell r="A418" t="str">
            <v>MAAR0003A</v>
          </cell>
          <cell r="B418" t="str">
            <v>Mall</v>
          </cell>
          <cell r="D418" t="str">
            <v>Paletas</v>
          </cell>
          <cell r="E418" t="str">
            <v>Paletas</v>
          </cell>
          <cell r="F418" t="str">
            <v>1.20 * 1.70</v>
          </cell>
          <cell r="G418" t="str">
            <v>1.23 * 1.75</v>
          </cell>
          <cell r="H418" t="str">
            <v>X</v>
          </cell>
          <cell r="I418" t="str">
            <v>EXTERIORES</v>
          </cell>
          <cell r="J418">
            <v>0</v>
          </cell>
          <cell r="K418">
            <v>8600</v>
          </cell>
          <cell r="L418">
            <v>340000</v>
          </cell>
          <cell r="M418" t="str">
            <v>MALL MARINA ARAUCO</v>
          </cell>
          <cell r="P418" t="str">
            <v>VINA DEL MAR</v>
          </cell>
          <cell r="Q418" t="str">
            <v>TRADICIONAL</v>
          </cell>
          <cell r="R418" t="str">
            <v>Mall - V Region</v>
          </cell>
          <cell r="S418" t="str">
            <v>Inversiones Calama</v>
          </cell>
          <cell r="T418" t="str">
            <v>Paletas</v>
          </cell>
          <cell r="U418">
            <v>1</v>
          </cell>
          <cell r="V418" t="str">
            <v>1.20 * 1.70</v>
          </cell>
        </row>
        <row r="419">
          <cell r="A419" t="str">
            <v>MAAR0003B</v>
          </cell>
          <cell r="B419" t="str">
            <v>Mall</v>
          </cell>
          <cell r="D419" t="str">
            <v>Paletas</v>
          </cell>
          <cell r="E419" t="str">
            <v>Paletas</v>
          </cell>
          <cell r="F419" t="str">
            <v>1.20 * 1.70</v>
          </cell>
          <cell r="G419" t="str">
            <v>1.23 * 1.75</v>
          </cell>
          <cell r="H419" t="str">
            <v>X</v>
          </cell>
          <cell r="I419" t="str">
            <v>EXTERIORES</v>
          </cell>
          <cell r="J419">
            <v>0</v>
          </cell>
          <cell r="K419">
            <v>0</v>
          </cell>
          <cell r="L419">
            <v>340000</v>
          </cell>
          <cell r="M419" t="str">
            <v>MALL MARINA ARAUCO</v>
          </cell>
          <cell r="P419" t="str">
            <v>VINA DEL MAR</v>
          </cell>
          <cell r="Q419" t="str">
            <v>TRADICIONAL</v>
          </cell>
          <cell r="R419" t="str">
            <v>Mall - V Region</v>
          </cell>
          <cell r="S419" t="str">
            <v>Inversiones Calama</v>
          </cell>
          <cell r="T419" t="str">
            <v>Paletas</v>
          </cell>
          <cell r="U419">
            <v>1</v>
          </cell>
          <cell r="V419" t="str">
            <v>1.20 * 1.70</v>
          </cell>
        </row>
        <row r="420">
          <cell r="A420" t="str">
            <v>MAAR0004A</v>
          </cell>
          <cell r="B420" t="str">
            <v>Mall</v>
          </cell>
          <cell r="D420" t="str">
            <v>Paletas</v>
          </cell>
          <cell r="E420" t="str">
            <v>Paletas</v>
          </cell>
          <cell r="F420" t="str">
            <v>1.20 * 1.70</v>
          </cell>
          <cell r="G420" t="str">
            <v>1.23 * 1.75</v>
          </cell>
          <cell r="H420" t="str">
            <v>X</v>
          </cell>
          <cell r="I420" t="str">
            <v>EXTERIORES</v>
          </cell>
          <cell r="J420">
            <v>0</v>
          </cell>
          <cell r="K420">
            <v>8600</v>
          </cell>
          <cell r="L420">
            <v>340000</v>
          </cell>
          <cell r="M420" t="str">
            <v>MALL MARINA ARAUCO</v>
          </cell>
          <cell r="P420" t="str">
            <v>VINA DEL MAR</v>
          </cell>
          <cell r="Q420" t="str">
            <v>TRADICIONAL</v>
          </cell>
          <cell r="R420" t="str">
            <v>Mall - V Region</v>
          </cell>
          <cell r="S420" t="str">
            <v>Inversiones Calama</v>
          </cell>
          <cell r="T420" t="str">
            <v>Paletas</v>
          </cell>
          <cell r="U420">
            <v>1</v>
          </cell>
          <cell r="V420" t="str">
            <v>1.20 * 1.70</v>
          </cell>
        </row>
        <row r="421">
          <cell r="A421" t="str">
            <v>MAAR0004B</v>
          </cell>
          <cell r="B421" t="str">
            <v>Mall</v>
          </cell>
          <cell r="D421" t="str">
            <v>Paletas</v>
          </cell>
          <cell r="E421" t="str">
            <v>Paletas</v>
          </cell>
          <cell r="F421" t="str">
            <v>1.20 * 1.70</v>
          </cell>
          <cell r="G421" t="str">
            <v>1.23 * 1.75</v>
          </cell>
          <cell r="H421" t="str">
            <v>X</v>
          </cell>
          <cell r="I421" t="str">
            <v>EXTERIORES</v>
          </cell>
          <cell r="J421">
            <v>0</v>
          </cell>
          <cell r="K421">
            <v>8600</v>
          </cell>
          <cell r="L421">
            <v>340000</v>
          </cell>
          <cell r="M421" t="str">
            <v>MALL MARINA ARAUCO</v>
          </cell>
          <cell r="P421" t="str">
            <v>VINA DEL MAR</v>
          </cell>
          <cell r="Q421" t="str">
            <v>TRADICIONAL</v>
          </cell>
          <cell r="R421" t="str">
            <v>Mall - V Region</v>
          </cell>
          <cell r="S421" t="str">
            <v>Inversiones Calama</v>
          </cell>
          <cell r="T421" t="str">
            <v>Paletas</v>
          </cell>
          <cell r="U421">
            <v>1</v>
          </cell>
          <cell r="V421" t="str">
            <v>1.20 * 1.70</v>
          </cell>
        </row>
        <row r="422">
          <cell r="A422" t="str">
            <v>MAAR0005B</v>
          </cell>
          <cell r="B422" t="str">
            <v>Mall</v>
          </cell>
          <cell r="D422" t="str">
            <v>NO VENDIBLE</v>
          </cell>
          <cell r="E422" t="str">
            <v>Paletas</v>
          </cell>
          <cell r="F422" t="str">
            <v>1.20 * 1.70</v>
          </cell>
          <cell r="G422" t="str">
            <v>1.23 * 1.75</v>
          </cell>
          <cell r="H422" t="str">
            <v>X</v>
          </cell>
          <cell r="I422" t="str">
            <v>EXTERIORES</v>
          </cell>
          <cell r="J422">
            <v>0</v>
          </cell>
          <cell r="K422">
            <v>0</v>
          </cell>
          <cell r="L422">
            <v>0</v>
          </cell>
          <cell r="M422" t="str">
            <v>MALL MARINA ARAUCO</v>
          </cell>
          <cell r="O422" t="str">
            <v>Sí</v>
          </cell>
          <cell r="P422" t="str">
            <v>VINA DEL MAR</v>
          </cell>
          <cell r="Q422" t="str">
            <v>TRADICIONAL</v>
          </cell>
          <cell r="R422" t="str">
            <v>Mall - V Region</v>
          </cell>
          <cell r="S422" t="str">
            <v>Inversiones Calama</v>
          </cell>
          <cell r="T422" t="str">
            <v>Paletas</v>
          </cell>
          <cell r="U422">
            <v>1</v>
          </cell>
          <cell r="V422" t="str">
            <v>1.20 * 1.70</v>
          </cell>
        </row>
        <row r="423">
          <cell r="A423" t="str">
            <v>MAAR0006B</v>
          </cell>
          <cell r="B423" t="str">
            <v>Mall</v>
          </cell>
          <cell r="D423" t="str">
            <v>Paletas</v>
          </cell>
          <cell r="E423" t="str">
            <v>Paletas</v>
          </cell>
          <cell r="F423" t="str">
            <v>1.20 * 1.70</v>
          </cell>
          <cell r="G423" t="str">
            <v>1.23 * 1.75</v>
          </cell>
          <cell r="H423" t="str">
            <v>X</v>
          </cell>
          <cell r="I423" t="str">
            <v>EXTERIORES</v>
          </cell>
          <cell r="J423">
            <v>0</v>
          </cell>
          <cell r="K423">
            <v>0</v>
          </cell>
          <cell r="L423">
            <v>340000</v>
          </cell>
          <cell r="M423" t="str">
            <v>MALL MARINA ARAUCO</v>
          </cell>
          <cell r="P423" t="str">
            <v>VINA DEL MAR</v>
          </cell>
          <cell r="Q423" t="str">
            <v>TRADICIONAL</v>
          </cell>
          <cell r="R423" t="str">
            <v>Mall - V Region</v>
          </cell>
          <cell r="S423" t="str">
            <v>Inversiones Calama</v>
          </cell>
          <cell r="T423" t="str">
            <v>Paletas</v>
          </cell>
          <cell r="U423">
            <v>1</v>
          </cell>
          <cell r="V423" t="str">
            <v>1.20 * 1.70</v>
          </cell>
        </row>
        <row r="424">
          <cell r="A424" t="str">
            <v>MAAR0007B</v>
          </cell>
          <cell r="B424" t="str">
            <v>Mall</v>
          </cell>
          <cell r="D424" t="str">
            <v>Paletas</v>
          </cell>
          <cell r="E424" t="str">
            <v>Paletas</v>
          </cell>
          <cell r="F424" t="str">
            <v>1.20 * 1.70</v>
          </cell>
          <cell r="G424" t="str">
            <v>1.23 * 1.75</v>
          </cell>
          <cell r="H424" t="str">
            <v>X</v>
          </cell>
          <cell r="I424" t="str">
            <v>EXTERIORES</v>
          </cell>
          <cell r="J424">
            <v>0</v>
          </cell>
          <cell r="K424">
            <v>0</v>
          </cell>
          <cell r="L424">
            <v>340000</v>
          </cell>
          <cell r="M424" t="str">
            <v>MALL MARINA ARAUCO</v>
          </cell>
          <cell r="P424" t="str">
            <v>VINA DEL MAR</v>
          </cell>
          <cell r="Q424" t="str">
            <v>TRADICIONAL</v>
          </cell>
          <cell r="R424" t="str">
            <v>Mall - V Region</v>
          </cell>
          <cell r="S424" t="str">
            <v>Inversiones Calama</v>
          </cell>
          <cell r="T424" t="str">
            <v>Paletas</v>
          </cell>
          <cell r="U424">
            <v>1</v>
          </cell>
          <cell r="V424" t="str">
            <v>1.20 * 1.70</v>
          </cell>
        </row>
        <row r="425">
          <cell r="A425" t="str">
            <v>MAAR0015A</v>
          </cell>
          <cell r="B425" t="str">
            <v>Mall</v>
          </cell>
          <cell r="D425" t="str">
            <v>Paletas</v>
          </cell>
          <cell r="E425" t="str">
            <v>PILAR</v>
          </cell>
          <cell r="F425" t="str">
            <v>1.10 * 1.53</v>
          </cell>
          <cell r="G425" t="str">
            <v>1.15 * 1.57</v>
          </cell>
          <cell r="H425" t="str">
            <v>Y</v>
          </cell>
          <cell r="I425" t="str">
            <v>INTERIOR PASILLO</v>
          </cell>
          <cell r="J425">
            <v>0</v>
          </cell>
          <cell r="K425">
            <v>0</v>
          </cell>
          <cell r="L425">
            <v>380000</v>
          </cell>
          <cell r="M425" t="str">
            <v>MALL MARINA ARAUCO</v>
          </cell>
          <cell r="P425" t="str">
            <v>VINA DEL MAR</v>
          </cell>
          <cell r="Q425" t="str">
            <v>TRADICIONAL</v>
          </cell>
          <cell r="R425" t="str">
            <v>Mall - V Region</v>
          </cell>
          <cell r="S425" t="str">
            <v>Inversiones Calama</v>
          </cell>
          <cell r="T425" t="str">
            <v>Paletas</v>
          </cell>
          <cell r="U425">
            <v>1</v>
          </cell>
          <cell r="V425" t="str">
            <v>1.10 * 1.53</v>
          </cell>
        </row>
        <row r="426">
          <cell r="A426" t="str">
            <v>MAAR0016A</v>
          </cell>
          <cell r="B426" t="str">
            <v>Mall</v>
          </cell>
          <cell r="D426" t="str">
            <v>Paletas</v>
          </cell>
          <cell r="E426" t="str">
            <v>PILAR</v>
          </cell>
          <cell r="F426" t="str">
            <v>1.10 * 1.53</v>
          </cell>
          <cell r="G426" t="str">
            <v>1.15 * 1.57</v>
          </cell>
          <cell r="H426" t="str">
            <v>Y</v>
          </cell>
          <cell r="I426" t="str">
            <v>INTERIOR PASILLO</v>
          </cell>
          <cell r="J426">
            <v>0</v>
          </cell>
          <cell r="K426">
            <v>0</v>
          </cell>
          <cell r="L426">
            <v>380000</v>
          </cell>
          <cell r="M426" t="str">
            <v>MALL MARINA ARAUCO</v>
          </cell>
          <cell r="P426" t="str">
            <v>VINA DEL MAR</v>
          </cell>
          <cell r="Q426" t="str">
            <v>TRADICIONAL</v>
          </cell>
          <cell r="R426" t="str">
            <v>Mall - V Region</v>
          </cell>
          <cell r="S426" t="str">
            <v>Inversiones Calama</v>
          </cell>
          <cell r="T426" t="str">
            <v>Paletas</v>
          </cell>
          <cell r="U426">
            <v>1</v>
          </cell>
          <cell r="V426" t="str">
            <v>1.10 * 1.53</v>
          </cell>
        </row>
        <row r="427">
          <cell r="A427" t="str">
            <v>MAAR0019A</v>
          </cell>
          <cell r="B427" t="str">
            <v>Mall</v>
          </cell>
          <cell r="D427" t="str">
            <v>Cajas de luz</v>
          </cell>
          <cell r="E427" t="str">
            <v>Cajas de luz</v>
          </cell>
          <cell r="F427" t="str">
            <v>3.92 * 1.92</v>
          </cell>
          <cell r="G427" t="str">
            <v>4.20 * 2.20</v>
          </cell>
          <cell r="H427" t="str">
            <v>S</v>
          </cell>
          <cell r="I427" t="str">
            <v>ESTACIONAMIENTOS</v>
          </cell>
          <cell r="J427">
            <v>0</v>
          </cell>
          <cell r="K427">
            <v>0</v>
          </cell>
          <cell r="L427">
            <v>520000</v>
          </cell>
          <cell r="M427" t="str">
            <v>MALL MARINA ARAUCO</v>
          </cell>
          <cell r="P427" t="str">
            <v>VINA DEL MAR</v>
          </cell>
          <cell r="Q427" t="str">
            <v>TRADICIONAL</v>
          </cell>
          <cell r="R427" t="str">
            <v>Mall - V Region</v>
          </cell>
          <cell r="S427" t="str">
            <v>Inversiones Calama</v>
          </cell>
          <cell r="T427" t="str">
            <v>Cajas de luz</v>
          </cell>
          <cell r="U427">
            <v>1</v>
          </cell>
          <cell r="V427" t="str">
            <v>3.92 * 1.92</v>
          </cell>
        </row>
        <row r="428">
          <cell r="A428" t="str">
            <v>MAAR0020A</v>
          </cell>
          <cell r="B428" t="str">
            <v>Mall</v>
          </cell>
          <cell r="D428" t="str">
            <v>Cajas de luz</v>
          </cell>
          <cell r="E428" t="str">
            <v>Cajas de luz</v>
          </cell>
          <cell r="F428" t="str">
            <v>3.92 * 1.62</v>
          </cell>
          <cell r="G428" t="str">
            <v>4.20 * 1.90</v>
          </cell>
          <cell r="H428" t="str">
            <v>S</v>
          </cell>
          <cell r="I428" t="str">
            <v>ESTACIONAMIENTOS</v>
          </cell>
          <cell r="J428">
            <v>0</v>
          </cell>
          <cell r="K428">
            <v>0</v>
          </cell>
          <cell r="L428">
            <v>520000</v>
          </cell>
          <cell r="M428" t="str">
            <v>MALL MARINA ARAUCO</v>
          </cell>
          <cell r="P428" t="str">
            <v>VINA DEL MAR</v>
          </cell>
          <cell r="Q428" t="str">
            <v>TRADICIONAL</v>
          </cell>
          <cell r="R428" t="str">
            <v>Mall - V Region</v>
          </cell>
          <cell r="S428" t="str">
            <v>Inversiones Calama</v>
          </cell>
          <cell r="T428" t="str">
            <v>Cajas de luz</v>
          </cell>
          <cell r="U428">
            <v>1</v>
          </cell>
          <cell r="V428" t="str">
            <v>3.92 * 1.62</v>
          </cell>
        </row>
        <row r="429">
          <cell r="A429" t="str">
            <v>MAAR0021A</v>
          </cell>
          <cell r="B429" t="str">
            <v>Mall</v>
          </cell>
          <cell r="D429" t="str">
            <v>Cajas de luz</v>
          </cell>
          <cell r="E429" t="str">
            <v>Cajas de luz</v>
          </cell>
          <cell r="F429" t="str">
            <v>3.92 * 1.92</v>
          </cell>
          <cell r="G429" t="str">
            <v>4.20 * 2.20</v>
          </cell>
          <cell r="H429" t="str">
            <v>S</v>
          </cell>
          <cell r="I429" t="str">
            <v>ESTACIONAMIENTOS</v>
          </cell>
          <cell r="J429">
            <v>0</v>
          </cell>
          <cell r="K429">
            <v>0</v>
          </cell>
          <cell r="L429">
            <v>520000</v>
          </cell>
          <cell r="M429" t="str">
            <v>MALL MARINA ARAUCO</v>
          </cell>
          <cell r="P429" t="str">
            <v>VINA DEL MAR</v>
          </cell>
          <cell r="Q429" t="str">
            <v>TRADICIONAL</v>
          </cell>
          <cell r="R429" t="str">
            <v>Mall - V Region</v>
          </cell>
          <cell r="S429" t="str">
            <v>Inversiones Calama</v>
          </cell>
          <cell r="T429" t="str">
            <v>Cajas de luz</v>
          </cell>
          <cell r="U429">
            <v>1</v>
          </cell>
          <cell r="V429" t="str">
            <v>3.92 * 1.92</v>
          </cell>
        </row>
        <row r="430">
          <cell r="A430" t="str">
            <v>MAAR0022A</v>
          </cell>
          <cell r="B430" t="str">
            <v>Mall</v>
          </cell>
          <cell r="D430" t="str">
            <v>Cajas de luz</v>
          </cell>
          <cell r="E430" t="str">
            <v>Cajas de luz</v>
          </cell>
          <cell r="F430" t="str">
            <v>3.92 * 1.92</v>
          </cell>
          <cell r="G430" t="str">
            <v>4.20 * 2.20</v>
          </cell>
          <cell r="H430" t="str">
            <v>S</v>
          </cell>
          <cell r="I430" t="str">
            <v>ESTACIONAMIENTOS</v>
          </cell>
          <cell r="J430">
            <v>0</v>
          </cell>
          <cell r="K430">
            <v>0</v>
          </cell>
          <cell r="L430">
            <v>520000</v>
          </cell>
          <cell r="M430" t="str">
            <v>MALL MARINA ARAUCO</v>
          </cell>
          <cell r="P430" t="str">
            <v>VINA DEL MAR</v>
          </cell>
          <cell r="Q430" t="str">
            <v>TRADICIONAL</v>
          </cell>
          <cell r="R430" t="str">
            <v>Mall - V Region</v>
          </cell>
          <cell r="S430" t="str">
            <v>Inversiones Calama</v>
          </cell>
          <cell r="T430" t="str">
            <v>Cajas de luz</v>
          </cell>
          <cell r="U430">
            <v>1</v>
          </cell>
          <cell r="V430" t="str">
            <v>3.92 * 1.92</v>
          </cell>
        </row>
        <row r="431">
          <cell r="A431" t="str">
            <v>MAAR0024A</v>
          </cell>
          <cell r="B431" t="str">
            <v>Mall</v>
          </cell>
          <cell r="D431" t="str">
            <v>Cajas de luz</v>
          </cell>
          <cell r="E431" t="str">
            <v>Cajas de luz</v>
          </cell>
          <cell r="F431" t="str">
            <v>4.92 * 2.22</v>
          </cell>
          <cell r="G431" t="str">
            <v>5.20 * 2.50</v>
          </cell>
          <cell r="H431" t="str">
            <v>S</v>
          </cell>
          <cell r="I431" t="str">
            <v>ESTACIONAMIENTOS</v>
          </cell>
          <cell r="J431">
            <v>0</v>
          </cell>
          <cell r="K431">
            <v>0</v>
          </cell>
          <cell r="L431">
            <v>600000</v>
          </cell>
          <cell r="M431" t="str">
            <v>MALL MARINA ARAUCO</v>
          </cell>
          <cell r="P431" t="str">
            <v>VINA DEL MAR</v>
          </cell>
          <cell r="Q431" t="str">
            <v>TRADICIONAL</v>
          </cell>
          <cell r="R431" t="str">
            <v>Mall - V Region</v>
          </cell>
          <cell r="S431" t="str">
            <v>Inversiones Calama</v>
          </cell>
          <cell r="T431" t="str">
            <v>Cajas de luz</v>
          </cell>
          <cell r="U431">
            <v>1</v>
          </cell>
          <cell r="V431" t="str">
            <v>4.92 * 2.22</v>
          </cell>
        </row>
        <row r="432">
          <cell r="A432" t="str">
            <v>MAAR0025A</v>
          </cell>
          <cell r="B432" t="str">
            <v>Mall</v>
          </cell>
          <cell r="D432" t="str">
            <v>Cajas de luz</v>
          </cell>
          <cell r="E432" t="str">
            <v>Cajas de luz</v>
          </cell>
          <cell r="F432" t="str">
            <v>4.92 * 2.22</v>
          </cell>
          <cell r="G432" t="str">
            <v>5.20 * 2.50</v>
          </cell>
          <cell r="H432" t="str">
            <v>S</v>
          </cell>
          <cell r="I432" t="str">
            <v>ESTACIONAMIENTOS</v>
          </cell>
          <cell r="J432">
            <v>0</v>
          </cell>
          <cell r="K432">
            <v>0</v>
          </cell>
          <cell r="L432">
            <v>600000</v>
          </cell>
          <cell r="M432" t="str">
            <v>MALL MARINA ARAUCO</v>
          </cell>
          <cell r="P432" t="str">
            <v>VINA DEL MAR</v>
          </cell>
          <cell r="Q432" t="str">
            <v>TRADICIONAL</v>
          </cell>
          <cell r="R432" t="str">
            <v>Mall - V Region</v>
          </cell>
          <cell r="S432" t="str">
            <v>Inversiones Calama</v>
          </cell>
          <cell r="T432" t="str">
            <v>Cajas de luz</v>
          </cell>
          <cell r="U432">
            <v>1</v>
          </cell>
          <cell r="V432" t="str">
            <v>4.92 * 2.22</v>
          </cell>
        </row>
        <row r="433">
          <cell r="A433" t="str">
            <v>MAAR0026A</v>
          </cell>
          <cell r="B433" t="str">
            <v>Mall</v>
          </cell>
          <cell r="D433" t="str">
            <v>P.E.: MAMPARA WINDOW V.</v>
          </cell>
          <cell r="E433" t="str">
            <v>MAMPARA WINDOW V.</v>
          </cell>
          <cell r="F433" t="str">
            <v>Ver Ficha</v>
          </cell>
          <cell r="G433" t="str">
            <v>Ver Ficha</v>
          </cell>
          <cell r="H433" t="str">
            <v>V</v>
          </cell>
          <cell r="I433" t="str">
            <v>ACCESO SALA DE V</v>
          </cell>
          <cell r="J433">
            <v>73000</v>
          </cell>
          <cell r="K433">
            <v>121590</v>
          </cell>
          <cell r="L433">
            <v>3000000</v>
          </cell>
          <cell r="M433" t="str">
            <v>MALL MARINA ARAUCO</v>
          </cell>
          <cell r="P433" t="str">
            <v>VINA DEL MAR</v>
          </cell>
          <cell r="Q433" t="str">
            <v>ESPECIAL</v>
          </cell>
          <cell r="R433" t="str">
            <v>Mall - V Region</v>
          </cell>
          <cell r="S433" t="str">
            <v>Inversiones Calama</v>
          </cell>
          <cell r="T433" t="str">
            <v>Productos Especiales</v>
          </cell>
          <cell r="U433">
            <v>1</v>
          </cell>
          <cell r="V433" t="str">
            <v>NA</v>
          </cell>
        </row>
        <row r="434">
          <cell r="A434" t="str">
            <v>MAAR0030A</v>
          </cell>
          <cell r="B434" t="str">
            <v>Mall</v>
          </cell>
          <cell r="D434" t="str">
            <v>P.E.: CORPOREO</v>
          </cell>
          <cell r="E434" t="str">
            <v>CORPOREO</v>
          </cell>
          <cell r="F434" t="str">
            <v>Ver Ficha</v>
          </cell>
          <cell r="G434" t="str">
            <v>Ver Ficha</v>
          </cell>
          <cell r="I434" t="str">
            <v>EXTERIORES</v>
          </cell>
          <cell r="J434" t="str">
            <v>Según Corporeo</v>
          </cell>
          <cell r="L434">
            <v>2500000</v>
          </cell>
          <cell r="M434" t="str">
            <v>MALL MARINA ARAUCO</v>
          </cell>
          <cell r="P434" t="str">
            <v>VINA DEL MAR</v>
          </cell>
          <cell r="Q434" t="str">
            <v>ESPECIAL</v>
          </cell>
          <cell r="R434" t="str">
            <v>Mall - V Region</v>
          </cell>
          <cell r="S434" t="str">
            <v>Inversiones Calama</v>
          </cell>
          <cell r="T434" t="str">
            <v>Productos Especiales</v>
          </cell>
          <cell r="U434">
            <v>1</v>
          </cell>
          <cell r="V434" t="str">
            <v>NA</v>
          </cell>
        </row>
        <row r="435">
          <cell r="A435" t="str">
            <v>MAAR0031A</v>
          </cell>
          <cell r="B435" t="str">
            <v>Mall</v>
          </cell>
          <cell r="D435" t="str">
            <v>P.E.: CORPOREO</v>
          </cell>
          <cell r="E435" t="str">
            <v>CORPOREO</v>
          </cell>
          <cell r="F435" t="str">
            <v>Ver Ficha</v>
          </cell>
          <cell r="G435" t="str">
            <v>Ver Ficha</v>
          </cell>
          <cell r="J435" t="str">
            <v>Según Corporeo</v>
          </cell>
          <cell r="L435">
            <v>2500000</v>
          </cell>
          <cell r="M435" t="str">
            <v>MALL MARINA ARAUCO</v>
          </cell>
          <cell r="P435" t="str">
            <v>VINA DEL MAR</v>
          </cell>
          <cell r="Q435" t="str">
            <v>ESPECIAL</v>
          </cell>
          <cell r="R435" t="str">
            <v>Mall - V Region</v>
          </cell>
          <cell r="S435" t="str">
            <v>Inversiones Calama</v>
          </cell>
          <cell r="T435" t="str">
            <v>Productos Especiales</v>
          </cell>
          <cell r="U435">
            <v>1</v>
          </cell>
          <cell r="V435" t="str">
            <v>NA</v>
          </cell>
        </row>
        <row r="436">
          <cell r="A436" t="str">
            <v>MAAR0033A</v>
          </cell>
          <cell r="B436" t="str">
            <v>Mall</v>
          </cell>
          <cell r="D436" t="str">
            <v>P.E.: ASCENSOR</v>
          </cell>
          <cell r="E436" t="str">
            <v>ASCENSOR</v>
          </cell>
          <cell r="F436" t="str">
            <v>Ver Ficha</v>
          </cell>
          <cell r="G436" t="str">
            <v>Ver Ficha</v>
          </cell>
          <cell r="I436" t="str">
            <v>INTERIOR</v>
          </cell>
          <cell r="J436">
            <v>15000</v>
          </cell>
          <cell r="L436">
            <v>2250000</v>
          </cell>
          <cell r="M436" t="str">
            <v>MALL MARINA ARAUCO</v>
          </cell>
          <cell r="P436" t="str">
            <v>VINA DEL MAR</v>
          </cell>
          <cell r="Q436" t="str">
            <v>ESPECIAL</v>
          </cell>
          <cell r="R436" t="str">
            <v>Mall - V Region</v>
          </cell>
          <cell r="S436" t="str">
            <v>Inversiones Calama</v>
          </cell>
          <cell r="T436" t="str">
            <v>Productos Especiales</v>
          </cell>
          <cell r="U436">
            <v>1</v>
          </cell>
          <cell r="V436" t="str">
            <v>NA</v>
          </cell>
        </row>
        <row r="437">
          <cell r="A437" t="str">
            <v>MAAR0034A</v>
          </cell>
          <cell r="B437" t="str">
            <v>Mall</v>
          </cell>
          <cell r="D437" t="str">
            <v>P.E.: MESAS</v>
          </cell>
          <cell r="E437" t="str">
            <v>MESAS</v>
          </cell>
          <cell r="F437" t="str">
            <v>Ver Ficha</v>
          </cell>
          <cell r="G437" t="str">
            <v>Ver Ficha</v>
          </cell>
          <cell r="I437" t="str">
            <v>INTERIOR</v>
          </cell>
          <cell r="J437">
            <v>670000</v>
          </cell>
          <cell r="L437">
            <v>3500000</v>
          </cell>
          <cell r="M437" t="str">
            <v>MALL MARINA ARAUCO</v>
          </cell>
          <cell r="P437" t="str">
            <v>VINA DEL MAR</v>
          </cell>
          <cell r="Q437" t="str">
            <v>ESPECIAL</v>
          </cell>
          <cell r="R437" t="str">
            <v>Mall - V Region</v>
          </cell>
          <cell r="S437" t="str">
            <v>Inversiones Calama</v>
          </cell>
          <cell r="T437" t="str">
            <v>Productos Especiales</v>
          </cell>
          <cell r="U437">
            <v>1</v>
          </cell>
          <cell r="V437" t="str">
            <v>NA</v>
          </cell>
        </row>
        <row r="438">
          <cell r="A438" t="str">
            <v>MAAR0034B</v>
          </cell>
          <cell r="B438" t="str">
            <v>Mall</v>
          </cell>
          <cell r="D438" t="str">
            <v>P.E.: MESAS</v>
          </cell>
          <cell r="E438" t="str">
            <v>MESAS</v>
          </cell>
          <cell r="F438" t="str">
            <v>Ver Ficha</v>
          </cell>
          <cell r="G438" t="str">
            <v>Ver Ficha</v>
          </cell>
          <cell r="I438" t="str">
            <v>INTERIOR</v>
          </cell>
          <cell r="J438">
            <v>423000</v>
          </cell>
          <cell r="L438">
            <v>2500000</v>
          </cell>
          <cell r="M438" t="str">
            <v>MALL MARINA ARAUCO</v>
          </cell>
          <cell r="P438" t="str">
            <v>VINA DEL MAR</v>
          </cell>
          <cell r="Q438" t="str">
            <v>ESPECIAL</v>
          </cell>
          <cell r="R438" t="str">
            <v>Mall - V Region</v>
          </cell>
          <cell r="S438" t="str">
            <v>Inversiones Calama</v>
          </cell>
          <cell r="T438" t="str">
            <v>Productos Especiales</v>
          </cell>
          <cell r="U438">
            <v>1</v>
          </cell>
          <cell r="V438" t="str">
            <v>NA</v>
          </cell>
        </row>
        <row r="439">
          <cell r="A439" t="str">
            <v>MAAR0036A</v>
          </cell>
          <cell r="B439" t="str">
            <v>Mall</v>
          </cell>
          <cell r="D439" t="str">
            <v>P.E.: ESPEJOS BAÑOS</v>
          </cell>
          <cell r="E439" t="str">
            <v>ESPEJOS BAÑOS</v>
          </cell>
          <cell r="F439" t="str">
            <v>VER FICHA</v>
          </cell>
          <cell r="G439" t="str">
            <v>VER FICHA</v>
          </cell>
          <cell r="I439" t="str">
            <v>INTERIOR</v>
          </cell>
          <cell r="J439">
            <v>21000</v>
          </cell>
          <cell r="K439">
            <v>0</v>
          </cell>
          <cell r="L439">
            <v>1500000</v>
          </cell>
          <cell r="M439" t="str">
            <v>MALL MARINA ARAUCO</v>
          </cell>
          <cell r="P439" t="str">
            <v>VINA DEL MAR</v>
          </cell>
          <cell r="Q439" t="str">
            <v>ESPECIAL</v>
          </cell>
          <cell r="R439" t="str">
            <v>Mall - V Region</v>
          </cell>
          <cell r="S439" t="str">
            <v>Inversiones Calama</v>
          </cell>
          <cell r="T439" t="str">
            <v>Productos Especiales</v>
          </cell>
          <cell r="U439">
            <v>1</v>
          </cell>
          <cell r="V439" t="str">
            <v>NA</v>
          </cell>
        </row>
        <row r="440">
          <cell r="A440" t="str">
            <v>MAAR0036B</v>
          </cell>
          <cell r="B440" t="str">
            <v>Mall</v>
          </cell>
          <cell r="D440" t="str">
            <v>P.E.: ESPEJOS BAÑOS</v>
          </cell>
          <cell r="E440" t="str">
            <v>ESPEJOS BAÑOS</v>
          </cell>
          <cell r="F440" t="str">
            <v>VER FICHA</v>
          </cell>
          <cell r="G440" t="str">
            <v>VER FICHA</v>
          </cell>
          <cell r="I440" t="str">
            <v>INTERIOR</v>
          </cell>
          <cell r="J440">
            <v>21000</v>
          </cell>
          <cell r="L440">
            <v>1500000</v>
          </cell>
          <cell r="M440" t="str">
            <v>MALL MARINA ARAUCO</v>
          </cell>
          <cell r="P440" t="str">
            <v>VINA DEL MAR</v>
          </cell>
          <cell r="Q440" t="str">
            <v>ESPECIAL</v>
          </cell>
          <cell r="R440" t="str">
            <v>Mall - V Region</v>
          </cell>
          <cell r="S440" t="str">
            <v>Inversiones Calama</v>
          </cell>
          <cell r="T440" t="str">
            <v>Productos Especiales</v>
          </cell>
          <cell r="U440">
            <v>1</v>
          </cell>
          <cell r="V440" t="str">
            <v>NA</v>
          </cell>
        </row>
        <row r="441">
          <cell r="A441" t="str">
            <v>MAAR0037A</v>
          </cell>
          <cell r="B441" t="str">
            <v>Mall</v>
          </cell>
          <cell r="D441" t="str">
            <v>P.E.: PENDONES</v>
          </cell>
          <cell r="E441" t="str">
            <v>PENDONES</v>
          </cell>
          <cell r="F441" t="str">
            <v>VER FICHA</v>
          </cell>
          <cell r="G441" t="str">
            <v>VER FICHA</v>
          </cell>
          <cell r="I441" t="str">
            <v>INTERIOR</v>
          </cell>
          <cell r="J441">
            <v>207000</v>
          </cell>
          <cell r="L441">
            <v>3125000</v>
          </cell>
          <cell r="M441" t="str">
            <v>MALL MARINA ARAUCO</v>
          </cell>
          <cell r="P441" t="str">
            <v>VINA DEL MAR</v>
          </cell>
          <cell r="Q441" t="str">
            <v>ESPECIAL</v>
          </cell>
          <cell r="R441" t="str">
            <v>Mall - V Region</v>
          </cell>
          <cell r="S441" t="str">
            <v>Inversiones Calama</v>
          </cell>
          <cell r="T441" t="str">
            <v>Productos Especiales</v>
          </cell>
          <cell r="U441">
            <v>1</v>
          </cell>
          <cell r="V441" t="str">
            <v>NA</v>
          </cell>
        </row>
        <row r="442">
          <cell r="A442" t="str">
            <v>MAAR0038A</v>
          </cell>
          <cell r="B442" t="str">
            <v>Mall</v>
          </cell>
          <cell r="D442" t="str">
            <v>P.E.: PENDONES</v>
          </cell>
          <cell r="E442" t="str">
            <v>PENDONES</v>
          </cell>
          <cell r="F442" t="str">
            <v>VER FICHA</v>
          </cell>
          <cell r="G442" t="str">
            <v>VER FICHA</v>
          </cell>
          <cell r="I442" t="str">
            <v>interior</v>
          </cell>
          <cell r="J442">
            <v>207000</v>
          </cell>
          <cell r="L442">
            <v>3125000</v>
          </cell>
          <cell r="M442" t="str">
            <v>MALL MARINA ARAUCO</v>
          </cell>
          <cell r="P442" t="str">
            <v>VINA DEL MAR</v>
          </cell>
          <cell r="Q442" t="str">
            <v>ESPECIAL</v>
          </cell>
          <cell r="R442" t="str">
            <v>Mall - V Region</v>
          </cell>
          <cell r="S442" t="str">
            <v>Inversiones Calama</v>
          </cell>
          <cell r="T442" t="str">
            <v>Productos Especiales</v>
          </cell>
          <cell r="U442">
            <v>1</v>
          </cell>
          <cell r="V442" t="str">
            <v>NA</v>
          </cell>
        </row>
        <row r="443">
          <cell r="A443" t="str">
            <v>MAAR0039A</v>
          </cell>
          <cell r="B443" t="str">
            <v>Mall</v>
          </cell>
          <cell r="D443" t="str">
            <v>P.E.: Pendón Bifaz</v>
          </cell>
          <cell r="E443" t="str">
            <v>Pendón Bifaz</v>
          </cell>
          <cell r="F443" t="str">
            <v>VER FICHA</v>
          </cell>
          <cell r="G443" t="str">
            <v>VER FICHA</v>
          </cell>
          <cell r="I443" t="str">
            <v>INTERIOR</v>
          </cell>
          <cell r="J443">
            <v>227000</v>
          </cell>
          <cell r="L443">
            <v>3125000</v>
          </cell>
          <cell r="M443" t="str">
            <v>MALL MARINA ARAUCO</v>
          </cell>
          <cell r="P443" t="str">
            <v>VINA DEL MAR</v>
          </cell>
          <cell r="Q443" t="str">
            <v>ESPECIAL</v>
          </cell>
          <cell r="R443" t="str">
            <v>Mall - V Region</v>
          </cell>
          <cell r="S443" t="str">
            <v>Inversiones Calama</v>
          </cell>
          <cell r="T443" t="str">
            <v>Productos Especiales</v>
          </cell>
          <cell r="U443">
            <v>1</v>
          </cell>
          <cell r="V443" t="str">
            <v>NA</v>
          </cell>
        </row>
        <row r="444">
          <cell r="A444" t="str">
            <v>MAAR0044A</v>
          </cell>
          <cell r="B444" t="str">
            <v>Mall</v>
          </cell>
          <cell r="D444" t="str">
            <v>P.E.: ESCALERAS MECÁNICAS</v>
          </cell>
          <cell r="E444" t="str">
            <v>ESCALERAS MECÁNICAS</v>
          </cell>
          <cell r="F444" t="str">
            <v>VER FICHA</v>
          </cell>
          <cell r="G444" t="str">
            <v>VER FICHA</v>
          </cell>
          <cell r="I444" t="str">
            <v>INTERIOR</v>
          </cell>
          <cell r="J444">
            <v>266000</v>
          </cell>
          <cell r="L444">
            <v>3200000</v>
          </cell>
          <cell r="M444" t="str">
            <v>MALL MARINA ARAUCO</v>
          </cell>
          <cell r="P444" t="str">
            <v>VINA DEL MAR</v>
          </cell>
          <cell r="Q444" t="str">
            <v>ESPECIAL</v>
          </cell>
          <cell r="R444" t="str">
            <v>Mall - V Region</v>
          </cell>
          <cell r="S444" t="str">
            <v>Inversiones Calama</v>
          </cell>
          <cell r="T444" t="str">
            <v>Productos Especiales</v>
          </cell>
          <cell r="U444">
            <v>1</v>
          </cell>
          <cell r="V444" t="str">
            <v>NA</v>
          </cell>
        </row>
        <row r="445">
          <cell r="A445" t="str">
            <v>MAAR0044B</v>
          </cell>
          <cell r="B445" t="str">
            <v>Mall</v>
          </cell>
          <cell r="D445" t="str">
            <v>P.E.: ESCALERAS MECÁNICAS</v>
          </cell>
          <cell r="E445" t="str">
            <v>ESCALERAS MECÁNICAS</v>
          </cell>
          <cell r="F445" t="str">
            <v>VER FICHA</v>
          </cell>
          <cell r="G445" t="str">
            <v>VER FICHA</v>
          </cell>
          <cell r="I445" t="str">
            <v>INTERIOR</v>
          </cell>
          <cell r="J445">
            <v>266000</v>
          </cell>
          <cell r="L445">
            <v>3200000</v>
          </cell>
          <cell r="M445" t="str">
            <v>MALL MARINA ARAUCO</v>
          </cell>
          <cell r="P445" t="str">
            <v>VINA DEL MAR</v>
          </cell>
          <cell r="Q445" t="str">
            <v>ESPECIAL</v>
          </cell>
          <cell r="R445" t="str">
            <v>Mall - V Region</v>
          </cell>
          <cell r="S445" t="str">
            <v>Inversiones Calama</v>
          </cell>
          <cell r="T445" t="str">
            <v>Productos Especiales</v>
          </cell>
          <cell r="U445">
            <v>1</v>
          </cell>
          <cell r="V445" t="str">
            <v>NA</v>
          </cell>
        </row>
        <row r="446">
          <cell r="A446" t="str">
            <v>MAAR0045A</v>
          </cell>
          <cell r="B446" t="str">
            <v>Mall</v>
          </cell>
          <cell r="D446" t="str">
            <v>P.E.: PENDONES HORIZONTALES</v>
          </cell>
          <cell r="E446" t="str">
            <v>PENDONES HORIZONTALES</v>
          </cell>
          <cell r="F446" t="str">
            <v>VER FICHA</v>
          </cell>
          <cell r="G446" t="str">
            <v>VER FICHA</v>
          </cell>
          <cell r="I446" t="str">
            <v>INTERIOR</v>
          </cell>
          <cell r="J446">
            <v>207000</v>
          </cell>
          <cell r="L446">
            <v>3600000</v>
          </cell>
          <cell r="M446" t="str">
            <v>MALL MARINA ARAUCO</v>
          </cell>
          <cell r="P446" t="str">
            <v>VINA DEL MAR</v>
          </cell>
          <cell r="Q446" t="str">
            <v>ESPECIAL</v>
          </cell>
          <cell r="R446" t="str">
            <v>Mall - V Region</v>
          </cell>
          <cell r="S446" t="str">
            <v>Inversiones Calama</v>
          </cell>
          <cell r="T446" t="str">
            <v>Productos Especiales</v>
          </cell>
          <cell r="U446">
            <v>1</v>
          </cell>
          <cell r="V446" t="str">
            <v>NA</v>
          </cell>
        </row>
        <row r="447">
          <cell r="A447" t="str">
            <v>MACA0001A</v>
          </cell>
          <cell r="B447" t="str">
            <v>Mall</v>
          </cell>
          <cell r="D447" t="str">
            <v>Paletas</v>
          </cell>
          <cell r="E447" t="str">
            <v>Paletas</v>
          </cell>
          <cell r="F447" t="str">
            <v>1.10 * 1.53</v>
          </cell>
          <cell r="G447" t="str">
            <v>1.15 * 1.57</v>
          </cell>
          <cell r="H447" t="str">
            <v>E</v>
          </cell>
          <cell r="I447" t="str">
            <v>ESTACIONAMIENTOS</v>
          </cell>
          <cell r="J447">
            <v>0</v>
          </cell>
          <cell r="K447">
            <v>5000</v>
          </cell>
          <cell r="L447">
            <v>240000</v>
          </cell>
          <cell r="M447" t="str">
            <v>MALL CALAMA</v>
          </cell>
          <cell r="P447" t="str">
            <v>CALAMA</v>
          </cell>
          <cell r="Q447" t="str">
            <v>TRADICIONAL</v>
          </cell>
          <cell r="R447" t="str">
            <v>Mall - Norte</v>
          </cell>
          <cell r="S447" t="str">
            <v>Inversiones Calama</v>
          </cell>
          <cell r="T447" t="str">
            <v>Paletas</v>
          </cell>
          <cell r="U447">
            <v>1</v>
          </cell>
          <cell r="V447" t="str">
            <v>1.10 * 1.53</v>
          </cell>
        </row>
        <row r="448">
          <cell r="A448" t="str">
            <v>MACA0001B</v>
          </cell>
          <cell r="B448" t="str">
            <v>Mall</v>
          </cell>
          <cell r="D448" t="str">
            <v>Paletas</v>
          </cell>
          <cell r="E448" t="str">
            <v>Paletas</v>
          </cell>
          <cell r="F448" t="str">
            <v>1.10 * 1.54</v>
          </cell>
          <cell r="G448" t="str">
            <v>1.15 * 1.57</v>
          </cell>
          <cell r="H448" t="str">
            <v>E</v>
          </cell>
          <cell r="I448" t="str">
            <v>ESTACIONAMIENTOS</v>
          </cell>
          <cell r="J448">
            <v>0</v>
          </cell>
          <cell r="K448">
            <v>0</v>
          </cell>
          <cell r="L448">
            <v>240000</v>
          </cell>
          <cell r="M448" t="str">
            <v>MALL CALAMA</v>
          </cell>
          <cell r="P448" t="str">
            <v>CALAMA</v>
          </cell>
          <cell r="Q448" t="str">
            <v>TRADICIONAL</v>
          </cell>
          <cell r="R448" t="str">
            <v>Mall - Norte</v>
          </cell>
          <cell r="S448" t="str">
            <v>Inversiones Calama</v>
          </cell>
          <cell r="T448" t="str">
            <v>Paletas</v>
          </cell>
          <cell r="U448">
            <v>1</v>
          </cell>
          <cell r="V448" t="str">
            <v>1.10 * 1.53</v>
          </cell>
        </row>
        <row r="449">
          <cell r="A449" t="str">
            <v>MACA0002A</v>
          </cell>
          <cell r="B449" t="str">
            <v>Mall</v>
          </cell>
          <cell r="D449" t="str">
            <v>Paletas</v>
          </cell>
          <cell r="E449" t="str">
            <v>Paletas</v>
          </cell>
          <cell r="F449" t="str">
            <v>1.10 * 1.54</v>
          </cell>
          <cell r="G449" t="str">
            <v>1.15 * 1.57</v>
          </cell>
          <cell r="H449" t="str">
            <v>E</v>
          </cell>
          <cell r="I449" t="str">
            <v>ESTACIONAMIENTOS</v>
          </cell>
          <cell r="J449">
            <v>0</v>
          </cell>
          <cell r="K449">
            <v>5000</v>
          </cell>
          <cell r="L449">
            <v>240000</v>
          </cell>
          <cell r="M449" t="str">
            <v>MALL CALAMA</v>
          </cell>
          <cell r="P449" t="str">
            <v>CALAMA</v>
          </cell>
          <cell r="Q449" t="str">
            <v>TRADICIONAL</v>
          </cell>
          <cell r="R449" t="str">
            <v>Mall - Norte</v>
          </cell>
          <cell r="S449" t="str">
            <v>Inversiones Calama</v>
          </cell>
          <cell r="T449" t="str">
            <v>Paletas</v>
          </cell>
          <cell r="U449">
            <v>1</v>
          </cell>
          <cell r="V449" t="str">
            <v>1.10 * 1.53</v>
          </cell>
        </row>
        <row r="450">
          <cell r="A450" t="str">
            <v>MACA0002B</v>
          </cell>
          <cell r="B450" t="str">
            <v>Mall</v>
          </cell>
          <cell r="D450" t="str">
            <v>Paletas</v>
          </cell>
          <cell r="E450" t="str">
            <v>Paletas</v>
          </cell>
          <cell r="F450" t="str">
            <v>1.10 * 1.54</v>
          </cell>
          <cell r="G450" t="str">
            <v>1.15 * 1.57</v>
          </cell>
          <cell r="H450" t="str">
            <v>E</v>
          </cell>
          <cell r="I450" t="str">
            <v>ESTACIONAMIENTOS</v>
          </cell>
          <cell r="J450">
            <v>0</v>
          </cell>
          <cell r="K450">
            <v>0</v>
          </cell>
          <cell r="L450">
            <v>0</v>
          </cell>
          <cell r="M450" t="str">
            <v>MALL CALAMA</v>
          </cell>
          <cell r="P450" t="str">
            <v>CALAMA</v>
          </cell>
          <cell r="Q450" t="str">
            <v>TRADICIONAL</v>
          </cell>
          <cell r="R450" t="str">
            <v>Mall - Norte</v>
          </cell>
          <cell r="S450" t="str">
            <v>Inversiones Calama</v>
          </cell>
          <cell r="T450" t="str">
            <v>Paletas</v>
          </cell>
          <cell r="U450">
            <v>1</v>
          </cell>
          <cell r="V450" t="str">
            <v>1.10 * 1.53</v>
          </cell>
        </row>
        <row r="451">
          <cell r="A451" t="str">
            <v>MACA0003A</v>
          </cell>
          <cell r="B451" t="str">
            <v>Mall</v>
          </cell>
          <cell r="D451" t="str">
            <v>Paletas</v>
          </cell>
          <cell r="E451" t="str">
            <v>Paletas</v>
          </cell>
          <cell r="F451" t="str">
            <v>1.10 * 1.54</v>
          </cell>
          <cell r="G451" t="str">
            <v>1.15 * 1.57</v>
          </cell>
          <cell r="H451" t="str">
            <v>E</v>
          </cell>
          <cell r="I451" t="str">
            <v>ESTACIONAMIENTOS</v>
          </cell>
          <cell r="J451">
            <v>0</v>
          </cell>
          <cell r="K451">
            <v>5000</v>
          </cell>
          <cell r="L451">
            <v>240000</v>
          </cell>
          <cell r="M451" t="str">
            <v>MALL CALAMA</v>
          </cell>
          <cell r="P451" t="str">
            <v>CALAMA</v>
          </cell>
          <cell r="Q451" t="str">
            <v>TRADICIONAL</v>
          </cell>
          <cell r="R451" t="str">
            <v>Mall - Norte</v>
          </cell>
          <cell r="S451" t="str">
            <v>Inversiones Calama</v>
          </cell>
          <cell r="T451" t="str">
            <v>Paletas</v>
          </cell>
          <cell r="U451">
            <v>1</v>
          </cell>
          <cell r="V451" t="str">
            <v>1.10 * 1.53</v>
          </cell>
        </row>
        <row r="452">
          <cell r="A452" t="str">
            <v>MACA0003B</v>
          </cell>
          <cell r="B452" t="str">
            <v>Mall</v>
          </cell>
          <cell r="D452" t="str">
            <v>Paletas</v>
          </cell>
          <cell r="E452" t="str">
            <v>Paletas</v>
          </cell>
          <cell r="F452" t="str">
            <v>1.10 * 1.54</v>
          </cell>
          <cell r="G452" t="str">
            <v>1.15 * 1.57</v>
          </cell>
          <cell r="H452" t="str">
            <v>E</v>
          </cell>
          <cell r="I452" t="str">
            <v>ESTACIONAMIENTOS</v>
          </cell>
          <cell r="J452">
            <v>0</v>
          </cell>
          <cell r="K452">
            <v>0</v>
          </cell>
          <cell r="L452">
            <v>240000</v>
          </cell>
          <cell r="M452" t="str">
            <v>MALL CALAMA</v>
          </cell>
          <cell r="P452" t="str">
            <v>CALAMA</v>
          </cell>
          <cell r="Q452" t="str">
            <v>TRADICIONAL</v>
          </cell>
          <cell r="R452" t="str">
            <v>Mall - Norte</v>
          </cell>
          <cell r="S452" t="str">
            <v>Inversiones Calama</v>
          </cell>
          <cell r="T452" t="str">
            <v>Paletas</v>
          </cell>
          <cell r="U452">
            <v>1</v>
          </cell>
          <cell r="V452" t="str">
            <v>1.10 * 1.53</v>
          </cell>
        </row>
        <row r="453">
          <cell r="A453" t="str">
            <v>MACA0004A</v>
          </cell>
          <cell r="B453" t="str">
            <v>Mall</v>
          </cell>
          <cell r="D453" t="str">
            <v>Paletas</v>
          </cell>
          <cell r="E453" t="str">
            <v>INTERIOR</v>
          </cell>
          <cell r="F453" t="str">
            <v>1.10 * 1.54</v>
          </cell>
          <cell r="G453" t="str">
            <v>1.15 * 1.57</v>
          </cell>
          <cell r="H453" t="str">
            <v>Y</v>
          </cell>
          <cell r="I453" t="str">
            <v>INTERIOR PASILLO</v>
          </cell>
          <cell r="J453">
            <v>0</v>
          </cell>
          <cell r="K453">
            <v>0</v>
          </cell>
          <cell r="L453">
            <v>280000</v>
          </cell>
          <cell r="M453" t="str">
            <v>MALL CALAMA</v>
          </cell>
          <cell r="P453" t="str">
            <v>CALAMA</v>
          </cell>
          <cell r="Q453" t="str">
            <v>TRADICIONAL</v>
          </cell>
          <cell r="R453" t="str">
            <v>Mall - Norte</v>
          </cell>
          <cell r="S453" t="str">
            <v>Inversiones Calama</v>
          </cell>
          <cell r="T453" t="str">
            <v>Paletas</v>
          </cell>
          <cell r="U453">
            <v>1</v>
          </cell>
          <cell r="V453" t="str">
            <v>1.10 * 1.53</v>
          </cell>
        </row>
        <row r="454">
          <cell r="A454" t="str">
            <v>MACA0004B</v>
          </cell>
          <cell r="B454" t="str">
            <v>Mall</v>
          </cell>
          <cell r="D454" t="str">
            <v>Paletas</v>
          </cell>
          <cell r="E454" t="str">
            <v>INTERIOR</v>
          </cell>
          <cell r="F454" t="str">
            <v>1.10 * 1.54</v>
          </cell>
          <cell r="G454" t="str">
            <v>1.15 * 1.57</v>
          </cell>
          <cell r="H454" t="str">
            <v>Y</v>
          </cell>
          <cell r="I454" t="str">
            <v>INTERIOR PASILLO</v>
          </cell>
          <cell r="J454">
            <v>0</v>
          </cell>
          <cell r="K454">
            <v>0</v>
          </cell>
          <cell r="L454">
            <v>280000</v>
          </cell>
          <cell r="M454" t="str">
            <v>MALL CALAMA</v>
          </cell>
          <cell r="P454" t="str">
            <v>CALAMA</v>
          </cell>
          <cell r="Q454" t="str">
            <v>TRADICIONAL</v>
          </cell>
          <cell r="R454" t="str">
            <v>Mall - Norte</v>
          </cell>
          <cell r="S454" t="str">
            <v>Inversiones Calama</v>
          </cell>
          <cell r="T454" t="str">
            <v>Paletas</v>
          </cell>
          <cell r="U454">
            <v>1</v>
          </cell>
          <cell r="V454" t="str">
            <v>1.10 * 1.53</v>
          </cell>
        </row>
        <row r="455">
          <cell r="A455" t="str">
            <v>MACA0005A</v>
          </cell>
          <cell r="B455" t="str">
            <v>Mall</v>
          </cell>
          <cell r="D455" t="str">
            <v>Paletas</v>
          </cell>
          <cell r="E455" t="str">
            <v>INTERIOR</v>
          </cell>
          <cell r="F455" t="str">
            <v>1.10 * 1.54</v>
          </cell>
          <cell r="G455" t="str">
            <v>1.15 * 1.57</v>
          </cell>
          <cell r="H455" t="str">
            <v>Y</v>
          </cell>
          <cell r="I455" t="str">
            <v>INTERIOR PASILLO</v>
          </cell>
          <cell r="J455">
            <v>0</v>
          </cell>
          <cell r="K455">
            <v>0</v>
          </cell>
          <cell r="L455">
            <v>280000</v>
          </cell>
          <cell r="M455" t="str">
            <v>MALL CALAMA</v>
          </cell>
          <cell r="P455" t="str">
            <v>CALAMA</v>
          </cell>
          <cell r="Q455" t="str">
            <v>TRADICIONAL</v>
          </cell>
          <cell r="R455" t="str">
            <v>Mall - Norte</v>
          </cell>
          <cell r="S455" t="str">
            <v>Inversiones Calama</v>
          </cell>
          <cell r="T455" t="str">
            <v>Paletas</v>
          </cell>
          <cell r="U455">
            <v>1</v>
          </cell>
          <cell r="V455" t="str">
            <v>1.10 * 1.53</v>
          </cell>
        </row>
        <row r="456">
          <cell r="A456" t="str">
            <v>MACA0005B</v>
          </cell>
          <cell r="B456" t="str">
            <v>Mall</v>
          </cell>
          <cell r="D456" t="str">
            <v>Paletas</v>
          </cell>
          <cell r="E456" t="str">
            <v>INTERIOR</v>
          </cell>
          <cell r="F456" t="str">
            <v>1.10 * 1.54</v>
          </cell>
          <cell r="G456" t="str">
            <v>1.15 * 1.57</v>
          </cell>
          <cell r="H456" t="str">
            <v>Y</v>
          </cell>
          <cell r="I456" t="str">
            <v>INTERIOR PASILLO</v>
          </cell>
          <cell r="J456">
            <v>0</v>
          </cell>
          <cell r="K456">
            <v>0</v>
          </cell>
          <cell r="L456">
            <v>280000</v>
          </cell>
          <cell r="M456" t="str">
            <v>MALL CALAMA</v>
          </cell>
          <cell r="P456" t="str">
            <v>CALAMA</v>
          </cell>
          <cell r="Q456" t="str">
            <v>TRADICIONAL</v>
          </cell>
          <cell r="R456" t="str">
            <v>Mall - Norte</v>
          </cell>
          <cell r="S456" t="str">
            <v>Inversiones Calama</v>
          </cell>
          <cell r="T456" t="str">
            <v>Paletas</v>
          </cell>
          <cell r="U456">
            <v>1</v>
          </cell>
          <cell r="V456" t="str">
            <v>1.10 * 1.53</v>
          </cell>
        </row>
        <row r="457">
          <cell r="A457" t="str">
            <v>MACA0006A</v>
          </cell>
          <cell r="B457" t="str">
            <v>Mall</v>
          </cell>
          <cell r="D457" t="str">
            <v>Paletas</v>
          </cell>
          <cell r="E457" t="str">
            <v>INTERIOR</v>
          </cell>
          <cell r="F457" t="str">
            <v>1.10 * 1.54</v>
          </cell>
          <cell r="G457" t="str">
            <v>1.15 * 1.57</v>
          </cell>
          <cell r="H457" t="str">
            <v>Y</v>
          </cell>
          <cell r="I457" t="str">
            <v>INTERIOR PASILLO</v>
          </cell>
          <cell r="J457">
            <v>0</v>
          </cell>
          <cell r="K457">
            <v>0</v>
          </cell>
          <cell r="L457">
            <v>280000</v>
          </cell>
          <cell r="M457" t="str">
            <v>MALL CALAMA</v>
          </cell>
          <cell r="P457" t="str">
            <v>CALAMA</v>
          </cell>
          <cell r="Q457" t="str">
            <v>TRADICIONAL</v>
          </cell>
          <cell r="R457" t="str">
            <v>Mall - Norte</v>
          </cell>
          <cell r="S457" t="str">
            <v>Inversiones Calama</v>
          </cell>
          <cell r="T457" t="str">
            <v>Paletas</v>
          </cell>
          <cell r="U457">
            <v>1</v>
          </cell>
          <cell r="V457" t="str">
            <v>1.10 * 1.53</v>
          </cell>
        </row>
        <row r="458">
          <cell r="A458" t="str">
            <v>MACA0006B</v>
          </cell>
          <cell r="B458" t="str">
            <v>Mall</v>
          </cell>
          <cell r="D458" t="str">
            <v>Paletas</v>
          </cell>
          <cell r="E458" t="str">
            <v>INTERIOR</v>
          </cell>
          <cell r="F458" t="str">
            <v>1.10 * 1.54</v>
          </cell>
          <cell r="G458" t="str">
            <v>1.15 * 1.57</v>
          </cell>
          <cell r="H458" t="str">
            <v>Y</v>
          </cell>
          <cell r="I458" t="str">
            <v>INTERIOR PASILLO</v>
          </cell>
          <cell r="J458">
            <v>0</v>
          </cell>
          <cell r="K458">
            <v>0</v>
          </cell>
          <cell r="L458">
            <v>280000</v>
          </cell>
          <cell r="M458" t="str">
            <v>MALL CALAMA</v>
          </cell>
          <cell r="P458" t="str">
            <v>CALAMA</v>
          </cell>
          <cell r="Q458" t="str">
            <v>TRADICIONAL</v>
          </cell>
          <cell r="R458" t="str">
            <v>Mall - Norte</v>
          </cell>
          <cell r="S458" t="str">
            <v>Inversiones Calama</v>
          </cell>
          <cell r="T458" t="str">
            <v>Paletas</v>
          </cell>
          <cell r="U458">
            <v>1</v>
          </cell>
          <cell r="V458" t="str">
            <v>1.10 * 1.53</v>
          </cell>
        </row>
        <row r="459">
          <cell r="A459" t="str">
            <v>MACA0007A</v>
          </cell>
          <cell r="B459" t="str">
            <v>Mall</v>
          </cell>
          <cell r="D459" t="str">
            <v>Paletas</v>
          </cell>
          <cell r="E459" t="str">
            <v>INTERIOR</v>
          </cell>
          <cell r="F459" t="str">
            <v>1.10 * 1.54</v>
          </cell>
          <cell r="G459" t="str">
            <v>1.15 * 1.57</v>
          </cell>
          <cell r="H459" t="str">
            <v>Y</v>
          </cell>
          <cell r="I459" t="str">
            <v>INTERIOR PASILLO</v>
          </cell>
          <cell r="J459">
            <v>0</v>
          </cell>
          <cell r="K459">
            <v>0</v>
          </cell>
          <cell r="L459">
            <v>280000</v>
          </cell>
          <cell r="M459" t="str">
            <v>MALL CALAMA</v>
          </cell>
          <cell r="P459" t="str">
            <v>CALAMA</v>
          </cell>
          <cell r="Q459" t="str">
            <v>TRADICIONAL</v>
          </cell>
          <cell r="R459" t="str">
            <v>Mall - Norte</v>
          </cell>
          <cell r="S459" t="str">
            <v>Inversiones Calama</v>
          </cell>
          <cell r="T459" t="str">
            <v>Paletas</v>
          </cell>
          <cell r="U459">
            <v>1</v>
          </cell>
          <cell r="V459" t="str">
            <v>1.10 * 1.53</v>
          </cell>
        </row>
        <row r="460">
          <cell r="A460" t="str">
            <v>MACA0007B</v>
          </cell>
          <cell r="B460" t="str">
            <v>Mall</v>
          </cell>
          <cell r="D460" t="str">
            <v>Paletas</v>
          </cell>
          <cell r="E460" t="str">
            <v>INTERIOR</v>
          </cell>
          <cell r="F460" t="str">
            <v>1.10 * 1.54</v>
          </cell>
          <cell r="G460" t="str">
            <v>1.15 * 1.57</v>
          </cell>
          <cell r="H460" t="str">
            <v>Y</v>
          </cell>
          <cell r="I460" t="str">
            <v>INTERIOR PASILLO</v>
          </cell>
          <cell r="J460">
            <v>0</v>
          </cell>
          <cell r="K460">
            <v>0</v>
          </cell>
          <cell r="L460">
            <v>280000</v>
          </cell>
          <cell r="M460" t="str">
            <v>MALL CALAMA</v>
          </cell>
          <cell r="P460" t="str">
            <v>CALAMA</v>
          </cell>
          <cell r="Q460" t="str">
            <v>TRADICIONAL</v>
          </cell>
          <cell r="R460" t="str">
            <v>Mall - Norte</v>
          </cell>
          <cell r="S460" t="str">
            <v>Inversiones Calama</v>
          </cell>
          <cell r="T460" t="str">
            <v>Paletas</v>
          </cell>
          <cell r="U460">
            <v>1</v>
          </cell>
          <cell r="V460" t="str">
            <v>1.10 * 1.53</v>
          </cell>
        </row>
        <row r="461">
          <cell r="A461" t="str">
            <v>MACA0008A</v>
          </cell>
          <cell r="B461" t="str">
            <v>Mall</v>
          </cell>
          <cell r="D461" t="str">
            <v>Cajas de luz</v>
          </cell>
          <cell r="E461" t="str">
            <v>Cajas de luz</v>
          </cell>
          <cell r="F461" t="str">
            <v>3.92 * 1.92</v>
          </cell>
          <cell r="G461" t="str">
            <v>4.20 * 2.20</v>
          </cell>
          <cell r="H461" t="str">
            <v>V</v>
          </cell>
          <cell r="I461" t="str">
            <v>ACCESO SALA DE V</v>
          </cell>
          <cell r="J461">
            <v>0</v>
          </cell>
          <cell r="K461">
            <v>0</v>
          </cell>
          <cell r="L461">
            <v>480000</v>
          </cell>
          <cell r="M461" t="str">
            <v>MALL CALAMA</v>
          </cell>
          <cell r="P461" t="str">
            <v>CALAMA</v>
          </cell>
          <cell r="Q461" t="str">
            <v>TRADICIONAL</v>
          </cell>
          <cell r="R461" t="str">
            <v>Mall - Norte</v>
          </cell>
          <cell r="S461" t="str">
            <v>Inversiones Calama</v>
          </cell>
          <cell r="T461" t="str">
            <v>Cajas de luz</v>
          </cell>
          <cell r="U461">
            <v>1</v>
          </cell>
          <cell r="V461" t="str">
            <v>3.92 * 1.92</v>
          </cell>
        </row>
        <row r="462">
          <cell r="A462" t="str">
            <v>MACA0009A</v>
          </cell>
          <cell r="B462" t="str">
            <v>Mall</v>
          </cell>
          <cell r="D462" t="str">
            <v>Cajas de luz</v>
          </cell>
          <cell r="E462" t="str">
            <v>Cajas de luz</v>
          </cell>
          <cell r="F462" t="str">
            <v>3.92 * 1.92</v>
          </cell>
          <cell r="G462" t="str">
            <v>4.20 * 2.20</v>
          </cell>
          <cell r="H462" t="str">
            <v>V</v>
          </cell>
          <cell r="I462" t="str">
            <v>ACCESO SALA DE V</v>
          </cell>
          <cell r="J462">
            <v>0</v>
          </cell>
          <cell r="K462">
            <v>0</v>
          </cell>
          <cell r="L462">
            <v>480000</v>
          </cell>
          <cell r="M462" t="str">
            <v>MALL CALAMA</v>
          </cell>
          <cell r="P462" t="str">
            <v>CALAMA</v>
          </cell>
          <cell r="Q462" t="str">
            <v>TRADICIONAL</v>
          </cell>
          <cell r="R462" t="str">
            <v>Mall - Norte</v>
          </cell>
          <cell r="S462" t="str">
            <v>Inversiones Calama</v>
          </cell>
          <cell r="T462" t="str">
            <v>Cajas de luz</v>
          </cell>
          <cell r="U462">
            <v>1</v>
          </cell>
          <cell r="V462" t="str">
            <v>3.92 * 1.92</v>
          </cell>
        </row>
        <row r="463">
          <cell r="A463" t="str">
            <v>MAFC0001A</v>
          </cell>
          <cell r="B463" t="str">
            <v>Mall</v>
          </cell>
          <cell r="D463" t="str">
            <v>Paletas</v>
          </cell>
          <cell r="E463" t="str">
            <v>PALETA SUPER SCREEN</v>
          </cell>
          <cell r="F463" t="str">
            <v>1.20 * 1.70</v>
          </cell>
          <cell r="G463" t="str">
            <v>1.23 * 1.75</v>
          </cell>
          <cell r="H463" t="str">
            <v>E</v>
          </cell>
          <cell r="I463" t="str">
            <v>ESTACIONAMIENTOS</v>
          </cell>
          <cell r="J463">
            <v>0</v>
          </cell>
          <cell r="K463">
            <v>0</v>
          </cell>
          <cell r="L463">
            <v>340000</v>
          </cell>
          <cell r="M463" t="str">
            <v>MALL FLORIDA CENTER</v>
          </cell>
          <cell r="P463" t="str">
            <v>LA FLORIDA</v>
          </cell>
          <cell r="Q463" t="str">
            <v>TRADICIONAL</v>
          </cell>
          <cell r="R463" t="str">
            <v>Mall - Santiago</v>
          </cell>
          <cell r="S463" t="str">
            <v>Inversiones Las Verbenas</v>
          </cell>
          <cell r="T463" t="str">
            <v>Paletas</v>
          </cell>
          <cell r="U463">
            <v>1</v>
          </cell>
          <cell r="V463" t="str">
            <v>1.20 * 1.70</v>
          </cell>
        </row>
        <row r="464">
          <cell r="A464" t="str">
            <v>MAFC0001B</v>
          </cell>
          <cell r="B464" t="str">
            <v>Mall</v>
          </cell>
          <cell r="D464" t="str">
            <v>Paletas</v>
          </cell>
          <cell r="E464" t="str">
            <v>PALETA SUPER SCREEN</v>
          </cell>
          <cell r="F464" t="str">
            <v>1.20 * 1.70</v>
          </cell>
          <cell r="G464" t="str">
            <v>1.23 * 1.75</v>
          </cell>
          <cell r="H464" t="str">
            <v>E</v>
          </cell>
          <cell r="I464" t="str">
            <v>ESTACIONAMIENTOS</v>
          </cell>
          <cell r="J464">
            <v>0</v>
          </cell>
          <cell r="K464">
            <v>0</v>
          </cell>
          <cell r="L464">
            <v>170000</v>
          </cell>
          <cell r="M464" t="str">
            <v>MALL FLORIDA CENTER</v>
          </cell>
          <cell r="P464" t="str">
            <v>LA FLORIDA</v>
          </cell>
          <cell r="Q464" t="str">
            <v>TRADICIONAL</v>
          </cell>
          <cell r="R464" t="str">
            <v>Mall - Santiago</v>
          </cell>
          <cell r="S464" t="str">
            <v>Inversiones Las Verbenas</v>
          </cell>
          <cell r="T464" t="str">
            <v>Paletas</v>
          </cell>
          <cell r="U464">
            <v>1</v>
          </cell>
          <cell r="V464" t="str">
            <v>1.20 * 1.70</v>
          </cell>
        </row>
        <row r="465">
          <cell r="A465" t="str">
            <v>MAFC0002A</v>
          </cell>
          <cell r="B465" t="str">
            <v>Mall</v>
          </cell>
          <cell r="D465" t="str">
            <v>Paletas</v>
          </cell>
          <cell r="E465" t="str">
            <v>PALETA SUPER SCREEN</v>
          </cell>
          <cell r="F465" t="str">
            <v>1.20 * 1.70</v>
          </cell>
          <cell r="G465" t="str">
            <v>1.23 * 1.75</v>
          </cell>
          <cell r="H465" t="str">
            <v>E</v>
          </cell>
          <cell r="I465" t="str">
            <v>ESTACIONAMIENTOS</v>
          </cell>
          <cell r="J465">
            <v>0</v>
          </cell>
          <cell r="K465">
            <v>0</v>
          </cell>
          <cell r="L465">
            <v>340000</v>
          </cell>
          <cell r="M465" t="str">
            <v>MALL FLORIDA CENTER</v>
          </cell>
          <cell r="P465" t="str">
            <v>LA FLORIDA</v>
          </cell>
          <cell r="Q465" t="str">
            <v>TRADICIONAL</v>
          </cell>
          <cell r="R465" t="str">
            <v>Mall - Santiago</v>
          </cell>
          <cell r="S465" t="str">
            <v>Inversiones Las Verbenas</v>
          </cell>
          <cell r="T465" t="str">
            <v>Paletas</v>
          </cell>
          <cell r="U465">
            <v>1</v>
          </cell>
          <cell r="V465" t="str">
            <v>1.20 * 1.70</v>
          </cell>
        </row>
        <row r="466">
          <cell r="A466" t="str">
            <v>MAFC0002B</v>
          </cell>
          <cell r="B466" t="str">
            <v>Mall</v>
          </cell>
          <cell r="D466" t="str">
            <v>Paletas</v>
          </cell>
          <cell r="E466" t="str">
            <v>PALETA SUPER SCREEN</v>
          </cell>
          <cell r="F466" t="str">
            <v>1.20 * 1.70</v>
          </cell>
          <cell r="G466" t="str">
            <v>1.23 * 1.75</v>
          </cell>
          <cell r="H466" t="str">
            <v>E</v>
          </cell>
          <cell r="I466" t="str">
            <v>ESTACIONAMIENTOS</v>
          </cell>
          <cell r="J466">
            <v>0</v>
          </cell>
          <cell r="K466">
            <v>0</v>
          </cell>
          <cell r="L466">
            <v>340000</v>
          </cell>
          <cell r="M466" t="str">
            <v>MALL FLORIDA CENTER</v>
          </cell>
          <cell r="P466" t="str">
            <v>LA FLORIDA</v>
          </cell>
          <cell r="Q466" t="str">
            <v>TRADICIONAL</v>
          </cell>
          <cell r="R466" t="str">
            <v>Mall - Santiago</v>
          </cell>
          <cell r="S466" t="str">
            <v>Inversiones Las Verbenas</v>
          </cell>
          <cell r="T466" t="str">
            <v>Paletas</v>
          </cell>
          <cell r="U466">
            <v>1</v>
          </cell>
          <cell r="V466" t="str">
            <v>1.20 * 1.70</v>
          </cell>
        </row>
        <row r="467">
          <cell r="A467" t="str">
            <v>MAFC0003A</v>
          </cell>
          <cell r="B467" t="str">
            <v>Mall</v>
          </cell>
          <cell r="D467" t="str">
            <v>Paletas</v>
          </cell>
          <cell r="E467" t="str">
            <v>PALETA SUPER SCREEN</v>
          </cell>
          <cell r="F467" t="str">
            <v>1.20 * 1.70</v>
          </cell>
          <cell r="G467" t="str">
            <v>1.23 * 1.75</v>
          </cell>
          <cell r="H467" t="str">
            <v>E</v>
          </cell>
          <cell r="I467" t="str">
            <v>ESTACIONAMIENTOS</v>
          </cell>
          <cell r="J467">
            <v>0</v>
          </cell>
          <cell r="K467">
            <v>0</v>
          </cell>
          <cell r="L467">
            <v>340000</v>
          </cell>
          <cell r="M467" t="str">
            <v>MALL FLORIDA CENTER</v>
          </cell>
          <cell r="P467" t="str">
            <v>LA FLORIDA</v>
          </cell>
          <cell r="Q467" t="str">
            <v>TRADICIONAL</v>
          </cell>
          <cell r="R467" t="str">
            <v>Mall - Santiago</v>
          </cell>
          <cell r="S467" t="str">
            <v>Inversiones Las Verbenas</v>
          </cell>
          <cell r="T467" t="str">
            <v>Paletas</v>
          </cell>
          <cell r="U467">
            <v>1</v>
          </cell>
          <cell r="V467" t="str">
            <v>1.20 * 1.70</v>
          </cell>
        </row>
        <row r="468">
          <cell r="A468" t="str">
            <v>MAFC0003B</v>
          </cell>
          <cell r="B468" t="str">
            <v>Mall</v>
          </cell>
          <cell r="D468" t="str">
            <v>Paletas</v>
          </cell>
          <cell r="E468" t="str">
            <v>PALETA SUPER SCREEN</v>
          </cell>
          <cell r="F468" t="str">
            <v>1.20 * 1.70</v>
          </cell>
          <cell r="G468" t="str">
            <v>1.23 * 1.75</v>
          </cell>
          <cell r="H468" t="str">
            <v>E</v>
          </cell>
          <cell r="I468" t="str">
            <v>ESTACIONAMIENTOS</v>
          </cell>
          <cell r="J468">
            <v>0</v>
          </cell>
          <cell r="K468">
            <v>0</v>
          </cell>
          <cell r="L468">
            <v>170000</v>
          </cell>
          <cell r="M468" t="str">
            <v>MALL FLORIDA CENTER</v>
          </cell>
          <cell r="P468" t="str">
            <v>LA FLORIDA</v>
          </cell>
          <cell r="Q468" t="str">
            <v>TRADICIONAL</v>
          </cell>
          <cell r="R468" t="str">
            <v>Mall - Santiago</v>
          </cell>
          <cell r="S468" t="str">
            <v>Inversiones Las Verbenas</v>
          </cell>
          <cell r="T468" t="str">
            <v>Paletas</v>
          </cell>
          <cell r="U468">
            <v>1</v>
          </cell>
          <cell r="V468" t="str">
            <v>1.20 * 1.70</v>
          </cell>
        </row>
        <row r="469">
          <cell r="A469" t="str">
            <v>MAFC0004A</v>
          </cell>
          <cell r="B469" t="str">
            <v>Mall</v>
          </cell>
          <cell r="D469" t="str">
            <v>Paletas</v>
          </cell>
          <cell r="E469" t="str">
            <v>PALETA SUPER SCREEN</v>
          </cell>
          <cell r="F469" t="str">
            <v>1.20 * 1.70</v>
          </cell>
          <cell r="G469" t="str">
            <v>1.23 * 1.75</v>
          </cell>
          <cell r="H469" t="str">
            <v>E</v>
          </cell>
          <cell r="I469" t="str">
            <v>ESTACIONAMIENTOS</v>
          </cell>
          <cell r="J469">
            <v>0</v>
          </cell>
          <cell r="K469">
            <v>0</v>
          </cell>
          <cell r="L469">
            <v>340000</v>
          </cell>
          <cell r="M469" t="str">
            <v>MALL FLORIDA CENTER</v>
          </cell>
          <cell r="P469" t="str">
            <v>LA FLORIDA</v>
          </cell>
          <cell r="Q469" t="str">
            <v>TRADICIONAL</v>
          </cell>
          <cell r="R469" t="str">
            <v>Mall - Santiago</v>
          </cell>
          <cell r="S469" t="str">
            <v>Inversiones Las Verbenas</v>
          </cell>
          <cell r="T469" t="str">
            <v>Paletas</v>
          </cell>
          <cell r="U469">
            <v>1</v>
          </cell>
          <cell r="V469" t="str">
            <v>1.20 * 1.70</v>
          </cell>
        </row>
        <row r="470">
          <cell r="A470" t="str">
            <v>MAFC0004B</v>
          </cell>
          <cell r="B470" t="str">
            <v>Mall</v>
          </cell>
          <cell r="D470" t="str">
            <v>Paletas</v>
          </cell>
          <cell r="E470" t="str">
            <v>PALETA SUPER SCREEN</v>
          </cell>
          <cell r="F470" t="str">
            <v>1.20 * 1.70</v>
          </cell>
          <cell r="G470" t="str">
            <v>1.23 * 1.75</v>
          </cell>
          <cell r="H470" t="str">
            <v>E</v>
          </cell>
          <cell r="I470" t="str">
            <v>ESTACIONAMIENTOS</v>
          </cell>
          <cell r="J470">
            <v>0</v>
          </cell>
          <cell r="K470">
            <v>0</v>
          </cell>
          <cell r="L470">
            <v>340000</v>
          </cell>
          <cell r="M470" t="str">
            <v>MALL FLORIDA CENTER</v>
          </cell>
          <cell r="P470" t="str">
            <v>LA FLORIDA</v>
          </cell>
          <cell r="Q470" t="str">
            <v>TRADICIONAL</v>
          </cell>
          <cell r="R470" t="str">
            <v>Mall - Santiago</v>
          </cell>
          <cell r="S470" t="str">
            <v>Inversiones Las Verbenas</v>
          </cell>
          <cell r="T470" t="str">
            <v>Paletas</v>
          </cell>
          <cell r="U470">
            <v>1</v>
          </cell>
          <cell r="V470" t="str">
            <v>1.20 * 1.70</v>
          </cell>
        </row>
        <row r="471">
          <cell r="A471" t="str">
            <v>MAFC0005A</v>
          </cell>
          <cell r="B471" t="str">
            <v>Mall</v>
          </cell>
          <cell r="D471" t="str">
            <v>Paletas</v>
          </cell>
          <cell r="E471" t="str">
            <v>PALETA SUPER SCREEN</v>
          </cell>
          <cell r="F471" t="str">
            <v>1.20 * 1.70</v>
          </cell>
          <cell r="G471" t="str">
            <v>1.23 * 1.75</v>
          </cell>
          <cell r="H471" t="str">
            <v>E</v>
          </cell>
          <cell r="I471" t="str">
            <v>ESTACIONAMIENTOS</v>
          </cell>
          <cell r="J471">
            <v>0</v>
          </cell>
          <cell r="K471">
            <v>0</v>
          </cell>
          <cell r="L471">
            <v>300000</v>
          </cell>
          <cell r="M471" t="str">
            <v>MALL FLORIDA CENTER</v>
          </cell>
          <cell r="P471" t="str">
            <v>LA FLORIDA</v>
          </cell>
          <cell r="Q471" t="str">
            <v>TRADICIONAL</v>
          </cell>
          <cell r="R471" t="str">
            <v>Mall - Santiago</v>
          </cell>
          <cell r="S471" t="str">
            <v>Inversiones Las Verbenas</v>
          </cell>
          <cell r="T471" t="str">
            <v>Paletas</v>
          </cell>
          <cell r="U471">
            <v>1</v>
          </cell>
          <cell r="V471" t="str">
            <v>1.20 * 1.70</v>
          </cell>
        </row>
        <row r="472">
          <cell r="A472" t="str">
            <v>MALD0001A</v>
          </cell>
          <cell r="B472" t="str">
            <v>Mall</v>
          </cell>
          <cell r="D472" t="str">
            <v>Paletas</v>
          </cell>
          <cell r="E472" t="str">
            <v>Paletas</v>
          </cell>
          <cell r="F472" t="str">
            <v>1.10 x 1.53</v>
          </cell>
          <cell r="G472" t="str">
            <v>1.15 x 1.57</v>
          </cell>
          <cell r="H472" t="str">
            <v>E</v>
          </cell>
          <cell r="I472" t="str">
            <v>ESTACIONAMIENTOS</v>
          </cell>
          <cell r="J472">
            <v>0</v>
          </cell>
          <cell r="K472">
            <v>0</v>
          </cell>
          <cell r="L472">
            <v>300000</v>
          </cell>
          <cell r="M472" t="str">
            <v>SHOPING LA DEHESA</v>
          </cell>
          <cell r="P472" t="str">
            <v>LO BARNECHEA</v>
          </cell>
          <cell r="Q472" t="str">
            <v>TRADICIONAL</v>
          </cell>
          <cell r="R472" t="str">
            <v>Mall - Santiago</v>
          </cell>
          <cell r="S472" t="str">
            <v>Sermob</v>
          </cell>
          <cell r="T472" t="str">
            <v>Paletas</v>
          </cell>
          <cell r="U472">
            <v>1</v>
          </cell>
          <cell r="V472" t="str">
            <v>1.10 x 1.53</v>
          </cell>
        </row>
        <row r="473">
          <cell r="A473" t="str">
            <v>MALD0002A</v>
          </cell>
          <cell r="B473" t="str">
            <v>Mall</v>
          </cell>
          <cell r="D473" t="str">
            <v>Paletas</v>
          </cell>
          <cell r="E473" t="str">
            <v>Paletas</v>
          </cell>
          <cell r="F473" t="str">
            <v>1.10 x 1.53</v>
          </cell>
          <cell r="G473" t="str">
            <v>1.15 x 1.57</v>
          </cell>
          <cell r="H473" t="str">
            <v>E</v>
          </cell>
          <cell r="I473" t="str">
            <v>ESTACIONAMIENTOS</v>
          </cell>
          <cell r="J473">
            <v>0</v>
          </cell>
          <cell r="K473">
            <v>0</v>
          </cell>
          <cell r="L473">
            <v>300000</v>
          </cell>
          <cell r="M473" t="str">
            <v>SHOPING LA DEHESA</v>
          </cell>
          <cell r="P473" t="str">
            <v>LO BARNECHEA</v>
          </cell>
          <cell r="Q473" t="str">
            <v>TRADICIONAL</v>
          </cell>
          <cell r="R473" t="str">
            <v>Mall - Santiago</v>
          </cell>
          <cell r="S473" t="str">
            <v>Sermob</v>
          </cell>
          <cell r="T473" t="str">
            <v>Paletas</v>
          </cell>
          <cell r="U473">
            <v>1</v>
          </cell>
          <cell r="V473" t="str">
            <v>1.10 x 1.53</v>
          </cell>
        </row>
        <row r="474">
          <cell r="A474" t="str">
            <v>MALD0003A</v>
          </cell>
          <cell r="B474" t="str">
            <v>Mall</v>
          </cell>
          <cell r="D474" t="str">
            <v>Paletas</v>
          </cell>
          <cell r="E474" t="str">
            <v>Paletas</v>
          </cell>
          <cell r="F474" t="str">
            <v>1.10 x 1.53</v>
          </cell>
          <cell r="G474" t="str">
            <v>1.15 x 1.57</v>
          </cell>
          <cell r="H474" t="str">
            <v>E</v>
          </cell>
          <cell r="I474" t="str">
            <v>ESTACIONAMIENTOS</v>
          </cell>
          <cell r="J474">
            <v>0</v>
          </cell>
          <cell r="K474">
            <v>0</v>
          </cell>
          <cell r="L474">
            <v>300000</v>
          </cell>
          <cell r="M474" t="str">
            <v>SHOPING LA DEHESA</v>
          </cell>
          <cell r="P474" t="str">
            <v>LO BARNECHEA</v>
          </cell>
          <cell r="Q474" t="str">
            <v>TRADICIONAL</v>
          </cell>
          <cell r="R474" t="str">
            <v>Mall - Santiago</v>
          </cell>
          <cell r="S474" t="str">
            <v>Sermob</v>
          </cell>
          <cell r="T474" t="str">
            <v>Paletas</v>
          </cell>
          <cell r="U474">
            <v>1</v>
          </cell>
          <cell r="V474" t="str">
            <v>1.10 x 1.53</v>
          </cell>
        </row>
        <row r="475">
          <cell r="A475" t="str">
            <v>MALD0004A</v>
          </cell>
          <cell r="B475" t="str">
            <v>Mall</v>
          </cell>
          <cell r="D475" t="str">
            <v>Paletas</v>
          </cell>
          <cell r="E475" t="str">
            <v>Paletas</v>
          </cell>
          <cell r="F475" t="str">
            <v>1.10 x 1.53</v>
          </cell>
          <cell r="G475" t="str">
            <v>1.15 x 1.57</v>
          </cell>
          <cell r="H475" t="str">
            <v>E</v>
          </cell>
          <cell r="I475" t="str">
            <v>ESTACIONAMIENTOS</v>
          </cell>
          <cell r="J475">
            <v>0</v>
          </cell>
          <cell r="K475">
            <v>0</v>
          </cell>
          <cell r="L475">
            <v>300000</v>
          </cell>
          <cell r="M475" t="str">
            <v>SHOPING LA DEHESA</v>
          </cell>
          <cell r="P475" t="str">
            <v>LO BARNECHEA</v>
          </cell>
          <cell r="Q475" t="str">
            <v>TRADICIONAL</v>
          </cell>
          <cell r="R475" t="str">
            <v>Mall - Santiago</v>
          </cell>
          <cell r="S475" t="str">
            <v>Sermob</v>
          </cell>
          <cell r="T475" t="str">
            <v>Paletas</v>
          </cell>
          <cell r="U475">
            <v>1</v>
          </cell>
          <cell r="V475" t="str">
            <v>1.10 x 1.53</v>
          </cell>
        </row>
        <row r="476">
          <cell r="A476" t="str">
            <v>MALD0005A</v>
          </cell>
          <cell r="B476" t="str">
            <v>Mall</v>
          </cell>
          <cell r="D476" t="str">
            <v>Paletas</v>
          </cell>
          <cell r="E476" t="str">
            <v>Paletas</v>
          </cell>
          <cell r="F476" t="str">
            <v>1.10 x 1.53</v>
          </cell>
          <cell r="G476" t="str">
            <v>1.15 x 1.57</v>
          </cell>
          <cell r="H476" t="str">
            <v>E</v>
          </cell>
          <cell r="I476" t="str">
            <v>ESTACIONAMIENTOS</v>
          </cell>
          <cell r="J476">
            <v>0</v>
          </cell>
          <cell r="K476">
            <v>0</v>
          </cell>
          <cell r="L476">
            <v>300000</v>
          </cell>
          <cell r="M476" t="str">
            <v>SHOPING LA DEHESA</v>
          </cell>
          <cell r="P476" t="str">
            <v>LO BARNECHEA</v>
          </cell>
          <cell r="Q476" t="str">
            <v>TRADICIONAL</v>
          </cell>
          <cell r="R476" t="str">
            <v>Mall - Santiago</v>
          </cell>
          <cell r="S476" t="str">
            <v>Sermob</v>
          </cell>
          <cell r="T476" t="str">
            <v>Paletas</v>
          </cell>
          <cell r="U476">
            <v>1</v>
          </cell>
          <cell r="V476" t="str">
            <v>1.10 x 1.53</v>
          </cell>
        </row>
        <row r="477">
          <cell r="A477" t="str">
            <v>MALD0006A</v>
          </cell>
          <cell r="B477" t="str">
            <v>Mall</v>
          </cell>
          <cell r="D477" t="str">
            <v>Paletas</v>
          </cell>
          <cell r="E477" t="str">
            <v>Paletas</v>
          </cell>
          <cell r="F477" t="str">
            <v>1.10 x 1.53</v>
          </cell>
          <cell r="G477" t="str">
            <v>1.15 x 1.57</v>
          </cell>
          <cell r="H477" t="str">
            <v>E</v>
          </cell>
          <cell r="I477" t="str">
            <v>ESTACIONAMIENTOS</v>
          </cell>
          <cell r="J477">
            <v>0</v>
          </cell>
          <cell r="K477">
            <v>0</v>
          </cell>
          <cell r="L477">
            <v>300000</v>
          </cell>
          <cell r="M477" t="str">
            <v>SHOPING LA DEHESA</v>
          </cell>
          <cell r="P477" t="str">
            <v>LO BARNECHEA</v>
          </cell>
          <cell r="Q477" t="str">
            <v>TRADICIONAL</v>
          </cell>
          <cell r="R477" t="str">
            <v>Mall - Santiago</v>
          </cell>
          <cell r="S477" t="str">
            <v>Sermob</v>
          </cell>
          <cell r="T477" t="str">
            <v>Paletas</v>
          </cell>
          <cell r="U477">
            <v>1</v>
          </cell>
          <cell r="V477" t="str">
            <v>1.10 x 1.53</v>
          </cell>
        </row>
        <row r="478">
          <cell r="A478" t="str">
            <v>MALD0007A</v>
          </cell>
          <cell r="B478" t="str">
            <v>Mall</v>
          </cell>
          <cell r="D478" t="str">
            <v>Paletas</v>
          </cell>
          <cell r="E478" t="str">
            <v>Paletas</v>
          </cell>
          <cell r="F478" t="str">
            <v>1.10 x 1.53</v>
          </cell>
          <cell r="G478" t="str">
            <v>1.15 x 1.57</v>
          </cell>
          <cell r="H478" t="str">
            <v>E</v>
          </cell>
          <cell r="I478" t="str">
            <v>ESTACIONAMIENTOS</v>
          </cell>
          <cell r="J478">
            <v>0</v>
          </cell>
          <cell r="K478">
            <v>0</v>
          </cell>
          <cell r="L478">
            <v>300000</v>
          </cell>
          <cell r="M478" t="str">
            <v>SHOPING LA DEHESA</v>
          </cell>
          <cell r="P478" t="str">
            <v>LO BARNECHEA</v>
          </cell>
          <cell r="Q478" t="str">
            <v>TRADICIONAL</v>
          </cell>
          <cell r="R478" t="str">
            <v>Mall - Santiago</v>
          </cell>
          <cell r="S478" t="str">
            <v>Sermob</v>
          </cell>
          <cell r="T478" t="str">
            <v>Paletas</v>
          </cell>
          <cell r="U478">
            <v>1</v>
          </cell>
          <cell r="V478" t="str">
            <v>1.10 x 1.53</v>
          </cell>
        </row>
        <row r="479">
          <cell r="A479" t="str">
            <v>MALD0008A</v>
          </cell>
          <cell r="B479" t="str">
            <v>Mall</v>
          </cell>
          <cell r="D479" t="str">
            <v>Paletas</v>
          </cell>
          <cell r="E479" t="str">
            <v>Paletas</v>
          </cell>
          <cell r="F479" t="str">
            <v>1.10 x 1.53</v>
          </cell>
          <cell r="G479" t="str">
            <v>1.15 x 1.57</v>
          </cell>
          <cell r="H479" t="str">
            <v>E</v>
          </cell>
          <cell r="I479" t="str">
            <v>ESTACIONAMIENTOS</v>
          </cell>
          <cell r="J479">
            <v>0</v>
          </cell>
          <cell r="K479">
            <v>0</v>
          </cell>
          <cell r="L479">
            <v>300000</v>
          </cell>
          <cell r="M479" t="str">
            <v>SHOPING LA DEHESA</v>
          </cell>
          <cell r="P479" t="str">
            <v>LO BARNECHEA</v>
          </cell>
          <cell r="Q479" t="str">
            <v>TRADICIONAL</v>
          </cell>
          <cell r="R479" t="str">
            <v>Mall - Santiago</v>
          </cell>
          <cell r="S479" t="str">
            <v>Sermob</v>
          </cell>
          <cell r="T479" t="str">
            <v>Paletas</v>
          </cell>
          <cell r="U479">
            <v>1</v>
          </cell>
          <cell r="V479" t="str">
            <v>1.10 x 1.53</v>
          </cell>
        </row>
        <row r="480">
          <cell r="A480" t="str">
            <v>MALD0014A</v>
          </cell>
          <cell r="B480" t="str">
            <v>Mall</v>
          </cell>
          <cell r="D480" t="str">
            <v>Paletas</v>
          </cell>
          <cell r="E480" t="str">
            <v>Paletas</v>
          </cell>
          <cell r="F480" t="str">
            <v>1.10 x 1.53</v>
          </cell>
          <cell r="G480" t="str">
            <v>1.15 x 1.57</v>
          </cell>
          <cell r="H480" t="str">
            <v>E</v>
          </cell>
          <cell r="I480" t="str">
            <v>ESTACIONAMIENTOS</v>
          </cell>
          <cell r="J480">
            <v>0</v>
          </cell>
          <cell r="K480">
            <v>0</v>
          </cell>
          <cell r="L480">
            <v>300000</v>
          </cell>
          <cell r="M480" t="str">
            <v>SHOPING LA DEHESA</v>
          </cell>
          <cell r="P480" t="str">
            <v>LO BARNECHEA</v>
          </cell>
          <cell r="Q480" t="str">
            <v>TRADICIONAL</v>
          </cell>
          <cell r="R480" t="str">
            <v>Mall - Santiago</v>
          </cell>
          <cell r="S480" t="str">
            <v>Sermob</v>
          </cell>
          <cell r="T480" t="str">
            <v>Paletas</v>
          </cell>
          <cell r="U480">
            <v>1</v>
          </cell>
          <cell r="V480" t="str">
            <v>1.10 x 1.53</v>
          </cell>
        </row>
        <row r="481">
          <cell r="A481" t="str">
            <v>MALD0046A</v>
          </cell>
          <cell r="B481" t="str">
            <v>Mall</v>
          </cell>
          <cell r="D481" t="str">
            <v>Pantallas Digitales</v>
          </cell>
          <cell r="E481" t="str">
            <v>Pantallas</v>
          </cell>
          <cell r="F481" t="str">
            <v>NA</v>
          </cell>
          <cell r="G481" t="str">
            <v>NA</v>
          </cell>
          <cell r="H481" t="str">
            <v>I</v>
          </cell>
          <cell r="I481" t="str">
            <v>Lote de 4 TV</v>
          </cell>
          <cell r="J481">
            <v>0</v>
          </cell>
          <cell r="K481">
            <v>0</v>
          </cell>
          <cell r="L481">
            <v>500000</v>
          </cell>
          <cell r="M481" t="str">
            <v>SHOPING LA DEHESA</v>
          </cell>
          <cell r="P481" t="str">
            <v>LO BARNECHEA</v>
          </cell>
          <cell r="Q481" t="str">
            <v>PANTALLA</v>
          </cell>
          <cell r="R481" t="str">
            <v>Mall - Santiago</v>
          </cell>
          <cell r="S481" t="str">
            <v>Sermob Digital (MALD)</v>
          </cell>
          <cell r="T481" t="str">
            <v>Pantallas Digitales</v>
          </cell>
          <cell r="U481">
            <v>1</v>
          </cell>
          <cell r="V481" t="str">
            <v>NA</v>
          </cell>
        </row>
        <row r="482">
          <cell r="A482" t="str">
            <v>MALD0046B</v>
          </cell>
          <cell r="B482" t="str">
            <v>Mall</v>
          </cell>
          <cell r="D482" t="str">
            <v>Pantallas Digitales</v>
          </cell>
          <cell r="E482" t="str">
            <v>Pantallas</v>
          </cell>
          <cell r="F482" t="str">
            <v>NA</v>
          </cell>
          <cell r="G482" t="str">
            <v>NA</v>
          </cell>
          <cell r="H482" t="str">
            <v>I</v>
          </cell>
          <cell r="I482" t="str">
            <v>Lote de 4 TV</v>
          </cell>
          <cell r="J482">
            <v>0</v>
          </cell>
          <cell r="K482">
            <v>0</v>
          </cell>
          <cell r="L482">
            <v>500000</v>
          </cell>
          <cell r="M482" t="str">
            <v>SHOPING LA DEHESA</v>
          </cell>
          <cell r="P482" t="str">
            <v>LO BARNECHEA</v>
          </cell>
          <cell r="Q482" t="str">
            <v>PANTALLA</v>
          </cell>
          <cell r="R482" t="str">
            <v>Mall - Santiago</v>
          </cell>
          <cell r="S482" t="str">
            <v>Sermob Digital (MALD)</v>
          </cell>
          <cell r="T482" t="str">
            <v>Pantallas Digitales</v>
          </cell>
          <cell r="U482">
            <v>1</v>
          </cell>
          <cell r="V482" t="str">
            <v>NA</v>
          </cell>
        </row>
        <row r="483">
          <cell r="A483" t="str">
            <v>MALD0046C</v>
          </cell>
          <cell r="B483" t="str">
            <v>Mall</v>
          </cell>
          <cell r="D483" t="str">
            <v>Pantallas Digitales</v>
          </cell>
          <cell r="E483" t="str">
            <v>Pantallas</v>
          </cell>
          <cell r="F483" t="str">
            <v>NA</v>
          </cell>
          <cell r="G483" t="str">
            <v>NA</v>
          </cell>
          <cell r="H483" t="str">
            <v>I</v>
          </cell>
          <cell r="I483" t="str">
            <v>Lote de 4 TV</v>
          </cell>
          <cell r="J483">
            <v>0</v>
          </cell>
          <cell r="K483">
            <v>0</v>
          </cell>
          <cell r="L483">
            <v>500000</v>
          </cell>
          <cell r="M483" t="str">
            <v>SHOPING LA DEHESA</v>
          </cell>
          <cell r="P483" t="str">
            <v>LO BARNECHEA</v>
          </cell>
          <cell r="Q483" t="str">
            <v>PANTALLA</v>
          </cell>
          <cell r="R483" t="str">
            <v>Mall - Santiago</v>
          </cell>
          <cell r="S483" t="str">
            <v>Sermob Digital (MALD)</v>
          </cell>
          <cell r="T483" t="str">
            <v>Pantallas Digitales</v>
          </cell>
          <cell r="U483">
            <v>1</v>
          </cell>
          <cell r="V483" t="str">
            <v>NA</v>
          </cell>
        </row>
        <row r="484">
          <cell r="A484" t="str">
            <v>MALD0046D</v>
          </cell>
          <cell r="B484" t="str">
            <v>Mall</v>
          </cell>
          <cell r="D484" t="str">
            <v>Pantallas Digitales</v>
          </cell>
          <cell r="E484" t="str">
            <v>Pantallas</v>
          </cell>
          <cell r="F484" t="str">
            <v>NA</v>
          </cell>
          <cell r="G484" t="str">
            <v>NA</v>
          </cell>
          <cell r="H484" t="str">
            <v>I</v>
          </cell>
          <cell r="I484" t="str">
            <v>Lote de 4 TV</v>
          </cell>
          <cell r="J484">
            <v>0</v>
          </cell>
          <cell r="K484">
            <v>0</v>
          </cell>
          <cell r="L484">
            <v>500000</v>
          </cell>
          <cell r="M484" t="str">
            <v>SHOPING LA DEHESA</v>
          </cell>
          <cell r="P484" t="str">
            <v>LO BARNECHEA</v>
          </cell>
          <cell r="Q484" t="str">
            <v>PANTALLA</v>
          </cell>
          <cell r="R484" t="str">
            <v>Mall - Santiago</v>
          </cell>
          <cell r="S484" t="str">
            <v>Sermob Digital (MALD)</v>
          </cell>
          <cell r="T484" t="str">
            <v>Pantallas Digitales</v>
          </cell>
          <cell r="U484">
            <v>1</v>
          </cell>
          <cell r="V484" t="str">
            <v>NA</v>
          </cell>
        </row>
        <row r="485">
          <cell r="A485" t="str">
            <v>MALD0046E</v>
          </cell>
          <cell r="B485" t="str">
            <v>Mall</v>
          </cell>
          <cell r="D485" t="str">
            <v>Pantallas Digitales</v>
          </cell>
          <cell r="E485" t="str">
            <v>Pantallas</v>
          </cell>
          <cell r="F485" t="str">
            <v>NA</v>
          </cell>
          <cell r="G485" t="str">
            <v>NA</v>
          </cell>
          <cell r="H485" t="str">
            <v>I</v>
          </cell>
          <cell r="I485" t="str">
            <v>LOTE 4 TV</v>
          </cell>
          <cell r="J485">
            <v>0</v>
          </cell>
          <cell r="K485">
            <v>0</v>
          </cell>
          <cell r="L485">
            <v>500000</v>
          </cell>
          <cell r="M485" t="str">
            <v>SHOPING LA DEHESA</v>
          </cell>
          <cell r="P485" t="str">
            <v>LO BARNECHEA</v>
          </cell>
          <cell r="Q485" t="str">
            <v>PANTALLA</v>
          </cell>
          <cell r="R485" t="str">
            <v>Mall - Santiago</v>
          </cell>
          <cell r="S485" t="str">
            <v>Sermob Digital (MALD)</v>
          </cell>
          <cell r="T485" t="str">
            <v>Pantallas Digitales</v>
          </cell>
          <cell r="U485">
            <v>1</v>
          </cell>
          <cell r="V485" t="str">
            <v>NA</v>
          </cell>
        </row>
        <row r="486">
          <cell r="A486" t="str">
            <v>MALD0046F</v>
          </cell>
          <cell r="B486" t="str">
            <v>Mall</v>
          </cell>
          <cell r="D486" t="str">
            <v>Pantallas Digitales</v>
          </cell>
          <cell r="E486" t="str">
            <v>Pantallas</v>
          </cell>
          <cell r="F486" t="str">
            <v>NA</v>
          </cell>
          <cell r="G486" t="str">
            <v>NA</v>
          </cell>
          <cell r="H486" t="str">
            <v>I</v>
          </cell>
          <cell r="I486" t="str">
            <v>LOTE 4 TV</v>
          </cell>
          <cell r="J486">
            <v>0</v>
          </cell>
          <cell r="K486">
            <v>0</v>
          </cell>
          <cell r="L486">
            <v>500000</v>
          </cell>
          <cell r="M486" t="str">
            <v>SHOPING LA DEHESA</v>
          </cell>
          <cell r="P486" t="str">
            <v>LO BARNECHEA</v>
          </cell>
          <cell r="Q486" t="str">
            <v>PANTALLA</v>
          </cell>
          <cell r="R486" t="str">
            <v>Mall - Santiago</v>
          </cell>
          <cell r="S486" t="str">
            <v>Sermob Digital (MALD)</v>
          </cell>
          <cell r="T486" t="str">
            <v>Pantallas Digitales</v>
          </cell>
          <cell r="U486">
            <v>1</v>
          </cell>
          <cell r="V486" t="str">
            <v>NA</v>
          </cell>
        </row>
        <row r="487">
          <cell r="A487" t="str">
            <v>MALD0046G</v>
          </cell>
          <cell r="B487" t="str">
            <v>Mall</v>
          </cell>
          <cell r="D487" t="str">
            <v>Pantallas Digitales</v>
          </cell>
          <cell r="E487" t="str">
            <v>Pantallas</v>
          </cell>
          <cell r="F487" t="str">
            <v>NA</v>
          </cell>
          <cell r="G487" t="str">
            <v>NA</v>
          </cell>
          <cell r="H487" t="str">
            <v>I</v>
          </cell>
          <cell r="I487" t="str">
            <v>LOTE DE 4 TV</v>
          </cell>
          <cell r="J487">
            <v>0</v>
          </cell>
          <cell r="K487">
            <v>0</v>
          </cell>
          <cell r="L487">
            <v>500000</v>
          </cell>
          <cell r="M487" t="str">
            <v>SHOPING LA DEHESA</v>
          </cell>
          <cell r="P487" t="str">
            <v>LO BARNECHEA</v>
          </cell>
          <cell r="Q487" t="str">
            <v>PANTALLA</v>
          </cell>
          <cell r="R487" t="str">
            <v>Mall - Santiago</v>
          </cell>
          <cell r="S487" t="str">
            <v>Sermob Digital (MALD)</v>
          </cell>
          <cell r="T487" t="str">
            <v>Pantallas Digitales</v>
          </cell>
          <cell r="U487">
            <v>1</v>
          </cell>
          <cell r="V487" t="str">
            <v>NA</v>
          </cell>
        </row>
        <row r="488">
          <cell r="A488" t="str">
            <v>MALD0046H</v>
          </cell>
          <cell r="B488" t="str">
            <v>Mall</v>
          </cell>
          <cell r="D488" t="str">
            <v>Pantallas Digitales</v>
          </cell>
          <cell r="E488" t="str">
            <v>Pantallas</v>
          </cell>
          <cell r="F488" t="str">
            <v>NA</v>
          </cell>
          <cell r="G488" t="str">
            <v>NA</v>
          </cell>
          <cell r="H488" t="str">
            <v>I</v>
          </cell>
          <cell r="I488" t="str">
            <v>LOTE 4 TV</v>
          </cell>
          <cell r="J488">
            <v>0</v>
          </cell>
          <cell r="K488">
            <v>0</v>
          </cell>
          <cell r="L488">
            <v>500000</v>
          </cell>
          <cell r="M488" t="str">
            <v>SHOPING LA DEHESA</v>
          </cell>
          <cell r="P488" t="str">
            <v>LO BARNECHEA</v>
          </cell>
          <cell r="Q488" t="str">
            <v>PANTALLA</v>
          </cell>
          <cell r="R488" t="str">
            <v>Mall - Santiago</v>
          </cell>
          <cell r="S488" t="str">
            <v>Sermob Digital (MALD)</v>
          </cell>
          <cell r="T488" t="str">
            <v>Pantallas Digitales</v>
          </cell>
          <cell r="U488">
            <v>1</v>
          </cell>
          <cell r="V488" t="str">
            <v>NA</v>
          </cell>
        </row>
        <row r="489">
          <cell r="A489" t="str">
            <v>MALD0046I</v>
          </cell>
          <cell r="B489" t="str">
            <v>Mall</v>
          </cell>
          <cell r="D489" t="str">
            <v>Pantallas Digitales</v>
          </cell>
          <cell r="E489" t="str">
            <v>Pantallas</v>
          </cell>
          <cell r="F489" t="str">
            <v>NA</v>
          </cell>
          <cell r="G489" t="str">
            <v>NA</v>
          </cell>
          <cell r="H489" t="str">
            <v>I</v>
          </cell>
          <cell r="I489" t="str">
            <v>LOTE DE 4 TV</v>
          </cell>
          <cell r="J489">
            <v>0</v>
          </cell>
          <cell r="K489">
            <v>0</v>
          </cell>
          <cell r="L489">
            <v>500000</v>
          </cell>
          <cell r="M489" t="str">
            <v>SHOPING LA DEHESA</v>
          </cell>
          <cell r="P489" t="str">
            <v>LO BARNECHEA</v>
          </cell>
          <cell r="Q489" t="str">
            <v>PANTALLA</v>
          </cell>
          <cell r="R489" t="str">
            <v>Mall - Santiago</v>
          </cell>
          <cell r="S489" t="str">
            <v>Sermob Digital (MALD)</v>
          </cell>
          <cell r="T489" t="str">
            <v>Pantallas Digitales</v>
          </cell>
          <cell r="U489">
            <v>1</v>
          </cell>
          <cell r="V489" t="str">
            <v>NA</v>
          </cell>
        </row>
        <row r="490">
          <cell r="A490" t="str">
            <v>MALD0046J</v>
          </cell>
          <cell r="B490" t="str">
            <v>Mall</v>
          </cell>
          <cell r="D490" t="str">
            <v>Pantallas Digitales</v>
          </cell>
          <cell r="E490" t="str">
            <v>Pantallas</v>
          </cell>
          <cell r="F490" t="str">
            <v>NA</v>
          </cell>
          <cell r="G490" t="str">
            <v>NA</v>
          </cell>
          <cell r="H490" t="str">
            <v>I</v>
          </cell>
          <cell r="I490" t="str">
            <v>LOTE DE 4 TV</v>
          </cell>
          <cell r="J490">
            <v>0</v>
          </cell>
          <cell r="K490">
            <v>0</v>
          </cell>
          <cell r="L490">
            <v>500000</v>
          </cell>
          <cell r="M490" t="str">
            <v>SHOPING LA DEHESA</v>
          </cell>
          <cell r="P490" t="str">
            <v>LO BARNECHEA</v>
          </cell>
          <cell r="Q490" t="str">
            <v>PANTALLA</v>
          </cell>
          <cell r="R490" t="str">
            <v>Mall - Santiago</v>
          </cell>
          <cell r="S490" t="str">
            <v>Sermob Digital (MALD)</v>
          </cell>
          <cell r="T490" t="str">
            <v>Pantallas Digitales</v>
          </cell>
          <cell r="U490">
            <v>1</v>
          </cell>
          <cell r="V490" t="str">
            <v>NA</v>
          </cell>
        </row>
        <row r="491">
          <cell r="A491" t="str">
            <v>MALD0046K</v>
          </cell>
          <cell r="B491" t="str">
            <v>Mall</v>
          </cell>
          <cell r="D491" t="str">
            <v>Pantallas Digitales</v>
          </cell>
          <cell r="E491" t="str">
            <v>Pantallas</v>
          </cell>
          <cell r="F491" t="str">
            <v>NA</v>
          </cell>
          <cell r="G491" t="str">
            <v>NA</v>
          </cell>
          <cell r="H491" t="str">
            <v>I</v>
          </cell>
          <cell r="I491" t="str">
            <v>LOTE 4 PANTALLA</v>
          </cell>
          <cell r="J491">
            <v>0</v>
          </cell>
          <cell r="K491">
            <v>0</v>
          </cell>
          <cell r="L491">
            <v>500000</v>
          </cell>
          <cell r="M491" t="str">
            <v>SHOPING LA DEHESA</v>
          </cell>
          <cell r="P491" t="str">
            <v>LO BARNECHEA</v>
          </cell>
          <cell r="Q491" t="str">
            <v>PANTALLA</v>
          </cell>
          <cell r="R491" t="str">
            <v>Mall - Santiago</v>
          </cell>
          <cell r="S491" t="str">
            <v>Sermob Digital (MALD)</v>
          </cell>
          <cell r="T491" t="str">
            <v>Pantallas Digitales</v>
          </cell>
          <cell r="U491">
            <v>1</v>
          </cell>
          <cell r="V491" t="str">
            <v>NA</v>
          </cell>
        </row>
        <row r="492">
          <cell r="A492" t="str">
            <v>MALD0046L</v>
          </cell>
          <cell r="B492" t="str">
            <v>Mall</v>
          </cell>
          <cell r="D492" t="str">
            <v>Pantallas Digitales</v>
          </cell>
          <cell r="E492" t="str">
            <v>Pantallas</v>
          </cell>
          <cell r="F492" t="str">
            <v>NA</v>
          </cell>
          <cell r="G492" t="str">
            <v>NA</v>
          </cell>
          <cell r="H492" t="str">
            <v>I</v>
          </cell>
          <cell r="I492" t="str">
            <v>LOTE DE 4 TV</v>
          </cell>
          <cell r="J492">
            <v>0</v>
          </cell>
          <cell r="K492">
            <v>0</v>
          </cell>
          <cell r="L492">
            <v>500000</v>
          </cell>
          <cell r="M492" t="str">
            <v>SHOPING LA DEHESA</v>
          </cell>
          <cell r="P492" t="str">
            <v>LO BARNECHEA</v>
          </cell>
          <cell r="Q492" t="str">
            <v>PANTALLA</v>
          </cell>
          <cell r="R492" t="str">
            <v>Mall - Santiago</v>
          </cell>
          <cell r="S492" t="str">
            <v>Sermob Digital (MALD)</v>
          </cell>
          <cell r="T492" t="str">
            <v>Pantallas Digitales</v>
          </cell>
          <cell r="U492">
            <v>1</v>
          </cell>
          <cell r="V492" t="str">
            <v>NA</v>
          </cell>
        </row>
        <row r="493">
          <cell r="A493" t="str">
            <v>MALD0046M</v>
          </cell>
          <cell r="B493" t="str">
            <v>Mall</v>
          </cell>
          <cell r="D493" t="str">
            <v>Pantallas Digitales</v>
          </cell>
          <cell r="E493" t="str">
            <v>Pantallas</v>
          </cell>
          <cell r="F493" t="str">
            <v>NA</v>
          </cell>
          <cell r="G493" t="str">
            <v>NA</v>
          </cell>
          <cell r="H493" t="str">
            <v>I</v>
          </cell>
          <cell r="I493" t="str">
            <v>LOTE DE 4 TV</v>
          </cell>
          <cell r="J493">
            <v>0</v>
          </cell>
          <cell r="K493">
            <v>0</v>
          </cell>
          <cell r="L493">
            <v>500000</v>
          </cell>
          <cell r="M493" t="str">
            <v>SHOPING LA DEHESA</v>
          </cell>
          <cell r="P493" t="str">
            <v>LO BARNECHEA</v>
          </cell>
          <cell r="Q493" t="str">
            <v>PANTALLA</v>
          </cell>
          <cell r="R493" t="str">
            <v>Mall - Santiago</v>
          </cell>
          <cell r="S493" t="str">
            <v>Sermob Digital (MALD)</v>
          </cell>
          <cell r="T493" t="str">
            <v>Pantallas Digitales</v>
          </cell>
          <cell r="U493">
            <v>1</v>
          </cell>
          <cell r="V493" t="str">
            <v>NA</v>
          </cell>
        </row>
        <row r="494">
          <cell r="A494" t="str">
            <v>MALD0046N</v>
          </cell>
          <cell r="B494" t="str">
            <v>Mall</v>
          </cell>
          <cell r="D494" t="str">
            <v>Pantallas Digitales</v>
          </cell>
          <cell r="E494" t="str">
            <v>Pantallas</v>
          </cell>
          <cell r="F494" t="str">
            <v>NA</v>
          </cell>
          <cell r="G494" t="str">
            <v>NA</v>
          </cell>
          <cell r="H494" t="str">
            <v>I</v>
          </cell>
          <cell r="I494" t="str">
            <v>LOTE 4 TV</v>
          </cell>
          <cell r="J494">
            <v>0</v>
          </cell>
          <cell r="K494">
            <v>0</v>
          </cell>
          <cell r="L494">
            <v>500000</v>
          </cell>
          <cell r="M494" t="str">
            <v>SHOPING LA DEHESA</v>
          </cell>
          <cell r="P494" t="str">
            <v>LO BARNECHEA</v>
          </cell>
          <cell r="Q494" t="str">
            <v>PANTALLA</v>
          </cell>
          <cell r="R494" t="str">
            <v>Mall - Santiago</v>
          </cell>
          <cell r="S494" t="str">
            <v>Sermob Digital (MALD)</v>
          </cell>
          <cell r="T494" t="str">
            <v>Pantallas Digitales</v>
          </cell>
          <cell r="U494">
            <v>1</v>
          </cell>
          <cell r="V494" t="str">
            <v>NA</v>
          </cell>
        </row>
        <row r="495">
          <cell r="A495" t="str">
            <v>MALD0046Ñ</v>
          </cell>
          <cell r="B495" t="str">
            <v>Mall</v>
          </cell>
          <cell r="D495" t="str">
            <v>Pantallas Digitales</v>
          </cell>
          <cell r="E495" t="str">
            <v>Pantallas</v>
          </cell>
          <cell r="F495" t="str">
            <v>NA</v>
          </cell>
          <cell r="G495" t="str">
            <v>NA</v>
          </cell>
          <cell r="H495" t="str">
            <v>I</v>
          </cell>
          <cell r="I495" t="str">
            <v>LOTE DE 4 TV</v>
          </cell>
          <cell r="J495">
            <v>0</v>
          </cell>
          <cell r="K495">
            <v>0</v>
          </cell>
          <cell r="L495">
            <v>500000</v>
          </cell>
          <cell r="M495" t="str">
            <v>SHOPING LA DEHESA</v>
          </cell>
          <cell r="P495" t="str">
            <v>LO BARNECHEA</v>
          </cell>
          <cell r="Q495" t="str">
            <v>PANTALLA</v>
          </cell>
          <cell r="R495" t="str">
            <v>Mall - Santiago</v>
          </cell>
          <cell r="S495" t="str">
            <v>Sermob Digital (MALD)</v>
          </cell>
          <cell r="T495" t="str">
            <v>Pantallas Digitales</v>
          </cell>
          <cell r="U495">
            <v>1</v>
          </cell>
          <cell r="V495" t="str">
            <v>NA</v>
          </cell>
        </row>
        <row r="496">
          <cell r="A496" t="str">
            <v>MAMA0001A</v>
          </cell>
          <cell r="B496" t="str">
            <v>Mall</v>
          </cell>
          <cell r="D496" t="str">
            <v>Paletas</v>
          </cell>
          <cell r="E496" t="str">
            <v>Paletas</v>
          </cell>
          <cell r="F496" t="str">
            <v>1.10 * 1.53</v>
          </cell>
          <cell r="G496" t="str">
            <v>1.15 * 1.57</v>
          </cell>
          <cell r="H496" t="str">
            <v>E</v>
          </cell>
          <cell r="I496" t="str">
            <v>ESTACIONAMIENTOS</v>
          </cell>
          <cell r="J496">
            <v>0</v>
          </cell>
          <cell r="K496">
            <v>0</v>
          </cell>
          <cell r="L496">
            <v>280000</v>
          </cell>
          <cell r="M496" t="str">
            <v>MALL ARAUCO MAIPU</v>
          </cell>
          <cell r="P496" t="str">
            <v>MAIPU</v>
          </cell>
          <cell r="Q496" t="str">
            <v>TRADICIONAL</v>
          </cell>
          <cell r="R496" t="str">
            <v>Mall - Santiago</v>
          </cell>
          <cell r="S496" t="str">
            <v>Parque Arauco</v>
          </cell>
          <cell r="T496" t="str">
            <v>Paletas</v>
          </cell>
          <cell r="U496">
            <v>1</v>
          </cell>
          <cell r="V496" t="str">
            <v>1.10 * 1.53</v>
          </cell>
        </row>
        <row r="497">
          <cell r="A497" t="str">
            <v>MAMA0001B</v>
          </cell>
          <cell r="B497" t="str">
            <v>Mall</v>
          </cell>
          <cell r="D497" t="str">
            <v>Paletas</v>
          </cell>
          <cell r="E497" t="str">
            <v>Paletas</v>
          </cell>
          <cell r="F497" t="str">
            <v>1.10 * 1.53</v>
          </cell>
          <cell r="G497" t="str">
            <v>1.15 * 1.57</v>
          </cell>
          <cell r="H497" t="str">
            <v>E</v>
          </cell>
          <cell r="I497" t="str">
            <v>ESTACIONAMIENTOS</v>
          </cell>
          <cell r="J497">
            <v>0</v>
          </cell>
          <cell r="K497">
            <v>0</v>
          </cell>
          <cell r="L497">
            <v>280000</v>
          </cell>
          <cell r="M497" t="str">
            <v>MALL ARAUCO MAIPU</v>
          </cell>
          <cell r="P497" t="str">
            <v>MAIPU</v>
          </cell>
          <cell r="Q497" t="str">
            <v>TRADICIONAL</v>
          </cell>
          <cell r="R497" t="str">
            <v>Mall - Santiago</v>
          </cell>
          <cell r="S497" t="str">
            <v>Parque Arauco</v>
          </cell>
          <cell r="T497" t="str">
            <v>Paletas</v>
          </cell>
          <cell r="U497">
            <v>1</v>
          </cell>
          <cell r="V497" t="str">
            <v>1.10 * 1.53</v>
          </cell>
        </row>
        <row r="498">
          <cell r="A498" t="str">
            <v>MAMA0002A</v>
          </cell>
          <cell r="B498" t="str">
            <v>Mall</v>
          </cell>
          <cell r="D498" t="str">
            <v>Paletas</v>
          </cell>
          <cell r="E498" t="str">
            <v>Paletas</v>
          </cell>
          <cell r="F498" t="str">
            <v>1.10 * 1.53</v>
          </cell>
          <cell r="G498" t="str">
            <v>1.15 * 1.57</v>
          </cell>
          <cell r="H498" t="str">
            <v>E</v>
          </cell>
          <cell r="I498" t="str">
            <v>ESTACIONAMIENTOS</v>
          </cell>
          <cell r="J498">
            <v>0</v>
          </cell>
          <cell r="K498">
            <v>0</v>
          </cell>
          <cell r="L498">
            <v>280000</v>
          </cell>
          <cell r="M498" t="str">
            <v>MALL ARAUCO MAIPU</v>
          </cell>
          <cell r="P498" t="str">
            <v>MAIPU</v>
          </cell>
          <cell r="Q498" t="str">
            <v>TRADICIONAL</v>
          </cell>
          <cell r="R498" t="str">
            <v>Mall - Santiago</v>
          </cell>
          <cell r="S498" t="str">
            <v>Parque Arauco</v>
          </cell>
          <cell r="T498" t="str">
            <v>Paletas</v>
          </cell>
          <cell r="U498">
            <v>1</v>
          </cell>
          <cell r="V498" t="str">
            <v>1.10 * 1.53</v>
          </cell>
        </row>
        <row r="499">
          <cell r="A499" t="str">
            <v>MAMA0002B</v>
          </cell>
          <cell r="B499" t="str">
            <v>Mall</v>
          </cell>
          <cell r="D499" t="str">
            <v>Paletas</v>
          </cell>
          <cell r="E499" t="str">
            <v>Paletas</v>
          </cell>
          <cell r="F499" t="str">
            <v>1.10 * 1.53</v>
          </cell>
          <cell r="G499" t="str">
            <v>1.15 * 1.57</v>
          </cell>
          <cell r="H499" t="str">
            <v>E</v>
          </cell>
          <cell r="I499" t="str">
            <v>ESTACIONAMIENTOS</v>
          </cell>
          <cell r="J499">
            <v>0</v>
          </cell>
          <cell r="K499">
            <v>0</v>
          </cell>
          <cell r="L499">
            <v>280000</v>
          </cell>
          <cell r="M499" t="str">
            <v>MALL ARAUCO MAIPU</v>
          </cell>
          <cell r="P499" t="str">
            <v>MAIPU</v>
          </cell>
          <cell r="Q499" t="str">
            <v>TRADICIONAL</v>
          </cell>
          <cell r="R499" t="str">
            <v>Mall - Santiago</v>
          </cell>
          <cell r="S499" t="str">
            <v>Parque Arauco</v>
          </cell>
          <cell r="T499" t="str">
            <v>Paletas</v>
          </cell>
          <cell r="U499">
            <v>1</v>
          </cell>
          <cell r="V499" t="str">
            <v>1.10 * 1.53</v>
          </cell>
        </row>
        <row r="500">
          <cell r="A500" t="str">
            <v>MAMA0003A</v>
          </cell>
          <cell r="B500" t="str">
            <v>Mall</v>
          </cell>
          <cell r="D500" t="str">
            <v>Paletas</v>
          </cell>
          <cell r="E500" t="str">
            <v>Paletas</v>
          </cell>
          <cell r="F500" t="str">
            <v>1.10 * 1.53</v>
          </cell>
          <cell r="G500" t="str">
            <v>1.15 * 1.57</v>
          </cell>
          <cell r="H500" t="str">
            <v>E</v>
          </cell>
          <cell r="I500" t="str">
            <v>ESTACIONAMIENTOS</v>
          </cell>
          <cell r="J500">
            <v>0</v>
          </cell>
          <cell r="K500">
            <v>0</v>
          </cell>
          <cell r="L500">
            <v>280000</v>
          </cell>
          <cell r="M500" t="str">
            <v>MALL ARAUCO MAIPU</v>
          </cell>
          <cell r="P500" t="str">
            <v>MAIPU</v>
          </cell>
          <cell r="Q500" t="str">
            <v>TRADICIONAL</v>
          </cell>
          <cell r="R500" t="str">
            <v>Mall - Santiago</v>
          </cell>
          <cell r="S500" t="str">
            <v>Parque Arauco</v>
          </cell>
          <cell r="T500" t="str">
            <v>Paletas</v>
          </cell>
          <cell r="U500">
            <v>1</v>
          </cell>
          <cell r="V500" t="str">
            <v>1.10 * 1.53</v>
          </cell>
        </row>
        <row r="501">
          <cell r="A501" t="str">
            <v>MAMA0003B</v>
          </cell>
          <cell r="B501" t="str">
            <v>Mall</v>
          </cell>
          <cell r="D501" t="str">
            <v>Paletas</v>
          </cell>
          <cell r="E501" t="str">
            <v>Paletas</v>
          </cell>
          <cell r="F501" t="str">
            <v>1.10 * 1.53</v>
          </cell>
          <cell r="G501" t="str">
            <v>1.15 * 1.57</v>
          </cell>
          <cell r="H501" t="str">
            <v>E</v>
          </cell>
          <cell r="I501" t="str">
            <v>ESTACIONAMIENTOS</v>
          </cell>
          <cell r="J501">
            <v>0</v>
          </cell>
          <cell r="K501">
            <v>0</v>
          </cell>
          <cell r="L501">
            <v>280000</v>
          </cell>
          <cell r="M501" t="str">
            <v>MALL ARAUCO MAIPU</v>
          </cell>
          <cell r="P501" t="str">
            <v>MAIPU</v>
          </cell>
          <cell r="Q501" t="str">
            <v>TRADICIONAL</v>
          </cell>
          <cell r="R501" t="str">
            <v>Mall - Santiago</v>
          </cell>
          <cell r="S501" t="str">
            <v>Parque Arauco</v>
          </cell>
          <cell r="T501" t="str">
            <v>Paletas</v>
          </cell>
          <cell r="U501">
            <v>1</v>
          </cell>
          <cell r="V501" t="str">
            <v>1.10 * 1.53</v>
          </cell>
        </row>
        <row r="502">
          <cell r="A502" t="str">
            <v>MAMA0004A</v>
          </cell>
          <cell r="B502" t="str">
            <v>Mall</v>
          </cell>
          <cell r="D502" t="str">
            <v>Paletas</v>
          </cell>
          <cell r="E502" t="str">
            <v>Paletas</v>
          </cell>
          <cell r="F502" t="str">
            <v>1.10 * 1.53</v>
          </cell>
          <cell r="G502" t="str">
            <v>1.15 * 1.57</v>
          </cell>
          <cell r="H502" t="str">
            <v>E</v>
          </cell>
          <cell r="I502" t="str">
            <v>ESTACIONAMIENTOS</v>
          </cell>
          <cell r="J502">
            <v>0</v>
          </cell>
          <cell r="K502">
            <v>0</v>
          </cell>
          <cell r="L502">
            <v>280000</v>
          </cell>
          <cell r="M502" t="str">
            <v>MALL ARAUCO MAIPU</v>
          </cell>
          <cell r="P502" t="str">
            <v>MAIPU</v>
          </cell>
          <cell r="Q502" t="str">
            <v>TRADICIONAL</v>
          </cell>
          <cell r="R502" t="str">
            <v>Mall - Santiago</v>
          </cell>
          <cell r="S502" t="str">
            <v>Parque Arauco</v>
          </cell>
          <cell r="T502" t="str">
            <v>Paletas</v>
          </cell>
          <cell r="U502">
            <v>1</v>
          </cell>
          <cell r="V502" t="str">
            <v>1.10 * 1.53</v>
          </cell>
        </row>
        <row r="503">
          <cell r="A503" t="str">
            <v>MAMA0004B</v>
          </cell>
          <cell r="B503" t="str">
            <v>Mall</v>
          </cell>
          <cell r="D503" t="str">
            <v>Paletas</v>
          </cell>
          <cell r="E503" t="str">
            <v>Paletas</v>
          </cell>
          <cell r="F503" t="str">
            <v>1.10 * 1.53</v>
          </cell>
          <cell r="G503" t="str">
            <v>1.15 * 1.57</v>
          </cell>
          <cell r="H503" t="str">
            <v>E</v>
          </cell>
          <cell r="I503" t="str">
            <v>ESTACIONAMIENTOS</v>
          </cell>
          <cell r="J503">
            <v>0</v>
          </cell>
          <cell r="K503">
            <v>0</v>
          </cell>
          <cell r="L503">
            <v>280000</v>
          </cell>
          <cell r="M503" t="str">
            <v>MALL ARAUCO MAIPU</v>
          </cell>
          <cell r="P503" t="str">
            <v>MAIPU</v>
          </cell>
          <cell r="Q503" t="str">
            <v>TRADICIONAL</v>
          </cell>
          <cell r="R503" t="str">
            <v>Mall - Santiago</v>
          </cell>
          <cell r="S503" t="str">
            <v>Parque Arauco</v>
          </cell>
          <cell r="T503" t="str">
            <v>Paletas</v>
          </cell>
          <cell r="U503">
            <v>1</v>
          </cell>
          <cell r="V503" t="str">
            <v>1.10 * 1.53</v>
          </cell>
        </row>
        <row r="504">
          <cell r="A504" t="str">
            <v>MAMA0005A</v>
          </cell>
          <cell r="B504" t="str">
            <v>Mall</v>
          </cell>
          <cell r="D504" t="str">
            <v>Paletas</v>
          </cell>
          <cell r="E504" t="str">
            <v>Paletas</v>
          </cell>
          <cell r="F504" t="str">
            <v>1.10 * 1.53</v>
          </cell>
          <cell r="G504" t="str">
            <v>1.15 * 1.57</v>
          </cell>
          <cell r="H504" t="str">
            <v>E</v>
          </cell>
          <cell r="I504" t="str">
            <v>ESTACIONAMIENTOS</v>
          </cell>
          <cell r="J504">
            <v>0</v>
          </cell>
          <cell r="K504">
            <v>0</v>
          </cell>
          <cell r="L504">
            <v>280000</v>
          </cell>
          <cell r="M504" t="str">
            <v>MALL ARAUCO MAIPU</v>
          </cell>
          <cell r="P504" t="str">
            <v>MAIPU</v>
          </cell>
          <cell r="Q504" t="str">
            <v>TRADICIONAL</v>
          </cell>
          <cell r="R504" t="str">
            <v>Mall - Santiago</v>
          </cell>
          <cell r="S504" t="str">
            <v>Parque Arauco</v>
          </cell>
          <cell r="T504" t="str">
            <v>Paletas</v>
          </cell>
          <cell r="U504">
            <v>1</v>
          </cell>
          <cell r="V504" t="str">
            <v>1.10 * 1.53</v>
          </cell>
        </row>
        <row r="505">
          <cell r="A505" t="str">
            <v>MAMA0005B</v>
          </cell>
          <cell r="B505" t="str">
            <v>Mall</v>
          </cell>
          <cell r="D505" t="str">
            <v>Paletas</v>
          </cell>
          <cell r="E505" t="str">
            <v>Paletas</v>
          </cell>
          <cell r="F505" t="str">
            <v>1.10 * 1.53</v>
          </cell>
          <cell r="G505" t="str">
            <v>1.15 * 1.57</v>
          </cell>
          <cell r="H505" t="str">
            <v>E</v>
          </cell>
          <cell r="I505" t="str">
            <v>ESTACIONAMIENTOS</v>
          </cell>
          <cell r="J505">
            <v>0</v>
          </cell>
          <cell r="K505">
            <v>0</v>
          </cell>
          <cell r="L505">
            <v>280000</v>
          </cell>
          <cell r="M505" t="str">
            <v>MALL ARAUCO MAIPU</v>
          </cell>
          <cell r="P505" t="str">
            <v>MAIPU</v>
          </cell>
          <cell r="Q505" t="str">
            <v>TRADICIONAL</v>
          </cell>
          <cell r="R505" t="str">
            <v>Mall - Santiago</v>
          </cell>
          <cell r="S505" t="str">
            <v>Parque Arauco</v>
          </cell>
          <cell r="T505" t="str">
            <v>Paletas</v>
          </cell>
          <cell r="U505">
            <v>1</v>
          </cell>
          <cell r="V505" t="str">
            <v>1.10 * 1.53</v>
          </cell>
        </row>
        <row r="506">
          <cell r="A506" t="str">
            <v>MAMA0006A</v>
          </cell>
          <cell r="B506" t="str">
            <v>Mall</v>
          </cell>
          <cell r="D506" t="str">
            <v>Paletas</v>
          </cell>
          <cell r="E506" t="str">
            <v>Paletas</v>
          </cell>
          <cell r="F506" t="str">
            <v>1.10 * 1.53</v>
          </cell>
          <cell r="G506" t="str">
            <v>1.15 * 1.57</v>
          </cell>
          <cell r="H506" t="str">
            <v>E</v>
          </cell>
          <cell r="I506" t="str">
            <v>ESTACIONAMIENTOS</v>
          </cell>
          <cell r="J506">
            <v>0</v>
          </cell>
          <cell r="K506">
            <v>0</v>
          </cell>
          <cell r="L506">
            <v>280000</v>
          </cell>
          <cell r="M506" t="str">
            <v>MALL ARAUCO MAIPU</v>
          </cell>
          <cell r="P506" t="str">
            <v>MAIPU</v>
          </cell>
          <cell r="Q506" t="str">
            <v>TRADICIONAL</v>
          </cell>
          <cell r="R506" t="str">
            <v>Mall - Santiago</v>
          </cell>
          <cell r="S506" t="str">
            <v>Parque Arauco</v>
          </cell>
          <cell r="T506" t="str">
            <v>Paletas</v>
          </cell>
          <cell r="U506">
            <v>1</v>
          </cell>
          <cell r="V506" t="str">
            <v>1.10 * 1.53</v>
          </cell>
        </row>
        <row r="507">
          <cell r="A507" t="str">
            <v>MAMA0006B</v>
          </cell>
          <cell r="B507" t="str">
            <v>Mall</v>
          </cell>
          <cell r="D507" t="str">
            <v>Paletas</v>
          </cell>
          <cell r="E507" t="str">
            <v>Paletas</v>
          </cell>
          <cell r="F507" t="str">
            <v>1.10 * 1.53</v>
          </cell>
          <cell r="G507" t="str">
            <v>1.15 * 1.57</v>
          </cell>
          <cell r="H507" t="str">
            <v>E</v>
          </cell>
          <cell r="I507" t="str">
            <v>ESTACIONAMIENTOS</v>
          </cell>
          <cell r="J507">
            <v>0</v>
          </cell>
          <cell r="K507">
            <v>0</v>
          </cell>
          <cell r="L507">
            <v>280000</v>
          </cell>
          <cell r="M507" t="str">
            <v>MALL ARAUCO MAIPU</v>
          </cell>
          <cell r="P507" t="str">
            <v>MAIPU</v>
          </cell>
          <cell r="Q507" t="str">
            <v>TRADICIONAL</v>
          </cell>
          <cell r="R507" t="str">
            <v>Mall - Santiago</v>
          </cell>
          <cell r="S507" t="str">
            <v>Parque Arauco</v>
          </cell>
          <cell r="T507" t="str">
            <v>Paletas</v>
          </cell>
          <cell r="U507">
            <v>1</v>
          </cell>
          <cell r="V507" t="str">
            <v>1.10 * 1.53</v>
          </cell>
        </row>
        <row r="508">
          <cell r="A508" t="str">
            <v>MAMA0007A</v>
          </cell>
          <cell r="B508" t="str">
            <v>Mall</v>
          </cell>
          <cell r="D508" t="str">
            <v>Paletas</v>
          </cell>
          <cell r="E508" t="str">
            <v>Paletas</v>
          </cell>
          <cell r="F508" t="str">
            <v>1.10 * 1.53</v>
          </cell>
          <cell r="G508" t="str">
            <v>1.15 * 1.57</v>
          </cell>
          <cell r="H508" t="str">
            <v>E</v>
          </cell>
          <cell r="I508" t="str">
            <v>ESTACIONAMIENTOS</v>
          </cell>
          <cell r="J508">
            <v>0</v>
          </cell>
          <cell r="K508">
            <v>0</v>
          </cell>
          <cell r="L508">
            <v>280000</v>
          </cell>
          <cell r="M508" t="str">
            <v>MALL ARAUCO MAIPU</v>
          </cell>
          <cell r="P508" t="str">
            <v>MAIPU</v>
          </cell>
          <cell r="Q508" t="str">
            <v>TRADICIONAL</v>
          </cell>
          <cell r="R508" t="str">
            <v>Mall - Santiago</v>
          </cell>
          <cell r="S508" t="str">
            <v>Parque Arauco</v>
          </cell>
          <cell r="T508" t="str">
            <v>Paletas</v>
          </cell>
          <cell r="U508">
            <v>1</v>
          </cell>
          <cell r="V508" t="str">
            <v>1.10 * 1.53</v>
          </cell>
        </row>
        <row r="509">
          <cell r="A509" t="str">
            <v>MAMA0007B</v>
          </cell>
          <cell r="B509" t="str">
            <v>Mall</v>
          </cell>
          <cell r="D509" t="str">
            <v>Paletas</v>
          </cell>
          <cell r="E509" t="str">
            <v>Paletas</v>
          </cell>
          <cell r="F509" t="str">
            <v>1.10 * 1.53</v>
          </cell>
          <cell r="G509" t="str">
            <v>1.15 * 1.57</v>
          </cell>
          <cell r="H509" t="str">
            <v>E</v>
          </cell>
          <cell r="I509" t="str">
            <v>ESTACIONAMIENTOS</v>
          </cell>
          <cell r="J509">
            <v>0</v>
          </cell>
          <cell r="K509">
            <v>0</v>
          </cell>
          <cell r="L509">
            <v>280000</v>
          </cell>
          <cell r="M509" t="str">
            <v>MALL ARAUCO MAIPU</v>
          </cell>
          <cell r="P509" t="str">
            <v>MAIPU</v>
          </cell>
          <cell r="Q509" t="str">
            <v>TRADICIONAL</v>
          </cell>
          <cell r="R509" t="str">
            <v>Mall - Santiago</v>
          </cell>
          <cell r="S509" t="str">
            <v>Parque Arauco</v>
          </cell>
          <cell r="T509" t="str">
            <v>Paletas</v>
          </cell>
          <cell r="U509">
            <v>1</v>
          </cell>
          <cell r="V509" t="str">
            <v>1.10 * 1.53</v>
          </cell>
        </row>
        <row r="510">
          <cell r="A510" t="str">
            <v>MAMA0008A</v>
          </cell>
          <cell r="B510" t="str">
            <v>Mall</v>
          </cell>
          <cell r="D510" t="str">
            <v>Paletas</v>
          </cell>
          <cell r="E510" t="str">
            <v>Paletas</v>
          </cell>
          <cell r="F510" t="str">
            <v>1.10 * 1.53</v>
          </cell>
          <cell r="G510" t="str">
            <v>1.15 * 1.57</v>
          </cell>
          <cell r="H510" t="str">
            <v>E</v>
          </cell>
          <cell r="I510" t="str">
            <v>ESTACIONAMIENTOS</v>
          </cell>
          <cell r="J510">
            <v>0</v>
          </cell>
          <cell r="K510">
            <v>0</v>
          </cell>
          <cell r="L510">
            <v>280000</v>
          </cell>
          <cell r="M510" t="str">
            <v>MALL ARAUCO MAIPU</v>
          </cell>
          <cell r="P510" t="str">
            <v>MAIPU</v>
          </cell>
          <cell r="Q510" t="str">
            <v>TRADICIONAL</v>
          </cell>
          <cell r="R510" t="str">
            <v>Mall - Santiago</v>
          </cell>
          <cell r="S510" t="str">
            <v>Parque Arauco</v>
          </cell>
          <cell r="T510" t="str">
            <v>Paletas</v>
          </cell>
          <cell r="U510">
            <v>1</v>
          </cell>
          <cell r="V510" t="str">
            <v>1.10 * 1.53</v>
          </cell>
        </row>
        <row r="511">
          <cell r="A511" t="str">
            <v>MAMA0008B</v>
          </cell>
          <cell r="B511" t="str">
            <v>Mall</v>
          </cell>
          <cell r="D511" t="str">
            <v>Paletas</v>
          </cell>
          <cell r="E511" t="str">
            <v>Paletas</v>
          </cell>
          <cell r="F511" t="str">
            <v>1.10 * 1.53</v>
          </cell>
          <cell r="G511" t="str">
            <v>1.15 * 1.57</v>
          </cell>
          <cell r="H511" t="str">
            <v>E</v>
          </cell>
          <cell r="I511" t="str">
            <v>ESTACIONAMIENTOS</v>
          </cell>
          <cell r="J511">
            <v>0</v>
          </cell>
          <cell r="K511">
            <v>0</v>
          </cell>
          <cell r="L511">
            <v>280000</v>
          </cell>
          <cell r="M511" t="str">
            <v>MALL ARAUCO MAIPU</v>
          </cell>
          <cell r="P511" t="str">
            <v>MAIPU</v>
          </cell>
          <cell r="Q511" t="str">
            <v>TRADICIONAL</v>
          </cell>
          <cell r="R511" t="str">
            <v>Mall - Santiago</v>
          </cell>
          <cell r="S511" t="str">
            <v>Parque Arauco</v>
          </cell>
          <cell r="T511" t="str">
            <v>Paletas</v>
          </cell>
          <cell r="U511">
            <v>1</v>
          </cell>
          <cell r="V511" t="str">
            <v>1.10 * 1.53</v>
          </cell>
        </row>
        <row r="512">
          <cell r="A512" t="str">
            <v>MAMA0009A</v>
          </cell>
          <cell r="B512" t="str">
            <v>Mall</v>
          </cell>
          <cell r="D512" t="str">
            <v>Paletas</v>
          </cell>
          <cell r="E512" t="str">
            <v>Paletas</v>
          </cell>
          <cell r="F512" t="str">
            <v>1.10 * 1.53</v>
          </cell>
          <cell r="G512" t="str">
            <v>1.15 * 1.57</v>
          </cell>
          <cell r="H512" t="str">
            <v>E</v>
          </cell>
          <cell r="I512" t="str">
            <v>ESTACIONAMIENTOS</v>
          </cell>
          <cell r="J512">
            <v>0</v>
          </cell>
          <cell r="K512">
            <v>0</v>
          </cell>
          <cell r="L512">
            <v>280000</v>
          </cell>
          <cell r="M512" t="str">
            <v>MALL ARAUCO MAIPU</v>
          </cell>
          <cell r="P512" t="str">
            <v>MAIPU</v>
          </cell>
          <cell r="Q512" t="str">
            <v>TRADICIONAL</v>
          </cell>
          <cell r="R512" t="str">
            <v>Mall - Santiago</v>
          </cell>
          <cell r="S512" t="str">
            <v>Parque Arauco</v>
          </cell>
          <cell r="T512" t="str">
            <v>Paletas</v>
          </cell>
          <cell r="U512">
            <v>1</v>
          </cell>
          <cell r="V512" t="str">
            <v>1.10 * 1.53</v>
          </cell>
        </row>
        <row r="513">
          <cell r="A513" t="str">
            <v>MAMA0009B</v>
          </cell>
          <cell r="B513" t="str">
            <v>Mall</v>
          </cell>
          <cell r="D513" t="str">
            <v>Paletas</v>
          </cell>
          <cell r="E513" t="str">
            <v>Paletas</v>
          </cell>
          <cell r="F513" t="str">
            <v>1.10 * 1.53</v>
          </cell>
          <cell r="G513" t="str">
            <v>1.15 * 1.57</v>
          </cell>
          <cell r="H513" t="str">
            <v>E</v>
          </cell>
          <cell r="I513" t="str">
            <v>ESTACIONAMIENTOS</v>
          </cell>
          <cell r="J513">
            <v>0</v>
          </cell>
          <cell r="K513">
            <v>0</v>
          </cell>
          <cell r="L513">
            <v>280000</v>
          </cell>
          <cell r="M513" t="str">
            <v>MALL ARAUCO MAIPU</v>
          </cell>
          <cell r="P513" t="str">
            <v>MAIPU</v>
          </cell>
          <cell r="Q513" t="str">
            <v>TRADICIONAL</v>
          </cell>
          <cell r="R513" t="str">
            <v>Mall - Santiago</v>
          </cell>
          <cell r="S513" t="str">
            <v>Parque Arauco</v>
          </cell>
          <cell r="T513" t="str">
            <v>Paletas</v>
          </cell>
          <cell r="U513">
            <v>1</v>
          </cell>
          <cell r="V513" t="str">
            <v>1.10 * 1.53</v>
          </cell>
        </row>
        <row r="514">
          <cell r="A514" t="str">
            <v>MAMA0010A</v>
          </cell>
          <cell r="B514" t="str">
            <v>Mall</v>
          </cell>
          <cell r="D514" t="str">
            <v>Paletas</v>
          </cell>
          <cell r="E514" t="str">
            <v>Paletas</v>
          </cell>
          <cell r="F514" t="str">
            <v>1.10 * 1.53</v>
          </cell>
          <cell r="G514" t="str">
            <v>1.15 * 1.57</v>
          </cell>
          <cell r="H514" t="str">
            <v>E</v>
          </cell>
          <cell r="I514" t="str">
            <v>ESTACIONAMIENTOS</v>
          </cell>
          <cell r="J514">
            <v>0</v>
          </cell>
          <cell r="K514">
            <v>0</v>
          </cell>
          <cell r="L514">
            <v>280000</v>
          </cell>
          <cell r="M514" t="str">
            <v>MALL ARAUCO MAIPU</v>
          </cell>
          <cell r="P514" t="str">
            <v>MAIPU</v>
          </cell>
          <cell r="Q514" t="str">
            <v>TRADICIONAL</v>
          </cell>
          <cell r="R514" t="str">
            <v>Mall - Santiago</v>
          </cell>
          <cell r="S514" t="str">
            <v>Parque Arauco</v>
          </cell>
          <cell r="T514" t="str">
            <v>Paletas</v>
          </cell>
          <cell r="U514">
            <v>1</v>
          </cell>
          <cell r="V514" t="str">
            <v>1.10 * 1.53</v>
          </cell>
        </row>
        <row r="515">
          <cell r="A515" t="str">
            <v>MAMA0010B</v>
          </cell>
          <cell r="B515" t="str">
            <v>Mall</v>
          </cell>
          <cell r="D515" t="str">
            <v>Paletas</v>
          </cell>
          <cell r="E515" t="str">
            <v>Paletas</v>
          </cell>
          <cell r="F515" t="str">
            <v>1.10 * 1.53</v>
          </cell>
          <cell r="G515" t="str">
            <v>1.15 * 1.57</v>
          </cell>
          <cell r="H515" t="str">
            <v>E</v>
          </cell>
          <cell r="I515" t="str">
            <v>ESTACIONAMIENTOS</v>
          </cell>
          <cell r="J515">
            <v>0</v>
          </cell>
          <cell r="K515">
            <v>0</v>
          </cell>
          <cell r="L515">
            <v>280000</v>
          </cell>
          <cell r="M515" t="str">
            <v>MALL ARAUCO MAIPU</v>
          </cell>
          <cell r="P515" t="str">
            <v>MAIPU</v>
          </cell>
          <cell r="Q515" t="str">
            <v>TRADICIONAL</v>
          </cell>
          <cell r="R515" t="str">
            <v>Mall - Santiago</v>
          </cell>
          <cell r="S515" t="str">
            <v>Parque Arauco</v>
          </cell>
          <cell r="T515" t="str">
            <v>Paletas</v>
          </cell>
          <cell r="U515">
            <v>1</v>
          </cell>
          <cell r="V515" t="str">
            <v>1.10 * 1.53</v>
          </cell>
        </row>
        <row r="516">
          <cell r="A516" t="str">
            <v>MAMA0011A</v>
          </cell>
          <cell r="B516" t="str">
            <v>Mall</v>
          </cell>
          <cell r="D516" t="str">
            <v>Paletas</v>
          </cell>
          <cell r="E516" t="str">
            <v>Paletas</v>
          </cell>
          <cell r="F516" t="str">
            <v>1.10 * 1.53</v>
          </cell>
          <cell r="G516" t="str">
            <v>1.15 * 1.57</v>
          </cell>
          <cell r="H516" t="str">
            <v>E</v>
          </cell>
          <cell r="I516" t="str">
            <v>ESTACIONAMIENTOS</v>
          </cell>
          <cell r="J516">
            <v>0</v>
          </cell>
          <cell r="K516">
            <v>0</v>
          </cell>
          <cell r="L516">
            <v>280000</v>
          </cell>
          <cell r="M516" t="str">
            <v>MALL ARAUCO MAIPU</v>
          </cell>
          <cell r="P516" t="str">
            <v>MAIPU</v>
          </cell>
          <cell r="Q516" t="str">
            <v>TRADICIONAL</v>
          </cell>
          <cell r="R516" t="str">
            <v>Mall - Santiago</v>
          </cell>
          <cell r="S516" t="str">
            <v>Parque Arauco</v>
          </cell>
          <cell r="T516" t="str">
            <v>Paletas</v>
          </cell>
          <cell r="U516">
            <v>1</v>
          </cell>
          <cell r="V516" t="str">
            <v>1.10 * 1.53</v>
          </cell>
        </row>
        <row r="517">
          <cell r="A517" t="str">
            <v>MAMA0011B</v>
          </cell>
          <cell r="B517" t="str">
            <v>Mall</v>
          </cell>
          <cell r="D517" t="str">
            <v>Paletas</v>
          </cell>
          <cell r="E517" t="str">
            <v>Paletas</v>
          </cell>
          <cell r="F517" t="str">
            <v>1.10 * 1.53</v>
          </cell>
          <cell r="G517" t="str">
            <v>1.15 * 1.57</v>
          </cell>
          <cell r="H517" t="str">
            <v>E</v>
          </cell>
          <cell r="I517" t="str">
            <v>ESTACIONAMIENTOS</v>
          </cell>
          <cell r="J517">
            <v>0</v>
          </cell>
          <cell r="K517">
            <v>0</v>
          </cell>
          <cell r="L517">
            <v>280000</v>
          </cell>
          <cell r="M517" t="str">
            <v>MALL ARAUCO MAIPU</v>
          </cell>
          <cell r="P517" t="str">
            <v>MAIPU</v>
          </cell>
          <cell r="Q517" t="str">
            <v>TRADICIONAL</v>
          </cell>
          <cell r="R517" t="str">
            <v>Mall - Santiago</v>
          </cell>
          <cell r="S517" t="str">
            <v>Parque Arauco</v>
          </cell>
          <cell r="T517" t="str">
            <v>Paletas</v>
          </cell>
          <cell r="U517">
            <v>1</v>
          </cell>
          <cell r="V517" t="str">
            <v>1.10 * 1.53</v>
          </cell>
        </row>
        <row r="518">
          <cell r="A518" t="str">
            <v>MAMA0012A</v>
          </cell>
          <cell r="B518" t="str">
            <v>Mall</v>
          </cell>
          <cell r="D518" t="str">
            <v>Paletas</v>
          </cell>
          <cell r="E518" t="str">
            <v>Paletas</v>
          </cell>
          <cell r="F518" t="str">
            <v>1.10 * 1.53</v>
          </cell>
          <cell r="G518" t="str">
            <v>1.15 * 1.57</v>
          </cell>
          <cell r="H518" t="str">
            <v>E</v>
          </cell>
          <cell r="I518" t="str">
            <v>ESTACIONAMIENTOS</v>
          </cell>
          <cell r="J518">
            <v>0</v>
          </cell>
          <cell r="K518">
            <v>0</v>
          </cell>
          <cell r="L518">
            <v>280000</v>
          </cell>
          <cell r="M518" t="str">
            <v>MALL ARAUCO MAIPU</v>
          </cell>
          <cell r="P518" t="str">
            <v>MAIPU</v>
          </cell>
          <cell r="Q518" t="str">
            <v>TRADICIONAL</v>
          </cell>
          <cell r="R518" t="str">
            <v>Mall - Santiago</v>
          </cell>
          <cell r="S518" t="str">
            <v>Parque Arauco</v>
          </cell>
          <cell r="T518" t="str">
            <v>Paletas</v>
          </cell>
          <cell r="U518">
            <v>1</v>
          </cell>
          <cell r="V518" t="str">
            <v>1.10 * 1.53</v>
          </cell>
        </row>
        <row r="519">
          <cell r="A519" t="str">
            <v>MAMA0012B</v>
          </cell>
          <cell r="B519" t="str">
            <v>Mall</v>
          </cell>
          <cell r="D519" t="str">
            <v>Paletas</v>
          </cell>
          <cell r="E519" t="str">
            <v>Paletas</v>
          </cell>
          <cell r="F519" t="str">
            <v>1.10 * 1.53</v>
          </cell>
          <cell r="G519" t="str">
            <v>1.15 * 1.57</v>
          </cell>
          <cell r="H519" t="str">
            <v>E</v>
          </cell>
          <cell r="I519" t="str">
            <v>ESTACIONAMIENTOS</v>
          </cell>
          <cell r="J519">
            <v>0</v>
          </cell>
          <cell r="K519">
            <v>0</v>
          </cell>
          <cell r="L519">
            <v>280000</v>
          </cell>
          <cell r="M519" t="str">
            <v>MALL ARAUCO MAIPU</v>
          </cell>
          <cell r="P519" t="str">
            <v>MAIPU</v>
          </cell>
          <cell r="Q519" t="str">
            <v>TRADICIONAL</v>
          </cell>
          <cell r="R519" t="str">
            <v>Mall - Santiago</v>
          </cell>
          <cell r="S519" t="str">
            <v>Parque Arauco</v>
          </cell>
          <cell r="T519" t="str">
            <v>Paletas</v>
          </cell>
          <cell r="U519">
            <v>1</v>
          </cell>
          <cell r="V519" t="str">
            <v>1.10 * 1.53</v>
          </cell>
        </row>
        <row r="520">
          <cell r="A520" t="str">
            <v>MAMA0013A</v>
          </cell>
          <cell r="B520" t="str">
            <v>Mall</v>
          </cell>
          <cell r="D520" t="str">
            <v>Paletas</v>
          </cell>
          <cell r="E520" t="str">
            <v>Paletas</v>
          </cell>
          <cell r="F520" t="str">
            <v>1.10 * 1.53</v>
          </cell>
          <cell r="G520" t="str">
            <v>1.15 * 1.57</v>
          </cell>
          <cell r="H520" t="str">
            <v>E</v>
          </cell>
          <cell r="I520" t="str">
            <v>ESTACIONAMIENTOS</v>
          </cell>
          <cell r="J520">
            <v>0</v>
          </cell>
          <cell r="K520">
            <v>0</v>
          </cell>
          <cell r="L520">
            <v>280000</v>
          </cell>
          <cell r="M520" t="str">
            <v>MALL ARAUCO MAIPU</v>
          </cell>
          <cell r="P520" t="str">
            <v>MAIPU</v>
          </cell>
          <cell r="Q520" t="str">
            <v>TRADICIONAL</v>
          </cell>
          <cell r="R520" t="str">
            <v>Mall - Santiago</v>
          </cell>
          <cell r="S520" t="str">
            <v>Parque Arauco</v>
          </cell>
          <cell r="T520" t="str">
            <v>Paletas</v>
          </cell>
          <cell r="U520">
            <v>1</v>
          </cell>
          <cell r="V520" t="str">
            <v>1.10 * 1.53</v>
          </cell>
        </row>
        <row r="521">
          <cell r="A521" t="str">
            <v>MAMA0013B</v>
          </cell>
          <cell r="B521" t="str">
            <v>Mall</v>
          </cell>
          <cell r="D521" t="str">
            <v>Paletas</v>
          </cell>
          <cell r="E521" t="str">
            <v>Paletas</v>
          </cell>
          <cell r="F521" t="str">
            <v>1.10 * 1.53</v>
          </cell>
          <cell r="G521" t="str">
            <v>1.15 * 1.57</v>
          </cell>
          <cell r="H521" t="str">
            <v>E</v>
          </cell>
          <cell r="I521" t="str">
            <v>ESTACIONAMIENTOS</v>
          </cell>
          <cell r="J521">
            <v>0</v>
          </cell>
          <cell r="K521">
            <v>0</v>
          </cell>
          <cell r="L521">
            <v>280000</v>
          </cell>
          <cell r="M521" t="str">
            <v>MALL ARAUCO MAIPU</v>
          </cell>
          <cell r="P521" t="str">
            <v>MAIPU</v>
          </cell>
          <cell r="Q521" t="str">
            <v>TRADICIONAL</v>
          </cell>
          <cell r="R521" t="str">
            <v>Mall - Santiago</v>
          </cell>
          <cell r="S521" t="str">
            <v>Parque Arauco</v>
          </cell>
          <cell r="T521" t="str">
            <v>Paletas</v>
          </cell>
          <cell r="U521">
            <v>1</v>
          </cell>
          <cell r="V521" t="str">
            <v>1.10 * 1.53</v>
          </cell>
        </row>
        <row r="522">
          <cell r="A522" t="str">
            <v>MAMA0014A</v>
          </cell>
          <cell r="B522" t="str">
            <v>Mall</v>
          </cell>
          <cell r="D522" t="str">
            <v>Paletas</v>
          </cell>
          <cell r="E522" t="str">
            <v>Paletas</v>
          </cell>
          <cell r="F522" t="str">
            <v>1.10 * 1.53</v>
          </cell>
          <cell r="G522" t="str">
            <v>1.15 * 1.57</v>
          </cell>
          <cell r="H522" t="str">
            <v>E</v>
          </cell>
          <cell r="I522" t="str">
            <v>ESTACIONAMIENTOS</v>
          </cell>
          <cell r="J522">
            <v>0</v>
          </cell>
          <cell r="K522">
            <v>0</v>
          </cell>
          <cell r="L522">
            <v>280000</v>
          </cell>
          <cell r="M522" t="str">
            <v>MALL ARAUCO MAIPU</v>
          </cell>
          <cell r="P522" t="str">
            <v>MAIPU</v>
          </cell>
          <cell r="Q522" t="str">
            <v>TRADICIONAL</v>
          </cell>
          <cell r="R522" t="str">
            <v>Mall - Santiago</v>
          </cell>
          <cell r="S522" t="str">
            <v>Parque Arauco</v>
          </cell>
          <cell r="T522" t="str">
            <v>Paletas</v>
          </cell>
          <cell r="U522">
            <v>1</v>
          </cell>
          <cell r="V522" t="str">
            <v>1.10 * 1.53</v>
          </cell>
        </row>
        <row r="523">
          <cell r="A523" t="str">
            <v>MAMA0014B</v>
          </cell>
          <cell r="B523" t="str">
            <v>Mall</v>
          </cell>
          <cell r="D523" t="str">
            <v>Paletas</v>
          </cell>
          <cell r="E523" t="str">
            <v>Paletas</v>
          </cell>
          <cell r="F523" t="str">
            <v>1.10 * 1.53</v>
          </cell>
          <cell r="G523" t="str">
            <v>1.15 * 1.57</v>
          </cell>
          <cell r="H523" t="str">
            <v>E</v>
          </cell>
          <cell r="I523" t="str">
            <v>ESTACIONAMIENTOS</v>
          </cell>
          <cell r="J523">
            <v>0</v>
          </cell>
          <cell r="K523">
            <v>0</v>
          </cell>
          <cell r="L523">
            <v>280000</v>
          </cell>
          <cell r="M523" t="str">
            <v>MALL ARAUCO MAIPU</v>
          </cell>
          <cell r="P523" t="str">
            <v>MAIPU</v>
          </cell>
          <cell r="Q523" t="str">
            <v>TRADICIONAL</v>
          </cell>
          <cell r="R523" t="str">
            <v>Mall - Santiago</v>
          </cell>
          <cell r="S523" t="str">
            <v>Parque Arauco</v>
          </cell>
          <cell r="T523" t="str">
            <v>Paletas</v>
          </cell>
          <cell r="U523">
            <v>1</v>
          </cell>
          <cell r="V523" t="str">
            <v>1.10 * 1.53</v>
          </cell>
        </row>
        <row r="524">
          <cell r="A524" t="str">
            <v>MAMA0015A</v>
          </cell>
          <cell r="B524" t="str">
            <v>Mall</v>
          </cell>
          <cell r="D524" t="str">
            <v>Paletas</v>
          </cell>
          <cell r="E524" t="str">
            <v>Paletas</v>
          </cell>
          <cell r="F524" t="str">
            <v>1.10 * 1.53</v>
          </cell>
          <cell r="G524" t="str">
            <v>1.15 * 1.57</v>
          </cell>
          <cell r="H524" t="str">
            <v>E</v>
          </cell>
          <cell r="I524" t="str">
            <v>ESTACIONAMIENTOS</v>
          </cell>
          <cell r="J524">
            <v>0</v>
          </cell>
          <cell r="K524">
            <v>0</v>
          </cell>
          <cell r="L524">
            <v>280000</v>
          </cell>
          <cell r="M524" t="str">
            <v>MALL ARAUCO MAIPU</v>
          </cell>
          <cell r="P524" t="str">
            <v>MAIPU</v>
          </cell>
          <cell r="Q524" t="str">
            <v>TRADICIONAL</v>
          </cell>
          <cell r="R524" t="str">
            <v>Mall - Santiago</v>
          </cell>
          <cell r="S524" t="str">
            <v>Parque Arauco</v>
          </cell>
          <cell r="T524" t="str">
            <v>Paletas</v>
          </cell>
          <cell r="U524">
            <v>1</v>
          </cell>
          <cell r="V524" t="str">
            <v>1.10 * 1.53</v>
          </cell>
        </row>
        <row r="525">
          <cell r="A525" t="str">
            <v>MAMA0015B</v>
          </cell>
          <cell r="B525" t="str">
            <v>Mall</v>
          </cell>
          <cell r="D525" t="str">
            <v>Paletas</v>
          </cell>
          <cell r="E525" t="str">
            <v>Paletas</v>
          </cell>
          <cell r="F525" t="str">
            <v>1.10 * 1.53</v>
          </cell>
          <cell r="G525" t="str">
            <v>1.15 * 1.57</v>
          </cell>
          <cell r="H525" t="str">
            <v>E</v>
          </cell>
          <cell r="I525" t="str">
            <v>ESTACIONAMIENTOS</v>
          </cell>
          <cell r="J525">
            <v>0</v>
          </cell>
          <cell r="K525">
            <v>0</v>
          </cell>
          <cell r="L525">
            <v>280000</v>
          </cell>
          <cell r="M525" t="str">
            <v>MALL ARAUCO MAIPU</v>
          </cell>
          <cell r="P525" t="str">
            <v>MAIPU</v>
          </cell>
          <cell r="Q525" t="str">
            <v>TRADICIONAL</v>
          </cell>
          <cell r="R525" t="str">
            <v>Mall - Santiago</v>
          </cell>
          <cell r="S525" t="str">
            <v>Parque Arauco</v>
          </cell>
          <cell r="T525" t="str">
            <v>Paletas</v>
          </cell>
          <cell r="U525">
            <v>1</v>
          </cell>
          <cell r="V525" t="str">
            <v>1.10 * 1.53</v>
          </cell>
        </row>
        <row r="526">
          <cell r="A526" t="str">
            <v>MAMA0016A</v>
          </cell>
          <cell r="B526" t="str">
            <v>Mall</v>
          </cell>
          <cell r="D526" t="str">
            <v>Paletas</v>
          </cell>
          <cell r="E526" t="str">
            <v>Paletas</v>
          </cell>
          <cell r="F526" t="str">
            <v>1.10 * 1.53</v>
          </cell>
          <cell r="G526" t="str">
            <v>1.15 * 1.57</v>
          </cell>
          <cell r="H526" t="str">
            <v>E</v>
          </cell>
          <cell r="I526" t="str">
            <v>ESTACIONAMIENTOS</v>
          </cell>
          <cell r="J526">
            <v>0</v>
          </cell>
          <cell r="K526">
            <v>0</v>
          </cell>
          <cell r="L526">
            <v>280000</v>
          </cell>
          <cell r="M526" t="str">
            <v>MALL ARAUCO MAIPU</v>
          </cell>
          <cell r="P526" t="str">
            <v>MAIPU</v>
          </cell>
          <cell r="Q526" t="str">
            <v>TRADICIONAL</v>
          </cell>
          <cell r="R526" t="str">
            <v>Mall - Santiago</v>
          </cell>
          <cell r="S526" t="str">
            <v>Parque Arauco</v>
          </cell>
          <cell r="T526" t="str">
            <v>Paletas</v>
          </cell>
          <cell r="U526">
            <v>1</v>
          </cell>
          <cell r="V526" t="str">
            <v>1.10 * 1.53</v>
          </cell>
        </row>
        <row r="527">
          <cell r="A527" t="str">
            <v>MAMA0016B</v>
          </cell>
          <cell r="B527" t="str">
            <v>Mall</v>
          </cell>
          <cell r="D527" t="str">
            <v>Paletas</v>
          </cell>
          <cell r="E527" t="str">
            <v>Paletas</v>
          </cell>
          <cell r="F527" t="str">
            <v>1.10 * 1.53</v>
          </cell>
          <cell r="G527" t="str">
            <v>1.15 * 1.57</v>
          </cell>
          <cell r="H527" t="str">
            <v>E</v>
          </cell>
          <cell r="I527" t="str">
            <v>ESTACIONAMIENTOS</v>
          </cell>
          <cell r="J527">
            <v>0</v>
          </cell>
          <cell r="K527">
            <v>0</v>
          </cell>
          <cell r="L527">
            <v>280000</v>
          </cell>
          <cell r="M527" t="str">
            <v>MALL ARAUCO MAIPU</v>
          </cell>
          <cell r="P527" t="str">
            <v>MAIPU</v>
          </cell>
          <cell r="Q527" t="str">
            <v>TRADICIONAL</v>
          </cell>
          <cell r="R527" t="str">
            <v>Mall - Santiago</v>
          </cell>
          <cell r="S527" t="str">
            <v>Parque Arauco</v>
          </cell>
          <cell r="T527" t="str">
            <v>Paletas</v>
          </cell>
          <cell r="U527">
            <v>1</v>
          </cell>
          <cell r="V527" t="str">
            <v>1.10 * 1.53</v>
          </cell>
        </row>
        <row r="528">
          <cell r="A528" t="str">
            <v>MAMA0017A</v>
          </cell>
          <cell r="B528" t="str">
            <v>Mall</v>
          </cell>
          <cell r="D528" t="str">
            <v>Paletas</v>
          </cell>
          <cell r="E528" t="str">
            <v>Paletas</v>
          </cell>
          <cell r="F528" t="str">
            <v>1.10 * 1.53</v>
          </cell>
          <cell r="G528" t="str">
            <v>1.15 * 1.57</v>
          </cell>
          <cell r="H528" t="str">
            <v>E</v>
          </cell>
          <cell r="I528" t="str">
            <v>ESTACIONAMIENTOS</v>
          </cell>
          <cell r="J528">
            <v>0</v>
          </cell>
          <cell r="K528">
            <v>0</v>
          </cell>
          <cell r="L528">
            <v>280000</v>
          </cell>
          <cell r="M528" t="str">
            <v>MALL ARAUCO MAIPU</v>
          </cell>
          <cell r="P528" t="str">
            <v>MAIPU</v>
          </cell>
          <cell r="Q528" t="str">
            <v>TRADICIONAL</v>
          </cell>
          <cell r="R528" t="str">
            <v>Mall - Santiago</v>
          </cell>
          <cell r="S528" t="str">
            <v>Parque Arauco</v>
          </cell>
          <cell r="T528" t="str">
            <v>Paletas</v>
          </cell>
          <cell r="U528">
            <v>1</v>
          </cell>
          <cell r="V528" t="str">
            <v>1.10 * 1.53</v>
          </cell>
        </row>
        <row r="529">
          <cell r="A529" t="str">
            <v>MAMA0017B</v>
          </cell>
          <cell r="B529" t="str">
            <v>Mall</v>
          </cell>
          <cell r="D529" t="str">
            <v>Paletas</v>
          </cell>
          <cell r="E529" t="str">
            <v>Paletas</v>
          </cell>
          <cell r="F529" t="str">
            <v>1.10 * 1.53</v>
          </cell>
          <cell r="G529" t="str">
            <v>1.15 * 1.57</v>
          </cell>
          <cell r="H529" t="str">
            <v>E</v>
          </cell>
          <cell r="I529" t="str">
            <v>ESTACIONAMIENTOS</v>
          </cell>
          <cell r="J529">
            <v>0</v>
          </cell>
          <cell r="K529">
            <v>0</v>
          </cell>
          <cell r="L529">
            <v>280000</v>
          </cell>
          <cell r="M529" t="str">
            <v>MALL ARAUCO MAIPU</v>
          </cell>
          <cell r="P529" t="str">
            <v>MAIPU</v>
          </cell>
          <cell r="Q529" t="str">
            <v>TRADICIONAL</v>
          </cell>
          <cell r="R529" t="str">
            <v>Mall - Santiago</v>
          </cell>
          <cell r="S529" t="str">
            <v>Parque Arauco</v>
          </cell>
          <cell r="T529" t="str">
            <v>Paletas</v>
          </cell>
          <cell r="U529">
            <v>1</v>
          </cell>
          <cell r="V529" t="str">
            <v>1.10 * 1.53</v>
          </cell>
        </row>
        <row r="530">
          <cell r="A530" t="str">
            <v>MAMA0018A</v>
          </cell>
          <cell r="B530" t="str">
            <v>Mall</v>
          </cell>
          <cell r="D530" t="str">
            <v>Unipoles</v>
          </cell>
          <cell r="E530" t="str">
            <v>CARA FIJA</v>
          </cell>
          <cell r="F530" t="str">
            <v>12.00 * 4.00</v>
          </cell>
          <cell r="G530" t="str">
            <v>12.30 * 4.30</v>
          </cell>
          <cell r="H530" t="str">
            <v>E</v>
          </cell>
          <cell r="I530" t="str">
            <v>ESTACIONAMIENTOS</v>
          </cell>
          <cell r="J530">
            <v>0</v>
          </cell>
          <cell r="K530">
            <v>0</v>
          </cell>
          <cell r="L530">
            <v>820000</v>
          </cell>
          <cell r="M530" t="str">
            <v>MALL ARAUCO MAIPU</v>
          </cell>
          <cell r="P530" t="str">
            <v>MAIPU</v>
          </cell>
          <cell r="Q530" t="str">
            <v>TRADICIONAL</v>
          </cell>
          <cell r="R530" t="str">
            <v>Mall - Santiago</v>
          </cell>
          <cell r="S530" t="str">
            <v>Parque Arauco</v>
          </cell>
          <cell r="T530" t="str">
            <v>Unipoles</v>
          </cell>
          <cell r="U530">
            <v>1</v>
          </cell>
          <cell r="V530" t="str">
            <v>12.00 * 4.00</v>
          </cell>
        </row>
        <row r="531">
          <cell r="A531" t="str">
            <v>MAMA0018B</v>
          </cell>
          <cell r="B531" t="str">
            <v>Mall</v>
          </cell>
          <cell r="D531" t="str">
            <v>Unipoles</v>
          </cell>
          <cell r="E531" t="str">
            <v>CARA FIJA</v>
          </cell>
          <cell r="F531" t="str">
            <v>12.00 * 4.00</v>
          </cell>
          <cell r="G531" t="str">
            <v>12.30 * 4.30</v>
          </cell>
          <cell r="H531" t="str">
            <v>E</v>
          </cell>
          <cell r="I531" t="str">
            <v>ESTACIONAMIENTOS</v>
          </cell>
          <cell r="J531">
            <v>0</v>
          </cell>
          <cell r="K531">
            <v>0</v>
          </cell>
          <cell r="L531">
            <v>820000</v>
          </cell>
          <cell r="M531" t="str">
            <v>MALL ARAUCO MAIPU</v>
          </cell>
          <cell r="P531" t="str">
            <v>MAIPU</v>
          </cell>
          <cell r="Q531" t="str">
            <v>TRADICIONAL</v>
          </cell>
          <cell r="R531" t="str">
            <v>Mall - Santiago</v>
          </cell>
          <cell r="S531" t="str">
            <v>Parque Arauco</v>
          </cell>
          <cell r="T531" t="str">
            <v>Unipoles</v>
          </cell>
          <cell r="U531">
            <v>1</v>
          </cell>
          <cell r="V531" t="str">
            <v>12.00 * 4.00</v>
          </cell>
        </row>
        <row r="532">
          <cell r="A532" t="str">
            <v>MAMA0019A</v>
          </cell>
          <cell r="B532" t="str">
            <v>Mall</v>
          </cell>
          <cell r="D532" t="str">
            <v>P.E.: PENDONES LUMINARIAS</v>
          </cell>
          <cell r="E532" t="str">
            <v>PENDONES LUMINARIAS</v>
          </cell>
          <cell r="F532" t="str">
            <v>Ver Ficha</v>
          </cell>
          <cell r="G532" t="str">
            <v>Ver Ficha</v>
          </cell>
          <cell r="H532" t="str">
            <v>E</v>
          </cell>
          <cell r="I532" t="str">
            <v>ESTACIONAMIENTOS</v>
          </cell>
          <cell r="J532">
            <v>448000</v>
          </cell>
          <cell r="K532">
            <v>0</v>
          </cell>
          <cell r="L532">
            <v>3050000</v>
          </cell>
          <cell r="M532" t="str">
            <v>MALL ARAUCO MAIPU</v>
          </cell>
          <cell r="P532" t="str">
            <v>MAIPU</v>
          </cell>
          <cell r="Q532" t="str">
            <v>ESPECIAL</v>
          </cell>
          <cell r="R532" t="str">
            <v>Mall - Santiago</v>
          </cell>
          <cell r="S532" t="str">
            <v>Parque Arauco</v>
          </cell>
          <cell r="T532" t="str">
            <v>Productos Especiales</v>
          </cell>
          <cell r="U532">
            <v>1</v>
          </cell>
          <cell r="V532" t="str">
            <v>NA</v>
          </cell>
        </row>
        <row r="533">
          <cell r="A533" t="str">
            <v>MAPA0001A</v>
          </cell>
          <cell r="B533" t="str">
            <v>Mall</v>
          </cell>
          <cell r="D533" t="str">
            <v>Paletas</v>
          </cell>
          <cell r="E533" t="str">
            <v>INTERIOR</v>
          </cell>
          <cell r="F533" t="str">
            <v>1.10 * 1.53</v>
          </cell>
          <cell r="G533" t="str">
            <v>1.15 * 1.57</v>
          </cell>
          <cell r="H533" t="str">
            <v>Y</v>
          </cell>
          <cell r="I533" t="str">
            <v>INTERIOR PASILLO</v>
          </cell>
          <cell r="J533">
            <v>0</v>
          </cell>
          <cell r="K533">
            <v>0</v>
          </cell>
          <cell r="L533">
            <v>340000</v>
          </cell>
          <cell r="M533" t="str">
            <v>MALL PANORAMICO</v>
          </cell>
          <cell r="P533" t="str">
            <v>PROVIDENCIA</v>
          </cell>
          <cell r="Q533" t="str">
            <v>TRADICIONAL</v>
          </cell>
          <cell r="R533" t="str">
            <v>Mall - Santiago</v>
          </cell>
          <cell r="S533" t="str">
            <v>Grupo Calderon</v>
          </cell>
          <cell r="T533" t="str">
            <v>Paletas</v>
          </cell>
          <cell r="U533">
            <v>1</v>
          </cell>
          <cell r="V533" t="str">
            <v>1.10 * 1.53</v>
          </cell>
        </row>
        <row r="534">
          <cell r="A534" t="str">
            <v>MAPA0002A</v>
          </cell>
          <cell r="B534" t="str">
            <v>Mall</v>
          </cell>
          <cell r="D534" t="str">
            <v>Paletas</v>
          </cell>
          <cell r="E534" t="str">
            <v>INTERIOR</v>
          </cell>
          <cell r="F534" t="str">
            <v>1.10 * 1.53</v>
          </cell>
          <cell r="G534" t="str">
            <v>1.15 * 1.57</v>
          </cell>
          <cell r="H534" t="str">
            <v>Y</v>
          </cell>
          <cell r="I534" t="str">
            <v>INTERIOR PASILLO</v>
          </cell>
          <cell r="J534">
            <v>0</v>
          </cell>
          <cell r="K534">
            <v>0</v>
          </cell>
          <cell r="L534">
            <v>340000</v>
          </cell>
          <cell r="M534" t="str">
            <v>MALL PANORAMICO</v>
          </cell>
          <cell r="P534" t="str">
            <v>PROVIDENCIA</v>
          </cell>
          <cell r="Q534" t="str">
            <v>TRADICIONAL</v>
          </cell>
          <cell r="R534" t="str">
            <v>Mall - Santiago</v>
          </cell>
          <cell r="S534" t="str">
            <v>Grupo Calderon</v>
          </cell>
          <cell r="T534" t="str">
            <v>Paletas</v>
          </cell>
          <cell r="U534">
            <v>1</v>
          </cell>
          <cell r="V534" t="str">
            <v>1.10 * 1.53</v>
          </cell>
        </row>
        <row r="535">
          <cell r="A535" t="str">
            <v>MAPA0003A</v>
          </cell>
          <cell r="B535" t="str">
            <v>Mall</v>
          </cell>
          <cell r="D535" t="str">
            <v>Paletas</v>
          </cell>
          <cell r="E535" t="str">
            <v>INTERIOR</v>
          </cell>
          <cell r="F535" t="str">
            <v>1.10 * 1.53</v>
          </cell>
          <cell r="G535" t="str">
            <v>1.15 * 1.57</v>
          </cell>
          <cell r="H535" t="str">
            <v>Y</v>
          </cell>
          <cell r="I535" t="str">
            <v>INTERIOR PASILLO</v>
          </cell>
          <cell r="J535">
            <v>0</v>
          </cell>
          <cell r="K535">
            <v>0</v>
          </cell>
          <cell r="L535">
            <v>340000</v>
          </cell>
          <cell r="M535" t="str">
            <v>MALL PANORAMICO</v>
          </cell>
          <cell r="P535" t="str">
            <v>PROVIDENCIA</v>
          </cell>
          <cell r="Q535" t="str">
            <v>TRADICIONAL</v>
          </cell>
          <cell r="R535" t="str">
            <v>Mall - Santiago</v>
          </cell>
          <cell r="S535" t="str">
            <v>Grupo Calderon</v>
          </cell>
          <cell r="T535" t="str">
            <v>Paletas</v>
          </cell>
          <cell r="U535">
            <v>1</v>
          </cell>
          <cell r="V535" t="str">
            <v>1.10 * 1.53</v>
          </cell>
        </row>
        <row r="536">
          <cell r="A536" t="str">
            <v>MAPA0004A</v>
          </cell>
          <cell r="B536" t="str">
            <v>Mall</v>
          </cell>
          <cell r="D536" t="str">
            <v>Paletas</v>
          </cell>
          <cell r="E536" t="str">
            <v>INTERIOR</v>
          </cell>
          <cell r="F536" t="str">
            <v>1.10 * 1.53</v>
          </cell>
          <cell r="G536" t="str">
            <v>1.15 * 1.57</v>
          </cell>
          <cell r="H536" t="str">
            <v>Y</v>
          </cell>
          <cell r="I536" t="str">
            <v>INTERIOR PASILLO</v>
          </cell>
          <cell r="J536">
            <v>0</v>
          </cell>
          <cell r="K536">
            <v>0</v>
          </cell>
          <cell r="L536">
            <v>340000</v>
          </cell>
          <cell r="M536" t="str">
            <v>MALL PANORAMICO</v>
          </cell>
          <cell r="P536" t="str">
            <v>PROVIDENCIA</v>
          </cell>
          <cell r="Q536" t="str">
            <v>TRADICIONAL</v>
          </cell>
          <cell r="R536" t="str">
            <v>Mall - Santiago</v>
          </cell>
          <cell r="S536" t="str">
            <v>Grupo Calderon</v>
          </cell>
          <cell r="T536" t="str">
            <v>Paletas</v>
          </cell>
          <cell r="U536">
            <v>1</v>
          </cell>
          <cell r="V536" t="str">
            <v>1.10 * 1.53</v>
          </cell>
        </row>
        <row r="537">
          <cell r="A537" t="str">
            <v>MAPA0005A</v>
          </cell>
          <cell r="B537" t="str">
            <v>Mall</v>
          </cell>
          <cell r="D537" t="str">
            <v>Paletas</v>
          </cell>
          <cell r="E537" t="str">
            <v>MURO</v>
          </cell>
          <cell r="F537" t="str">
            <v>1.10 * 1.53</v>
          </cell>
          <cell r="G537" t="str">
            <v>1.15 * 1.57</v>
          </cell>
          <cell r="H537" t="str">
            <v>X</v>
          </cell>
          <cell r="I537" t="str">
            <v>EXTERIORES</v>
          </cell>
          <cell r="J537">
            <v>0</v>
          </cell>
          <cell r="K537">
            <v>0</v>
          </cell>
          <cell r="L537">
            <v>340000</v>
          </cell>
          <cell r="M537" t="str">
            <v>MALL PANORAMICO</v>
          </cell>
          <cell r="P537" t="str">
            <v>PROVIDENCIA</v>
          </cell>
          <cell r="Q537" t="str">
            <v>TRADICIONAL</v>
          </cell>
          <cell r="R537" t="str">
            <v>Mall - Santiago</v>
          </cell>
          <cell r="S537" t="str">
            <v>Grupo Calderon</v>
          </cell>
          <cell r="T537" t="str">
            <v>Paletas</v>
          </cell>
          <cell r="U537">
            <v>1</v>
          </cell>
          <cell r="V537" t="str">
            <v>1.10 * 1.53</v>
          </cell>
        </row>
        <row r="538">
          <cell r="A538" t="str">
            <v>MAPA0006A</v>
          </cell>
          <cell r="B538" t="str">
            <v>Mall</v>
          </cell>
          <cell r="D538" t="str">
            <v>Paletas</v>
          </cell>
          <cell r="E538" t="str">
            <v>MURO</v>
          </cell>
          <cell r="F538" t="str">
            <v>1.10 * 1.53</v>
          </cell>
          <cell r="G538" t="str">
            <v>1.15 * 1.57</v>
          </cell>
          <cell r="H538" t="str">
            <v>X</v>
          </cell>
          <cell r="I538" t="str">
            <v>EXTERIORES</v>
          </cell>
          <cell r="J538">
            <v>0</v>
          </cell>
          <cell r="K538">
            <v>0</v>
          </cell>
          <cell r="L538">
            <v>340000</v>
          </cell>
          <cell r="M538" t="str">
            <v>MALL PANORAMICO</v>
          </cell>
          <cell r="P538" t="str">
            <v>PROVIDENCIA</v>
          </cell>
          <cell r="Q538" t="str">
            <v>TRADICIONAL</v>
          </cell>
          <cell r="R538" t="str">
            <v>Mall - Santiago</v>
          </cell>
          <cell r="S538" t="str">
            <v>Grupo Calderon</v>
          </cell>
          <cell r="T538" t="str">
            <v>Paletas</v>
          </cell>
          <cell r="U538">
            <v>1</v>
          </cell>
          <cell r="V538" t="str">
            <v>1.10 * 1.53</v>
          </cell>
        </row>
        <row r="539">
          <cell r="A539" t="str">
            <v>MAPA0007A</v>
          </cell>
          <cell r="B539" t="str">
            <v>Mall</v>
          </cell>
          <cell r="D539" t="str">
            <v>Paletas</v>
          </cell>
          <cell r="E539" t="str">
            <v>MURO</v>
          </cell>
          <cell r="F539" t="str">
            <v>1.10 * 1.53</v>
          </cell>
          <cell r="G539" t="str">
            <v>1.15 * 1.57</v>
          </cell>
          <cell r="H539" t="str">
            <v>X</v>
          </cell>
          <cell r="I539" t="str">
            <v>EXTERIORES</v>
          </cell>
          <cell r="J539">
            <v>0</v>
          </cell>
          <cell r="K539">
            <v>0</v>
          </cell>
          <cell r="L539">
            <v>340000</v>
          </cell>
          <cell r="M539" t="str">
            <v>MALL PANORAMICO</v>
          </cell>
          <cell r="P539" t="str">
            <v>PROVIDENCIA</v>
          </cell>
          <cell r="Q539" t="str">
            <v>TRADICIONAL</v>
          </cell>
          <cell r="R539" t="str">
            <v>Mall - Santiago</v>
          </cell>
          <cell r="S539" t="str">
            <v>Grupo Calderon</v>
          </cell>
          <cell r="T539" t="str">
            <v>Paletas</v>
          </cell>
          <cell r="U539">
            <v>1</v>
          </cell>
          <cell r="V539" t="str">
            <v>1.10 * 1.53</v>
          </cell>
        </row>
        <row r="540">
          <cell r="A540" t="str">
            <v>MAPA0008A</v>
          </cell>
          <cell r="B540" t="str">
            <v>Mall</v>
          </cell>
          <cell r="D540" t="str">
            <v>Paletas</v>
          </cell>
          <cell r="E540" t="str">
            <v>MURO</v>
          </cell>
          <cell r="F540" t="str">
            <v>1.10 * 1.53</v>
          </cell>
          <cell r="G540" t="str">
            <v>1.15 * 1.57</v>
          </cell>
          <cell r="H540" t="str">
            <v>X</v>
          </cell>
          <cell r="I540" t="str">
            <v>EXTERIORES</v>
          </cell>
          <cell r="J540">
            <v>0</v>
          </cell>
          <cell r="K540">
            <v>0</v>
          </cell>
          <cell r="L540">
            <v>340000</v>
          </cell>
          <cell r="M540" t="str">
            <v>MALL PANORAMICO</v>
          </cell>
          <cell r="P540" t="str">
            <v>PROVIDENCIA</v>
          </cell>
          <cell r="Q540" t="str">
            <v>TRADICIONAL</v>
          </cell>
          <cell r="R540" t="str">
            <v>Mall - Santiago</v>
          </cell>
          <cell r="S540" t="str">
            <v>Grupo Calderon</v>
          </cell>
          <cell r="T540" t="str">
            <v>Paletas</v>
          </cell>
          <cell r="U540">
            <v>1</v>
          </cell>
          <cell r="V540" t="str">
            <v>1.10 * 1.53</v>
          </cell>
        </row>
        <row r="541">
          <cell r="A541" t="str">
            <v>MAPA0009A</v>
          </cell>
          <cell r="B541" t="str">
            <v>Mall</v>
          </cell>
          <cell r="D541" t="str">
            <v>Paletas</v>
          </cell>
          <cell r="E541" t="str">
            <v>MURO</v>
          </cell>
          <cell r="F541" t="str">
            <v>1.10 * 1.53</v>
          </cell>
          <cell r="G541" t="str">
            <v>1.15 * 1.57</v>
          </cell>
          <cell r="H541" t="str">
            <v>X</v>
          </cell>
          <cell r="I541" t="str">
            <v>EXTERIORES</v>
          </cell>
          <cell r="J541">
            <v>0</v>
          </cell>
          <cell r="K541">
            <v>0</v>
          </cell>
          <cell r="L541">
            <v>340000</v>
          </cell>
          <cell r="M541" t="str">
            <v>MALL PANORAMICO</v>
          </cell>
          <cell r="P541" t="str">
            <v>PROVIDENCIA</v>
          </cell>
          <cell r="Q541" t="str">
            <v>TRADICIONAL</v>
          </cell>
          <cell r="R541" t="str">
            <v>Mall - Santiago</v>
          </cell>
          <cell r="S541" t="str">
            <v>Grupo Calderon</v>
          </cell>
          <cell r="T541" t="str">
            <v>Paletas</v>
          </cell>
          <cell r="U541">
            <v>1</v>
          </cell>
          <cell r="V541" t="str">
            <v>1.10 * 1.53</v>
          </cell>
        </row>
        <row r="542">
          <cell r="A542" t="str">
            <v>MAPA0011A</v>
          </cell>
          <cell r="B542" t="str">
            <v>Mall</v>
          </cell>
          <cell r="D542" t="str">
            <v>Cajas de luz</v>
          </cell>
          <cell r="E542" t="str">
            <v>Cajas de luz</v>
          </cell>
          <cell r="F542" t="str">
            <v>4.00 * 2.00</v>
          </cell>
          <cell r="G542" t="str">
            <v>4.20 * 2.20</v>
          </cell>
          <cell r="H542" t="str">
            <v>X</v>
          </cell>
          <cell r="I542" t="str">
            <v>EXTERIORES</v>
          </cell>
          <cell r="J542">
            <v>0</v>
          </cell>
          <cell r="K542">
            <v>0</v>
          </cell>
          <cell r="L542">
            <v>550000</v>
          </cell>
          <cell r="M542" t="str">
            <v>MALL PANORAMICO</v>
          </cell>
          <cell r="P542" t="str">
            <v>PROVIDENCIA</v>
          </cell>
          <cell r="Q542" t="str">
            <v>TRADICIONAL</v>
          </cell>
          <cell r="R542" t="str">
            <v>Mall - Santiago</v>
          </cell>
          <cell r="S542" t="str">
            <v>Grupo Calderon</v>
          </cell>
          <cell r="T542" t="str">
            <v>Cajas de luz</v>
          </cell>
          <cell r="U542">
            <v>1</v>
          </cell>
          <cell r="V542" t="str">
            <v>4.00 * 2.00</v>
          </cell>
        </row>
        <row r="543">
          <cell r="A543" t="str">
            <v>MAPA0012A</v>
          </cell>
          <cell r="B543" t="str">
            <v>Mall</v>
          </cell>
          <cell r="D543" t="str">
            <v>P.E.: MAMPARA</v>
          </cell>
          <cell r="E543" t="str">
            <v>MAMPARA</v>
          </cell>
          <cell r="F543" t="str">
            <v>VER FICHA</v>
          </cell>
          <cell r="G543" t="str">
            <v>VER FICHA</v>
          </cell>
          <cell r="H543" t="str">
            <v>I</v>
          </cell>
          <cell r="I543" t="str">
            <v>INTERIOR MALL</v>
          </cell>
          <cell r="J543">
            <v>146000</v>
          </cell>
          <cell r="L543">
            <v>3200000</v>
          </cell>
          <cell r="M543" t="str">
            <v>MALL PANORAMICO</v>
          </cell>
          <cell r="P543" t="str">
            <v>PROVIDENCIA</v>
          </cell>
          <cell r="Q543" t="str">
            <v>ESPECIAL</v>
          </cell>
          <cell r="R543" t="str">
            <v>Mall - Santiago</v>
          </cell>
          <cell r="S543" t="str">
            <v>Grupo Calderon</v>
          </cell>
          <cell r="T543" t="str">
            <v>Productos Especiales</v>
          </cell>
          <cell r="U543">
            <v>1</v>
          </cell>
          <cell r="V543" t="str">
            <v>NA</v>
          </cell>
        </row>
        <row r="544">
          <cell r="A544" t="str">
            <v>MAPA0013A</v>
          </cell>
          <cell r="B544" t="str">
            <v>Mall</v>
          </cell>
          <cell r="D544" t="str">
            <v>P.E.: ESPEJOS PASILLOS</v>
          </cell>
          <cell r="E544" t="str">
            <v>ESPEJOS PASILLOS</v>
          </cell>
          <cell r="F544" t="str">
            <v>VER FICHA</v>
          </cell>
          <cell r="G544" t="str">
            <v>VER FICHA</v>
          </cell>
          <cell r="H544" t="str">
            <v>I</v>
          </cell>
          <cell r="I544" t="str">
            <v>INTERIOR MALL</v>
          </cell>
          <cell r="J544">
            <v>126000</v>
          </cell>
          <cell r="L544">
            <v>3000000</v>
          </cell>
          <cell r="M544" t="str">
            <v>MALL PANORAMICO</v>
          </cell>
          <cell r="P544" t="str">
            <v>PROVIDENCIA</v>
          </cell>
          <cell r="Q544" t="str">
            <v>ESPECIAL</v>
          </cell>
          <cell r="R544" t="str">
            <v>Mall - Santiago</v>
          </cell>
          <cell r="S544" t="str">
            <v>Grupo Calderon</v>
          </cell>
          <cell r="T544" t="str">
            <v>Productos Especiales</v>
          </cell>
          <cell r="U544">
            <v>1</v>
          </cell>
          <cell r="V544" t="str">
            <v>NA</v>
          </cell>
        </row>
        <row r="545">
          <cell r="A545" t="str">
            <v>MAPA0014A</v>
          </cell>
          <cell r="B545" t="str">
            <v>Mall</v>
          </cell>
          <cell r="D545" t="str">
            <v>P.E.: ESPEJOS BAÑOS HOMBRES</v>
          </cell>
          <cell r="E545" t="str">
            <v>ESPEJOS BAÑOS HOMBRES</v>
          </cell>
          <cell r="F545" t="str">
            <v>VER FICHA</v>
          </cell>
          <cell r="G545" t="str">
            <v>VER FICHA</v>
          </cell>
          <cell r="H545" t="str">
            <v>I</v>
          </cell>
          <cell r="I545" t="str">
            <v>BAÑOS MALL</v>
          </cell>
          <cell r="J545">
            <v>5000</v>
          </cell>
          <cell r="L545">
            <v>1500000</v>
          </cell>
          <cell r="M545" t="str">
            <v>MALL PANORAMICO</v>
          </cell>
          <cell r="P545" t="str">
            <v>PROVIDENCIA</v>
          </cell>
          <cell r="Q545" t="str">
            <v>ESPECIAL</v>
          </cell>
          <cell r="R545" t="str">
            <v>Mall - Santiago</v>
          </cell>
          <cell r="S545" t="str">
            <v>Grupo Calderon</v>
          </cell>
          <cell r="T545" t="str">
            <v>Productos Especiales</v>
          </cell>
          <cell r="U545">
            <v>1</v>
          </cell>
          <cell r="V545" t="str">
            <v>NA</v>
          </cell>
        </row>
        <row r="546">
          <cell r="A546" t="str">
            <v>MAPA0014B</v>
          </cell>
          <cell r="B546" t="str">
            <v>Mall</v>
          </cell>
          <cell r="D546" t="str">
            <v>P.E.: ESPEJOS BAÑOS MUJERES</v>
          </cell>
          <cell r="E546" t="str">
            <v>ESPEJOS BAÑOS MUJERES</v>
          </cell>
          <cell r="F546" t="str">
            <v>VER FICHA</v>
          </cell>
          <cell r="G546" t="str">
            <v>VER FICHA</v>
          </cell>
          <cell r="H546" t="str">
            <v>I</v>
          </cell>
          <cell r="I546" t="str">
            <v>BAÑOS MALL</v>
          </cell>
          <cell r="J546">
            <v>10000</v>
          </cell>
          <cell r="L546">
            <v>1500000</v>
          </cell>
          <cell r="M546" t="str">
            <v>MALL PANORAMICO</v>
          </cell>
          <cell r="P546" t="str">
            <v>PROVIDENCIA</v>
          </cell>
          <cell r="Q546" t="str">
            <v>ESPECIAL</v>
          </cell>
          <cell r="R546" t="str">
            <v>Mall - Santiago</v>
          </cell>
          <cell r="S546" t="str">
            <v>Grupo Calderon</v>
          </cell>
          <cell r="T546" t="str">
            <v>Productos Especiales</v>
          </cell>
          <cell r="U546">
            <v>1</v>
          </cell>
          <cell r="V546" t="str">
            <v>NA</v>
          </cell>
        </row>
        <row r="547">
          <cell r="A547" t="str">
            <v>MAPA0015A</v>
          </cell>
          <cell r="B547" t="str">
            <v>Mall</v>
          </cell>
          <cell r="D547" t="str">
            <v>P.E.: PUERTAS BAÑOS HOMBRE</v>
          </cell>
          <cell r="E547" t="str">
            <v>PUERTAS BAÑOS HOMBRE</v>
          </cell>
          <cell r="F547" t="str">
            <v>VER FICHA</v>
          </cell>
          <cell r="G547" t="str">
            <v>VER FICHA</v>
          </cell>
          <cell r="H547" t="str">
            <v>I</v>
          </cell>
          <cell r="I547" t="str">
            <v>BAÑOS MALL</v>
          </cell>
          <cell r="J547">
            <v>20000</v>
          </cell>
          <cell r="L547">
            <v>1500000</v>
          </cell>
          <cell r="M547" t="str">
            <v>MALL PANORAMICO</v>
          </cell>
          <cell r="P547" t="str">
            <v>PROVIDENCIA</v>
          </cell>
          <cell r="Q547" t="str">
            <v>ESPECIAL</v>
          </cell>
          <cell r="R547" t="str">
            <v>Mall - Santiago</v>
          </cell>
          <cell r="S547" t="str">
            <v>Grupo Calderon</v>
          </cell>
          <cell r="T547" t="str">
            <v>Productos Especiales</v>
          </cell>
          <cell r="U547">
            <v>1</v>
          </cell>
          <cell r="V547" t="str">
            <v>NA</v>
          </cell>
        </row>
        <row r="548">
          <cell r="A548" t="str">
            <v>MAPA0015B</v>
          </cell>
          <cell r="B548" t="str">
            <v>Mall</v>
          </cell>
          <cell r="D548" t="str">
            <v>P.E.: PUERTAS BAÑOS MUJERES</v>
          </cell>
          <cell r="E548" t="str">
            <v>PUERTAS BAÑOS MUJERES</v>
          </cell>
          <cell r="F548" t="str">
            <v>VER FICHA</v>
          </cell>
          <cell r="G548" t="str">
            <v>VER FICHA</v>
          </cell>
          <cell r="H548" t="str">
            <v>I</v>
          </cell>
          <cell r="I548" t="str">
            <v>BAÑOS MALL</v>
          </cell>
          <cell r="J548">
            <v>26000</v>
          </cell>
          <cell r="L548">
            <v>1500000</v>
          </cell>
          <cell r="M548" t="str">
            <v>MALL PANORAMICO</v>
          </cell>
          <cell r="P548" t="str">
            <v>PROVIDENCIA</v>
          </cell>
          <cell r="Q548" t="str">
            <v>ESPECIAL</v>
          </cell>
          <cell r="R548" t="str">
            <v>Mall - Santiago</v>
          </cell>
          <cell r="S548" t="str">
            <v>Grupo Calderon</v>
          </cell>
          <cell r="T548" t="str">
            <v>Productos Especiales</v>
          </cell>
          <cell r="U548">
            <v>1</v>
          </cell>
          <cell r="V548" t="str">
            <v>NA</v>
          </cell>
        </row>
        <row r="549">
          <cell r="A549" t="str">
            <v>MAPA0016A</v>
          </cell>
          <cell r="B549" t="str">
            <v>Mall</v>
          </cell>
          <cell r="D549" t="str">
            <v>P.E.: ADHESIVOS ESCALERAS</v>
          </cell>
          <cell r="E549" t="str">
            <v>ADHESIVOS ESCALERAS</v>
          </cell>
          <cell r="F549" t="str">
            <v>VER FICHA</v>
          </cell>
          <cell r="G549" t="str">
            <v>VER FICHA</v>
          </cell>
          <cell r="H549" t="str">
            <v>I</v>
          </cell>
          <cell r="I549" t="str">
            <v>INTERIOR MALL</v>
          </cell>
          <cell r="J549">
            <v>44000</v>
          </cell>
          <cell r="L549">
            <v>2500000</v>
          </cell>
          <cell r="M549" t="str">
            <v>MALL PANORAMICO</v>
          </cell>
          <cell r="P549" t="str">
            <v>PROVIDENCIA</v>
          </cell>
          <cell r="Q549" t="str">
            <v>ESPECIAL</v>
          </cell>
          <cell r="R549" t="str">
            <v>Mall - Santiago</v>
          </cell>
          <cell r="S549" t="str">
            <v>Grupo Calderon</v>
          </cell>
          <cell r="T549" t="str">
            <v>Productos Especiales</v>
          </cell>
          <cell r="U549">
            <v>1</v>
          </cell>
          <cell r="V549" t="str">
            <v>NA</v>
          </cell>
        </row>
        <row r="550">
          <cell r="A550" t="str">
            <v>MAPN0003AB</v>
          </cell>
          <cell r="B550" t="str">
            <v>Mall</v>
          </cell>
          <cell r="C550" t="str">
            <v>Mall Plaza</v>
          </cell>
          <cell r="D550" t="str">
            <v>Paletas</v>
          </cell>
          <cell r="E550" t="str">
            <v>PALETA SUPER SCREEN</v>
          </cell>
          <cell r="F550" t="str">
            <v>1.20 * 1.70</v>
          </cell>
          <cell r="G550" t="str">
            <v>1.23 * 1.75</v>
          </cell>
          <cell r="H550" t="str">
            <v>E</v>
          </cell>
          <cell r="I550" t="str">
            <v>ESTACIONAMIENTOS</v>
          </cell>
          <cell r="J550">
            <v>0</v>
          </cell>
          <cell r="K550">
            <v>0</v>
          </cell>
          <cell r="L550">
            <v>450000</v>
          </cell>
          <cell r="M550" t="str">
            <v>MALL PLAZA NORTE</v>
          </cell>
          <cell r="P550" t="str">
            <v>HUECHURABA</v>
          </cell>
          <cell r="Q550" t="str">
            <v>TRADICIONAL</v>
          </cell>
          <cell r="R550" t="str">
            <v>Mall - Santiago</v>
          </cell>
          <cell r="S550" t="str">
            <v>Mall Plaza</v>
          </cell>
          <cell r="T550" t="str">
            <v>Paletas</v>
          </cell>
          <cell r="U550">
            <v>2</v>
          </cell>
          <cell r="V550" t="str">
            <v>1.20 * 1.70</v>
          </cell>
        </row>
        <row r="551">
          <cell r="A551" t="str">
            <v>MAPN0004AB</v>
          </cell>
          <cell r="B551" t="str">
            <v>Mall</v>
          </cell>
          <cell r="C551" t="str">
            <v>Mall Plaza</v>
          </cell>
          <cell r="D551" t="str">
            <v>Paletas</v>
          </cell>
          <cell r="E551" t="str">
            <v>PALETA SUPER SCREEN</v>
          </cell>
          <cell r="F551" t="str">
            <v>1.20 * 1.70</v>
          </cell>
          <cell r="G551" t="str">
            <v>1.23 * 1.75</v>
          </cell>
          <cell r="H551" t="str">
            <v>E</v>
          </cell>
          <cell r="I551" t="str">
            <v>ESTACIONAMIENTOS</v>
          </cell>
          <cell r="J551">
            <v>0</v>
          </cell>
          <cell r="K551">
            <v>0</v>
          </cell>
          <cell r="L551">
            <v>450000</v>
          </cell>
          <cell r="M551" t="str">
            <v>MALL PLAZA NORTE</v>
          </cell>
          <cell r="P551" t="str">
            <v>HUECHURABA</v>
          </cell>
          <cell r="Q551" t="str">
            <v>TRADICIONAL</v>
          </cell>
          <cell r="R551" t="str">
            <v>Mall - Santiago</v>
          </cell>
          <cell r="S551" t="str">
            <v>Mall Plaza</v>
          </cell>
          <cell r="T551" t="str">
            <v>Paletas</v>
          </cell>
          <cell r="U551">
            <v>2</v>
          </cell>
          <cell r="V551" t="str">
            <v>1.20 * 1.70</v>
          </cell>
        </row>
        <row r="552">
          <cell r="A552" t="str">
            <v>MAPN0005A</v>
          </cell>
          <cell r="B552" t="str">
            <v>Mall</v>
          </cell>
          <cell r="C552" t="str">
            <v>Mall Plaza</v>
          </cell>
          <cell r="D552" t="str">
            <v>Cajas de luz</v>
          </cell>
          <cell r="E552" t="str">
            <v>Cajas de luz</v>
          </cell>
          <cell r="F552" t="str">
            <v>3.92 * 1.92</v>
          </cell>
          <cell r="G552" t="str">
            <v>4.20 * 2.20</v>
          </cell>
          <cell r="H552" t="str">
            <v>S</v>
          </cell>
          <cell r="I552" t="str">
            <v>ESTACIONAMIENTOS</v>
          </cell>
          <cell r="J552">
            <v>0</v>
          </cell>
          <cell r="K552">
            <v>0</v>
          </cell>
          <cell r="L552">
            <v>420000</v>
          </cell>
          <cell r="M552" t="str">
            <v>MALL PLAZA NORTE</v>
          </cell>
          <cell r="P552" t="str">
            <v>HUECHURABA</v>
          </cell>
          <cell r="Q552" t="str">
            <v>TRADICIONAL</v>
          </cell>
          <cell r="R552" t="str">
            <v>Mall - Santiago</v>
          </cell>
          <cell r="S552" t="str">
            <v>Mall Plaza</v>
          </cell>
          <cell r="T552" t="str">
            <v>Cajas de luz</v>
          </cell>
          <cell r="U552">
            <v>1</v>
          </cell>
          <cell r="V552" t="str">
            <v>3.92 * 1.92</v>
          </cell>
        </row>
        <row r="553">
          <cell r="A553" t="str">
            <v>MAPN0006A</v>
          </cell>
          <cell r="B553" t="str">
            <v>Mall</v>
          </cell>
          <cell r="C553" t="str">
            <v>Mall Plaza</v>
          </cell>
          <cell r="D553" t="str">
            <v>Cajas de luz</v>
          </cell>
          <cell r="E553" t="str">
            <v>Cajas de luz</v>
          </cell>
          <cell r="F553" t="str">
            <v>2.92 * 1.42</v>
          </cell>
          <cell r="G553" t="str">
            <v>3.20 * 1.70</v>
          </cell>
          <cell r="H553" t="str">
            <v>S</v>
          </cell>
          <cell r="I553" t="str">
            <v>ESTACIONAMIENTOS</v>
          </cell>
          <cell r="J553">
            <v>0</v>
          </cell>
          <cell r="K553">
            <v>0</v>
          </cell>
          <cell r="L553">
            <v>380000</v>
          </cell>
          <cell r="M553" t="str">
            <v>MALL PLAZA NORTE</v>
          </cell>
          <cell r="P553" t="str">
            <v>HUECHURABA</v>
          </cell>
          <cell r="Q553" t="str">
            <v>TRADICIONAL</v>
          </cell>
          <cell r="R553" t="str">
            <v>Mall - Santiago</v>
          </cell>
          <cell r="S553" t="str">
            <v>Mall Plaza</v>
          </cell>
          <cell r="T553" t="str">
            <v>Cajas de luz</v>
          </cell>
          <cell r="U553">
            <v>1</v>
          </cell>
          <cell r="V553" t="str">
            <v>2.92 * 1.42</v>
          </cell>
        </row>
        <row r="554">
          <cell r="A554" t="str">
            <v>MAPN0009A</v>
          </cell>
          <cell r="B554" t="str">
            <v>Mall</v>
          </cell>
          <cell r="C554" t="str">
            <v>Mall Plaza</v>
          </cell>
          <cell r="D554" t="str">
            <v>Minipoles</v>
          </cell>
          <cell r="E554" t="str">
            <v>Minipoles</v>
          </cell>
          <cell r="F554" t="str">
            <v>2.80 * 1.30</v>
          </cell>
          <cell r="G554" t="str">
            <v>3.00 * 1.50</v>
          </cell>
          <cell r="H554" t="str">
            <v>E</v>
          </cell>
          <cell r="I554" t="str">
            <v>ESTACIONAMIENTOS</v>
          </cell>
          <cell r="J554">
            <v>0</v>
          </cell>
          <cell r="K554">
            <v>0</v>
          </cell>
          <cell r="L554">
            <v>540000</v>
          </cell>
          <cell r="M554" t="str">
            <v>MALL PLAZA NORTE</v>
          </cell>
          <cell r="P554" t="str">
            <v>HUECHURABA</v>
          </cell>
          <cell r="Q554" t="str">
            <v>TRADICIONAL</v>
          </cell>
          <cell r="R554" t="str">
            <v>Mall - Santiago</v>
          </cell>
          <cell r="S554" t="str">
            <v>Mall Plaza</v>
          </cell>
          <cell r="T554" t="str">
            <v>Minipoles</v>
          </cell>
          <cell r="U554">
            <v>1</v>
          </cell>
          <cell r="V554" t="str">
            <v>2.80 * 1.30</v>
          </cell>
        </row>
        <row r="555">
          <cell r="A555" t="str">
            <v>MAPN0009B</v>
          </cell>
          <cell r="B555" t="str">
            <v>Mall</v>
          </cell>
          <cell r="C555" t="str">
            <v>Mall Plaza</v>
          </cell>
          <cell r="D555" t="str">
            <v>Minipoles</v>
          </cell>
          <cell r="E555" t="str">
            <v>Minipoles</v>
          </cell>
          <cell r="F555" t="str">
            <v>2.80 * 1.30</v>
          </cell>
          <cell r="G555" t="str">
            <v>3.00 * 1.50</v>
          </cell>
          <cell r="H555" t="str">
            <v>E</v>
          </cell>
          <cell r="I555" t="str">
            <v>ESTACIONAMIENTOS</v>
          </cell>
          <cell r="J555">
            <v>0</v>
          </cell>
          <cell r="K555">
            <v>0</v>
          </cell>
          <cell r="L555">
            <v>270000</v>
          </cell>
          <cell r="M555" t="str">
            <v>MALL PLAZA NORTE</v>
          </cell>
          <cell r="P555" t="str">
            <v>HUECHURABA</v>
          </cell>
          <cell r="Q555" t="str">
            <v>TRADICIONAL</v>
          </cell>
          <cell r="R555" t="str">
            <v>Mall - Santiago</v>
          </cell>
          <cell r="S555" t="str">
            <v>Mall Plaza</v>
          </cell>
          <cell r="T555" t="str">
            <v>Minipoles</v>
          </cell>
          <cell r="U555">
            <v>1</v>
          </cell>
          <cell r="V555" t="str">
            <v>2.80 * 1.30</v>
          </cell>
        </row>
        <row r="556">
          <cell r="A556" t="str">
            <v>MAPN0010A</v>
          </cell>
          <cell r="B556" t="str">
            <v>Mall</v>
          </cell>
          <cell r="C556" t="str">
            <v>Mall Plaza</v>
          </cell>
          <cell r="D556" t="str">
            <v>Minipoles</v>
          </cell>
          <cell r="E556" t="str">
            <v>Minipoles</v>
          </cell>
          <cell r="F556" t="str">
            <v>2.80 * 1.30</v>
          </cell>
          <cell r="G556" t="str">
            <v>3.00 * 1.50</v>
          </cell>
          <cell r="H556" t="str">
            <v>E</v>
          </cell>
          <cell r="I556" t="str">
            <v>ESTACIONAMIENTOS</v>
          </cell>
          <cell r="J556">
            <v>0</v>
          </cell>
          <cell r="K556">
            <v>0</v>
          </cell>
          <cell r="L556">
            <v>540000</v>
          </cell>
          <cell r="M556" t="str">
            <v>MALL PLAZA NORTE</v>
          </cell>
          <cell r="P556" t="str">
            <v>HUECHURABA</v>
          </cell>
          <cell r="Q556" t="str">
            <v>TRADICIONAL</v>
          </cell>
          <cell r="R556" t="str">
            <v>Mall - Santiago</v>
          </cell>
          <cell r="S556" t="str">
            <v>Mall Plaza</v>
          </cell>
          <cell r="T556" t="str">
            <v>Minipoles</v>
          </cell>
          <cell r="U556">
            <v>1</v>
          </cell>
          <cell r="V556" t="str">
            <v>2.80 * 1.30</v>
          </cell>
        </row>
        <row r="557">
          <cell r="A557" t="str">
            <v>MAPN0010B</v>
          </cell>
          <cell r="B557" t="str">
            <v>Mall</v>
          </cell>
          <cell r="C557" t="str">
            <v>Mall Plaza</v>
          </cell>
          <cell r="D557" t="str">
            <v>Minipoles</v>
          </cell>
          <cell r="E557" t="str">
            <v>Minipoles</v>
          </cell>
          <cell r="F557" t="str">
            <v>2.80 * 1.30</v>
          </cell>
          <cell r="G557" t="str">
            <v>3.00 * 1.50</v>
          </cell>
          <cell r="H557" t="str">
            <v>E</v>
          </cell>
          <cell r="I557" t="str">
            <v>ESTACIONAMIENTOS</v>
          </cell>
          <cell r="J557">
            <v>0</v>
          </cell>
          <cell r="K557">
            <v>0</v>
          </cell>
          <cell r="L557">
            <v>270000</v>
          </cell>
          <cell r="M557" t="str">
            <v>MALL PLAZA NORTE</v>
          </cell>
          <cell r="P557" t="str">
            <v>HUECHURABA</v>
          </cell>
          <cell r="Q557" t="str">
            <v>TRADICIONAL</v>
          </cell>
          <cell r="R557" t="str">
            <v>Mall - Santiago</v>
          </cell>
          <cell r="S557" t="str">
            <v>Mall Plaza</v>
          </cell>
          <cell r="T557" t="str">
            <v>Minipoles</v>
          </cell>
          <cell r="U557">
            <v>1</v>
          </cell>
          <cell r="V557" t="str">
            <v>2.80 * 1.30</v>
          </cell>
        </row>
        <row r="558">
          <cell r="A558" t="str">
            <v>MAPN0013A</v>
          </cell>
          <cell r="B558" t="str">
            <v>Mall</v>
          </cell>
          <cell r="C558" t="str">
            <v>Mall Plaza</v>
          </cell>
          <cell r="D558" t="str">
            <v>P.E.: MAMPARA</v>
          </cell>
          <cell r="E558" t="str">
            <v>MAMPARA</v>
          </cell>
          <cell r="F558" t="str">
            <v>Ver Ficha</v>
          </cell>
          <cell r="G558" t="str">
            <v>Ver Ficha</v>
          </cell>
          <cell r="H558" t="str">
            <v>V</v>
          </cell>
          <cell r="I558" t="str">
            <v>ACCESO SALA DE V</v>
          </cell>
          <cell r="J558">
            <v>180000</v>
          </cell>
          <cell r="K558">
            <v>0</v>
          </cell>
          <cell r="L558">
            <v>3150000</v>
          </cell>
          <cell r="M558" t="str">
            <v>MALL PLAZA NORTE</v>
          </cell>
          <cell r="P558" t="str">
            <v>HUECHURABA</v>
          </cell>
          <cell r="Q558" t="str">
            <v>ESPECIAL</v>
          </cell>
          <cell r="R558" t="str">
            <v>Mall - Santiago</v>
          </cell>
          <cell r="S558" t="str">
            <v>Mall Plaza</v>
          </cell>
          <cell r="T558" t="str">
            <v>Productos Especiales</v>
          </cell>
          <cell r="U558">
            <v>1</v>
          </cell>
          <cell r="V558" t="str">
            <v>NA</v>
          </cell>
        </row>
        <row r="559">
          <cell r="A559" t="str">
            <v>MAPN0025A</v>
          </cell>
          <cell r="B559" t="str">
            <v>Mall</v>
          </cell>
          <cell r="C559" t="str">
            <v>Mall Plaza</v>
          </cell>
          <cell r="D559" t="str">
            <v>Pantallas Digitales</v>
          </cell>
          <cell r="E559" t="str">
            <v>Pantallas</v>
          </cell>
          <cell r="F559" t="str">
            <v>NA</v>
          </cell>
          <cell r="G559" t="str">
            <v>NA</v>
          </cell>
          <cell r="H559" t="str">
            <v>I</v>
          </cell>
          <cell r="I559" t="str">
            <v>LOTE DE 6 PANTAL</v>
          </cell>
          <cell r="J559">
            <v>0</v>
          </cell>
          <cell r="K559">
            <v>0</v>
          </cell>
          <cell r="L559">
            <v>550000</v>
          </cell>
          <cell r="M559" t="str">
            <v>MALL PLAZA NORTE</v>
          </cell>
          <cell r="P559" t="str">
            <v>HUECHURABA</v>
          </cell>
          <cell r="Q559" t="str">
            <v>PANTALLA</v>
          </cell>
          <cell r="R559" t="str">
            <v>Mall - Santiago</v>
          </cell>
          <cell r="S559" t="str">
            <v>Mall Plaza Digital</v>
          </cell>
          <cell r="T559" t="str">
            <v>Pantallas Digitales</v>
          </cell>
          <cell r="U559">
            <v>1</v>
          </cell>
          <cell r="V559" t="str">
            <v>NA</v>
          </cell>
        </row>
        <row r="560">
          <cell r="A560" t="str">
            <v>MAPN0025B</v>
          </cell>
          <cell r="B560" t="str">
            <v>Mall</v>
          </cell>
          <cell r="C560" t="str">
            <v>Mall Plaza</v>
          </cell>
          <cell r="D560" t="str">
            <v>Pantallas Digitales</v>
          </cell>
          <cell r="E560" t="str">
            <v>Pantallas</v>
          </cell>
          <cell r="F560" t="str">
            <v>NA</v>
          </cell>
          <cell r="G560" t="str">
            <v>NA</v>
          </cell>
          <cell r="H560" t="str">
            <v>I</v>
          </cell>
          <cell r="I560" t="str">
            <v>LOTE DE 6 PANTAL</v>
          </cell>
          <cell r="J560">
            <v>0</v>
          </cell>
          <cell r="K560">
            <v>0</v>
          </cell>
          <cell r="L560">
            <v>550000</v>
          </cell>
          <cell r="M560" t="str">
            <v>MALL PLAZA NORTE</v>
          </cell>
          <cell r="P560" t="str">
            <v>HUECHURABA</v>
          </cell>
          <cell r="Q560" t="str">
            <v>PANTALLA</v>
          </cell>
          <cell r="R560" t="str">
            <v>Mall - Santiago</v>
          </cell>
          <cell r="S560" t="str">
            <v>Mall Plaza Digital</v>
          </cell>
          <cell r="T560" t="str">
            <v>Pantallas Digitales</v>
          </cell>
          <cell r="U560">
            <v>1</v>
          </cell>
          <cell r="V560" t="str">
            <v>NA</v>
          </cell>
        </row>
        <row r="561">
          <cell r="A561" t="str">
            <v>MAPN0025C</v>
          </cell>
          <cell r="B561" t="str">
            <v>Mall</v>
          </cell>
          <cell r="C561" t="str">
            <v>Mall Plaza</v>
          </cell>
          <cell r="D561" t="str">
            <v>Pantallas Digitales</v>
          </cell>
          <cell r="E561" t="str">
            <v>Pantallas</v>
          </cell>
          <cell r="F561" t="str">
            <v>NA</v>
          </cell>
          <cell r="G561" t="str">
            <v>NA</v>
          </cell>
          <cell r="H561" t="str">
            <v>I</v>
          </cell>
          <cell r="I561" t="str">
            <v>LOTE DE 6 PANTAL</v>
          </cell>
          <cell r="J561">
            <v>0</v>
          </cell>
          <cell r="K561">
            <v>0</v>
          </cell>
          <cell r="L561">
            <v>550000</v>
          </cell>
          <cell r="M561" t="str">
            <v>MALL PLAZA NORTE</v>
          </cell>
          <cell r="P561" t="str">
            <v>HUECHURABA</v>
          </cell>
          <cell r="Q561" t="str">
            <v>PANTALLA</v>
          </cell>
          <cell r="R561" t="str">
            <v>Mall - Santiago</v>
          </cell>
          <cell r="S561" t="str">
            <v>Mall Plaza Digital</v>
          </cell>
          <cell r="T561" t="str">
            <v>Pantallas Digitales</v>
          </cell>
          <cell r="U561">
            <v>1</v>
          </cell>
          <cell r="V561" t="str">
            <v>NA</v>
          </cell>
        </row>
        <row r="562">
          <cell r="A562" t="str">
            <v>MAPN0025D</v>
          </cell>
          <cell r="B562" t="str">
            <v>Mall</v>
          </cell>
          <cell r="C562" t="str">
            <v>Mall Plaza</v>
          </cell>
          <cell r="D562" t="str">
            <v>Pantallas Digitales</v>
          </cell>
          <cell r="E562" t="str">
            <v>Pantallas</v>
          </cell>
          <cell r="F562" t="str">
            <v>NA</v>
          </cell>
          <cell r="G562" t="str">
            <v>NA</v>
          </cell>
          <cell r="H562" t="str">
            <v>I</v>
          </cell>
          <cell r="I562" t="str">
            <v>LOTE 6 PANTALLAS</v>
          </cell>
          <cell r="J562">
            <v>0</v>
          </cell>
          <cell r="K562">
            <v>0</v>
          </cell>
          <cell r="L562">
            <v>550000</v>
          </cell>
          <cell r="M562" t="str">
            <v>MALL PLAZA NORTE</v>
          </cell>
          <cell r="P562" t="str">
            <v>HUECHURABA</v>
          </cell>
          <cell r="Q562" t="str">
            <v>PANTALLA</v>
          </cell>
          <cell r="R562" t="str">
            <v>Mall - Santiago</v>
          </cell>
          <cell r="S562" t="str">
            <v>Mall Plaza Digital</v>
          </cell>
          <cell r="T562" t="str">
            <v>Pantallas Digitales</v>
          </cell>
          <cell r="U562">
            <v>1</v>
          </cell>
          <cell r="V562" t="str">
            <v>NA</v>
          </cell>
        </row>
        <row r="563">
          <cell r="A563" t="str">
            <v>MAPN0025E</v>
          </cell>
          <cell r="B563" t="str">
            <v>Mall</v>
          </cell>
          <cell r="C563" t="str">
            <v>Mall Plaza</v>
          </cell>
          <cell r="D563" t="str">
            <v>Pantallas Digitales</v>
          </cell>
          <cell r="E563" t="str">
            <v>Pantallas</v>
          </cell>
          <cell r="F563" t="str">
            <v>NA</v>
          </cell>
          <cell r="G563" t="str">
            <v>NA</v>
          </cell>
          <cell r="H563" t="str">
            <v>I</v>
          </cell>
          <cell r="I563" t="str">
            <v>LOTE 6 PANTALLAS</v>
          </cell>
          <cell r="J563">
            <v>0</v>
          </cell>
          <cell r="K563">
            <v>0</v>
          </cell>
          <cell r="L563">
            <v>550000</v>
          </cell>
          <cell r="M563" t="str">
            <v>MALL PLAZA NORTE</v>
          </cell>
          <cell r="P563" t="str">
            <v>HUECHURABA</v>
          </cell>
          <cell r="Q563" t="str">
            <v>PANTALLA</v>
          </cell>
          <cell r="R563" t="str">
            <v>Mall - Santiago</v>
          </cell>
          <cell r="S563" t="str">
            <v>Mall Plaza Digital</v>
          </cell>
          <cell r="T563" t="str">
            <v>Pantallas Digitales</v>
          </cell>
          <cell r="U563">
            <v>1</v>
          </cell>
          <cell r="V563" t="str">
            <v>NA</v>
          </cell>
        </row>
        <row r="564">
          <cell r="A564" t="str">
            <v>MAPN0025F</v>
          </cell>
          <cell r="B564" t="str">
            <v>Mall</v>
          </cell>
          <cell r="C564" t="str">
            <v>Mall Plaza</v>
          </cell>
          <cell r="D564" t="str">
            <v>Pantallas Digitales</v>
          </cell>
          <cell r="E564" t="str">
            <v>Pantallas</v>
          </cell>
          <cell r="F564" t="str">
            <v>NA</v>
          </cell>
          <cell r="G564" t="str">
            <v>NA</v>
          </cell>
          <cell r="H564" t="str">
            <v>I</v>
          </cell>
          <cell r="I564" t="str">
            <v>LOTE 6 PANTALLAS</v>
          </cell>
          <cell r="J564">
            <v>0</v>
          </cell>
          <cell r="K564">
            <v>0</v>
          </cell>
          <cell r="L564">
            <v>550000</v>
          </cell>
          <cell r="M564" t="str">
            <v>MALL PLAZA NORTE</v>
          </cell>
          <cell r="P564" t="str">
            <v>HUECHURABA</v>
          </cell>
          <cell r="Q564" t="str">
            <v>PANTALLA</v>
          </cell>
          <cell r="R564" t="str">
            <v>Mall - Santiago</v>
          </cell>
          <cell r="S564" t="str">
            <v>Mall Plaza Digital</v>
          </cell>
          <cell r="T564" t="str">
            <v>Pantallas Digitales</v>
          </cell>
          <cell r="U564">
            <v>1</v>
          </cell>
          <cell r="V564" t="str">
            <v>NA</v>
          </cell>
        </row>
        <row r="565">
          <cell r="A565" t="str">
            <v>MAPN0025G</v>
          </cell>
          <cell r="B565" t="str">
            <v>Mall</v>
          </cell>
          <cell r="C565" t="str">
            <v>Mall Plaza</v>
          </cell>
          <cell r="D565" t="str">
            <v>Pantallas Digitales</v>
          </cell>
          <cell r="E565" t="str">
            <v>Pantallas</v>
          </cell>
          <cell r="F565" t="str">
            <v>NA</v>
          </cell>
          <cell r="G565" t="str">
            <v>NA</v>
          </cell>
          <cell r="H565" t="str">
            <v>I</v>
          </cell>
          <cell r="I565" t="str">
            <v>LOTE 6 PANTALLAS</v>
          </cell>
          <cell r="J565">
            <v>0</v>
          </cell>
          <cell r="K565">
            <v>0</v>
          </cell>
          <cell r="L565">
            <v>550000</v>
          </cell>
          <cell r="M565" t="str">
            <v>MALL PLAZA NORTE</v>
          </cell>
          <cell r="P565" t="str">
            <v>HUECHURABA</v>
          </cell>
          <cell r="Q565" t="str">
            <v>PANTALLA</v>
          </cell>
          <cell r="R565" t="str">
            <v>Mall - Santiago</v>
          </cell>
          <cell r="S565" t="str">
            <v>Mall Plaza Digital</v>
          </cell>
          <cell r="T565" t="str">
            <v>Pantallas Digitales</v>
          </cell>
          <cell r="U565">
            <v>1</v>
          </cell>
          <cell r="V565" t="str">
            <v>NA</v>
          </cell>
        </row>
        <row r="566">
          <cell r="A566" t="str">
            <v>MAPN0025H</v>
          </cell>
          <cell r="B566" t="str">
            <v>Mall</v>
          </cell>
          <cell r="C566" t="str">
            <v>Mall Plaza</v>
          </cell>
          <cell r="D566" t="str">
            <v>Pantallas Digitales</v>
          </cell>
          <cell r="E566" t="str">
            <v>Pantallas</v>
          </cell>
          <cell r="F566" t="str">
            <v>NA</v>
          </cell>
          <cell r="G566" t="str">
            <v>NA</v>
          </cell>
          <cell r="H566" t="str">
            <v>I</v>
          </cell>
          <cell r="I566" t="str">
            <v>LOTE DE 6 PANTAL</v>
          </cell>
          <cell r="J566">
            <v>0</v>
          </cell>
          <cell r="K566">
            <v>0</v>
          </cell>
          <cell r="L566">
            <v>550000</v>
          </cell>
          <cell r="M566" t="str">
            <v>MALL PLAZA NORTE</v>
          </cell>
          <cell r="P566" t="str">
            <v>HUECHURABA</v>
          </cell>
          <cell r="Q566" t="str">
            <v>PANTALLA</v>
          </cell>
          <cell r="R566" t="str">
            <v>Mall - Santiago</v>
          </cell>
          <cell r="S566" t="str">
            <v>Mall Plaza Digital</v>
          </cell>
          <cell r="T566" t="str">
            <v>Pantallas Digitales</v>
          </cell>
          <cell r="U566">
            <v>1</v>
          </cell>
          <cell r="V566" t="str">
            <v>NA</v>
          </cell>
        </row>
        <row r="567">
          <cell r="A567" t="str">
            <v>MAPN0025I</v>
          </cell>
          <cell r="B567" t="str">
            <v>Mall</v>
          </cell>
          <cell r="C567" t="str">
            <v>Mall Plaza</v>
          </cell>
          <cell r="D567" t="str">
            <v>Pantallas Digitales</v>
          </cell>
          <cell r="E567" t="str">
            <v>Pantallas</v>
          </cell>
          <cell r="F567" t="str">
            <v>NA</v>
          </cell>
          <cell r="G567" t="str">
            <v>NA</v>
          </cell>
          <cell r="H567" t="str">
            <v>I</v>
          </cell>
          <cell r="I567" t="str">
            <v>LOTE 6 PANTALLAS</v>
          </cell>
          <cell r="J567">
            <v>0</v>
          </cell>
          <cell r="K567">
            <v>0</v>
          </cell>
          <cell r="L567">
            <v>550000</v>
          </cell>
          <cell r="M567" t="str">
            <v>MALL PLAZA NORTE</v>
          </cell>
          <cell r="P567" t="str">
            <v>HUECHURABA</v>
          </cell>
          <cell r="Q567" t="str">
            <v>PANTALLA</v>
          </cell>
          <cell r="R567" t="str">
            <v>Mall - Santiago</v>
          </cell>
          <cell r="S567" t="str">
            <v>Mall Plaza Digital</v>
          </cell>
          <cell r="T567" t="str">
            <v>Pantallas Digitales</v>
          </cell>
          <cell r="U567">
            <v>1</v>
          </cell>
          <cell r="V567" t="str">
            <v>NA</v>
          </cell>
        </row>
        <row r="568">
          <cell r="A568" t="str">
            <v>MAPN0025J</v>
          </cell>
          <cell r="B568" t="str">
            <v>Mall</v>
          </cell>
          <cell r="C568" t="str">
            <v>Mall Plaza</v>
          </cell>
          <cell r="D568" t="str">
            <v>Pantallas Digitales</v>
          </cell>
          <cell r="E568" t="str">
            <v>Pantallas</v>
          </cell>
          <cell r="F568" t="str">
            <v>NA</v>
          </cell>
          <cell r="G568" t="str">
            <v>NA</v>
          </cell>
          <cell r="H568" t="str">
            <v>I</v>
          </cell>
          <cell r="I568" t="str">
            <v>LOTE 6 PANTALLAS</v>
          </cell>
          <cell r="J568">
            <v>0</v>
          </cell>
          <cell r="K568">
            <v>0</v>
          </cell>
          <cell r="L568">
            <v>550000</v>
          </cell>
          <cell r="M568" t="str">
            <v>MALL PLAZA NORTE</v>
          </cell>
          <cell r="P568" t="str">
            <v>HUECHURABA</v>
          </cell>
          <cell r="Q568" t="str">
            <v>PANTALLA</v>
          </cell>
          <cell r="R568" t="str">
            <v>Mall - Santiago</v>
          </cell>
          <cell r="S568" t="str">
            <v>Mall Plaza Digital</v>
          </cell>
          <cell r="T568" t="str">
            <v>Pantallas Digitales</v>
          </cell>
          <cell r="U568">
            <v>1</v>
          </cell>
          <cell r="V568" t="str">
            <v>NA</v>
          </cell>
        </row>
        <row r="569">
          <cell r="A569" t="str">
            <v>MAPN0025K</v>
          </cell>
          <cell r="B569" t="str">
            <v>Mall</v>
          </cell>
          <cell r="C569" t="str">
            <v>Mall Plaza</v>
          </cell>
          <cell r="D569" t="str">
            <v>Pantallas Digitales</v>
          </cell>
          <cell r="E569" t="str">
            <v>Pantallas</v>
          </cell>
          <cell r="F569" t="str">
            <v>NA</v>
          </cell>
          <cell r="G569" t="str">
            <v>NA</v>
          </cell>
          <cell r="H569" t="str">
            <v>I</v>
          </cell>
          <cell r="I569" t="str">
            <v>LOTE DE 6 PANTAL</v>
          </cell>
          <cell r="J569">
            <v>0</v>
          </cell>
          <cell r="K569">
            <v>0</v>
          </cell>
          <cell r="L569">
            <v>550000</v>
          </cell>
          <cell r="M569" t="str">
            <v>MALL PLAZA NORTE</v>
          </cell>
          <cell r="P569" t="str">
            <v>HUECHURABA</v>
          </cell>
          <cell r="Q569" t="str">
            <v>PANTALLA</v>
          </cell>
          <cell r="R569" t="str">
            <v>Mall - Santiago</v>
          </cell>
          <cell r="S569" t="str">
            <v>Mall Plaza Digital</v>
          </cell>
          <cell r="T569" t="str">
            <v>Pantallas Digitales</v>
          </cell>
          <cell r="U569">
            <v>1</v>
          </cell>
          <cell r="V569" t="str">
            <v>NA</v>
          </cell>
        </row>
        <row r="570">
          <cell r="A570" t="str">
            <v>MAPN0025L</v>
          </cell>
          <cell r="B570" t="str">
            <v>Mall</v>
          </cell>
          <cell r="C570" t="str">
            <v>Mall Plaza</v>
          </cell>
          <cell r="D570" t="str">
            <v>Pantallas Digitales</v>
          </cell>
          <cell r="E570" t="str">
            <v>Pantallas</v>
          </cell>
          <cell r="F570" t="str">
            <v>NA</v>
          </cell>
          <cell r="G570" t="str">
            <v>NA</v>
          </cell>
          <cell r="H570" t="str">
            <v>I</v>
          </cell>
          <cell r="I570" t="str">
            <v>PANTALLAS</v>
          </cell>
          <cell r="J570">
            <v>0</v>
          </cell>
          <cell r="K570">
            <v>0</v>
          </cell>
          <cell r="L570">
            <v>550000</v>
          </cell>
          <cell r="M570" t="str">
            <v>MALL PLAZA NORTE</v>
          </cell>
          <cell r="P570" t="str">
            <v>HUECHURABA</v>
          </cell>
          <cell r="Q570" t="str">
            <v>PANTALLA</v>
          </cell>
          <cell r="R570" t="str">
            <v>Mall - Santiago</v>
          </cell>
          <cell r="S570" t="str">
            <v>Mall Plaza Digital</v>
          </cell>
          <cell r="T570" t="str">
            <v>Pantallas Digitales</v>
          </cell>
          <cell r="U570">
            <v>1</v>
          </cell>
          <cell r="V570" t="str">
            <v>NA</v>
          </cell>
        </row>
        <row r="571">
          <cell r="A571" t="str">
            <v>MAPN0025M</v>
          </cell>
          <cell r="B571" t="str">
            <v>Mall</v>
          </cell>
          <cell r="C571" t="str">
            <v>Mall Plaza</v>
          </cell>
          <cell r="D571" t="str">
            <v>Pantallas Digitales</v>
          </cell>
          <cell r="E571" t="str">
            <v>Pantallas</v>
          </cell>
          <cell r="F571" t="str">
            <v>NA</v>
          </cell>
          <cell r="G571" t="str">
            <v>NA</v>
          </cell>
          <cell r="H571" t="str">
            <v>I</v>
          </cell>
          <cell r="I571" t="str">
            <v>LOTE DE 6 PANTAL</v>
          </cell>
          <cell r="J571">
            <v>0</v>
          </cell>
          <cell r="K571">
            <v>0</v>
          </cell>
          <cell r="L571">
            <v>550000</v>
          </cell>
          <cell r="M571" t="str">
            <v>MALL PLAZA NORTE</v>
          </cell>
          <cell r="P571" t="str">
            <v>HUECHURABA</v>
          </cell>
          <cell r="Q571" t="str">
            <v>PANTALLA</v>
          </cell>
          <cell r="R571" t="str">
            <v>Mall - Santiago</v>
          </cell>
          <cell r="S571" t="str">
            <v>Mall Plaza Digital</v>
          </cell>
          <cell r="T571" t="str">
            <v>Pantallas Digitales</v>
          </cell>
          <cell r="U571">
            <v>1</v>
          </cell>
          <cell r="V571" t="str">
            <v>NA</v>
          </cell>
        </row>
        <row r="572">
          <cell r="A572" t="str">
            <v>MAPN0025N</v>
          </cell>
          <cell r="B572" t="str">
            <v>Mall</v>
          </cell>
          <cell r="C572" t="str">
            <v>Mall Plaza</v>
          </cell>
          <cell r="D572" t="str">
            <v>Pantallas Digitales</v>
          </cell>
          <cell r="E572" t="str">
            <v>Pantallas</v>
          </cell>
          <cell r="F572" t="str">
            <v>NA</v>
          </cell>
          <cell r="G572" t="str">
            <v>NA</v>
          </cell>
          <cell r="H572" t="str">
            <v>I</v>
          </cell>
          <cell r="I572" t="str">
            <v>LOTE DE 6 PANTAL</v>
          </cell>
          <cell r="J572">
            <v>0</v>
          </cell>
          <cell r="K572">
            <v>0</v>
          </cell>
          <cell r="L572">
            <v>550000</v>
          </cell>
          <cell r="M572" t="str">
            <v>MALL PLAZA NORTE</v>
          </cell>
          <cell r="P572" t="str">
            <v>HUECHURABA</v>
          </cell>
          <cell r="Q572" t="str">
            <v>PANTALLA</v>
          </cell>
          <cell r="R572" t="str">
            <v>Mall - Santiago</v>
          </cell>
          <cell r="S572" t="str">
            <v>Mall Plaza Digital</v>
          </cell>
          <cell r="T572" t="str">
            <v>Pantallas Digitales</v>
          </cell>
          <cell r="U572">
            <v>1</v>
          </cell>
          <cell r="V572" t="str">
            <v>NA</v>
          </cell>
        </row>
        <row r="573">
          <cell r="A573" t="str">
            <v>MAPN0025Ñ</v>
          </cell>
          <cell r="B573" t="str">
            <v>Mall</v>
          </cell>
          <cell r="C573" t="str">
            <v>Mall Plaza</v>
          </cell>
          <cell r="D573" t="str">
            <v>Pantallas Digitales</v>
          </cell>
          <cell r="E573" t="str">
            <v>Pantallas</v>
          </cell>
          <cell r="F573" t="str">
            <v>NA</v>
          </cell>
          <cell r="G573" t="str">
            <v>NA</v>
          </cell>
          <cell r="H573" t="str">
            <v>I</v>
          </cell>
          <cell r="I573" t="str">
            <v>LOTE DE 6 PANTAL</v>
          </cell>
          <cell r="J573">
            <v>0</v>
          </cell>
          <cell r="K573">
            <v>0</v>
          </cell>
          <cell r="L573">
            <v>550000</v>
          </cell>
          <cell r="M573" t="str">
            <v>MALL PLAZA NORTE</v>
          </cell>
          <cell r="P573" t="str">
            <v>HUECHURABA</v>
          </cell>
          <cell r="Q573" t="str">
            <v>PANTALLA</v>
          </cell>
          <cell r="R573" t="str">
            <v>Mall - Santiago</v>
          </cell>
          <cell r="S573" t="str">
            <v>Mall Plaza Digital</v>
          </cell>
          <cell r="T573" t="str">
            <v>Pantallas Digitales</v>
          </cell>
          <cell r="U573">
            <v>1</v>
          </cell>
          <cell r="V573" t="str">
            <v>NA</v>
          </cell>
        </row>
        <row r="574">
          <cell r="A574" t="str">
            <v>MAPN0026A</v>
          </cell>
          <cell r="B574" t="str">
            <v>Mall</v>
          </cell>
          <cell r="C574" t="str">
            <v>Mall Plaza</v>
          </cell>
          <cell r="D574" t="str">
            <v>Cajas de luz</v>
          </cell>
          <cell r="E574" t="str">
            <v>Cajas de luz</v>
          </cell>
          <cell r="F574" t="str">
            <v>3.92 * 1.92</v>
          </cell>
          <cell r="G574" t="str">
            <v>4.20 * 2.20</v>
          </cell>
          <cell r="H574" t="str">
            <v>V</v>
          </cell>
          <cell r="I574" t="str">
            <v>ACCESO SALA DE V</v>
          </cell>
          <cell r="J574">
            <v>0</v>
          </cell>
          <cell r="K574">
            <v>0</v>
          </cell>
          <cell r="L574">
            <v>420000</v>
          </cell>
          <cell r="M574" t="str">
            <v>MALL PLAZA NORTE</v>
          </cell>
          <cell r="P574" t="str">
            <v>HUECHURABA</v>
          </cell>
          <cell r="Q574" t="str">
            <v>TRADICIONAL</v>
          </cell>
          <cell r="R574" t="str">
            <v>Mall - Santiago</v>
          </cell>
          <cell r="S574" t="str">
            <v>Mall Plaza</v>
          </cell>
          <cell r="T574" t="str">
            <v>Cajas de luz</v>
          </cell>
          <cell r="U574">
            <v>1</v>
          </cell>
          <cell r="V574" t="str">
            <v>3.92 * 1.92</v>
          </cell>
        </row>
        <row r="575">
          <cell r="A575" t="str">
            <v>MAPN0027A</v>
          </cell>
          <cell r="B575" t="str">
            <v>Mall</v>
          </cell>
          <cell r="C575" t="str">
            <v>Mall Plaza</v>
          </cell>
          <cell r="D575" t="str">
            <v>P.E.: CORPOREO</v>
          </cell>
          <cell r="E575" t="str">
            <v>CORPOREO</v>
          </cell>
          <cell r="F575" t="str">
            <v>Ver Ficha</v>
          </cell>
          <cell r="G575" t="str">
            <v>Ver Ficha</v>
          </cell>
          <cell r="H575" t="str">
            <v>E</v>
          </cell>
          <cell r="I575" t="str">
            <v>EXTERIOR ESTACIO</v>
          </cell>
          <cell r="J575" t="str">
            <v>Según Corporeo</v>
          </cell>
          <cell r="L575">
            <v>2500000</v>
          </cell>
          <cell r="M575" t="str">
            <v>MALL PLAZA NORTE</v>
          </cell>
          <cell r="P575" t="str">
            <v>HUECHURABA</v>
          </cell>
          <cell r="Q575" t="str">
            <v>ESPECIAL</v>
          </cell>
          <cell r="R575" t="str">
            <v>Mall - Santiago</v>
          </cell>
          <cell r="S575" t="str">
            <v>Mall Plaza</v>
          </cell>
          <cell r="T575" t="str">
            <v>Productos Especiales</v>
          </cell>
          <cell r="U575">
            <v>1</v>
          </cell>
          <cell r="V575" t="str">
            <v>NA</v>
          </cell>
        </row>
        <row r="576">
          <cell r="A576" t="str">
            <v>MAPN0028A</v>
          </cell>
          <cell r="B576" t="str">
            <v>Mall</v>
          </cell>
          <cell r="C576" t="str">
            <v>Mall Plaza</v>
          </cell>
          <cell r="D576" t="str">
            <v>P.E.: CORPOREO</v>
          </cell>
          <cell r="E576" t="str">
            <v>CORPOREO</v>
          </cell>
          <cell r="F576" t="str">
            <v>Ver Ficha</v>
          </cell>
          <cell r="G576" t="str">
            <v>Ver Ficha</v>
          </cell>
          <cell r="H576" t="str">
            <v>E</v>
          </cell>
          <cell r="I576" t="str">
            <v>EXTERIOR ESTACIO</v>
          </cell>
          <cell r="J576" t="str">
            <v>Según Corporeo</v>
          </cell>
          <cell r="L576">
            <v>2500000</v>
          </cell>
          <cell r="M576" t="str">
            <v>MALL PLAZA NORTE</v>
          </cell>
          <cell r="P576" t="str">
            <v>HUECHURABA</v>
          </cell>
          <cell r="Q576" t="str">
            <v>ESPECIAL</v>
          </cell>
          <cell r="R576" t="str">
            <v>Mall - Santiago</v>
          </cell>
          <cell r="S576" t="str">
            <v>Mall Plaza</v>
          </cell>
          <cell r="T576" t="str">
            <v>Productos Especiales</v>
          </cell>
          <cell r="U576">
            <v>1</v>
          </cell>
          <cell r="V576" t="str">
            <v>NA</v>
          </cell>
        </row>
        <row r="577">
          <cell r="A577" t="str">
            <v>MAPN0029A</v>
          </cell>
          <cell r="B577" t="str">
            <v>Mall</v>
          </cell>
          <cell r="C577" t="str">
            <v>Mall Plaza</v>
          </cell>
          <cell r="D577" t="str">
            <v>Cajas de luz</v>
          </cell>
          <cell r="E577" t="str">
            <v>Cajas de luz</v>
          </cell>
          <cell r="F577" t="str">
            <v>3.92 * 1.92</v>
          </cell>
          <cell r="G577" t="str">
            <v>4.20 * 2.20</v>
          </cell>
          <cell r="H577" t="str">
            <v>S</v>
          </cell>
          <cell r="I577" t="str">
            <v>ESTACIONAMIENTOS</v>
          </cell>
          <cell r="J577">
            <v>0</v>
          </cell>
          <cell r="K577">
            <v>0</v>
          </cell>
          <cell r="L577">
            <v>420000</v>
          </cell>
          <cell r="M577" t="str">
            <v>MALL PLAZA NORTE</v>
          </cell>
          <cell r="P577" t="str">
            <v>HUECHURABA</v>
          </cell>
          <cell r="Q577" t="str">
            <v>TRADICIONAL</v>
          </cell>
          <cell r="R577" t="str">
            <v>Mall - Santiago</v>
          </cell>
          <cell r="S577" t="str">
            <v>Mall Plaza</v>
          </cell>
          <cell r="T577" t="str">
            <v>Cajas de luz</v>
          </cell>
          <cell r="U577">
            <v>1</v>
          </cell>
          <cell r="V577" t="str">
            <v>3.92 * 1.92</v>
          </cell>
        </row>
        <row r="578">
          <cell r="A578" t="str">
            <v>MAPN0030A</v>
          </cell>
          <cell r="B578" t="str">
            <v>Mall</v>
          </cell>
          <cell r="C578" t="str">
            <v>Mall Plaza</v>
          </cell>
          <cell r="D578" t="str">
            <v>P.E.: MESAS - 80% Cobertura</v>
          </cell>
          <cell r="E578" t="str">
            <v>MESAS - 80% Cobertura</v>
          </cell>
          <cell r="F578" t="str">
            <v>Ver Ficha</v>
          </cell>
          <cell r="G578" t="str">
            <v>Ver Ficha</v>
          </cell>
          <cell r="I578" t="str">
            <v>PATIO COMIDAS</v>
          </cell>
          <cell r="J578">
            <v>415000</v>
          </cell>
          <cell r="L578">
            <v>3250000</v>
          </cell>
          <cell r="M578" t="str">
            <v>MALL PLAZA NORTE</v>
          </cell>
          <cell r="P578" t="str">
            <v>HUECHURABA</v>
          </cell>
          <cell r="Q578" t="str">
            <v>ESPECIAL</v>
          </cell>
          <cell r="R578" t="str">
            <v>Mall - Santiago</v>
          </cell>
          <cell r="S578" t="str">
            <v>Mall Plaza</v>
          </cell>
          <cell r="T578" t="str">
            <v>Productos Especiales</v>
          </cell>
          <cell r="U578">
            <v>1</v>
          </cell>
          <cell r="V578" t="str">
            <v>NA</v>
          </cell>
        </row>
        <row r="579">
          <cell r="A579" t="str">
            <v>MAPN0031A</v>
          </cell>
          <cell r="B579" t="str">
            <v>Mall</v>
          </cell>
          <cell r="C579" t="str">
            <v>Mall Plaza</v>
          </cell>
          <cell r="D579" t="str">
            <v>P.E.: ESPEJOS BAÑOS HOMBRES</v>
          </cell>
          <cell r="E579" t="str">
            <v>ESPEJOS BAÑOS HOMBRES</v>
          </cell>
          <cell r="F579" t="str">
            <v>Ver Ficha</v>
          </cell>
          <cell r="G579" t="str">
            <v>Ver Ficha</v>
          </cell>
          <cell r="H579" t="str">
            <v>I</v>
          </cell>
          <cell r="I579" t="str">
            <v>INTERIOR BAÑOS</v>
          </cell>
          <cell r="J579">
            <v>40000</v>
          </cell>
          <cell r="L579">
            <v>1900000</v>
          </cell>
          <cell r="M579" t="str">
            <v>MALL PLAZA NORTE</v>
          </cell>
          <cell r="P579" t="str">
            <v>HUECHURABA</v>
          </cell>
          <cell r="Q579" t="str">
            <v>ESPECIAL</v>
          </cell>
          <cell r="R579" t="str">
            <v>Mall - Santiago</v>
          </cell>
          <cell r="S579" t="str">
            <v>Mall Plaza</v>
          </cell>
          <cell r="T579" t="str">
            <v>Productos Especiales</v>
          </cell>
          <cell r="U579">
            <v>1</v>
          </cell>
          <cell r="V579" t="str">
            <v>NA</v>
          </cell>
        </row>
        <row r="580">
          <cell r="A580" t="str">
            <v>MAPN0031B</v>
          </cell>
          <cell r="B580" t="str">
            <v>Mall</v>
          </cell>
          <cell r="C580" t="str">
            <v>Mall Plaza</v>
          </cell>
          <cell r="D580" t="str">
            <v>P.E.: ESPEJOS BAÑOS MUJERES</v>
          </cell>
          <cell r="E580" t="str">
            <v>ESPEJOS BAÑOS MUJERES</v>
          </cell>
          <cell r="F580" t="str">
            <v>Ver Ficha</v>
          </cell>
          <cell r="G580" t="str">
            <v>Ver Ficha</v>
          </cell>
          <cell r="H580" t="str">
            <v>I</v>
          </cell>
          <cell r="I580" t="str">
            <v>INTERIOR BAÑOS</v>
          </cell>
          <cell r="J580">
            <v>68000</v>
          </cell>
          <cell r="L580">
            <v>1900000</v>
          </cell>
          <cell r="M580" t="str">
            <v>MALL PLAZA NORTE</v>
          </cell>
          <cell r="P580" t="str">
            <v>HUECHURABA</v>
          </cell>
          <cell r="Q580" t="str">
            <v>ESPECIAL</v>
          </cell>
          <cell r="R580" t="str">
            <v>Mall - Santiago</v>
          </cell>
          <cell r="S580" t="str">
            <v>Mall Plaza</v>
          </cell>
          <cell r="T580" t="str">
            <v>Productos Especiales</v>
          </cell>
          <cell r="U580">
            <v>1</v>
          </cell>
          <cell r="V580" t="str">
            <v>NA</v>
          </cell>
        </row>
        <row r="581">
          <cell r="A581" t="str">
            <v>MAPN0034A</v>
          </cell>
          <cell r="B581" t="str">
            <v>Mall</v>
          </cell>
          <cell r="C581" t="str">
            <v>Mall Plaza</v>
          </cell>
          <cell r="D581" t="str">
            <v>Cajas de luz</v>
          </cell>
          <cell r="E581" t="str">
            <v>Cajas de luz</v>
          </cell>
          <cell r="F581" t="str">
            <v>3.92 * 1.92</v>
          </cell>
          <cell r="G581" t="str">
            <v>4.20 * 2.20</v>
          </cell>
          <cell r="H581" t="str">
            <v>V</v>
          </cell>
          <cell r="I581" t="str">
            <v>ACCESO A EST SUB</v>
          </cell>
          <cell r="J581">
            <v>0</v>
          </cell>
          <cell r="K581">
            <v>0</v>
          </cell>
          <cell r="L581">
            <v>420000</v>
          </cell>
          <cell r="M581" t="str">
            <v>MALL PLAZA NORTE</v>
          </cell>
          <cell r="P581" t="str">
            <v>HUECHURABA</v>
          </cell>
          <cell r="Q581" t="str">
            <v>TRADICIONAL</v>
          </cell>
          <cell r="R581" t="str">
            <v>Mall - Santiago</v>
          </cell>
          <cell r="S581" t="str">
            <v>Mall Plaza</v>
          </cell>
          <cell r="T581" t="str">
            <v>Cajas de luz</v>
          </cell>
          <cell r="U581">
            <v>1</v>
          </cell>
          <cell r="V581" t="str">
            <v>3.92 * 1.92</v>
          </cell>
        </row>
        <row r="582">
          <cell r="A582" t="str">
            <v>MAPN0035AB</v>
          </cell>
          <cell r="B582" t="str">
            <v>Mall</v>
          </cell>
          <cell r="C582" t="str">
            <v>Mall Plaza</v>
          </cell>
          <cell r="D582" t="str">
            <v>Paletas</v>
          </cell>
          <cell r="E582" t="str">
            <v>PALETA SUPER SCREEN</v>
          </cell>
          <cell r="F582" t="str">
            <v>1.20 * 1.70</v>
          </cell>
          <cell r="G582" t="str">
            <v>1.23 * 1.75</v>
          </cell>
          <cell r="H582" t="str">
            <v>E</v>
          </cell>
          <cell r="I582" t="str">
            <v>ESTACIONAMIENTOS</v>
          </cell>
          <cell r="J582">
            <v>0</v>
          </cell>
          <cell r="K582">
            <v>0</v>
          </cell>
          <cell r="L582">
            <v>450000</v>
          </cell>
          <cell r="M582" t="str">
            <v>MALL PLAZA NORTE</v>
          </cell>
          <cell r="P582" t="str">
            <v>HUECHURABA</v>
          </cell>
          <cell r="Q582" t="str">
            <v>TRADICIONAL</v>
          </cell>
          <cell r="R582" t="str">
            <v>Mall - Santiago</v>
          </cell>
          <cell r="S582" t="str">
            <v>Mall Plaza</v>
          </cell>
          <cell r="T582" t="str">
            <v>Paletas</v>
          </cell>
          <cell r="U582">
            <v>2</v>
          </cell>
          <cell r="V582" t="str">
            <v>1.20 * 1.70</v>
          </cell>
        </row>
        <row r="583">
          <cell r="A583" t="str">
            <v>MAPO0001B</v>
          </cell>
          <cell r="B583" t="str">
            <v>Mall</v>
          </cell>
          <cell r="C583" t="str">
            <v>Mall Plaza</v>
          </cell>
          <cell r="D583" t="str">
            <v>Paletas</v>
          </cell>
          <cell r="E583" t="str">
            <v>PALETA SUPER SCREEN</v>
          </cell>
          <cell r="F583" t="str">
            <v>1.20 * 1.70</v>
          </cell>
          <cell r="G583" t="str">
            <v>1.23 * 1.75</v>
          </cell>
          <cell r="H583" t="str">
            <v>E</v>
          </cell>
          <cell r="I583" t="str">
            <v>ESTACIONAMIENTOS</v>
          </cell>
          <cell r="J583">
            <v>0</v>
          </cell>
          <cell r="K583">
            <v>0</v>
          </cell>
          <cell r="L583">
            <v>300000</v>
          </cell>
          <cell r="M583" t="str">
            <v>MALL PLAZA OESTE</v>
          </cell>
          <cell r="P583" t="str">
            <v>CERRILLOS</v>
          </cell>
          <cell r="Q583" t="str">
            <v>TRADICIONAL</v>
          </cell>
          <cell r="R583" t="str">
            <v>Mall - Santiago</v>
          </cell>
          <cell r="S583" t="str">
            <v>Mall Plaza</v>
          </cell>
          <cell r="T583" t="str">
            <v>Paletas</v>
          </cell>
          <cell r="U583">
            <v>1</v>
          </cell>
          <cell r="V583" t="str">
            <v>1.20 * 1.70</v>
          </cell>
        </row>
        <row r="584">
          <cell r="A584" t="str">
            <v>MAPO0004B</v>
          </cell>
          <cell r="B584" t="str">
            <v>Mall</v>
          </cell>
          <cell r="C584" t="str">
            <v>Mall Plaza</v>
          </cell>
          <cell r="D584" t="str">
            <v>Paletas</v>
          </cell>
          <cell r="E584" t="str">
            <v>PALETA SUPER SCREEN</v>
          </cell>
          <cell r="F584" t="str">
            <v>1.20 * 1.70</v>
          </cell>
          <cell r="G584" t="str">
            <v>1.23 * 1.75</v>
          </cell>
          <cell r="H584" t="str">
            <v>E</v>
          </cell>
          <cell r="I584" t="str">
            <v>ESTACIONAMIENTOS</v>
          </cell>
          <cell r="J584">
            <v>0</v>
          </cell>
          <cell r="K584">
            <v>0</v>
          </cell>
          <cell r="L584">
            <v>300000</v>
          </cell>
          <cell r="M584" t="str">
            <v>MALL PLAZA OESTE</v>
          </cell>
          <cell r="P584" t="str">
            <v>CERRILLOS</v>
          </cell>
          <cell r="Q584" t="str">
            <v>TRADICIONAL</v>
          </cell>
          <cell r="R584" t="str">
            <v>Mall - Santiago</v>
          </cell>
          <cell r="S584" t="str">
            <v>Mall Plaza</v>
          </cell>
          <cell r="T584" t="str">
            <v>Paletas</v>
          </cell>
          <cell r="U584">
            <v>1</v>
          </cell>
          <cell r="V584" t="str">
            <v>1.20 * 1.70</v>
          </cell>
        </row>
        <row r="585">
          <cell r="A585" t="str">
            <v>MAPO0005B</v>
          </cell>
          <cell r="B585" t="str">
            <v>Mall</v>
          </cell>
          <cell r="C585" t="str">
            <v>Mall Plaza</v>
          </cell>
          <cell r="D585" t="str">
            <v>Paletas</v>
          </cell>
          <cell r="E585" t="str">
            <v>PALETA SUPER SCREEN</v>
          </cell>
          <cell r="F585" t="str">
            <v>1.20 * 1.70</v>
          </cell>
          <cell r="G585" t="str">
            <v>1.23 * 1.75</v>
          </cell>
          <cell r="H585" t="str">
            <v>E</v>
          </cell>
          <cell r="I585" t="str">
            <v>ESTACIONAMIENTOS</v>
          </cell>
          <cell r="J585">
            <v>0</v>
          </cell>
          <cell r="K585">
            <v>0</v>
          </cell>
          <cell r="L585">
            <v>300000</v>
          </cell>
          <cell r="M585" t="str">
            <v>MALL PLAZA OESTE</v>
          </cell>
          <cell r="P585" t="str">
            <v>CERRILLOS</v>
          </cell>
          <cell r="Q585" t="str">
            <v>TRADICIONAL</v>
          </cell>
          <cell r="R585" t="str">
            <v>Mall - Santiago</v>
          </cell>
          <cell r="S585" t="str">
            <v>Mall Plaza</v>
          </cell>
          <cell r="T585" t="str">
            <v>Paletas</v>
          </cell>
          <cell r="U585">
            <v>1</v>
          </cell>
          <cell r="V585" t="str">
            <v>1.20 * 1.70</v>
          </cell>
        </row>
        <row r="586">
          <cell r="A586" t="str">
            <v>MAPO0006A</v>
          </cell>
          <cell r="B586" t="str">
            <v>Mall</v>
          </cell>
          <cell r="C586" t="str">
            <v>Mall Plaza</v>
          </cell>
          <cell r="D586" t="str">
            <v>NO VENDIBLE</v>
          </cell>
          <cell r="E586" t="str">
            <v>PALETA SUPER SCREEN</v>
          </cell>
          <cell r="F586" t="str">
            <v>1.20 * 1.70</v>
          </cell>
          <cell r="G586" t="str">
            <v>1.23 * 1.75</v>
          </cell>
          <cell r="H586" t="str">
            <v>E</v>
          </cell>
          <cell r="I586" t="str">
            <v>ESTACIONAMIENTOS</v>
          </cell>
          <cell r="J586">
            <v>0</v>
          </cell>
          <cell r="K586">
            <v>0</v>
          </cell>
          <cell r="L586">
            <v>300000</v>
          </cell>
          <cell r="M586" t="str">
            <v>MALL PLAZA OESTE</v>
          </cell>
          <cell r="O586" t="str">
            <v>Sí</v>
          </cell>
          <cell r="P586" t="str">
            <v>CERRILLOS</v>
          </cell>
          <cell r="Q586" t="str">
            <v>TRADICIONAL</v>
          </cell>
          <cell r="R586" t="str">
            <v>Mall - Santiago</v>
          </cell>
          <cell r="S586" t="str">
            <v>Mall Plaza</v>
          </cell>
          <cell r="T586" t="str">
            <v>Paletas</v>
          </cell>
          <cell r="U586">
            <v>1</v>
          </cell>
          <cell r="V586" t="str">
            <v>1.20 * 1.70</v>
          </cell>
        </row>
        <row r="587">
          <cell r="A587" t="str">
            <v>MAPO0006B</v>
          </cell>
          <cell r="B587" t="str">
            <v>Mall</v>
          </cell>
          <cell r="C587" t="str">
            <v>Mall Plaza</v>
          </cell>
          <cell r="D587" t="str">
            <v>NO VENDIBLE</v>
          </cell>
          <cell r="E587" t="str">
            <v>PALETA SUPER SCREEN</v>
          </cell>
          <cell r="F587" t="str">
            <v>1.20 * 1.70</v>
          </cell>
          <cell r="G587" t="str">
            <v>1.23 * 1.75</v>
          </cell>
          <cell r="H587" t="str">
            <v>E</v>
          </cell>
          <cell r="I587" t="str">
            <v>ESTACIONAMIENTOS</v>
          </cell>
          <cell r="J587">
            <v>0</v>
          </cell>
          <cell r="K587">
            <v>0</v>
          </cell>
          <cell r="L587">
            <v>300000</v>
          </cell>
          <cell r="M587" t="str">
            <v>MALL PLAZA OESTE</v>
          </cell>
          <cell r="O587" t="str">
            <v>Sí</v>
          </cell>
          <cell r="P587" t="str">
            <v>CERRILLOS</v>
          </cell>
          <cell r="Q587" t="str">
            <v>TRADICIONAL</v>
          </cell>
          <cell r="R587" t="str">
            <v>Mall - Santiago</v>
          </cell>
          <cell r="S587" t="str">
            <v>Mall Plaza</v>
          </cell>
          <cell r="T587" t="str">
            <v>Paletas</v>
          </cell>
          <cell r="U587">
            <v>1</v>
          </cell>
          <cell r="V587" t="str">
            <v>1.20 * 1.70</v>
          </cell>
        </row>
        <row r="588">
          <cell r="A588" t="str">
            <v>MAPO0007A</v>
          </cell>
          <cell r="B588" t="str">
            <v>Mall</v>
          </cell>
          <cell r="C588" t="str">
            <v>Mall Plaza</v>
          </cell>
          <cell r="D588" t="str">
            <v>NO VENDIBLE</v>
          </cell>
          <cell r="E588" t="str">
            <v>PALETA SUPER SCREEN</v>
          </cell>
          <cell r="F588" t="str">
            <v>1.20 * 1.70</v>
          </cell>
          <cell r="G588" t="str">
            <v>1.23 * 1.75</v>
          </cell>
          <cell r="H588" t="str">
            <v>E</v>
          </cell>
          <cell r="I588" t="str">
            <v>ESTACIONAMIENTOS</v>
          </cell>
          <cell r="J588">
            <v>0</v>
          </cell>
          <cell r="K588">
            <v>0</v>
          </cell>
          <cell r="L588">
            <v>300000</v>
          </cell>
          <cell r="M588" t="str">
            <v>MALL PLAZA OESTE</v>
          </cell>
          <cell r="O588" t="str">
            <v>Sí</v>
          </cell>
          <cell r="P588" t="str">
            <v>CERRILLOS</v>
          </cell>
          <cell r="Q588" t="str">
            <v>TRADICIONAL</v>
          </cell>
          <cell r="R588" t="str">
            <v>Mall - Santiago</v>
          </cell>
          <cell r="S588" t="str">
            <v>Mall Plaza</v>
          </cell>
          <cell r="T588" t="str">
            <v>Paletas</v>
          </cell>
          <cell r="U588">
            <v>1</v>
          </cell>
          <cell r="V588" t="str">
            <v>1.20 * 1.70</v>
          </cell>
        </row>
        <row r="589">
          <cell r="A589" t="str">
            <v>MAPO0007B</v>
          </cell>
          <cell r="B589" t="str">
            <v>Mall</v>
          </cell>
          <cell r="C589" t="str">
            <v>Mall Plaza</v>
          </cell>
          <cell r="D589" t="str">
            <v>NO VENDIBLE</v>
          </cell>
          <cell r="E589" t="str">
            <v>PALETA SUPER SCREEN</v>
          </cell>
          <cell r="F589" t="str">
            <v>1.20 * 1.70</v>
          </cell>
          <cell r="G589" t="str">
            <v>1.23 * 1.75</v>
          </cell>
          <cell r="H589" t="str">
            <v>E</v>
          </cell>
          <cell r="I589" t="str">
            <v>ESTACIONAMIENTOS</v>
          </cell>
          <cell r="J589">
            <v>0</v>
          </cell>
          <cell r="K589">
            <v>0</v>
          </cell>
          <cell r="L589">
            <v>300000</v>
          </cell>
          <cell r="M589" t="str">
            <v>MALL PLAZA OESTE</v>
          </cell>
          <cell r="O589" t="str">
            <v>Sí</v>
          </cell>
          <cell r="P589" t="str">
            <v>CERRILLOS</v>
          </cell>
          <cell r="Q589" t="str">
            <v>TRADICIONAL</v>
          </cell>
          <cell r="R589" t="str">
            <v>Mall - Santiago</v>
          </cell>
          <cell r="S589" t="str">
            <v>Mall Plaza</v>
          </cell>
          <cell r="T589" t="str">
            <v>Paletas</v>
          </cell>
          <cell r="U589">
            <v>1</v>
          </cell>
          <cell r="V589" t="str">
            <v>1.20 * 1.70</v>
          </cell>
        </row>
        <row r="590">
          <cell r="A590" t="str">
            <v>MAPO0009A</v>
          </cell>
          <cell r="B590" t="str">
            <v>Mall</v>
          </cell>
          <cell r="C590" t="str">
            <v>Mall Plaza</v>
          </cell>
          <cell r="D590" t="str">
            <v>NO VENDIBLE</v>
          </cell>
          <cell r="E590" t="str">
            <v>PALETA SUPER SCREEN</v>
          </cell>
          <cell r="F590" t="str">
            <v>1.20 * 1.70</v>
          </cell>
          <cell r="G590" t="str">
            <v>1.23 * 1.75</v>
          </cell>
          <cell r="H590" t="str">
            <v>E</v>
          </cell>
          <cell r="I590" t="str">
            <v>ESTACIONAMIENTOS</v>
          </cell>
          <cell r="J590">
            <v>0</v>
          </cell>
          <cell r="K590">
            <v>0</v>
          </cell>
          <cell r="L590">
            <v>300000</v>
          </cell>
          <cell r="M590" t="str">
            <v>MALL PLAZA OESTE</v>
          </cell>
          <cell r="O590" t="str">
            <v>Sí</v>
          </cell>
          <cell r="P590" t="str">
            <v>CERRILLOS</v>
          </cell>
          <cell r="Q590" t="str">
            <v>TRADICIONAL</v>
          </cell>
          <cell r="R590" t="str">
            <v>Mall - Santiago</v>
          </cell>
          <cell r="S590" t="str">
            <v>Mall Plaza</v>
          </cell>
          <cell r="T590" t="str">
            <v>Paletas</v>
          </cell>
          <cell r="U590">
            <v>1</v>
          </cell>
          <cell r="V590" t="str">
            <v>1.20 * 1.70</v>
          </cell>
        </row>
        <row r="591">
          <cell r="A591" t="str">
            <v>MAPO0009B</v>
          </cell>
          <cell r="B591" t="str">
            <v>Mall</v>
          </cell>
          <cell r="C591" t="str">
            <v>Mall Plaza</v>
          </cell>
          <cell r="D591" t="str">
            <v>NO VENDIBLE</v>
          </cell>
          <cell r="E591" t="str">
            <v>PALETA SUPER SCREEN</v>
          </cell>
          <cell r="F591" t="str">
            <v>1.20 * 1.70</v>
          </cell>
          <cell r="G591" t="str">
            <v>1.23 * 1.75</v>
          </cell>
          <cell r="H591" t="str">
            <v>E</v>
          </cell>
          <cell r="I591" t="str">
            <v>ESTACIONAMIENTOS</v>
          </cell>
          <cell r="J591">
            <v>0</v>
          </cell>
          <cell r="K591">
            <v>0</v>
          </cell>
          <cell r="L591">
            <v>300000</v>
          </cell>
          <cell r="M591" t="str">
            <v>MALL PLAZA OESTE</v>
          </cell>
          <cell r="O591" t="str">
            <v>Sí</v>
          </cell>
          <cell r="P591" t="str">
            <v>CERRILLOS</v>
          </cell>
          <cell r="Q591" t="str">
            <v>TRADICIONAL</v>
          </cell>
          <cell r="R591" t="str">
            <v>Mall - Santiago</v>
          </cell>
          <cell r="S591" t="str">
            <v>Mall Plaza</v>
          </cell>
          <cell r="T591" t="str">
            <v>Paletas</v>
          </cell>
          <cell r="U591">
            <v>1</v>
          </cell>
          <cell r="V591" t="str">
            <v>1.20 * 1.70</v>
          </cell>
        </row>
        <row r="592">
          <cell r="A592" t="str">
            <v>MAPO0012B</v>
          </cell>
          <cell r="B592" t="str">
            <v>Mall</v>
          </cell>
          <cell r="C592" t="str">
            <v>Mall Plaza</v>
          </cell>
          <cell r="D592" t="str">
            <v>NO VENDIBLE</v>
          </cell>
          <cell r="E592" t="str">
            <v>PALETA SUPER SCREEN</v>
          </cell>
          <cell r="F592" t="str">
            <v>1.20 * 1.70</v>
          </cell>
          <cell r="G592" t="str">
            <v>1.23 * 1.75</v>
          </cell>
          <cell r="H592" t="str">
            <v>E</v>
          </cell>
          <cell r="I592" t="str">
            <v>ESTACIONAMIENTOS</v>
          </cell>
          <cell r="J592">
            <v>0</v>
          </cell>
          <cell r="K592">
            <v>0</v>
          </cell>
          <cell r="L592">
            <v>300000</v>
          </cell>
          <cell r="M592" t="str">
            <v>MALL PLAZA OESTE</v>
          </cell>
          <cell r="O592" t="str">
            <v>Sí</v>
          </cell>
          <cell r="P592" t="str">
            <v>CERRILLOS</v>
          </cell>
          <cell r="Q592" t="str">
            <v>TRADICIONAL</v>
          </cell>
          <cell r="R592" t="str">
            <v>Mall - Santiago</v>
          </cell>
          <cell r="S592" t="str">
            <v>Mall Plaza</v>
          </cell>
          <cell r="T592" t="str">
            <v>Paletas</v>
          </cell>
          <cell r="U592">
            <v>1</v>
          </cell>
          <cell r="V592" t="str">
            <v>1.20 * 1.70</v>
          </cell>
        </row>
        <row r="593">
          <cell r="A593" t="str">
            <v>MAPO0013A</v>
          </cell>
          <cell r="B593" t="str">
            <v>Mall</v>
          </cell>
          <cell r="C593" t="str">
            <v>Mall Plaza</v>
          </cell>
          <cell r="D593" t="str">
            <v>Paletas</v>
          </cell>
          <cell r="E593" t="str">
            <v>INTERIOR</v>
          </cell>
          <cell r="F593" t="str">
            <v>1.10 * 1.53</v>
          </cell>
          <cell r="G593" t="str">
            <v>1.15 * 1.57</v>
          </cell>
          <cell r="H593" t="str">
            <v>Y</v>
          </cell>
          <cell r="I593" t="str">
            <v>INTERIOR PASILLO</v>
          </cell>
          <cell r="J593">
            <v>0</v>
          </cell>
          <cell r="K593">
            <v>0</v>
          </cell>
          <cell r="L593">
            <v>350000</v>
          </cell>
          <cell r="M593" t="str">
            <v>MALL PLAZA OESTE</v>
          </cell>
          <cell r="P593" t="str">
            <v>CERRILLOS</v>
          </cell>
          <cell r="Q593" t="str">
            <v>TRADICIONAL</v>
          </cell>
          <cell r="R593" t="str">
            <v>Mall - Santiago</v>
          </cell>
          <cell r="S593" t="str">
            <v>Mall Plaza</v>
          </cell>
          <cell r="T593" t="str">
            <v>Paletas</v>
          </cell>
          <cell r="U593">
            <v>1</v>
          </cell>
          <cell r="V593" t="str">
            <v>1.10 * 1.53</v>
          </cell>
        </row>
        <row r="594">
          <cell r="A594" t="str">
            <v>MAPO0013B</v>
          </cell>
          <cell r="B594" t="str">
            <v>Mall</v>
          </cell>
          <cell r="C594" t="str">
            <v>Mall Plaza</v>
          </cell>
          <cell r="D594" t="str">
            <v>Paletas</v>
          </cell>
          <cell r="E594" t="str">
            <v>INTERIOR</v>
          </cell>
          <cell r="F594" t="str">
            <v>1.10 * 1.53</v>
          </cell>
          <cell r="G594" t="str">
            <v>1.15 * 1.57</v>
          </cell>
          <cell r="H594" t="str">
            <v>Y</v>
          </cell>
          <cell r="I594" t="str">
            <v>INTERIOR PASILLO</v>
          </cell>
          <cell r="J594">
            <v>0</v>
          </cell>
          <cell r="K594">
            <v>0</v>
          </cell>
          <cell r="L594">
            <v>350000</v>
          </cell>
          <cell r="M594" t="str">
            <v>MALL PLAZA OESTE</v>
          </cell>
          <cell r="P594" t="str">
            <v>CERRILLOS</v>
          </cell>
          <cell r="Q594" t="str">
            <v>TRADICIONAL</v>
          </cell>
          <cell r="R594" t="str">
            <v>Mall - Santiago</v>
          </cell>
          <cell r="S594" t="str">
            <v>Mall Plaza</v>
          </cell>
          <cell r="T594" t="str">
            <v>Paletas</v>
          </cell>
          <cell r="U594">
            <v>1</v>
          </cell>
          <cell r="V594" t="str">
            <v>1.10 * 1.53</v>
          </cell>
        </row>
        <row r="595">
          <cell r="A595" t="str">
            <v>MAPO0014A</v>
          </cell>
          <cell r="B595" t="str">
            <v>Mall</v>
          </cell>
          <cell r="C595" t="str">
            <v>Mall Plaza</v>
          </cell>
          <cell r="D595" t="str">
            <v>Paletas</v>
          </cell>
          <cell r="E595" t="str">
            <v>INTERIOR</v>
          </cell>
          <cell r="F595" t="str">
            <v>1.10 * 1.53</v>
          </cell>
          <cell r="G595" t="str">
            <v>1.15 * 1.57</v>
          </cell>
          <cell r="H595" t="str">
            <v>Y</v>
          </cell>
          <cell r="I595" t="str">
            <v>INTERIOR PASILLO</v>
          </cell>
          <cell r="J595">
            <v>0</v>
          </cell>
          <cell r="K595">
            <v>0</v>
          </cell>
          <cell r="L595">
            <v>350000</v>
          </cell>
          <cell r="M595" t="str">
            <v>MALL PLAZA OESTE</v>
          </cell>
          <cell r="P595" t="str">
            <v>CERRILLOS</v>
          </cell>
          <cell r="Q595" t="str">
            <v>TRADICIONAL</v>
          </cell>
          <cell r="R595" t="str">
            <v>Mall - Santiago</v>
          </cell>
          <cell r="S595" t="str">
            <v>Mall Plaza</v>
          </cell>
          <cell r="T595" t="str">
            <v>Paletas</v>
          </cell>
          <cell r="U595">
            <v>1</v>
          </cell>
          <cell r="V595" t="str">
            <v>1.10 * 1.53</v>
          </cell>
        </row>
        <row r="596">
          <cell r="A596" t="str">
            <v>MAPO0014B</v>
          </cell>
          <cell r="B596" t="str">
            <v>Mall</v>
          </cell>
          <cell r="C596" t="str">
            <v>Mall Plaza</v>
          </cell>
          <cell r="D596" t="str">
            <v>Paletas</v>
          </cell>
          <cell r="E596" t="str">
            <v>INTERIOR</v>
          </cell>
          <cell r="F596" t="str">
            <v>1.10 * 1.53</v>
          </cell>
          <cell r="G596" t="str">
            <v>1.15 * 1.57</v>
          </cell>
          <cell r="H596" t="str">
            <v>Y</v>
          </cell>
          <cell r="I596" t="str">
            <v>INTERIOR PASILLO</v>
          </cell>
          <cell r="J596">
            <v>0</v>
          </cell>
          <cell r="K596">
            <v>0</v>
          </cell>
          <cell r="L596">
            <v>350000</v>
          </cell>
          <cell r="M596" t="str">
            <v>MALL PLAZA OESTE</v>
          </cell>
          <cell r="P596" t="str">
            <v>CERRILLOS</v>
          </cell>
          <cell r="Q596" t="str">
            <v>TRADICIONAL</v>
          </cell>
          <cell r="R596" t="str">
            <v>Mall - Santiago</v>
          </cell>
          <cell r="S596" t="str">
            <v>Mall Plaza</v>
          </cell>
          <cell r="T596" t="str">
            <v>Paletas</v>
          </cell>
          <cell r="U596">
            <v>1</v>
          </cell>
          <cell r="V596" t="str">
            <v>1.10 * 1.53</v>
          </cell>
        </row>
        <row r="597">
          <cell r="A597" t="str">
            <v>MAPO0018A</v>
          </cell>
          <cell r="B597" t="str">
            <v>Mall</v>
          </cell>
          <cell r="C597" t="str">
            <v>Mall Plaza</v>
          </cell>
          <cell r="D597" t="str">
            <v>Minipoles</v>
          </cell>
          <cell r="E597" t="str">
            <v>Minipoles</v>
          </cell>
          <cell r="F597" t="str">
            <v>2.80 * 1.30</v>
          </cell>
          <cell r="G597" t="str">
            <v>3.00 * 1.50</v>
          </cell>
          <cell r="H597" t="str">
            <v>E</v>
          </cell>
          <cell r="I597" t="str">
            <v>ESTACIONAMIENTOS</v>
          </cell>
          <cell r="J597">
            <v>0</v>
          </cell>
          <cell r="K597">
            <v>0</v>
          </cell>
          <cell r="L597">
            <v>540000</v>
          </cell>
          <cell r="M597" t="str">
            <v>MALL PLAZA OESTE</v>
          </cell>
          <cell r="P597" t="str">
            <v>CERRILLOS</v>
          </cell>
          <cell r="Q597" t="str">
            <v>TRADICIONAL</v>
          </cell>
          <cell r="R597" t="str">
            <v>Mall - Santiago</v>
          </cell>
          <cell r="S597" t="str">
            <v>Mall Plaza</v>
          </cell>
          <cell r="T597" t="str">
            <v>Minipoles</v>
          </cell>
          <cell r="U597">
            <v>1</v>
          </cell>
          <cell r="V597" t="str">
            <v>2.80 * 1.30</v>
          </cell>
        </row>
        <row r="598">
          <cell r="A598" t="str">
            <v>MAPO0018B</v>
          </cell>
          <cell r="B598" t="str">
            <v>Mall</v>
          </cell>
          <cell r="C598" t="str">
            <v>Mall Plaza</v>
          </cell>
          <cell r="D598" t="str">
            <v>Minipoles</v>
          </cell>
          <cell r="E598" t="str">
            <v>Minipoles</v>
          </cell>
          <cell r="F598" t="str">
            <v>2.80 * 1.30</v>
          </cell>
          <cell r="G598" t="str">
            <v>3.00 * 1.50</v>
          </cell>
          <cell r="H598" t="str">
            <v>E</v>
          </cell>
          <cell r="I598" t="str">
            <v>ESTACIONAMIENTOS</v>
          </cell>
          <cell r="J598">
            <v>0</v>
          </cell>
          <cell r="K598">
            <v>0</v>
          </cell>
          <cell r="L598">
            <v>540000</v>
          </cell>
          <cell r="M598" t="str">
            <v>MALL PLAZA OESTE</v>
          </cell>
          <cell r="P598" t="str">
            <v>CERRILLOS</v>
          </cell>
          <cell r="Q598" t="str">
            <v>TRADICIONAL</v>
          </cell>
          <cell r="R598" t="str">
            <v>Mall - Santiago</v>
          </cell>
          <cell r="S598" t="str">
            <v>Mall Plaza</v>
          </cell>
          <cell r="T598" t="str">
            <v>Minipoles</v>
          </cell>
          <cell r="U598">
            <v>1</v>
          </cell>
          <cell r="V598" t="str">
            <v>2.80 * 1.30</v>
          </cell>
        </row>
        <row r="599">
          <cell r="A599" t="str">
            <v>MAPO0019A</v>
          </cell>
          <cell r="B599" t="str">
            <v>Mall</v>
          </cell>
          <cell r="C599" t="str">
            <v>Mall Plaza</v>
          </cell>
          <cell r="D599" t="str">
            <v>NO VENDIBLE</v>
          </cell>
          <cell r="E599" t="str">
            <v>Minipoles</v>
          </cell>
          <cell r="F599" t="str">
            <v>2.80 * 1.30</v>
          </cell>
          <cell r="G599" t="str">
            <v>3.00 * 1.50</v>
          </cell>
          <cell r="H599" t="str">
            <v>E</v>
          </cell>
          <cell r="I599" t="str">
            <v>ESTACIONAMIENTOS</v>
          </cell>
          <cell r="J599">
            <v>0</v>
          </cell>
          <cell r="K599">
            <v>0</v>
          </cell>
          <cell r="L599">
            <v>540000</v>
          </cell>
          <cell r="M599" t="str">
            <v>MALL PLAZA OESTE</v>
          </cell>
          <cell r="O599" t="str">
            <v>Sí</v>
          </cell>
          <cell r="P599" t="str">
            <v>CERRILLOS</v>
          </cell>
          <cell r="Q599" t="str">
            <v>TRADICIONAL</v>
          </cell>
          <cell r="R599" t="str">
            <v>Mall - Santiago</v>
          </cell>
          <cell r="S599" t="str">
            <v>Mall Plaza</v>
          </cell>
          <cell r="T599" t="str">
            <v>Minipoles</v>
          </cell>
          <cell r="U599">
            <v>1</v>
          </cell>
          <cell r="V599" t="str">
            <v>2.80 * 1.30</v>
          </cell>
        </row>
        <row r="600">
          <cell r="A600" t="str">
            <v>MAPO0019B</v>
          </cell>
          <cell r="B600" t="str">
            <v>Mall</v>
          </cell>
          <cell r="C600" t="str">
            <v>Mall Plaza</v>
          </cell>
          <cell r="D600" t="str">
            <v>NO VENDIBLE</v>
          </cell>
          <cell r="E600" t="str">
            <v>Minipoles</v>
          </cell>
          <cell r="F600" t="str">
            <v>2.80 * 1.30</v>
          </cell>
          <cell r="G600" t="str">
            <v>3.00 * 1.50</v>
          </cell>
          <cell r="H600" t="str">
            <v>E</v>
          </cell>
          <cell r="I600" t="str">
            <v>ESTACIONAMIENTOS</v>
          </cell>
          <cell r="J600">
            <v>0</v>
          </cell>
          <cell r="K600">
            <v>0</v>
          </cell>
          <cell r="L600">
            <v>270000</v>
          </cell>
          <cell r="M600" t="str">
            <v>MALL PLAZA OESTE</v>
          </cell>
          <cell r="O600" t="str">
            <v>Sí</v>
          </cell>
          <cell r="P600" t="str">
            <v>CERRILLOS</v>
          </cell>
          <cell r="Q600" t="str">
            <v>TRADICIONAL</v>
          </cell>
          <cell r="R600" t="str">
            <v>Mall - Santiago</v>
          </cell>
          <cell r="S600" t="str">
            <v>Mall Plaza</v>
          </cell>
          <cell r="T600" t="str">
            <v>Minipoles</v>
          </cell>
          <cell r="U600">
            <v>1</v>
          </cell>
          <cell r="V600" t="str">
            <v>2.80 * 1.30</v>
          </cell>
        </row>
        <row r="601">
          <cell r="A601" t="str">
            <v>MAPO0020A</v>
          </cell>
          <cell r="B601" t="str">
            <v>Mall</v>
          </cell>
          <cell r="C601" t="str">
            <v>Mall Plaza</v>
          </cell>
          <cell r="D601" t="str">
            <v>P.E.: MAMPARA</v>
          </cell>
          <cell r="E601" t="str">
            <v>MAMPARA</v>
          </cell>
          <cell r="F601" t="str">
            <v>Ver Ficha</v>
          </cell>
          <cell r="G601" t="str">
            <v>Ver Ficha</v>
          </cell>
          <cell r="H601" t="str">
            <v>V</v>
          </cell>
          <cell r="I601" t="str">
            <v>ACCESO SALA DE V</v>
          </cell>
          <cell r="J601">
            <v>245000</v>
          </cell>
          <cell r="K601">
            <v>0</v>
          </cell>
          <cell r="L601">
            <v>3400000</v>
          </cell>
          <cell r="M601" t="str">
            <v>MALL PLAZA OESTE</v>
          </cell>
          <cell r="P601" t="str">
            <v>CERRILLOS</v>
          </cell>
          <cell r="Q601" t="str">
            <v>ESPECIAL</v>
          </cell>
          <cell r="R601" t="str">
            <v>Mall - Santiago</v>
          </cell>
          <cell r="S601" t="str">
            <v>Mall Plaza</v>
          </cell>
          <cell r="T601" t="str">
            <v>Productos Especiales</v>
          </cell>
          <cell r="U601">
            <v>1</v>
          </cell>
          <cell r="V601" t="str">
            <v>NA</v>
          </cell>
        </row>
        <row r="602">
          <cell r="A602" t="str">
            <v>MAPO0027I</v>
          </cell>
          <cell r="B602" t="str">
            <v>Mall</v>
          </cell>
          <cell r="C602" t="str">
            <v>Mall Plaza</v>
          </cell>
          <cell r="D602" t="str">
            <v>NO VENDIBLE</v>
          </cell>
          <cell r="E602" t="str">
            <v>Pantallas</v>
          </cell>
          <cell r="F602" t="str">
            <v>NA</v>
          </cell>
          <cell r="G602" t="str">
            <v>NA</v>
          </cell>
          <cell r="H602" t="str">
            <v>I</v>
          </cell>
          <cell r="I602" t="str">
            <v>LOTE 4 PANTALLAS</v>
          </cell>
          <cell r="J602">
            <v>0</v>
          </cell>
          <cell r="K602">
            <v>0</v>
          </cell>
          <cell r="L602">
            <v>500000</v>
          </cell>
          <cell r="M602" t="str">
            <v>MALL PLAZA OESTE</v>
          </cell>
          <cell r="O602" t="str">
            <v>Sí</v>
          </cell>
          <cell r="P602" t="str">
            <v>CERRILLOS</v>
          </cell>
          <cell r="Q602" t="str">
            <v>PANTALLA</v>
          </cell>
          <cell r="R602" t="str">
            <v>Mall - Santiago</v>
          </cell>
          <cell r="S602" t="str">
            <v>Mall Plaza Digital</v>
          </cell>
          <cell r="T602" t="str">
            <v>Pantallas Digitales</v>
          </cell>
          <cell r="U602">
            <v>1</v>
          </cell>
          <cell r="V602" t="str">
            <v>NA</v>
          </cell>
        </row>
        <row r="603">
          <cell r="A603" t="str">
            <v>MAPO0027J</v>
          </cell>
          <cell r="B603" t="str">
            <v>Mall</v>
          </cell>
          <cell r="C603" t="str">
            <v>Mall Plaza</v>
          </cell>
          <cell r="D603" t="str">
            <v>NO VENDIBLE</v>
          </cell>
          <cell r="E603" t="str">
            <v>Pantallas</v>
          </cell>
          <cell r="F603" t="str">
            <v>NA</v>
          </cell>
          <cell r="G603" t="str">
            <v>NA</v>
          </cell>
          <cell r="H603" t="str">
            <v>I</v>
          </cell>
          <cell r="I603" t="str">
            <v>LOTE 4 PANTALLAS</v>
          </cell>
          <cell r="J603">
            <v>0</v>
          </cell>
          <cell r="K603">
            <v>0</v>
          </cell>
          <cell r="L603">
            <v>500000</v>
          </cell>
          <cell r="M603" t="str">
            <v>MALL PLAZA OESTE</v>
          </cell>
          <cell r="O603" t="str">
            <v>Sí</v>
          </cell>
          <cell r="P603" t="str">
            <v>CERRILLOS</v>
          </cell>
          <cell r="Q603" t="str">
            <v>PANTALLA</v>
          </cell>
          <cell r="R603" t="str">
            <v>Mall - Santiago</v>
          </cell>
          <cell r="S603" t="str">
            <v>Mall Plaza Digital</v>
          </cell>
          <cell r="T603" t="str">
            <v>Pantallas Digitales</v>
          </cell>
          <cell r="U603">
            <v>1</v>
          </cell>
          <cell r="V603" t="str">
            <v>NA</v>
          </cell>
        </row>
        <row r="604">
          <cell r="A604" t="str">
            <v>MAPO0027K</v>
          </cell>
          <cell r="B604" t="str">
            <v>Mall</v>
          </cell>
          <cell r="C604" t="str">
            <v>Mall Plaza</v>
          </cell>
          <cell r="D604" t="str">
            <v>NO VENDIBLE</v>
          </cell>
          <cell r="E604" t="str">
            <v>Pantallas</v>
          </cell>
          <cell r="F604" t="str">
            <v>NA</v>
          </cell>
          <cell r="G604" t="str">
            <v>NA</v>
          </cell>
          <cell r="H604" t="str">
            <v>I</v>
          </cell>
          <cell r="I604" t="str">
            <v>LOTE 4 PANTALLAS</v>
          </cell>
          <cell r="J604">
            <v>0</v>
          </cell>
          <cell r="K604">
            <v>0</v>
          </cell>
          <cell r="L604">
            <v>500000</v>
          </cell>
          <cell r="M604" t="str">
            <v>MALL PLAZA OESTE</v>
          </cell>
          <cell r="O604" t="str">
            <v>Sí</v>
          </cell>
          <cell r="P604" t="str">
            <v>CERRILLOS</v>
          </cell>
          <cell r="Q604" t="str">
            <v>PANTALLA</v>
          </cell>
          <cell r="R604" t="str">
            <v>Mall - Santiago</v>
          </cell>
          <cell r="S604" t="str">
            <v>Mall Plaza Digital</v>
          </cell>
          <cell r="T604" t="str">
            <v>Pantallas Digitales</v>
          </cell>
          <cell r="U604">
            <v>1</v>
          </cell>
          <cell r="V604" t="str">
            <v>NA</v>
          </cell>
        </row>
        <row r="605">
          <cell r="A605" t="str">
            <v>MAPO0027L</v>
          </cell>
          <cell r="B605" t="str">
            <v>Mall</v>
          </cell>
          <cell r="C605" t="str">
            <v>Mall Plaza</v>
          </cell>
          <cell r="D605" t="str">
            <v>NO VENDIBLE</v>
          </cell>
          <cell r="E605" t="str">
            <v>Pantallas</v>
          </cell>
          <cell r="F605" t="str">
            <v>NA</v>
          </cell>
          <cell r="G605" t="str">
            <v>NA</v>
          </cell>
          <cell r="H605" t="str">
            <v>I</v>
          </cell>
          <cell r="I605" t="str">
            <v>LOTE 4 PANTALLAS</v>
          </cell>
          <cell r="J605">
            <v>0</v>
          </cell>
          <cell r="K605">
            <v>0</v>
          </cell>
          <cell r="L605">
            <v>500000</v>
          </cell>
          <cell r="M605" t="str">
            <v>MALL PLAZA OESTE</v>
          </cell>
          <cell r="O605" t="str">
            <v>Sí</v>
          </cell>
          <cell r="P605" t="str">
            <v>CERRILLOS</v>
          </cell>
          <cell r="Q605" t="str">
            <v>PANTALLA</v>
          </cell>
          <cell r="R605" t="str">
            <v>Mall - Santiago</v>
          </cell>
          <cell r="S605" t="str">
            <v>Mall Plaza Digital</v>
          </cell>
          <cell r="T605" t="str">
            <v>Pantallas Digitales</v>
          </cell>
          <cell r="U605">
            <v>1</v>
          </cell>
          <cell r="V605" t="str">
            <v>NA</v>
          </cell>
        </row>
        <row r="606">
          <cell r="A606" t="str">
            <v>MAPO0027M</v>
          </cell>
          <cell r="B606" t="str">
            <v>Mall</v>
          </cell>
          <cell r="C606" t="str">
            <v>Mall Plaza</v>
          </cell>
          <cell r="D606" t="str">
            <v>NO VENDIBLE</v>
          </cell>
          <cell r="E606" t="str">
            <v>Pantallas</v>
          </cell>
          <cell r="F606" t="str">
            <v>NA</v>
          </cell>
          <cell r="G606" t="str">
            <v>NA</v>
          </cell>
          <cell r="H606" t="str">
            <v>I</v>
          </cell>
          <cell r="I606" t="str">
            <v>LOTE 4 PANTALLAS</v>
          </cell>
          <cell r="J606">
            <v>0</v>
          </cell>
          <cell r="K606">
            <v>0</v>
          </cell>
          <cell r="L606">
            <v>500000</v>
          </cell>
          <cell r="M606" t="str">
            <v>MALL PLAZA OESTE</v>
          </cell>
          <cell r="O606" t="str">
            <v>Sí</v>
          </cell>
          <cell r="P606" t="str">
            <v>CERRILLOS</v>
          </cell>
          <cell r="Q606" t="str">
            <v>PANTALLA</v>
          </cell>
          <cell r="R606" t="str">
            <v>Mall - Santiago</v>
          </cell>
          <cell r="S606" t="str">
            <v>Mall Plaza Digital</v>
          </cell>
          <cell r="T606" t="str">
            <v>Pantallas Digitales</v>
          </cell>
          <cell r="U606">
            <v>1</v>
          </cell>
          <cell r="V606" t="str">
            <v>NA</v>
          </cell>
        </row>
        <row r="607">
          <cell r="A607" t="str">
            <v>MAPO0027N</v>
          </cell>
          <cell r="B607" t="str">
            <v>Mall</v>
          </cell>
          <cell r="C607" t="str">
            <v>Mall Plaza</v>
          </cell>
          <cell r="D607" t="str">
            <v>NO VENDIBLE</v>
          </cell>
          <cell r="E607" t="str">
            <v>Pantallas</v>
          </cell>
          <cell r="F607" t="str">
            <v>NA</v>
          </cell>
          <cell r="G607" t="str">
            <v>NA</v>
          </cell>
          <cell r="H607" t="str">
            <v>I</v>
          </cell>
          <cell r="I607" t="str">
            <v>LOTE 4 PANTALLAS</v>
          </cell>
          <cell r="J607">
            <v>0</v>
          </cell>
          <cell r="K607">
            <v>0</v>
          </cell>
          <cell r="L607">
            <v>500000</v>
          </cell>
          <cell r="M607" t="str">
            <v>MALL PLAZA OESTE</v>
          </cell>
          <cell r="O607" t="str">
            <v>Sí</v>
          </cell>
          <cell r="P607" t="str">
            <v>CERRILLOS</v>
          </cell>
          <cell r="Q607" t="str">
            <v>PANTALLA</v>
          </cell>
          <cell r="R607" t="str">
            <v>Mall - Santiago</v>
          </cell>
          <cell r="S607" t="str">
            <v>Mall Plaza Digital</v>
          </cell>
          <cell r="T607" t="str">
            <v>Pantallas Digitales</v>
          </cell>
          <cell r="U607">
            <v>1</v>
          </cell>
          <cell r="V607" t="str">
            <v>NA</v>
          </cell>
        </row>
        <row r="608">
          <cell r="A608" t="str">
            <v>MAPO0027Ñ</v>
          </cell>
          <cell r="B608" t="str">
            <v>Mall</v>
          </cell>
          <cell r="C608" t="str">
            <v>Mall Plaza</v>
          </cell>
          <cell r="D608" t="str">
            <v>NO VENDIBLE</v>
          </cell>
          <cell r="E608" t="str">
            <v>Pantallas</v>
          </cell>
          <cell r="F608" t="str">
            <v>NA</v>
          </cell>
          <cell r="G608" t="str">
            <v>NA</v>
          </cell>
          <cell r="H608" t="str">
            <v>I</v>
          </cell>
          <cell r="I608" t="str">
            <v>LOTE 4 PANTALLAS</v>
          </cell>
          <cell r="J608">
            <v>0</v>
          </cell>
          <cell r="K608">
            <v>0</v>
          </cell>
          <cell r="L608">
            <v>500000</v>
          </cell>
          <cell r="M608" t="str">
            <v>MALL PLAZA OESTE</v>
          </cell>
          <cell r="O608" t="str">
            <v>Sí</v>
          </cell>
          <cell r="P608" t="str">
            <v>CERRILLOS</v>
          </cell>
          <cell r="Q608" t="str">
            <v>PANTALLA</v>
          </cell>
          <cell r="R608" t="str">
            <v>Mall - Santiago</v>
          </cell>
          <cell r="S608" t="str">
            <v>Mall Plaza Digital</v>
          </cell>
          <cell r="T608" t="str">
            <v>Pantallas Digitales</v>
          </cell>
          <cell r="U608">
            <v>1</v>
          </cell>
          <cell r="V608" t="str">
            <v>NA</v>
          </cell>
        </row>
        <row r="609">
          <cell r="A609" t="str">
            <v>MAPO0028A</v>
          </cell>
          <cell r="B609" t="str">
            <v>Mall</v>
          </cell>
          <cell r="C609" t="str">
            <v>Mall Plaza</v>
          </cell>
          <cell r="D609" t="str">
            <v>Paletas</v>
          </cell>
          <cell r="E609" t="str">
            <v>INTERIOR</v>
          </cell>
          <cell r="F609" t="str">
            <v>1.10 * 1.53</v>
          </cell>
          <cell r="G609" t="str">
            <v>1.15 * 1.57</v>
          </cell>
          <cell r="H609" t="str">
            <v>Y</v>
          </cell>
          <cell r="I609" t="str">
            <v>INTERIOR PASILLO</v>
          </cell>
          <cell r="J609">
            <v>0</v>
          </cell>
          <cell r="K609">
            <v>0</v>
          </cell>
          <cell r="L609">
            <v>350000</v>
          </cell>
          <cell r="M609" t="str">
            <v>MALL PLAZA OESTE</v>
          </cell>
          <cell r="P609" t="str">
            <v>CERRILLOS</v>
          </cell>
          <cell r="Q609" t="str">
            <v>TRADICIONAL</v>
          </cell>
          <cell r="R609" t="str">
            <v>Mall - Santiago</v>
          </cell>
          <cell r="S609" t="str">
            <v>Mall Plaza</v>
          </cell>
          <cell r="T609" t="str">
            <v>Paletas</v>
          </cell>
          <cell r="U609">
            <v>1</v>
          </cell>
          <cell r="V609" t="str">
            <v>1.10 * 1.53</v>
          </cell>
        </row>
        <row r="610">
          <cell r="A610" t="str">
            <v>MAPO0028B</v>
          </cell>
          <cell r="B610" t="str">
            <v>Mall</v>
          </cell>
          <cell r="C610" t="str">
            <v>Mall Plaza</v>
          </cell>
          <cell r="D610" t="str">
            <v>Paletas</v>
          </cell>
          <cell r="E610" t="str">
            <v>INTERIOR</v>
          </cell>
          <cell r="F610" t="str">
            <v>1.10 * 1.53</v>
          </cell>
          <cell r="G610" t="str">
            <v>1.15 * 1.57</v>
          </cell>
          <cell r="H610" t="str">
            <v>Y</v>
          </cell>
          <cell r="I610" t="str">
            <v>INTERIOR PASILLO</v>
          </cell>
          <cell r="J610">
            <v>0</v>
          </cell>
          <cell r="K610">
            <v>0</v>
          </cell>
          <cell r="L610">
            <v>350000</v>
          </cell>
          <cell r="M610" t="str">
            <v>MALL PLAZA OESTE</v>
          </cell>
          <cell r="P610" t="str">
            <v>CERRILLOS</v>
          </cell>
          <cell r="Q610" t="str">
            <v>TRADICIONAL</v>
          </cell>
          <cell r="R610" t="str">
            <v>Mall - Santiago</v>
          </cell>
          <cell r="S610" t="str">
            <v>Mall Plaza</v>
          </cell>
          <cell r="T610" t="str">
            <v>Paletas</v>
          </cell>
          <cell r="U610">
            <v>1</v>
          </cell>
          <cell r="V610" t="str">
            <v>1.10 * 1.53</v>
          </cell>
        </row>
        <row r="611">
          <cell r="A611" t="str">
            <v>MAPT0001A</v>
          </cell>
          <cell r="B611" t="str">
            <v>Mall</v>
          </cell>
          <cell r="C611" t="str">
            <v>Mall Plaza</v>
          </cell>
          <cell r="D611" t="str">
            <v>Paletas</v>
          </cell>
          <cell r="E611" t="str">
            <v>PALETA SUPER SCREEN</v>
          </cell>
          <cell r="F611" t="str">
            <v>1.20 * 1.70</v>
          </cell>
          <cell r="G611" t="str">
            <v>1.23 * 1.75</v>
          </cell>
          <cell r="H611" t="str">
            <v>E</v>
          </cell>
          <cell r="I611" t="str">
            <v>ESTACIONAMIENTOS</v>
          </cell>
          <cell r="J611">
            <v>0</v>
          </cell>
          <cell r="K611">
            <v>0</v>
          </cell>
          <cell r="L611">
            <v>300000</v>
          </cell>
          <cell r="M611" t="str">
            <v>MALL PLAZA DEL TREBOL</v>
          </cell>
          <cell r="P611" t="str">
            <v>CONCEPCION</v>
          </cell>
          <cell r="Q611" t="str">
            <v>TRADICIONAL</v>
          </cell>
          <cell r="R611" t="str">
            <v>Mall - Sur</v>
          </cell>
          <cell r="S611" t="str">
            <v>Mall Plaza</v>
          </cell>
          <cell r="T611" t="str">
            <v>Paletas</v>
          </cell>
          <cell r="U611">
            <v>1</v>
          </cell>
          <cell r="V611" t="str">
            <v>1.20 * 1.70</v>
          </cell>
        </row>
        <row r="612">
          <cell r="A612" t="str">
            <v>MAPT0001B</v>
          </cell>
          <cell r="B612" t="str">
            <v>Mall</v>
          </cell>
          <cell r="C612" t="str">
            <v>Mall Plaza</v>
          </cell>
          <cell r="D612" t="str">
            <v>Paletas</v>
          </cell>
          <cell r="E612" t="str">
            <v>PALETA SUPER SCREEN</v>
          </cell>
          <cell r="F612" t="str">
            <v>1.20 * 1.70</v>
          </cell>
          <cell r="G612" t="str">
            <v>1.23 * 1.75</v>
          </cell>
          <cell r="H612" t="str">
            <v>E</v>
          </cell>
          <cell r="I612" t="str">
            <v>ESTACIONAMIENTOS</v>
          </cell>
          <cell r="J612">
            <v>0</v>
          </cell>
          <cell r="K612">
            <v>0</v>
          </cell>
          <cell r="L612">
            <v>150000</v>
          </cell>
          <cell r="M612" t="str">
            <v>MALL PLAZA DEL TREBOL</v>
          </cell>
          <cell r="P612" t="str">
            <v>CONCEPCION</v>
          </cell>
          <cell r="Q612" t="str">
            <v>TRADICIONAL</v>
          </cell>
          <cell r="R612" t="str">
            <v>Mall - Sur</v>
          </cell>
          <cell r="S612" t="str">
            <v>Mall Plaza</v>
          </cell>
          <cell r="T612" t="str">
            <v>Paletas</v>
          </cell>
          <cell r="U612">
            <v>1</v>
          </cell>
          <cell r="V612" t="str">
            <v>1.20 * 1.70</v>
          </cell>
        </row>
        <row r="613">
          <cell r="A613" t="str">
            <v>MAPT0002A</v>
          </cell>
          <cell r="B613" t="str">
            <v>Mall</v>
          </cell>
          <cell r="C613" t="str">
            <v>Mall Plaza</v>
          </cell>
          <cell r="D613" t="str">
            <v>Paletas</v>
          </cell>
          <cell r="E613" t="str">
            <v>PALETA SUPER SCREEN</v>
          </cell>
          <cell r="F613" t="str">
            <v>1.20 * 1.70</v>
          </cell>
          <cell r="G613" t="str">
            <v>1.23 * 1.75</v>
          </cell>
          <cell r="H613" t="str">
            <v>E</v>
          </cell>
          <cell r="I613" t="str">
            <v>ESTACIONAMIENTOS</v>
          </cell>
          <cell r="J613">
            <v>0</v>
          </cell>
          <cell r="K613">
            <v>0</v>
          </cell>
          <cell r="L613">
            <v>300000</v>
          </cell>
          <cell r="M613" t="str">
            <v>MALL PLAZA DEL TREBOL</v>
          </cell>
          <cell r="P613" t="str">
            <v>CONCEPCION</v>
          </cell>
          <cell r="Q613" t="str">
            <v>TRADICIONAL</v>
          </cell>
          <cell r="R613" t="str">
            <v>Mall - Sur</v>
          </cell>
          <cell r="S613" t="str">
            <v>Mall Plaza</v>
          </cell>
          <cell r="T613" t="str">
            <v>Paletas</v>
          </cell>
          <cell r="U613">
            <v>1</v>
          </cell>
          <cell r="V613" t="str">
            <v>1.20 * 1.70</v>
          </cell>
        </row>
        <row r="614">
          <cell r="A614" t="str">
            <v>MAPT0002B</v>
          </cell>
          <cell r="B614" t="str">
            <v>Mall</v>
          </cell>
          <cell r="C614" t="str">
            <v>Mall Plaza</v>
          </cell>
          <cell r="D614" t="str">
            <v>Paletas</v>
          </cell>
          <cell r="E614" t="str">
            <v>PALETA SUPER SCREEN</v>
          </cell>
          <cell r="F614" t="str">
            <v>1.20 * 1.70</v>
          </cell>
          <cell r="G614" t="str">
            <v>1.23 * 1.75</v>
          </cell>
          <cell r="H614" t="str">
            <v>E</v>
          </cell>
          <cell r="I614" t="str">
            <v>ESTACIONAMIENTOS</v>
          </cell>
          <cell r="J614">
            <v>0</v>
          </cell>
          <cell r="K614">
            <v>0</v>
          </cell>
          <cell r="L614">
            <v>150000</v>
          </cell>
          <cell r="M614" t="str">
            <v>MALL PLAZA DEL TREBOL</v>
          </cell>
          <cell r="P614" t="str">
            <v>CONCEPCION</v>
          </cell>
          <cell r="Q614" t="str">
            <v>TRADICIONAL</v>
          </cell>
          <cell r="R614" t="str">
            <v>Mall - Sur</v>
          </cell>
          <cell r="S614" t="str">
            <v>Mall Plaza</v>
          </cell>
          <cell r="T614" t="str">
            <v>Paletas</v>
          </cell>
          <cell r="U614">
            <v>1</v>
          </cell>
          <cell r="V614" t="str">
            <v>1.20 * 1.70</v>
          </cell>
        </row>
        <row r="615">
          <cell r="A615" t="str">
            <v>MAPT0003A</v>
          </cell>
          <cell r="B615" t="str">
            <v>Mall</v>
          </cell>
          <cell r="C615" t="str">
            <v>Mall Plaza</v>
          </cell>
          <cell r="D615" t="str">
            <v>Paletas</v>
          </cell>
          <cell r="E615" t="str">
            <v>PALETA SUPER SCREEN</v>
          </cell>
          <cell r="F615" t="str">
            <v>1.20 * 1.70</v>
          </cell>
          <cell r="G615" t="str">
            <v>1.23 * 1.75</v>
          </cell>
          <cell r="H615" t="str">
            <v>E</v>
          </cell>
          <cell r="I615" t="str">
            <v>ESTACIONAMIENTOS</v>
          </cell>
          <cell r="J615">
            <v>0</v>
          </cell>
          <cell r="K615">
            <v>0</v>
          </cell>
          <cell r="L615">
            <v>300000</v>
          </cell>
          <cell r="M615" t="str">
            <v>MALL PLAZA DEL TREBOL</v>
          </cell>
          <cell r="P615" t="str">
            <v>CONCEPCION</v>
          </cell>
          <cell r="Q615" t="str">
            <v>TRADICIONAL</v>
          </cell>
          <cell r="R615" t="str">
            <v>Mall - Sur</v>
          </cell>
          <cell r="S615" t="str">
            <v>Mall Plaza</v>
          </cell>
          <cell r="T615" t="str">
            <v>Paletas</v>
          </cell>
          <cell r="U615">
            <v>1</v>
          </cell>
          <cell r="V615" t="str">
            <v>1.20 * 1.70</v>
          </cell>
        </row>
        <row r="616">
          <cell r="A616" t="str">
            <v>MAPT0003B</v>
          </cell>
          <cell r="B616" t="str">
            <v>Mall</v>
          </cell>
          <cell r="C616" t="str">
            <v>Mall Plaza</v>
          </cell>
          <cell r="D616" t="str">
            <v>Paletas</v>
          </cell>
          <cell r="E616" t="str">
            <v>PALETA SUPER SCREEN</v>
          </cell>
          <cell r="F616" t="str">
            <v>1.20 * 1.70</v>
          </cell>
          <cell r="G616" t="str">
            <v>1.23 * 1.75</v>
          </cell>
          <cell r="H616" t="str">
            <v>E</v>
          </cell>
          <cell r="I616" t="str">
            <v>ESTACIONAMIENTOS</v>
          </cell>
          <cell r="J616">
            <v>0</v>
          </cell>
          <cell r="K616">
            <v>0</v>
          </cell>
          <cell r="L616">
            <v>300000</v>
          </cell>
          <cell r="M616" t="str">
            <v>MALL PLAZA DEL TREBOL</v>
          </cell>
          <cell r="P616" t="str">
            <v>CONCEPCION</v>
          </cell>
          <cell r="Q616" t="str">
            <v>TRADICIONAL</v>
          </cell>
          <cell r="R616" t="str">
            <v>Mall - Sur</v>
          </cell>
          <cell r="S616" t="str">
            <v>Mall Plaza</v>
          </cell>
          <cell r="T616" t="str">
            <v>Paletas</v>
          </cell>
          <cell r="U616">
            <v>1</v>
          </cell>
          <cell r="V616" t="str">
            <v>1.20 * 1.70</v>
          </cell>
        </row>
        <row r="617">
          <cell r="A617" t="str">
            <v>MAPT0004A</v>
          </cell>
          <cell r="B617" t="str">
            <v>Mall</v>
          </cell>
          <cell r="C617" t="str">
            <v>Mall Plaza</v>
          </cell>
          <cell r="D617" t="str">
            <v>Paletas</v>
          </cell>
          <cell r="E617" t="str">
            <v>PALETA SUPER SCREEN</v>
          </cell>
          <cell r="F617" t="str">
            <v>1.20 * 1.70</v>
          </cell>
          <cell r="G617" t="str">
            <v>1.23 * 1.75</v>
          </cell>
          <cell r="H617" t="str">
            <v>E</v>
          </cell>
          <cell r="I617" t="str">
            <v>ESTACIONAMIENTOS</v>
          </cell>
          <cell r="J617">
            <v>0</v>
          </cell>
          <cell r="K617">
            <v>0</v>
          </cell>
          <cell r="L617">
            <v>150000</v>
          </cell>
          <cell r="M617" t="str">
            <v>MALL PLAZA DEL TREBOL</v>
          </cell>
          <cell r="P617" t="str">
            <v>CONCEPCION</v>
          </cell>
          <cell r="Q617" t="str">
            <v>TRADICIONAL</v>
          </cell>
          <cell r="R617" t="str">
            <v>Mall - Sur</v>
          </cell>
          <cell r="S617" t="str">
            <v>Mall Plaza</v>
          </cell>
          <cell r="T617" t="str">
            <v>Paletas</v>
          </cell>
          <cell r="U617">
            <v>1</v>
          </cell>
          <cell r="V617" t="str">
            <v>1.20 * 1.70</v>
          </cell>
        </row>
        <row r="618">
          <cell r="A618" t="str">
            <v>MAPT0004B</v>
          </cell>
          <cell r="B618" t="str">
            <v>Mall</v>
          </cell>
          <cell r="C618" t="str">
            <v>Mall Plaza</v>
          </cell>
          <cell r="D618" t="str">
            <v>Paletas</v>
          </cell>
          <cell r="E618" t="str">
            <v>PALETA SUPER SCREEN</v>
          </cell>
          <cell r="F618" t="str">
            <v>1.20 * 1.70</v>
          </cell>
          <cell r="G618" t="str">
            <v>1.23 * 1.75</v>
          </cell>
          <cell r="H618" t="str">
            <v>E</v>
          </cell>
          <cell r="I618" t="str">
            <v>ESTACIONAMIENTOS</v>
          </cell>
          <cell r="J618">
            <v>0</v>
          </cell>
          <cell r="K618">
            <v>0</v>
          </cell>
          <cell r="L618">
            <v>150000</v>
          </cell>
          <cell r="M618" t="str">
            <v>MALL PLAZA DEL TREBOL</v>
          </cell>
          <cell r="P618" t="str">
            <v>CONCEPCION</v>
          </cell>
          <cell r="Q618" t="str">
            <v>TRADICIONAL</v>
          </cell>
          <cell r="R618" t="str">
            <v>Mall - Sur</v>
          </cell>
          <cell r="S618" t="str">
            <v>Mall Plaza</v>
          </cell>
          <cell r="T618" t="str">
            <v>Paletas</v>
          </cell>
          <cell r="U618">
            <v>1</v>
          </cell>
          <cell r="V618" t="str">
            <v>1.20 * 1.70</v>
          </cell>
        </row>
        <row r="619">
          <cell r="A619" t="str">
            <v>MAPT0005A</v>
          </cell>
          <cell r="B619" t="str">
            <v>Mall</v>
          </cell>
          <cell r="C619" t="str">
            <v>Mall Plaza</v>
          </cell>
          <cell r="D619" t="str">
            <v>Paletas</v>
          </cell>
          <cell r="E619" t="str">
            <v>PALETA SUPER SCREEN</v>
          </cell>
          <cell r="F619" t="str">
            <v>1.20 * 1.70</v>
          </cell>
          <cell r="G619" t="str">
            <v>1.23 * 1.75</v>
          </cell>
          <cell r="H619" t="str">
            <v>E</v>
          </cell>
          <cell r="I619" t="str">
            <v>ESTACIONAMIENTOS</v>
          </cell>
          <cell r="J619">
            <v>0</v>
          </cell>
          <cell r="K619">
            <v>0</v>
          </cell>
          <cell r="L619">
            <v>300000</v>
          </cell>
          <cell r="M619" t="str">
            <v>MALL PLAZA DEL TREBOL</v>
          </cell>
          <cell r="P619" t="str">
            <v>CONCEPCION</v>
          </cell>
          <cell r="Q619" t="str">
            <v>TRADICIONAL</v>
          </cell>
          <cell r="R619" t="str">
            <v>Mall - Sur</v>
          </cell>
          <cell r="S619" t="str">
            <v>Mall Plaza</v>
          </cell>
          <cell r="T619" t="str">
            <v>Paletas</v>
          </cell>
          <cell r="U619">
            <v>1</v>
          </cell>
          <cell r="V619" t="str">
            <v>1.20 * 1.70</v>
          </cell>
        </row>
        <row r="620">
          <cell r="A620" t="str">
            <v>MAPT0005B</v>
          </cell>
          <cell r="B620" t="str">
            <v>Mall</v>
          </cell>
          <cell r="C620" t="str">
            <v>Mall Plaza</v>
          </cell>
          <cell r="D620" t="str">
            <v>NO VENDIBLE</v>
          </cell>
          <cell r="E620" t="str">
            <v>PALETA SUPER SCREEN</v>
          </cell>
          <cell r="F620" t="str">
            <v>1.20 * 1.70</v>
          </cell>
          <cell r="G620" t="str">
            <v>1.23 * 1.75</v>
          </cell>
          <cell r="H620" t="str">
            <v>E</v>
          </cell>
          <cell r="I620" t="str">
            <v>ESTACIONAMIENTOS</v>
          </cell>
          <cell r="J620">
            <v>0</v>
          </cell>
          <cell r="K620">
            <v>0</v>
          </cell>
          <cell r="L620">
            <v>300000</v>
          </cell>
          <cell r="M620" t="str">
            <v>MALL PLAZA DEL TREBOL</v>
          </cell>
          <cell r="O620" t="str">
            <v>Sí</v>
          </cell>
          <cell r="P620" t="str">
            <v>CONCEPCION</v>
          </cell>
          <cell r="Q620" t="str">
            <v>TRADICIONAL</v>
          </cell>
          <cell r="R620" t="str">
            <v>Mall - Sur</v>
          </cell>
          <cell r="S620" t="str">
            <v>Mall Plaza</v>
          </cell>
          <cell r="T620" t="str">
            <v>Paletas</v>
          </cell>
          <cell r="U620">
            <v>1</v>
          </cell>
          <cell r="V620" t="str">
            <v>1.20 * 1.70</v>
          </cell>
        </row>
        <row r="621">
          <cell r="A621" t="str">
            <v>MAPT0006A</v>
          </cell>
          <cell r="B621" t="str">
            <v>Mall</v>
          </cell>
          <cell r="C621" t="str">
            <v>Mall Plaza</v>
          </cell>
          <cell r="D621" t="str">
            <v>Paletas</v>
          </cell>
          <cell r="E621" t="str">
            <v>PALETA SUPER SCREEN</v>
          </cell>
          <cell r="F621" t="str">
            <v>1.20 * 1.70</v>
          </cell>
          <cell r="G621" t="str">
            <v>1.23 * 1.75</v>
          </cell>
          <cell r="H621" t="str">
            <v>E</v>
          </cell>
          <cell r="I621" t="str">
            <v>ESTACIONAMIENTOS</v>
          </cell>
          <cell r="J621">
            <v>0</v>
          </cell>
          <cell r="K621">
            <v>0</v>
          </cell>
          <cell r="L621">
            <v>150000</v>
          </cell>
          <cell r="M621" t="str">
            <v>MALL PLAZA DEL TREBOL</v>
          </cell>
          <cell r="P621" t="str">
            <v>CONCEPCION</v>
          </cell>
          <cell r="Q621" t="str">
            <v>TRADICIONAL</v>
          </cell>
          <cell r="R621" t="str">
            <v>Mall - Sur</v>
          </cell>
          <cell r="S621" t="str">
            <v>Mall Plaza</v>
          </cell>
          <cell r="T621" t="str">
            <v>Paletas</v>
          </cell>
          <cell r="U621">
            <v>1</v>
          </cell>
          <cell r="V621" t="str">
            <v>1.20 * 1.70</v>
          </cell>
        </row>
        <row r="622">
          <cell r="A622" t="str">
            <v>MAPT0006B</v>
          </cell>
          <cell r="B622" t="str">
            <v>Mall</v>
          </cell>
          <cell r="C622" t="str">
            <v>Mall Plaza</v>
          </cell>
          <cell r="D622" t="str">
            <v>Paletas</v>
          </cell>
          <cell r="E622" t="str">
            <v>PALETA SUPER SCREEN</v>
          </cell>
          <cell r="F622" t="str">
            <v>1.20 * 1.70</v>
          </cell>
          <cell r="G622" t="str">
            <v>1.23 * 1.75</v>
          </cell>
          <cell r="H622" t="str">
            <v>E</v>
          </cell>
          <cell r="I622" t="str">
            <v>ESTACIONAMIENTOS</v>
          </cell>
          <cell r="J622">
            <v>0</v>
          </cell>
          <cell r="K622">
            <v>0</v>
          </cell>
          <cell r="L622">
            <v>300000</v>
          </cell>
          <cell r="M622" t="str">
            <v>MALL PLAZA DEL TREBOL</v>
          </cell>
          <cell r="P622" t="str">
            <v>CONCEPCION</v>
          </cell>
          <cell r="Q622" t="str">
            <v>TRADICIONAL</v>
          </cell>
          <cell r="R622" t="str">
            <v>Mall - Sur</v>
          </cell>
          <cell r="S622" t="str">
            <v>Mall Plaza</v>
          </cell>
          <cell r="T622" t="str">
            <v>Paletas</v>
          </cell>
          <cell r="U622">
            <v>1</v>
          </cell>
          <cell r="V622" t="str">
            <v>1.20 * 1.70</v>
          </cell>
        </row>
        <row r="623">
          <cell r="A623" t="str">
            <v>MAPT0007A</v>
          </cell>
          <cell r="B623" t="str">
            <v>Mall</v>
          </cell>
          <cell r="C623" t="str">
            <v>Mall Plaza</v>
          </cell>
          <cell r="D623" t="str">
            <v>Paletas</v>
          </cell>
          <cell r="E623" t="str">
            <v>PALETA SUPER SCREEN</v>
          </cell>
          <cell r="F623" t="str">
            <v>1.20 * 1.70</v>
          </cell>
          <cell r="G623" t="str">
            <v>1.23 * 1.75</v>
          </cell>
          <cell r="H623" t="str">
            <v>E</v>
          </cell>
          <cell r="I623" t="str">
            <v>ESTACIONAMIENTOS</v>
          </cell>
          <cell r="J623">
            <v>0</v>
          </cell>
          <cell r="K623">
            <v>0</v>
          </cell>
          <cell r="L623">
            <v>150000</v>
          </cell>
          <cell r="M623" t="str">
            <v>MALL PLAZA DEL TREBOL</v>
          </cell>
          <cell r="P623" t="str">
            <v>CONCEPCION</v>
          </cell>
          <cell r="Q623" t="str">
            <v>TRADICIONAL</v>
          </cell>
          <cell r="R623" t="str">
            <v>Mall - Sur</v>
          </cell>
          <cell r="S623" t="str">
            <v>Mall Plaza</v>
          </cell>
          <cell r="T623" t="str">
            <v>Paletas</v>
          </cell>
          <cell r="U623">
            <v>1</v>
          </cell>
          <cell r="V623" t="str">
            <v>1.20 * 1.70</v>
          </cell>
        </row>
        <row r="624">
          <cell r="A624" t="str">
            <v>MAPT0007B</v>
          </cell>
          <cell r="B624" t="str">
            <v>Mall</v>
          </cell>
          <cell r="C624" t="str">
            <v>Mall Plaza</v>
          </cell>
          <cell r="D624" t="str">
            <v>Paletas</v>
          </cell>
          <cell r="E624" t="str">
            <v>PALETA SUPER SCREEN</v>
          </cell>
          <cell r="F624" t="str">
            <v>1.20 * 1.70</v>
          </cell>
          <cell r="G624" t="str">
            <v>1.23 * 1.75</v>
          </cell>
          <cell r="H624" t="str">
            <v>E</v>
          </cell>
          <cell r="I624" t="str">
            <v>ESTACIONAMIENTOS</v>
          </cell>
          <cell r="J624">
            <v>0</v>
          </cell>
          <cell r="K624">
            <v>0</v>
          </cell>
          <cell r="L624">
            <v>300000</v>
          </cell>
          <cell r="M624" t="str">
            <v>MALL PLAZA DEL TREBOL</v>
          </cell>
          <cell r="P624" t="str">
            <v>CONCEPCION</v>
          </cell>
          <cell r="Q624" t="str">
            <v>TRADICIONAL</v>
          </cell>
          <cell r="R624" t="str">
            <v>Mall - Sur</v>
          </cell>
          <cell r="S624" t="str">
            <v>Mall Plaza</v>
          </cell>
          <cell r="T624" t="str">
            <v>Paletas</v>
          </cell>
          <cell r="U624">
            <v>1</v>
          </cell>
          <cell r="V624" t="str">
            <v>1.20 * 1.70</v>
          </cell>
        </row>
        <row r="625">
          <cell r="A625" t="str">
            <v>MAPT0008A</v>
          </cell>
          <cell r="B625" t="str">
            <v>Mall</v>
          </cell>
          <cell r="C625" t="str">
            <v>Mall Plaza</v>
          </cell>
          <cell r="D625" t="str">
            <v>Paletas</v>
          </cell>
          <cell r="E625" t="str">
            <v>PALETA SUPER SCREEN</v>
          </cell>
          <cell r="F625" t="str">
            <v>1.20 * 1.70</v>
          </cell>
          <cell r="G625" t="str">
            <v>1.23 * 1.75</v>
          </cell>
          <cell r="H625" t="str">
            <v>E</v>
          </cell>
          <cell r="I625" t="str">
            <v>ESTACIONAMIENTOS</v>
          </cell>
          <cell r="J625">
            <v>0</v>
          </cell>
          <cell r="K625">
            <v>0</v>
          </cell>
          <cell r="L625">
            <v>300000</v>
          </cell>
          <cell r="M625" t="str">
            <v>MALL PLAZA DEL TREBOL</v>
          </cell>
          <cell r="P625" t="str">
            <v>CONCEPCION</v>
          </cell>
          <cell r="Q625" t="str">
            <v>TRADICIONAL</v>
          </cell>
          <cell r="R625" t="str">
            <v>Mall - Sur</v>
          </cell>
          <cell r="S625" t="str">
            <v>Mall Plaza</v>
          </cell>
          <cell r="T625" t="str">
            <v>Paletas</v>
          </cell>
          <cell r="U625">
            <v>1</v>
          </cell>
          <cell r="V625" t="str">
            <v>1.20 * 1.70</v>
          </cell>
        </row>
        <row r="626">
          <cell r="A626" t="str">
            <v>MAPT0008B</v>
          </cell>
          <cell r="B626" t="str">
            <v>Mall</v>
          </cell>
          <cell r="C626" t="str">
            <v>Mall Plaza</v>
          </cell>
          <cell r="D626" t="str">
            <v>Paletas</v>
          </cell>
          <cell r="E626" t="str">
            <v>PALETA SUPER SCREEN</v>
          </cell>
          <cell r="F626" t="str">
            <v>1.20 * 1.70</v>
          </cell>
          <cell r="G626" t="str">
            <v>1.23 * 1.75</v>
          </cell>
          <cell r="H626" t="str">
            <v>E</v>
          </cell>
          <cell r="I626" t="str">
            <v>ESTACIONAMIENTOS</v>
          </cell>
          <cell r="J626">
            <v>0</v>
          </cell>
          <cell r="K626">
            <v>0</v>
          </cell>
          <cell r="L626">
            <v>300000</v>
          </cell>
          <cell r="M626" t="str">
            <v>MALL PLAZA DEL TREBOL</v>
          </cell>
          <cell r="P626" t="str">
            <v>CONCEPCION</v>
          </cell>
          <cell r="Q626" t="str">
            <v>TRADICIONAL</v>
          </cell>
          <cell r="R626" t="str">
            <v>Mall - Sur</v>
          </cell>
          <cell r="S626" t="str">
            <v>Mall Plaza</v>
          </cell>
          <cell r="T626" t="str">
            <v>Paletas</v>
          </cell>
          <cell r="U626">
            <v>1</v>
          </cell>
          <cell r="V626" t="str">
            <v>1.20 * 1.70</v>
          </cell>
        </row>
        <row r="627">
          <cell r="A627" t="str">
            <v>MAPT0009A</v>
          </cell>
          <cell r="B627" t="str">
            <v>Mall</v>
          </cell>
          <cell r="C627" t="str">
            <v>Mall Plaza</v>
          </cell>
          <cell r="D627" t="str">
            <v>Paletas</v>
          </cell>
          <cell r="E627" t="str">
            <v>PALETA SUPER SCREEN</v>
          </cell>
          <cell r="F627" t="str">
            <v>1.20 * 1.70</v>
          </cell>
          <cell r="G627" t="str">
            <v>1.23 * 1.75</v>
          </cell>
          <cell r="H627" t="str">
            <v>E</v>
          </cell>
          <cell r="I627" t="str">
            <v>ESTACIONAMIENTOS</v>
          </cell>
          <cell r="J627">
            <v>0</v>
          </cell>
          <cell r="K627">
            <v>0</v>
          </cell>
          <cell r="L627">
            <v>300000</v>
          </cell>
          <cell r="M627" t="str">
            <v>MALL PLAZA DEL TREBOL</v>
          </cell>
          <cell r="P627" t="str">
            <v>CONCEPCION</v>
          </cell>
          <cell r="Q627" t="str">
            <v>TRADICIONAL</v>
          </cell>
          <cell r="R627" t="str">
            <v>Mall - Sur</v>
          </cell>
          <cell r="S627" t="str">
            <v>Mall Plaza</v>
          </cell>
          <cell r="T627" t="str">
            <v>Paletas</v>
          </cell>
          <cell r="U627">
            <v>1</v>
          </cell>
          <cell r="V627" t="str">
            <v>1.20 * 1.70</v>
          </cell>
        </row>
        <row r="628">
          <cell r="A628" t="str">
            <v>MAPT0009B</v>
          </cell>
          <cell r="B628" t="str">
            <v>Mall</v>
          </cell>
          <cell r="C628" t="str">
            <v>Mall Plaza</v>
          </cell>
          <cell r="D628" t="str">
            <v>Paletas</v>
          </cell>
          <cell r="E628" t="str">
            <v>PALETA SUPER SCREEN</v>
          </cell>
          <cell r="F628" t="str">
            <v>1.20 * 1.70</v>
          </cell>
          <cell r="G628" t="str">
            <v>1.23 * 1.75</v>
          </cell>
          <cell r="H628" t="str">
            <v>E</v>
          </cell>
          <cell r="I628" t="str">
            <v>ESTACIONAMIENTOS</v>
          </cell>
          <cell r="J628">
            <v>0</v>
          </cell>
          <cell r="K628">
            <v>0</v>
          </cell>
          <cell r="L628">
            <v>300000</v>
          </cell>
          <cell r="M628" t="str">
            <v>MALL PLAZA DEL TREBOL</v>
          </cell>
          <cell r="P628" t="str">
            <v>CONCEPCION</v>
          </cell>
          <cell r="Q628" t="str">
            <v>TRADICIONAL</v>
          </cell>
          <cell r="R628" t="str">
            <v>Mall - Sur</v>
          </cell>
          <cell r="S628" t="str">
            <v>Mall Plaza</v>
          </cell>
          <cell r="T628" t="str">
            <v>Paletas</v>
          </cell>
          <cell r="U628">
            <v>1</v>
          </cell>
          <cell r="V628" t="str">
            <v>1.20 * 1.70</v>
          </cell>
        </row>
        <row r="629">
          <cell r="A629" t="str">
            <v>MAPT0010B</v>
          </cell>
          <cell r="B629" t="str">
            <v>Mall</v>
          </cell>
          <cell r="C629" t="str">
            <v>Mall Plaza</v>
          </cell>
          <cell r="D629" t="str">
            <v>Paletas</v>
          </cell>
          <cell r="E629" t="str">
            <v>PALETA SUPER SCREEN</v>
          </cell>
          <cell r="F629" t="str">
            <v>1.20 * 1.70</v>
          </cell>
          <cell r="G629" t="str">
            <v>1.23 * 1.75</v>
          </cell>
          <cell r="H629" t="str">
            <v>E</v>
          </cell>
          <cell r="I629" t="str">
            <v>ESTACIONAMIENTOS</v>
          </cell>
          <cell r="J629">
            <v>0</v>
          </cell>
          <cell r="K629">
            <v>0</v>
          </cell>
          <cell r="L629">
            <v>300000</v>
          </cell>
          <cell r="M629" t="str">
            <v>MALL PLAZA DEL TREBOL</v>
          </cell>
          <cell r="P629" t="str">
            <v>CONCEPCION</v>
          </cell>
          <cell r="Q629" t="str">
            <v>TRADICIONAL</v>
          </cell>
          <cell r="R629" t="str">
            <v>Mall - Sur</v>
          </cell>
          <cell r="S629" t="str">
            <v>Mall Plaza</v>
          </cell>
          <cell r="T629" t="str">
            <v>Paletas</v>
          </cell>
          <cell r="U629">
            <v>1</v>
          </cell>
          <cell r="V629" t="str">
            <v>1.20 * 1.70</v>
          </cell>
        </row>
        <row r="630">
          <cell r="A630" t="str">
            <v>MAPT0011A</v>
          </cell>
          <cell r="B630" t="str">
            <v>Mall</v>
          </cell>
          <cell r="C630" t="str">
            <v>Mall Plaza</v>
          </cell>
          <cell r="D630" t="str">
            <v>Paletas</v>
          </cell>
          <cell r="E630" t="str">
            <v>PALETA SUPER SCREEN</v>
          </cell>
          <cell r="F630" t="str">
            <v>1.20 * 1.70</v>
          </cell>
          <cell r="G630" t="str">
            <v>1.23 * 1.75</v>
          </cell>
          <cell r="H630" t="str">
            <v>E</v>
          </cell>
          <cell r="I630" t="str">
            <v>ESTACIONAMIENTOS</v>
          </cell>
          <cell r="J630">
            <v>0</v>
          </cell>
          <cell r="K630">
            <v>0</v>
          </cell>
          <cell r="L630">
            <v>300000</v>
          </cell>
          <cell r="M630" t="str">
            <v>MALL PLAZA DEL TREBOL</v>
          </cell>
          <cell r="P630" t="str">
            <v>CONCEPCION</v>
          </cell>
          <cell r="Q630" t="str">
            <v>TRADICIONAL</v>
          </cell>
          <cell r="R630" t="str">
            <v>Mall - Sur</v>
          </cell>
          <cell r="S630" t="str">
            <v>Mall Plaza</v>
          </cell>
          <cell r="T630" t="str">
            <v>Paletas</v>
          </cell>
          <cell r="U630">
            <v>1</v>
          </cell>
          <cell r="V630" t="str">
            <v>1.20 * 1.70</v>
          </cell>
        </row>
        <row r="631">
          <cell r="A631" t="str">
            <v>MAPT0011B</v>
          </cell>
          <cell r="B631" t="str">
            <v>Mall</v>
          </cell>
          <cell r="C631" t="str">
            <v>Mall Plaza</v>
          </cell>
          <cell r="D631" t="str">
            <v>Paletas</v>
          </cell>
          <cell r="E631" t="str">
            <v>PALETA SUPER SCREEN</v>
          </cell>
          <cell r="F631" t="str">
            <v>1.20 * 1.70</v>
          </cell>
          <cell r="G631" t="str">
            <v>1.23 * 1.75</v>
          </cell>
          <cell r="H631" t="str">
            <v>E</v>
          </cell>
          <cell r="I631" t="str">
            <v>ESTACIONAMIENTOS</v>
          </cell>
          <cell r="J631">
            <v>0</v>
          </cell>
          <cell r="K631">
            <v>0</v>
          </cell>
          <cell r="L631">
            <v>300000</v>
          </cell>
          <cell r="M631" t="str">
            <v>MALL PLAZA DEL TREBOL</v>
          </cell>
          <cell r="P631" t="str">
            <v>CONCEPCION</v>
          </cell>
          <cell r="Q631" t="str">
            <v>TRADICIONAL</v>
          </cell>
          <cell r="R631" t="str">
            <v>Mall - Sur</v>
          </cell>
          <cell r="S631" t="str">
            <v>Mall Plaza</v>
          </cell>
          <cell r="T631" t="str">
            <v>Paletas</v>
          </cell>
          <cell r="U631">
            <v>1</v>
          </cell>
          <cell r="V631" t="str">
            <v>1.20 * 1.70</v>
          </cell>
        </row>
        <row r="632">
          <cell r="A632" t="str">
            <v>MAPT0012A</v>
          </cell>
          <cell r="B632" t="str">
            <v>Mall</v>
          </cell>
          <cell r="C632" t="str">
            <v>Mall Plaza</v>
          </cell>
          <cell r="D632" t="str">
            <v>NO VENDIBLE</v>
          </cell>
          <cell r="E632" t="str">
            <v>PALETA SUPER SCREEN</v>
          </cell>
          <cell r="F632" t="str">
            <v>1.20 * 1.70</v>
          </cell>
          <cell r="G632" t="str">
            <v>1.23 * 1.75</v>
          </cell>
          <cell r="H632" t="str">
            <v>E</v>
          </cell>
          <cell r="I632" t="str">
            <v>ESTACIONAMIENTOS</v>
          </cell>
          <cell r="J632">
            <v>0</v>
          </cell>
          <cell r="K632">
            <v>0</v>
          </cell>
          <cell r="L632">
            <v>300000</v>
          </cell>
          <cell r="M632" t="str">
            <v>MALL PLAZA DEL TREBOL</v>
          </cell>
          <cell r="O632" t="str">
            <v>Sí</v>
          </cell>
          <cell r="P632" t="str">
            <v>CONCEPCION</v>
          </cell>
          <cell r="Q632" t="str">
            <v>TRADICIONAL</v>
          </cell>
          <cell r="R632" t="str">
            <v>Mall - Sur</v>
          </cell>
          <cell r="S632" t="str">
            <v>Mall Plaza</v>
          </cell>
          <cell r="T632" t="str">
            <v>Paletas</v>
          </cell>
          <cell r="U632">
            <v>1</v>
          </cell>
          <cell r="V632" t="str">
            <v>1.20 * 1.70</v>
          </cell>
        </row>
        <row r="633">
          <cell r="A633" t="str">
            <v>MAPT0012B</v>
          </cell>
          <cell r="B633" t="str">
            <v>Mall</v>
          </cell>
          <cell r="C633" t="str">
            <v>Mall Plaza</v>
          </cell>
          <cell r="D633" t="str">
            <v>NO VENDIBLE</v>
          </cell>
          <cell r="E633" t="str">
            <v>PALETA SUPER SCREEN</v>
          </cell>
          <cell r="F633" t="str">
            <v>1.20 * 1.70</v>
          </cell>
          <cell r="G633" t="str">
            <v>1.23 * 1.75</v>
          </cell>
          <cell r="H633" t="str">
            <v>E</v>
          </cell>
          <cell r="I633" t="str">
            <v>ESTACIONAMIENTOS</v>
          </cell>
          <cell r="J633">
            <v>0</v>
          </cell>
          <cell r="K633">
            <v>0</v>
          </cell>
          <cell r="L633">
            <v>300000</v>
          </cell>
          <cell r="M633" t="str">
            <v>MALL PLAZA DEL TREBOL</v>
          </cell>
          <cell r="O633" t="str">
            <v>Sí</v>
          </cell>
          <cell r="P633" t="str">
            <v>CONCEPCION</v>
          </cell>
          <cell r="Q633" t="str">
            <v>TRADICIONAL</v>
          </cell>
          <cell r="R633" t="str">
            <v>Mall - Sur</v>
          </cell>
          <cell r="S633" t="str">
            <v>Mall Plaza</v>
          </cell>
          <cell r="T633" t="str">
            <v>Paletas</v>
          </cell>
          <cell r="U633">
            <v>1</v>
          </cell>
          <cell r="V633" t="str">
            <v>1.20 * 1.70</v>
          </cell>
        </row>
        <row r="634">
          <cell r="A634" t="str">
            <v>MAPT0013A</v>
          </cell>
          <cell r="B634" t="str">
            <v>Mall</v>
          </cell>
          <cell r="C634" t="str">
            <v>Mall Plaza</v>
          </cell>
          <cell r="D634" t="str">
            <v>Paletas</v>
          </cell>
          <cell r="E634" t="str">
            <v>PALETA SUPER SCREEN</v>
          </cell>
          <cell r="F634" t="str">
            <v>1.20 * 1.70</v>
          </cell>
          <cell r="G634" t="str">
            <v>1.23 * 1.75</v>
          </cell>
          <cell r="H634" t="str">
            <v>E</v>
          </cell>
          <cell r="I634" t="str">
            <v>ESTACIONAMIENTOS</v>
          </cell>
          <cell r="J634">
            <v>0</v>
          </cell>
          <cell r="K634">
            <v>0</v>
          </cell>
          <cell r="L634">
            <v>300000</v>
          </cell>
          <cell r="M634" t="str">
            <v>MALL PLAZA DEL TREBOL</v>
          </cell>
          <cell r="P634" t="str">
            <v>CONCEPCION</v>
          </cell>
          <cell r="Q634" t="str">
            <v>TRADICIONAL</v>
          </cell>
          <cell r="R634" t="str">
            <v>Mall - Sur</v>
          </cell>
          <cell r="S634" t="str">
            <v>Mall Plaza</v>
          </cell>
          <cell r="T634" t="str">
            <v>Paletas</v>
          </cell>
          <cell r="U634">
            <v>1</v>
          </cell>
          <cell r="V634" t="str">
            <v>1.20 * 1.70</v>
          </cell>
        </row>
        <row r="635">
          <cell r="A635" t="str">
            <v>MAPT0013B</v>
          </cell>
          <cell r="B635" t="str">
            <v>Mall</v>
          </cell>
          <cell r="C635" t="str">
            <v>Mall Plaza</v>
          </cell>
          <cell r="D635" t="str">
            <v>Paletas</v>
          </cell>
          <cell r="E635" t="str">
            <v>PALETA SUPER SCREEN</v>
          </cell>
          <cell r="F635" t="str">
            <v>1.20 * 1.70</v>
          </cell>
          <cell r="G635" t="str">
            <v>1.23 * 1.75</v>
          </cell>
          <cell r="H635" t="str">
            <v>E</v>
          </cell>
          <cell r="I635" t="str">
            <v>ESTACIONAMIENTOS</v>
          </cell>
          <cell r="J635">
            <v>0</v>
          </cell>
          <cell r="K635">
            <v>0</v>
          </cell>
          <cell r="L635">
            <v>300000</v>
          </cell>
          <cell r="M635" t="str">
            <v>MALL PLAZA DEL TREBOL</v>
          </cell>
          <cell r="P635" t="str">
            <v>CONCEPCION</v>
          </cell>
          <cell r="Q635" t="str">
            <v>TRADICIONAL</v>
          </cell>
          <cell r="R635" t="str">
            <v>Mall - Sur</v>
          </cell>
          <cell r="S635" t="str">
            <v>Mall Plaza</v>
          </cell>
          <cell r="T635" t="str">
            <v>Paletas</v>
          </cell>
          <cell r="U635">
            <v>1</v>
          </cell>
          <cell r="V635" t="str">
            <v>1.20 * 1.70</v>
          </cell>
        </row>
        <row r="636">
          <cell r="A636" t="str">
            <v>MAPT0014A</v>
          </cell>
          <cell r="B636" t="str">
            <v>Mall</v>
          </cell>
          <cell r="C636" t="str">
            <v>Mall Plaza</v>
          </cell>
          <cell r="D636" t="str">
            <v>Paletas</v>
          </cell>
          <cell r="E636" t="str">
            <v>PALETA SUPER SCREEN</v>
          </cell>
          <cell r="F636" t="str">
            <v>1.20 * 1.70</v>
          </cell>
          <cell r="G636" t="str">
            <v>1.23 * 1.75</v>
          </cell>
          <cell r="H636" t="str">
            <v>E</v>
          </cell>
          <cell r="I636" t="str">
            <v>ESTACIONAMIENTOS</v>
          </cell>
          <cell r="J636">
            <v>0</v>
          </cell>
          <cell r="K636">
            <v>0</v>
          </cell>
          <cell r="L636">
            <v>300000</v>
          </cell>
          <cell r="M636" t="str">
            <v>MALL PLAZA DEL TREBOL</v>
          </cell>
          <cell r="P636" t="str">
            <v>CONCEPCION</v>
          </cell>
          <cell r="Q636" t="str">
            <v>TRADICIONAL</v>
          </cell>
          <cell r="R636" t="str">
            <v>Mall - Sur</v>
          </cell>
          <cell r="S636" t="str">
            <v>Mall Plaza</v>
          </cell>
          <cell r="T636" t="str">
            <v>Paletas</v>
          </cell>
          <cell r="U636">
            <v>1</v>
          </cell>
          <cell r="V636" t="str">
            <v>1.20 * 1.70</v>
          </cell>
        </row>
        <row r="637">
          <cell r="A637" t="str">
            <v>MAPT0014B</v>
          </cell>
          <cell r="B637" t="str">
            <v>Mall</v>
          </cell>
          <cell r="C637" t="str">
            <v>Mall Plaza</v>
          </cell>
          <cell r="D637" t="str">
            <v>Paletas</v>
          </cell>
          <cell r="E637" t="str">
            <v>PALETA SUPER SCREEN</v>
          </cell>
          <cell r="F637" t="str">
            <v>1.20 * 1.70</v>
          </cell>
          <cell r="G637" t="str">
            <v>1.23 * 1.75</v>
          </cell>
          <cell r="H637" t="str">
            <v>E</v>
          </cell>
          <cell r="I637" t="str">
            <v>ESTACIONAMIENTOS</v>
          </cell>
          <cell r="J637">
            <v>0</v>
          </cell>
          <cell r="K637">
            <v>0</v>
          </cell>
          <cell r="L637">
            <v>300000</v>
          </cell>
          <cell r="M637" t="str">
            <v>MALL PLAZA DEL TREBOL</v>
          </cell>
          <cell r="P637" t="str">
            <v>CONCEPCION</v>
          </cell>
          <cell r="Q637" t="str">
            <v>TRADICIONAL</v>
          </cell>
          <cell r="R637" t="str">
            <v>Mall - Sur</v>
          </cell>
          <cell r="S637" t="str">
            <v>Mall Plaza</v>
          </cell>
          <cell r="T637" t="str">
            <v>Paletas</v>
          </cell>
          <cell r="U637">
            <v>1</v>
          </cell>
          <cell r="V637" t="str">
            <v>1.20 * 1.70</v>
          </cell>
        </row>
        <row r="638">
          <cell r="A638" t="str">
            <v>MAPT0015A</v>
          </cell>
          <cell r="B638" t="str">
            <v>Mall</v>
          </cell>
          <cell r="C638" t="str">
            <v>Mall Plaza</v>
          </cell>
          <cell r="D638" t="str">
            <v>Paletas</v>
          </cell>
          <cell r="E638" t="str">
            <v>PALETA SUPER SCREEN</v>
          </cell>
          <cell r="F638" t="str">
            <v>1.20 * 1.70</v>
          </cell>
          <cell r="G638" t="str">
            <v>1.23 * 1.75</v>
          </cell>
          <cell r="H638" t="str">
            <v>E</v>
          </cell>
          <cell r="I638" t="str">
            <v>ESTACIONAMIENTOS</v>
          </cell>
          <cell r="J638">
            <v>0</v>
          </cell>
          <cell r="K638">
            <v>0</v>
          </cell>
          <cell r="L638">
            <v>300000</v>
          </cell>
          <cell r="M638" t="str">
            <v>MALL PLAZA DEL TREBOL</v>
          </cell>
          <cell r="P638" t="str">
            <v>CONCEPCION</v>
          </cell>
          <cell r="Q638" t="str">
            <v>TRADICIONAL</v>
          </cell>
          <cell r="R638" t="str">
            <v>Mall - Sur</v>
          </cell>
          <cell r="S638" t="str">
            <v>Mall Plaza</v>
          </cell>
          <cell r="T638" t="str">
            <v>Paletas</v>
          </cell>
          <cell r="U638">
            <v>1</v>
          </cell>
          <cell r="V638" t="str">
            <v>1.20 * 1.70</v>
          </cell>
        </row>
        <row r="639">
          <cell r="A639" t="str">
            <v>MAPT0015B</v>
          </cell>
          <cell r="B639" t="str">
            <v>Mall</v>
          </cell>
          <cell r="C639" t="str">
            <v>Mall Plaza</v>
          </cell>
          <cell r="D639" t="str">
            <v>Paletas</v>
          </cell>
          <cell r="E639" t="str">
            <v>PALETA SUPER SCREEN</v>
          </cell>
          <cell r="F639" t="str">
            <v>1.20 * 1.70</v>
          </cell>
          <cell r="G639" t="str">
            <v>1.23 * 1.75</v>
          </cell>
          <cell r="H639" t="str">
            <v>E</v>
          </cell>
          <cell r="I639" t="str">
            <v>ESTACIONAMIENTOS</v>
          </cell>
          <cell r="J639">
            <v>0</v>
          </cell>
          <cell r="K639">
            <v>0</v>
          </cell>
          <cell r="L639">
            <v>300000</v>
          </cell>
          <cell r="M639" t="str">
            <v>MALL PLAZA DEL TREBOL</v>
          </cell>
          <cell r="P639" t="str">
            <v>CONCEPCION</v>
          </cell>
          <cell r="Q639" t="str">
            <v>TRADICIONAL</v>
          </cell>
          <cell r="R639" t="str">
            <v>Mall - Sur</v>
          </cell>
          <cell r="S639" t="str">
            <v>Mall Plaza</v>
          </cell>
          <cell r="T639" t="str">
            <v>Paletas</v>
          </cell>
          <cell r="U639">
            <v>1</v>
          </cell>
          <cell r="V639" t="str">
            <v>1.20 * 1.70</v>
          </cell>
        </row>
        <row r="640">
          <cell r="A640" t="str">
            <v>MAPT0017A</v>
          </cell>
          <cell r="B640" t="str">
            <v>Mall</v>
          </cell>
          <cell r="C640" t="str">
            <v>Mall Plaza</v>
          </cell>
          <cell r="D640" t="str">
            <v>NO VENDIBLE</v>
          </cell>
          <cell r="E640" t="str">
            <v>PALETA SUPER SCREEN</v>
          </cell>
          <cell r="F640" t="str">
            <v>1.20 * 1.70</v>
          </cell>
          <cell r="G640" t="str">
            <v>1.23 * 1.75</v>
          </cell>
          <cell r="H640" t="str">
            <v>E</v>
          </cell>
          <cell r="I640" t="str">
            <v>ESTACIONAMIENTOS</v>
          </cell>
          <cell r="J640">
            <v>0</v>
          </cell>
          <cell r="K640">
            <v>0</v>
          </cell>
          <cell r="L640">
            <v>300000</v>
          </cell>
          <cell r="M640" t="str">
            <v>MALL PLAZA DEL TREBOL</v>
          </cell>
          <cell r="O640" t="str">
            <v>Sí</v>
          </cell>
          <cell r="P640" t="str">
            <v>CONCEPCION</v>
          </cell>
          <cell r="Q640" t="str">
            <v>TRADICIONAL</v>
          </cell>
          <cell r="R640" t="str">
            <v>Mall - Sur</v>
          </cell>
          <cell r="S640" t="str">
            <v>Mall Plaza</v>
          </cell>
          <cell r="T640" t="str">
            <v>Paletas</v>
          </cell>
          <cell r="U640">
            <v>1</v>
          </cell>
          <cell r="V640" t="str">
            <v>1.20 * 1.70</v>
          </cell>
        </row>
        <row r="641">
          <cell r="A641" t="str">
            <v>MAPT0017B</v>
          </cell>
          <cell r="B641" t="str">
            <v>Mall</v>
          </cell>
          <cell r="C641" t="str">
            <v>Mall Plaza</v>
          </cell>
          <cell r="D641" t="str">
            <v>NO VENDIBLE</v>
          </cell>
          <cell r="E641" t="str">
            <v>PALETA SUPER SCREEN</v>
          </cell>
          <cell r="F641" t="str">
            <v>1.20 * 1.70</v>
          </cell>
          <cell r="G641" t="str">
            <v>1.23 * 1.75</v>
          </cell>
          <cell r="H641" t="str">
            <v>E</v>
          </cell>
          <cell r="I641" t="str">
            <v>ESTACIONAMIENTOS</v>
          </cell>
          <cell r="J641">
            <v>0</v>
          </cell>
          <cell r="K641">
            <v>0</v>
          </cell>
          <cell r="L641">
            <v>300000</v>
          </cell>
          <cell r="M641" t="str">
            <v>MALL PLAZA DEL TREBOL</v>
          </cell>
          <cell r="O641" t="str">
            <v>Sí</v>
          </cell>
          <cell r="P641" t="str">
            <v>CONCEPCION</v>
          </cell>
          <cell r="Q641" t="str">
            <v>TRADICIONAL</v>
          </cell>
          <cell r="R641" t="str">
            <v>Mall - Sur</v>
          </cell>
          <cell r="S641" t="str">
            <v>Mall Plaza</v>
          </cell>
          <cell r="T641" t="str">
            <v>Paletas</v>
          </cell>
          <cell r="U641">
            <v>1</v>
          </cell>
          <cell r="V641" t="str">
            <v>1.20 * 1.70</v>
          </cell>
        </row>
        <row r="642">
          <cell r="A642" t="str">
            <v>MAPT0018A</v>
          </cell>
          <cell r="B642" t="str">
            <v>Mall</v>
          </cell>
          <cell r="C642" t="str">
            <v>Mall Plaza</v>
          </cell>
          <cell r="D642" t="str">
            <v>Paletas</v>
          </cell>
          <cell r="E642" t="str">
            <v>INTERIOR</v>
          </cell>
          <cell r="F642" t="str">
            <v>1.10 * 1.53</v>
          </cell>
          <cell r="G642" t="str">
            <v>1.15 * 1.57</v>
          </cell>
          <cell r="H642" t="str">
            <v>Y</v>
          </cell>
          <cell r="I642" t="str">
            <v>INTERIOR PASILLO</v>
          </cell>
          <cell r="J642">
            <v>0</v>
          </cell>
          <cell r="K642">
            <v>0</v>
          </cell>
          <cell r="L642">
            <v>350000</v>
          </cell>
          <cell r="M642" t="str">
            <v>MALL PLAZA DEL TREBOL</v>
          </cell>
          <cell r="P642" t="str">
            <v>CONCEPCION</v>
          </cell>
          <cell r="Q642" t="str">
            <v>TRADICIONAL</v>
          </cell>
          <cell r="R642" t="str">
            <v>Mall - Sur</v>
          </cell>
          <cell r="S642" t="str">
            <v>Mall Plaza</v>
          </cell>
          <cell r="T642" t="str">
            <v>Paletas</v>
          </cell>
          <cell r="U642">
            <v>1</v>
          </cell>
          <cell r="V642" t="str">
            <v>1.10 * 1.53</v>
          </cell>
        </row>
        <row r="643">
          <cell r="A643" t="str">
            <v>MAPT0018B</v>
          </cell>
          <cell r="B643" t="str">
            <v>Mall</v>
          </cell>
          <cell r="C643" t="str">
            <v>Mall Plaza</v>
          </cell>
          <cell r="D643" t="str">
            <v>Paletas</v>
          </cell>
          <cell r="E643" t="str">
            <v>INTERIOR</v>
          </cell>
          <cell r="F643" t="str">
            <v>1.10 * 1.53</v>
          </cell>
          <cell r="G643" t="str">
            <v>1.15 * 1.57</v>
          </cell>
          <cell r="H643" t="str">
            <v>Y</v>
          </cell>
          <cell r="I643" t="str">
            <v>INTERIOR PASILLO</v>
          </cell>
          <cell r="J643">
            <v>0</v>
          </cell>
          <cell r="K643">
            <v>0</v>
          </cell>
          <cell r="L643">
            <v>350000</v>
          </cell>
          <cell r="M643" t="str">
            <v>MALL PLAZA DEL TREBOL</v>
          </cell>
          <cell r="P643" t="str">
            <v>CONCEPCION</v>
          </cell>
          <cell r="Q643" t="str">
            <v>TRADICIONAL</v>
          </cell>
          <cell r="R643" t="str">
            <v>Mall - Sur</v>
          </cell>
          <cell r="S643" t="str">
            <v>Mall Plaza</v>
          </cell>
          <cell r="T643" t="str">
            <v>Paletas</v>
          </cell>
          <cell r="U643">
            <v>1</v>
          </cell>
          <cell r="V643" t="str">
            <v>1.10 * 1.53</v>
          </cell>
        </row>
        <row r="644">
          <cell r="A644" t="str">
            <v>MAPT0019A</v>
          </cell>
          <cell r="B644" t="str">
            <v>Mall</v>
          </cell>
          <cell r="C644" t="str">
            <v>Mall Plaza</v>
          </cell>
          <cell r="D644" t="str">
            <v>Paletas</v>
          </cell>
          <cell r="E644" t="str">
            <v>INTERIOR</v>
          </cell>
          <cell r="F644" t="str">
            <v>1.10 * 1.53</v>
          </cell>
          <cell r="G644" t="str">
            <v>1.15 * 1.57</v>
          </cell>
          <cell r="H644" t="str">
            <v>Y</v>
          </cell>
          <cell r="I644" t="str">
            <v>INTERIOR PASILLO</v>
          </cell>
          <cell r="J644">
            <v>0</v>
          </cell>
          <cell r="K644">
            <v>0</v>
          </cell>
          <cell r="L644">
            <v>350000</v>
          </cell>
          <cell r="M644" t="str">
            <v>MALL PLAZA DEL TREBOL</v>
          </cell>
          <cell r="P644" t="str">
            <v>CONCEPCION</v>
          </cell>
          <cell r="Q644" t="str">
            <v>TRADICIONAL</v>
          </cell>
          <cell r="R644" t="str">
            <v>Mall - Sur</v>
          </cell>
          <cell r="S644" t="str">
            <v>Mall Plaza</v>
          </cell>
          <cell r="T644" t="str">
            <v>Paletas</v>
          </cell>
          <cell r="U644">
            <v>1</v>
          </cell>
          <cell r="V644" t="str">
            <v>1.10 * 1.53</v>
          </cell>
        </row>
        <row r="645">
          <cell r="A645" t="str">
            <v>MAPT0019B</v>
          </cell>
          <cell r="B645" t="str">
            <v>Mall</v>
          </cell>
          <cell r="C645" t="str">
            <v>Mall Plaza</v>
          </cell>
          <cell r="D645" t="str">
            <v>Paletas</v>
          </cell>
          <cell r="E645" t="str">
            <v>INTERIOR</v>
          </cell>
          <cell r="F645" t="str">
            <v>1.10 * 1.53</v>
          </cell>
          <cell r="G645" t="str">
            <v>1.15 * 1.57</v>
          </cell>
          <cell r="H645" t="str">
            <v>Y</v>
          </cell>
          <cell r="I645" t="str">
            <v>INTERIOR PASILLO</v>
          </cell>
          <cell r="J645">
            <v>0</v>
          </cell>
          <cell r="K645">
            <v>0</v>
          </cell>
          <cell r="L645">
            <v>350000</v>
          </cell>
          <cell r="M645" t="str">
            <v>MALL PLAZA DEL TREBOL</v>
          </cell>
          <cell r="P645" t="str">
            <v>CONCEPCION</v>
          </cell>
          <cell r="Q645" t="str">
            <v>TRADICIONAL</v>
          </cell>
          <cell r="R645" t="str">
            <v>Mall - Sur</v>
          </cell>
          <cell r="S645" t="str">
            <v>Mall Plaza</v>
          </cell>
          <cell r="T645" t="str">
            <v>Paletas</v>
          </cell>
          <cell r="U645">
            <v>1</v>
          </cell>
          <cell r="V645" t="str">
            <v>1.10 * 1.53</v>
          </cell>
        </row>
        <row r="646">
          <cell r="A646" t="str">
            <v>MAPT0020A</v>
          </cell>
          <cell r="B646" t="str">
            <v>Mall</v>
          </cell>
          <cell r="C646" t="str">
            <v>Mall Plaza</v>
          </cell>
          <cell r="D646" t="str">
            <v>Paletas</v>
          </cell>
          <cell r="E646" t="str">
            <v>INTERIOR</v>
          </cell>
          <cell r="F646" t="str">
            <v>1.10 * 1.53</v>
          </cell>
          <cell r="G646" t="str">
            <v>1.15 * 1.57</v>
          </cell>
          <cell r="H646" t="str">
            <v>Y</v>
          </cell>
          <cell r="I646" t="str">
            <v>INTERIOR PASILLO</v>
          </cell>
          <cell r="J646">
            <v>0</v>
          </cell>
          <cell r="K646">
            <v>0</v>
          </cell>
          <cell r="L646">
            <v>350000</v>
          </cell>
          <cell r="M646" t="str">
            <v>MALL PLAZA DEL TREBOL</v>
          </cell>
          <cell r="P646" t="str">
            <v>CONCEPCION</v>
          </cell>
          <cell r="Q646" t="str">
            <v>TRADICIONAL</v>
          </cell>
          <cell r="R646" t="str">
            <v>Mall - Sur</v>
          </cell>
          <cell r="S646" t="str">
            <v>Mall Plaza</v>
          </cell>
          <cell r="T646" t="str">
            <v>Paletas</v>
          </cell>
          <cell r="U646">
            <v>1</v>
          </cell>
          <cell r="V646" t="str">
            <v>1.10 * 1.53</v>
          </cell>
        </row>
        <row r="647">
          <cell r="A647" t="str">
            <v>MAPT0020B</v>
          </cell>
          <cell r="B647" t="str">
            <v>Mall</v>
          </cell>
          <cell r="C647" t="str">
            <v>Mall Plaza</v>
          </cell>
          <cell r="D647" t="str">
            <v>Paletas</v>
          </cell>
          <cell r="E647" t="str">
            <v>INTERIOR</v>
          </cell>
          <cell r="F647" t="str">
            <v>1.10 * 1.53</v>
          </cell>
          <cell r="G647" t="str">
            <v>1.15 * 1.57</v>
          </cell>
          <cell r="H647" t="str">
            <v>Y</v>
          </cell>
          <cell r="I647" t="str">
            <v>INTERIOR PASILLO</v>
          </cell>
          <cell r="J647">
            <v>0</v>
          </cell>
          <cell r="K647">
            <v>0</v>
          </cell>
          <cell r="L647">
            <v>350000</v>
          </cell>
          <cell r="M647" t="str">
            <v>MALL PLAZA DEL TREBOL</v>
          </cell>
          <cell r="P647" t="str">
            <v>CONCEPCION</v>
          </cell>
          <cell r="Q647" t="str">
            <v>TRADICIONAL</v>
          </cell>
          <cell r="R647" t="str">
            <v>Mall - Sur</v>
          </cell>
          <cell r="S647" t="str">
            <v>Mall Plaza</v>
          </cell>
          <cell r="T647" t="str">
            <v>Paletas</v>
          </cell>
          <cell r="U647">
            <v>1</v>
          </cell>
          <cell r="V647" t="str">
            <v>1.10 * 1.53</v>
          </cell>
        </row>
        <row r="648">
          <cell r="A648" t="str">
            <v>MAPT0021A</v>
          </cell>
          <cell r="B648" t="str">
            <v>Mall</v>
          </cell>
          <cell r="C648" t="str">
            <v>Mall Plaza</v>
          </cell>
          <cell r="D648" t="str">
            <v>Paletas</v>
          </cell>
          <cell r="E648" t="str">
            <v>INTERIOR</v>
          </cell>
          <cell r="F648" t="str">
            <v>1.10 * 1.53</v>
          </cell>
          <cell r="G648" t="str">
            <v>1.15 * 1.57</v>
          </cell>
          <cell r="H648" t="str">
            <v>Y</v>
          </cell>
          <cell r="I648" t="str">
            <v>INTERIOR PASILLO</v>
          </cell>
          <cell r="J648">
            <v>0</v>
          </cell>
          <cell r="K648">
            <v>0</v>
          </cell>
          <cell r="L648">
            <v>350000</v>
          </cell>
          <cell r="M648" t="str">
            <v>MALL PLAZA DEL TREBOL</v>
          </cell>
          <cell r="P648" t="str">
            <v>CONCEPCION</v>
          </cell>
          <cell r="Q648" t="str">
            <v>TRADICIONAL</v>
          </cell>
          <cell r="R648" t="str">
            <v>Mall - Sur</v>
          </cell>
          <cell r="S648" t="str">
            <v>Mall Plaza</v>
          </cell>
          <cell r="T648" t="str">
            <v>Paletas</v>
          </cell>
          <cell r="U648">
            <v>1</v>
          </cell>
          <cell r="V648" t="str">
            <v>1.10 * 1.53</v>
          </cell>
        </row>
        <row r="649">
          <cell r="A649" t="str">
            <v>MAPT0021B</v>
          </cell>
          <cell r="B649" t="str">
            <v>Mall</v>
          </cell>
          <cell r="C649" t="str">
            <v>Mall Plaza</v>
          </cell>
          <cell r="D649" t="str">
            <v>Paletas</v>
          </cell>
          <cell r="E649" t="str">
            <v>INTERIOR</v>
          </cell>
          <cell r="F649" t="str">
            <v>1.10 * 1.53</v>
          </cell>
          <cell r="G649" t="str">
            <v>1.15 * 1.57</v>
          </cell>
          <cell r="H649" t="str">
            <v>Y</v>
          </cell>
          <cell r="I649" t="str">
            <v>INTERIOR PASILLO</v>
          </cell>
          <cell r="J649">
            <v>0</v>
          </cell>
          <cell r="K649">
            <v>0</v>
          </cell>
          <cell r="L649">
            <v>350000</v>
          </cell>
          <cell r="M649" t="str">
            <v>MALL PLAZA DEL TREBOL</v>
          </cell>
          <cell r="P649" t="str">
            <v>CONCEPCION</v>
          </cell>
          <cell r="Q649" t="str">
            <v>TRADICIONAL</v>
          </cell>
          <cell r="R649" t="str">
            <v>Mall - Sur</v>
          </cell>
          <cell r="S649" t="str">
            <v>Mall Plaza</v>
          </cell>
          <cell r="T649" t="str">
            <v>Paletas</v>
          </cell>
          <cell r="U649">
            <v>1</v>
          </cell>
          <cell r="V649" t="str">
            <v>1.10 * 1.53</v>
          </cell>
        </row>
        <row r="650">
          <cell r="A650" t="str">
            <v>MAPT0022A</v>
          </cell>
          <cell r="B650" t="str">
            <v>Mall</v>
          </cell>
          <cell r="C650" t="str">
            <v>Mall Plaza</v>
          </cell>
          <cell r="D650" t="str">
            <v>Unipoles</v>
          </cell>
          <cell r="E650" t="str">
            <v>DOBLE FAZ</v>
          </cell>
          <cell r="F650" t="str">
            <v>9.00 * 3.00</v>
          </cell>
          <cell r="G650" t="str">
            <v>9.30 * 3.30</v>
          </cell>
          <cell r="H650" t="str">
            <v>E</v>
          </cell>
          <cell r="I650" t="str">
            <v>ESTACIONAMIENTOS</v>
          </cell>
          <cell r="J650">
            <v>0</v>
          </cell>
          <cell r="K650">
            <v>0</v>
          </cell>
          <cell r="L650">
            <v>980000</v>
          </cell>
          <cell r="M650" t="str">
            <v>MALL PLAZA DEL TREBOL</v>
          </cell>
          <cell r="P650" t="str">
            <v>CONCEPCION</v>
          </cell>
          <cell r="Q650" t="str">
            <v>TRADICIONAL</v>
          </cell>
          <cell r="R650" t="str">
            <v>Mall - Sur</v>
          </cell>
          <cell r="S650" t="str">
            <v>Mall Plaza</v>
          </cell>
          <cell r="T650" t="str">
            <v>Unipoles</v>
          </cell>
          <cell r="U650">
            <v>1</v>
          </cell>
          <cell r="V650" t="str">
            <v>9.00 * 3.00</v>
          </cell>
        </row>
        <row r="651">
          <cell r="A651" t="str">
            <v>MAPT0022B</v>
          </cell>
          <cell r="B651" t="str">
            <v>Mall</v>
          </cell>
          <cell r="C651" t="str">
            <v>Mall Plaza</v>
          </cell>
          <cell r="D651" t="str">
            <v>Unipoles</v>
          </cell>
          <cell r="E651" t="str">
            <v>DOBLE FAZ</v>
          </cell>
          <cell r="F651" t="str">
            <v>9.00 * 3.00</v>
          </cell>
          <cell r="G651" t="str">
            <v>9.30 * 3.30</v>
          </cell>
          <cell r="H651" t="str">
            <v>E</v>
          </cell>
          <cell r="I651" t="str">
            <v>ESTACIONAMIENTOS</v>
          </cell>
          <cell r="J651">
            <v>0</v>
          </cell>
          <cell r="K651">
            <v>0</v>
          </cell>
          <cell r="L651">
            <v>980000</v>
          </cell>
          <cell r="M651" t="str">
            <v>MALL PLAZA DEL TREBOL</v>
          </cell>
          <cell r="P651" t="str">
            <v>CONCEPCION</v>
          </cell>
          <cell r="Q651" t="str">
            <v>TRADICIONAL</v>
          </cell>
          <cell r="R651" t="str">
            <v>Mall - Sur</v>
          </cell>
          <cell r="S651" t="str">
            <v>Mall Plaza</v>
          </cell>
          <cell r="T651" t="str">
            <v>Unipoles</v>
          </cell>
          <cell r="U651">
            <v>1</v>
          </cell>
          <cell r="V651" t="str">
            <v>9.00 * 3.00</v>
          </cell>
        </row>
        <row r="652">
          <cell r="A652" t="str">
            <v>MAPT0023A</v>
          </cell>
          <cell r="B652" t="str">
            <v>Mall</v>
          </cell>
          <cell r="C652" t="str">
            <v>Mall Plaza</v>
          </cell>
          <cell r="D652" t="str">
            <v>Unipoles</v>
          </cell>
          <cell r="E652" t="str">
            <v>DOBLE FAZ</v>
          </cell>
          <cell r="F652" t="str">
            <v>9.00 * 3.00</v>
          </cell>
          <cell r="G652" t="str">
            <v>9.30 * 3.30</v>
          </cell>
          <cell r="H652" t="str">
            <v>E</v>
          </cell>
          <cell r="I652" t="str">
            <v>ESTACIONAMIENTOS</v>
          </cell>
          <cell r="J652">
            <v>0</v>
          </cell>
          <cell r="K652">
            <v>0</v>
          </cell>
          <cell r="L652">
            <v>980000</v>
          </cell>
          <cell r="M652" t="str">
            <v>MALL PLAZA DEL TREBOL</v>
          </cell>
          <cell r="P652" t="str">
            <v>CONCEPCION</v>
          </cell>
          <cell r="Q652" t="str">
            <v>TRADICIONAL</v>
          </cell>
          <cell r="R652" t="str">
            <v>Mall - Sur</v>
          </cell>
          <cell r="S652" t="str">
            <v>Mall Plaza</v>
          </cell>
          <cell r="T652" t="str">
            <v>Unipoles</v>
          </cell>
          <cell r="U652">
            <v>1</v>
          </cell>
          <cell r="V652" t="str">
            <v>9.00 * 3.00</v>
          </cell>
        </row>
        <row r="653">
          <cell r="A653" t="str">
            <v>MAPT0023B</v>
          </cell>
          <cell r="B653" t="str">
            <v>Mall</v>
          </cell>
          <cell r="C653" t="str">
            <v>Mall Plaza</v>
          </cell>
          <cell r="D653" t="str">
            <v>Unipoles</v>
          </cell>
          <cell r="E653" t="str">
            <v>DOBLE FAZ</v>
          </cell>
          <cell r="F653" t="str">
            <v>9.00 * 3.00</v>
          </cell>
          <cell r="G653" t="str">
            <v>9.30 * 3.30</v>
          </cell>
          <cell r="H653" t="str">
            <v>E</v>
          </cell>
          <cell r="I653" t="str">
            <v>ESTACIONAMIENTOS</v>
          </cell>
          <cell r="J653">
            <v>0</v>
          </cell>
          <cell r="K653">
            <v>0</v>
          </cell>
          <cell r="L653">
            <v>980000</v>
          </cell>
          <cell r="M653" t="str">
            <v>MALL PLAZA DEL TREBOL</v>
          </cell>
          <cell r="P653" t="str">
            <v>CONCEPCION</v>
          </cell>
          <cell r="Q653" t="str">
            <v>TRADICIONAL</v>
          </cell>
          <cell r="R653" t="str">
            <v>Mall - Sur</v>
          </cell>
          <cell r="S653" t="str">
            <v>Mall Plaza</v>
          </cell>
          <cell r="T653" t="str">
            <v>Unipoles</v>
          </cell>
          <cell r="U653">
            <v>1</v>
          </cell>
          <cell r="V653" t="str">
            <v>9.00 * 3.00</v>
          </cell>
        </row>
        <row r="654">
          <cell r="A654" t="str">
            <v>MAPT0024A</v>
          </cell>
          <cell r="B654" t="str">
            <v>Mall</v>
          </cell>
          <cell r="C654" t="str">
            <v>Mall Plaza</v>
          </cell>
          <cell r="D654" t="str">
            <v>Unipoles</v>
          </cell>
          <cell r="E654" t="str">
            <v>DOBLE FAZ</v>
          </cell>
          <cell r="F654" t="str">
            <v>9.00 * 3.00</v>
          </cell>
          <cell r="G654" t="str">
            <v>9.30 * 3.30</v>
          </cell>
          <cell r="H654" t="str">
            <v>E</v>
          </cell>
          <cell r="I654" t="str">
            <v>ESTACIONAMIENTOS</v>
          </cell>
          <cell r="J654">
            <v>0</v>
          </cell>
          <cell r="K654">
            <v>0</v>
          </cell>
          <cell r="L654">
            <v>980000</v>
          </cell>
          <cell r="M654" t="str">
            <v>MALL PLAZA DEL TREBOL</v>
          </cell>
          <cell r="P654" t="str">
            <v>CONCEPCION</v>
          </cell>
          <cell r="Q654" t="str">
            <v>TRADICIONAL</v>
          </cell>
          <cell r="R654" t="str">
            <v>Mall - Sur</v>
          </cell>
          <cell r="S654" t="str">
            <v>Mall Plaza</v>
          </cell>
          <cell r="T654" t="str">
            <v>Unipoles</v>
          </cell>
          <cell r="U654">
            <v>1</v>
          </cell>
          <cell r="V654" t="str">
            <v>9.00 * 3.00</v>
          </cell>
        </row>
        <row r="655">
          <cell r="A655" t="str">
            <v>MAPT0024B</v>
          </cell>
          <cell r="B655" t="str">
            <v>Mall</v>
          </cell>
          <cell r="C655" t="str">
            <v>Mall Plaza</v>
          </cell>
          <cell r="D655" t="str">
            <v>Unipoles</v>
          </cell>
          <cell r="E655" t="str">
            <v>DOBLE FAZ</v>
          </cell>
          <cell r="F655" t="str">
            <v>9.00 * 3.00</v>
          </cell>
          <cell r="G655" t="str">
            <v>9.30 * 3.30</v>
          </cell>
          <cell r="H655" t="str">
            <v>E</v>
          </cell>
          <cell r="I655" t="str">
            <v>ESTACIONAMIENTOS</v>
          </cell>
          <cell r="J655">
            <v>0</v>
          </cell>
          <cell r="K655">
            <v>0</v>
          </cell>
          <cell r="L655">
            <v>980000</v>
          </cell>
          <cell r="M655" t="str">
            <v>MALL PLAZA DEL TREBOL</v>
          </cell>
          <cell r="P655" t="str">
            <v>CONCEPCION</v>
          </cell>
          <cell r="Q655" t="str">
            <v>TRADICIONAL</v>
          </cell>
          <cell r="R655" t="str">
            <v>Mall - Sur</v>
          </cell>
          <cell r="S655" t="str">
            <v>Mall Plaza</v>
          </cell>
          <cell r="T655" t="str">
            <v>Unipoles</v>
          </cell>
          <cell r="U655">
            <v>1</v>
          </cell>
          <cell r="V655" t="str">
            <v>9.00 * 3.00</v>
          </cell>
        </row>
        <row r="656">
          <cell r="A656" t="str">
            <v>MAPT0025A</v>
          </cell>
          <cell r="B656" t="str">
            <v>Mall</v>
          </cell>
          <cell r="C656" t="str">
            <v>Mall Plaza</v>
          </cell>
          <cell r="D656" t="str">
            <v>Minipoles</v>
          </cell>
          <cell r="E656" t="str">
            <v>Minipoles</v>
          </cell>
          <cell r="F656" t="str">
            <v>2.80 * 1.30</v>
          </cell>
          <cell r="G656" t="str">
            <v>3.00 * 1.50</v>
          </cell>
          <cell r="H656" t="str">
            <v>E</v>
          </cell>
          <cell r="I656" t="str">
            <v>ESTACIONAMIENTOS</v>
          </cell>
          <cell r="J656">
            <v>0</v>
          </cell>
          <cell r="K656">
            <v>0</v>
          </cell>
          <cell r="L656">
            <v>540000</v>
          </cell>
          <cell r="M656" t="str">
            <v>MALL PLAZA DEL TREBOL</v>
          </cell>
          <cell r="P656" t="str">
            <v>CONCEPCION</v>
          </cell>
          <cell r="Q656" t="str">
            <v>TRADICIONAL</v>
          </cell>
          <cell r="R656" t="str">
            <v>Mall - Sur</v>
          </cell>
          <cell r="S656" t="str">
            <v>Mall Plaza</v>
          </cell>
          <cell r="T656" t="str">
            <v>Minipoles</v>
          </cell>
          <cell r="U656">
            <v>1</v>
          </cell>
          <cell r="V656" t="str">
            <v>2.80 * 1.30</v>
          </cell>
        </row>
        <row r="657">
          <cell r="A657" t="str">
            <v>MAPT0025B</v>
          </cell>
          <cell r="B657" t="str">
            <v>Mall</v>
          </cell>
          <cell r="C657" t="str">
            <v>Mall Plaza</v>
          </cell>
          <cell r="D657" t="str">
            <v>Minipoles</v>
          </cell>
          <cell r="E657" t="str">
            <v>Minipoles</v>
          </cell>
          <cell r="F657" t="str">
            <v>2.80 * 1.30</v>
          </cell>
          <cell r="G657" t="str">
            <v>3.00 * 1.50</v>
          </cell>
          <cell r="H657" t="str">
            <v>E</v>
          </cell>
          <cell r="I657" t="str">
            <v>ESTACIONAMIENTOS</v>
          </cell>
          <cell r="J657">
            <v>0</v>
          </cell>
          <cell r="K657">
            <v>0</v>
          </cell>
          <cell r="L657">
            <v>540000</v>
          </cell>
          <cell r="M657" t="str">
            <v>MALL PLAZA DEL TREBOL</v>
          </cell>
          <cell r="P657" t="str">
            <v>CONCEPCION</v>
          </cell>
          <cell r="Q657" t="str">
            <v>TRADICIONAL</v>
          </cell>
          <cell r="R657" t="str">
            <v>Mall - Sur</v>
          </cell>
          <cell r="S657" t="str">
            <v>Mall Plaza</v>
          </cell>
          <cell r="T657" t="str">
            <v>Minipoles</v>
          </cell>
          <cell r="U657">
            <v>1</v>
          </cell>
          <cell r="V657" t="str">
            <v>2.80 * 1.30</v>
          </cell>
        </row>
        <row r="658">
          <cell r="A658" t="str">
            <v>MAPT0026A</v>
          </cell>
          <cell r="B658" t="str">
            <v>Mall</v>
          </cell>
          <cell r="C658" t="str">
            <v>Mall Plaza</v>
          </cell>
          <cell r="D658" t="str">
            <v>Minipoles</v>
          </cell>
          <cell r="E658" t="str">
            <v>Minipoles</v>
          </cell>
          <cell r="F658" t="str">
            <v>2.80 * 1.30</v>
          </cell>
          <cell r="G658" t="str">
            <v>3.00 * 1.50</v>
          </cell>
          <cell r="H658" t="str">
            <v>E</v>
          </cell>
          <cell r="I658" t="str">
            <v>ESTACIONAMIENTOS</v>
          </cell>
          <cell r="J658">
            <v>0</v>
          </cell>
          <cell r="K658">
            <v>0</v>
          </cell>
          <cell r="L658">
            <v>540000</v>
          </cell>
          <cell r="M658" t="str">
            <v>MALL PLAZA DEL TREBOL</v>
          </cell>
          <cell r="P658" t="str">
            <v>CONCEPCION</v>
          </cell>
          <cell r="Q658" t="str">
            <v>TRADICIONAL</v>
          </cell>
          <cell r="R658" t="str">
            <v>Mall - Sur</v>
          </cell>
          <cell r="S658" t="str">
            <v>Mall Plaza</v>
          </cell>
          <cell r="T658" t="str">
            <v>Minipoles</v>
          </cell>
          <cell r="U658">
            <v>1</v>
          </cell>
          <cell r="V658" t="str">
            <v>2.80 * 1.30</v>
          </cell>
        </row>
        <row r="659">
          <cell r="A659" t="str">
            <v>MAPT0026B</v>
          </cell>
          <cell r="B659" t="str">
            <v>Mall</v>
          </cell>
          <cell r="C659" t="str">
            <v>Mall Plaza</v>
          </cell>
          <cell r="D659" t="str">
            <v>Minipoles</v>
          </cell>
          <cell r="E659" t="str">
            <v>Minipoles</v>
          </cell>
          <cell r="F659" t="str">
            <v>2.80 * 1.30</v>
          </cell>
          <cell r="G659" t="str">
            <v>3.00 * 1.50</v>
          </cell>
          <cell r="H659" t="str">
            <v>E</v>
          </cell>
          <cell r="I659" t="str">
            <v>ESTACIONAMIENTOS</v>
          </cell>
          <cell r="J659">
            <v>0</v>
          </cell>
          <cell r="K659">
            <v>0</v>
          </cell>
          <cell r="L659">
            <v>540000</v>
          </cell>
          <cell r="M659" t="str">
            <v>MALL PLAZA DEL TREBOL</v>
          </cell>
          <cell r="P659" t="str">
            <v>CONCEPCION</v>
          </cell>
          <cell r="Q659" t="str">
            <v>TRADICIONAL</v>
          </cell>
          <cell r="R659" t="str">
            <v>Mall - Sur</v>
          </cell>
          <cell r="S659" t="str">
            <v>Mall Plaza</v>
          </cell>
          <cell r="T659" t="str">
            <v>Minipoles</v>
          </cell>
          <cell r="U659">
            <v>1</v>
          </cell>
          <cell r="V659" t="str">
            <v>2.80 * 1.30</v>
          </cell>
        </row>
        <row r="660">
          <cell r="A660" t="str">
            <v>MAPT0027A</v>
          </cell>
          <cell r="B660" t="str">
            <v>Mall</v>
          </cell>
          <cell r="C660" t="str">
            <v>Mall Plaza</v>
          </cell>
          <cell r="D660" t="str">
            <v>Pantallas Digitales</v>
          </cell>
          <cell r="E660" t="str">
            <v>Pantallas</v>
          </cell>
          <cell r="F660" t="str">
            <v>NA</v>
          </cell>
          <cell r="G660" t="str">
            <v>NA</v>
          </cell>
          <cell r="H660" t="str">
            <v>I</v>
          </cell>
          <cell r="I660" t="str">
            <v>LOTE 6 PANTALLAS</v>
          </cell>
          <cell r="J660">
            <v>0</v>
          </cell>
          <cell r="K660">
            <v>0</v>
          </cell>
          <cell r="L660">
            <v>550000</v>
          </cell>
          <cell r="M660" t="str">
            <v>MALL PLAZA DEL TREBOL</v>
          </cell>
          <cell r="P660" t="str">
            <v>CONCEPCION</v>
          </cell>
          <cell r="Q660" t="str">
            <v>PANTALLA</v>
          </cell>
          <cell r="R660" t="str">
            <v>Mall - Sur</v>
          </cell>
          <cell r="S660" t="str">
            <v>Mall Plaza Digital</v>
          </cell>
          <cell r="T660" t="str">
            <v>Pantallas Digitales</v>
          </cell>
          <cell r="U660">
            <v>1</v>
          </cell>
        </row>
        <row r="661">
          <cell r="A661" t="str">
            <v>MAPT0027B</v>
          </cell>
          <cell r="B661" t="str">
            <v>Mall</v>
          </cell>
          <cell r="C661" t="str">
            <v>Mall Plaza</v>
          </cell>
          <cell r="D661" t="str">
            <v>Pantallas Digitales</v>
          </cell>
          <cell r="E661" t="str">
            <v>Pantallas</v>
          </cell>
          <cell r="F661" t="str">
            <v>NA</v>
          </cell>
          <cell r="G661" t="str">
            <v>NA</v>
          </cell>
          <cell r="H661" t="str">
            <v>I</v>
          </cell>
          <cell r="I661" t="str">
            <v>LOTE 6 PANTALLAS</v>
          </cell>
          <cell r="J661">
            <v>0</v>
          </cell>
          <cell r="K661">
            <v>0</v>
          </cell>
          <cell r="L661">
            <v>550000</v>
          </cell>
          <cell r="M661" t="str">
            <v>MALL PLAZA DEL TREBOL</v>
          </cell>
          <cell r="P661" t="str">
            <v>CONCEPCION</v>
          </cell>
          <cell r="Q661" t="str">
            <v>PANTALLA</v>
          </cell>
          <cell r="R661" t="str">
            <v>Mall - Sur</v>
          </cell>
          <cell r="S661" t="str">
            <v>Mall Plaza Digital</v>
          </cell>
          <cell r="T661" t="str">
            <v>Pantallas Digitales</v>
          </cell>
          <cell r="U661">
            <v>1</v>
          </cell>
        </row>
        <row r="662">
          <cell r="A662" t="str">
            <v>MAPT0027C</v>
          </cell>
          <cell r="B662" t="str">
            <v>Mall</v>
          </cell>
          <cell r="C662" t="str">
            <v>Mall Plaza</v>
          </cell>
          <cell r="D662" t="str">
            <v>Pantallas Digitales</v>
          </cell>
          <cell r="E662" t="str">
            <v>Pantallas</v>
          </cell>
          <cell r="F662" t="str">
            <v>NA</v>
          </cell>
          <cell r="G662" t="str">
            <v>NA</v>
          </cell>
          <cell r="H662" t="str">
            <v>I</v>
          </cell>
          <cell r="I662" t="str">
            <v>LOTE 6 PANTALLAS</v>
          </cell>
          <cell r="J662">
            <v>0</v>
          </cell>
          <cell r="K662">
            <v>0</v>
          </cell>
          <cell r="L662">
            <v>550000</v>
          </cell>
          <cell r="M662" t="str">
            <v>MALL PLAZA DEL TREBOL</v>
          </cell>
          <cell r="P662" t="str">
            <v>CONCEPCION</v>
          </cell>
          <cell r="Q662" t="str">
            <v>PANTALLA</v>
          </cell>
          <cell r="R662" t="str">
            <v>Mall - Sur</v>
          </cell>
          <cell r="S662" t="str">
            <v>Mall Plaza Digital</v>
          </cell>
          <cell r="T662" t="str">
            <v>Pantallas Digitales</v>
          </cell>
          <cell r="U662">
            <v>1</v>
          </cell>
        </row>
        <row r="663">
          <cell r="A663" t="str">
            <v>MAPT0027D</v>
          </cell>
          <cell r="B663" t="str">
            <v>Mall</v>
          </cell>
          <cell r="C663" t="str">
            <v>Mall Plaza</v>
          </cell>
          <cell r="D663" t="str">
            <v>Pantallas Digitales</v>
          </cell>
          <cell r="E663" t="str">
            <v>Pantallas</v>
          </cell>
          <cell r="F663" t="str">
            <v>NA</v>
          </cell>
          <cell r="G663" t="str">
            <v>NA</v>
          </cell>
          <cell r="H663" t="str">
            <v>I</v>
          </cell>
          <cell r="I663" t="str">
            <v>LOTE 6 PANTALLAS</v>
          </cell>
          <cell r="J663">
            <v>0</v>
          </cell>
          <cell r="K663">
            <v>0</v>
          </cell>
          <cell r="L663">
            <v>550000</v>
          </cell>
          <cell r="M663" t="str">
            <v>MALL PLAZA DEL TREBOL</v>
          </cell>
          <cell r="P663" t="str">
            <v>CONCEPCION</v>
          </cell>
          <cell r="Q663" t="str">
            <v>PANTALLA</v>
          </cell>
          <cell r="R663" t="str">
            <v>Mall - Sur</v>
          </cell>
          <cell r="S663" t="str">
            <v>Mall Plaza Digital</v>
          </cell>
          <cell r="T663" t="str">
            <v>Pantallas Digitales</v>
          </cell>
          <cell r="U663">
            <v>1</v>
          </cell>
        </row>
        <row r="664">
          <cell r="A664" t="str">
            <v>MAPT0027E</v>
          </cell>
          <cell r="B664" t="str">
            <v>Mall</v>
          </cell>
          <cell r="C664" t="str">
            <v>Mall Plaza</v>
          </cell>
          <cell r="D664" t="str">
            <v>Pantallas Digitales</v>
          </cell>
          <cell r="E664" t="str">
            <v>Pantallas</v>
          </cell>
          <cell r="F664" t="str">
            <v>NA</v>
          </cell>
          <cell r="G664" t="str">
            <v>NA</v>
          </cell>
          <cell r="H664" t="str">
            <v>I</v>
          </cell>
          <cell r="I664" t="str">
            <v>LOTE 6 PANTALLAS</v>
          </cell>
          <cell r="J664">
            <v>0</v>
          </cell>
          <cell r="K664">
            <v>0</v>
          </cell>
          <cell r="L664">
            <v>550000</v>
          </cell>
          <cell r="M664" t="str">
            <v>MALL PLAZA DEL TREBOL</v>
          </cell>
          <cell r="P664" t="str">
            <v>CONCEPCION</v>
          </cell>
          <cell r="Q664" t="str">
            <v>PANTALLA</v>
          </cell>
          <cell r="R664" t="str">
            <v>Mall - Sur</v>
          </cell>
          <cell r="S664" t="str">
            <v>Mall Plaza Digital</v>
          </cell>
          <cell r="T664" t="str">
            <v>Pantallas Digitales</v>
          </cell>
          <cell r="U664">
            <v>1</v>
          </cell>
        </row>
        <row r="665">
          <cell r="A665" t="str">
            <v>MAPT0027F</v>
          </cell>
          <cell r="B665" t="str">
            <v>Mall</v>
          </cell>
          <cell r="C665" t="str">
            <v>Mall Plaza</v>
          </cell>
          <cell r="D665" t="str">
            <v>Pantallas Digitales</v>
          </cell>
          <cell r="E665" t="str">
            <v>Pantallas</v>
          </cell>
          <cell r="F665" t="str">
            <v>NA</v>
          </cell>
          <cell r="G665" t="str">
            <v>NA</v>
          </cell>
          <cell r="H665" t="str">
            <v>I</v>
          </cell>
          <cell r="I665" t="str">
            <v>LOTE DE 6 PANTAL</v>
          </cell>
          <cell r="J665">
            <v>0</v>
          </cell>
          <cell r="K665">
            <v>0</v>
          </cell>
          <cell r="L665">
            <v>550000</v>
          </cell>
          <cell r="M665" t="str">
            <v>MALL PLAZA DEL TREBOL</v>
          </cell>
          <cell r="P665" t="str">
            <v>CONCEPCION</v>
          </cell>
          <cell r="Q665" t="str">
            <v>PANTALLA</v>
          </cell>
          <cell r="R665" t="str">
            <v>Mall - Sur</v>
          </cell>
          <cell r="S665" t="str">
            <v>Mall Plaza Digital</v>
          </cell>
          <cell r="T665" t="str">
            <v>Pantallas Digitales</v>
          </cell>
          <cell r="U665">
            <v>1</v>
          </cell>
        </row>
        <row r="666">
          <cell r="A666" t="str">
            <v>MAPT0027G</v>
          </cell>
          <cell r="B666" t="str">
            <v>Mall</v>
          </cell>
          <cell r="C666" t="str">
            <v>Mall Plaza</v>
          </cell>
          <cell r="D666" t="str">
            <v>Pantallas Digitales</v>
          </cell>
          <cell r="E666" t="str">
            <v>Pantallas</v>
          </cell>
          <cell r="F666" t="str">
            <v>NA</v>
          </cell>
          <cell r="G666" t="str">
            <v>NA</v>
          </cell>
          <cell r="H666" t="str">
            <v>I</v>
          </cell>
          <cell r="I666" t="str">
            <v>LOTE DE 6 PANTAL</v>
          </cell>
          <cell r="J666">
            <v>0</v>
          </cell>
          <cell r="K666">
            <v>0</v>
          </cell>
          <cell r="L666">
            <v>550000</v>
          </cell>
          <cell r="M666" t="str">
            <v>MALL PLAZA DEL TREBOL</v>
          </cell>
          <cell r="P666" t="str">
            <v>CONCEPCION</v>
          </cell>
          <cell r="Q666" t="str">
            <v>PANTALLA</v>
          </cell>
          <cell r="R666" t="str">
            <v>Mall - Sur</v>
          </cell>
          <cell r="S666" t="str">
            <v>Mall Plaza Digital</v>
          </cell>
          <cell r="T666" t="str">
            <v>Pantallas Digitales</v>
          </cell>
          <cell r="U666">
            <v>1</v>
          </cell>
        </row>
        <row r="667">
          <cell r="A667" t="str">
            <v>MAPT0027H</v>
          </cell>
          <cell r="B667" t="str">
            <v>Mall</v>
          </cell>
          <cell r="C667" t="str">
            <v>Mall Plaza</v>
          </cell>
          <cell r="D667" t="str">
            <v>Pantallas Digitales</v>
          </cell>
          <cell r="E667" t="str">
            <v>Pantallas</v>
          </cell>
          <cell r="F667" t="str">
            <v>NA</v>
          </cell>
          <cell r="G667" t="str">
            <v>NA</v>
          </cell>
          <cell r="H667" t="str">
            <v>I</v>
          </cell>
          <cell r="I667" t="str">
            <v>LOTE DE 6 PANTAL</v>
          </cell>
          <cell r="J667">
            <v>0</v>
          </cell>
          <cell r="K667">
            <v>0</v>
          </cell>
          <cell r="L667">
            <v>550000</v>
          </cell>
          <cell r="M667" t="str">
            <v>MALL PLAZA DEL TREBOL</v>
          </cell>
          <cell r="P667" t="str">
            <v>CONCEPCION</v>
          </cell>
          <cell r="Q667" t="str">
            <v>PANTALLA</v>
          </cell>
          <cell r="R667" t="str">
            <v>Mall - Sur</v>
          </cell>
          <cell r="S667" t="str">
            <v>Mall Plaza Digital</v>
          </cell>
          <cell r="T667" t="str">
            <v>Pantallas Digitales</v>
          </cell>
          <cell r="U667">
            <v>1</v>
          </cell>
        </row>
        <row r="668">
          <cell r="A668" t="str">
            <v>MAPT0027I</v>
          </cell>
          <cell r="B668" t="str">
            <v>Mall</v>
          </cell>
          <cell r="C668" t="str">
            <v>Mall Plaza</v>
          </cell>
          <cell r="D668" t="str">
            <v>Pantallas Digitales</v>
          </cell>
          <cell r="E668" t="str">
            <v>Pantallas</v>
          </cell>
          <cell r="F668" t="str">
            <v>NA</v>
          </cell>
          <cell r="G668" t="str">
            <v>NA</v>
          </cell>
          <cell r="H668" t="str">
            <v>I</v>
          </cell>
          <cell r="I668" t="str">
            <v>LOTE DE 6 PANTAL</v>
          </cell>
          <cell r="J668">
            <v>0</v>
          </cell>
          <cell r="K668">
            <v>0</v>
          </cell>
          <cell r="L668">
            <v>550000</v>
          </cell>
          <cell r="M668" t="str">
            <v>MALL PLAZA DEL TREBOL</v>
          </cell>
          <cell r="P668" t="str">
            <v>CONCEPCION</v>
          </cell>
          <cell r="Q668" t="str">
            <v>PANTALLA</v>
          </cell>
          <cell r="R668" t="str">
            <v>Mall - Sur</v>
          </cell>
          <cell r="S668" t="str">
            <v>Mall Plaza Digital</v>
          </cell>
          <cell r="T668" t="str">
            <v>Pantallas Digitales</v>
          </cell>
          <cell r="U668">
            <v>1</v>
          </cell>
        </row>
        <row r="669">
          <cell r="A669" t="str">
            <v>MAPT0027J</v>
          </cell>
          <cell r="B669" t="str">
            <v>Mall</v>
          </cell>
          <cell r="C669" t="str">
            <v>Mall Plaza</v>
          </cell>
          <cell r="D669" t="str">
            <v>Pantallas Digitales</v>
          </cell>
          <cell r="E669" t="str">
            <v>Pantallas</v>
          </cell>
          <cell r="F669" t="str">
            <v>NA</v>
          </cell>
          <cell r="G669" t="str">
            <v>NA</v>
          </cell>
          <cell r="H669" t="str">
            <v>I</v>
          </cell>
          <cell r="I669" t="str">
            <v>LOTE DE 6 PANTAL</v>
          </cell>
          <cell r="J669">
            <v>0</v>
          </cell>
          <cell r="K669">
            <v>0</v>
          </cell>
          <cell r="L669">
            <v>550000</v>
          </cell>
          <cell r="M669" t="str">
            <v>MALL PLAZA DEL TREBOL</v>
          </cell>
          <cell r="P669" t="str">
            <v>CONCEPCION</v>
          </cell>
          <cell r="Q669" t="str">
            <v>PANTALLA</v>
          </cell>
          <cell r="R669" t="str">
            <v>Mall - Sur</v>
          </cell>
          <cell r="S669" t="str">
            <v>Mall Plaza Digital</v>
          </cell>
          <cell r="T669" t="str">
            <v>Pantallas Digitales</v>
          </cell>
          <cell r="U669">
            <v>1</v>
          </cell>
        </row>
        <row r="670">
          <cell r="A670" t="str">
            <v>MAPT0027K</v>
          </cell>
          <cell r="B670" t="str">
            <v>Mall</v>
          </cell>
          <cell r="C670" t="str">
            <v>Mall Plaza</v>
          </cell>
          <cell r="D670" t="str">
            <v>Pantallas Digitales</v>
          </cell>
          <cell r="E670" t="str">
            <v>Pantallas</v>
          </cell>
          <cell r="F670" t="str">
            <v>NA</v>
          </cell>
          <cell r="G670" t="str">
            <v>NA</v>
          </cell>
          <cell r="H670" t="str">
            <v>I</v>
          </cell>
          <cell r="I670" t="str">
            <v>LOTE DE 6 PANTAL</v>
          </cell>
          <cell r="J670">
            <v>0</v>
          </cell>
          <cell r="K670">
            <v>0</v>
          </cell>
          <cell r="L670">
            <v>550000</v>
          </cell>
          <cell r="M670" t="str">
            <v>MALL PLAZA DEL TREBOL</v>
          </cell>
          <cell r="P670" t="str">
            <v>CONCEPCION</v>
          </cell>
          <cell r="Q670" t="str">
            <v>PANTALLA</v>
          </cell>
          <cell r="R670" t="str">
            <v>Mall - Sur</v>
          </cell>
          <cell r="S670" t="str">
            <v>Mall Plaza Digital</v>
          </cell>
          <cell r="T670" t="str">
            <v>Pantallas Digitales</v>
          </cell>
          <cell r="U670">
            <v>1</v>
          </cell>
        </row>
        <row r="671">
          <cell r="A671" t="str">
            <v>MAPT0027L</v>
          </cell>
          <cell r="B671" t="str">
            <v>Mall</v>
          </cell>
          <cell r="C671" t="str">
            <v>Mall Plaza</v>
          </cell>
          <cell r="D671" t="str">
            <v>Pantallas Digitales</v>
          </cell>
          <cell r="E671" t="str">
            <v>Pantallas</v>
          </cell>
          <cell r="F671" t="str">
            <v>NA</v>
          </cell>
          <cell r="G671" t="str">
            <v>NA</v>
          </cell>
          <cell r="H671" t="str">
            <v>I</v>
          </cell>
          <cell r="I671" t="str">
            <v>LOTE DE 6 PANTAL</v>
          </cell>
          <cell r="J671">
            <v>0</v>
          </cell>
          <cell r="K671">
            <v>0</v>
          </cell>
          <cell r="L671">
            <v>550000</v>
          </cell>
          <cell r="M671" t="str">
            <v>MALL PLAZA DEL TREBOL</v>
          </cell>
          <cell r="P671" t="str">
            <v>CONCEPCION</v>
          </cell>
          <cell r="Q671" t="str">
            <v>PANTALLA</v>
          </cell>
          <cell r="R671" t="str">
            <v>Mall - Sur</v>
          </cell>
          <cell r="S671" t="str">
            <v>Mall Plaza Digital</v>
          </cell>
          <cell r="T671" t="str">
            <v>Pantallas Digitales</v>
          </cell>
          <cell r="U671">
            <v>1</v>
          </cell>
        </row>
        <row r="672">
          <cell r="A672" t="str">
            <v>MAPT0027M</v>
          </cell>
          <cell r="B672" t="str">
            <v>Mall</v>
          </cell>
          <cell r="C672" t="str">
            <v>Mall Plaza</v>
          </cell>
          <cell r="D672" t="str">
            <v>Pantallas Digitales</v>
          </cell>
          <cell r="E672" t="str">
            <v>Pantallas</v>
          </cell>
          <cell r="F672" t="str">
            <v>NA</v>
          </cell>
          <cell r="G672" t="str">
            <v>NA</v>
          </cell>
          <cell r="H672" t="str">
            <v>I</v>
          </cell>
          <cell r="I672" t="str">
            <v>LOTE DE 6 PANTAL</v>
          </cell>
          <cell r="J672">
            <v>0</v>
          </cell>
          <cell r="K672">
            <v>0</v>
          </cell>
          <cell r="L672">
            <v>550000</v>
          </cell>
          <cell r="M672" t="str">
            <v>MALL PLAZA DEL TREBOL</v>
          </cell>
          <cell r="P672" t="str">
            <v>CONCEPCION</v>
          </cell>
          <cell r="Q672" t="str">
            <v>PANTALLA</v>
          </cell>
          <cell r="R672" t="str">
            <v>Mall - Sur</v>
          </cell>
          <cell r="S672" t="str">
            <v>Mall Plaza Digital</v>
          </cell>
          <cell r="T672" t="str">
            <v>Pantallas Digitales</v>
          </cell>
          <cell r="U672">
            <v>1</v>
          </cell>
        </row>
        <row r="673">
          <cell r="A673" t="str">
            <v>MAPT0027N</v>
          </cell>
          <cell r="B673" t="str">
            <v>Mall</v>
          </cell>
          <cell r="C673" t="str">
            <v>Mall Plaza</v>
          </cell>
          <cell r="D673" t="str">
            <v>Pantallas Digitales</v>
          </cell>
          <cell r="E673" t="str">
            <v>Pantallas</v>
          </cell>
          <cell r="F673" t="str">
            <v>NA</v>
          </cell>
          <cell r="G673" t="str">
            <v>NA</v>
          </cell>
          <cell r="H673" t="str">
            <v>I</v>
          </cell>
          <cell r="I673" t="str">
            <v>LOTE DE 6 PANTAL</v>
          </cell>
          <cell r="J673">
            <v>0</v>
          </cell>
          <cell r="K673">
            <v>0</v>
          </cell>
          <cell r="L673">
            <v>550000</v>
          </cell>
          <cell r="M673" t="str">
            <v>MALL PLAZA DEL TREBOL</v>
          </cell>
          <cell r="P673" t="str">
            <v>CONCEPCION</v>
          </cell>
          <cell r="Q673" t="str">
            <v>PANTALLA</v>
          </cell>
          <cell r="R673" t="str">
            <v>Mall - Sur</v>
          </cell>
          <cell r="S673" t="str">
            <v>Mall Plaza Digital</v>
          </cell>
          <cell r="T673" t="str">
            <v>Pantallas Digitales</v>
          </cell>
          <cell r="U673">
            <v>1</v>
          </cell>
        </row>
        <row r="674">
          <cell r="A674" t="str">
            <v>MAPT0027Ñ</v>
          </cell>
          <cell r="B674" t="str">
            <v>Mall</v>
          </cell>
          <cell r="C674" t="str">
            <v>Mall Plaza</v>
          </cell>
          <cell r="D674" t="str">
            <v>Pantallas Digitales</v>
          </cell>
          <cell r="E674" t="str">
            <v>Pantallas</v>
          </cell>
          <cell r="F674" t="str">
            <v>NA</v>
          </cell>
          <cell r="G674" t="str">
            <v>NA</v>
          </cell>
          <cell r="H674" t="str">
            <v>I</v>
          </cell>
          <cell r="I674" t="str">
            <v>LOTE DE 6 PANTAL</v>
          </cell>
          <cell r="J674">
            <v>0</v>
          </cell>
          <cell r="K674">
            <v>0</v>
          </cell>
          <cell r="L674">
            <v>550000</v>
          </cell>
          <cell r="M674" t="str">
            <v>MALL PLAZA DEL TREBOL</v>
          </cell>
          <cell r="P674" t="str">
            <v>CONCEPCION</v>
          </cell>
          <cell r="Q674" t="str">
            <v>PANTALLA</v>
          </cell>
          <cell r="R674" t="str">
            <v>Mall - Sur</v>
          </cell>
          <cell r="S674" t="str">
            <v>Mall Plaza Digital</v>
          </cell>
          <cell r="T674" t="str">
            <v>Pantallas Digitales</v>
          </cell>
          <cell r="U674">
            <v>1</v>
          </cell>
        </row>
        <row r="675">
          <cell r="A675" t="str">
            <v>MAPT0028A</v>
          </cell>
          <cell r="B675" t="str">
            <v>Mall</v>
          </cell>
          <cell r="C675" t="str">
            <v>Mall Plaza</v>
          </cell>
          <cell r="D675" t="str">
            <v>P.E.: CORPOREO</v>
          </cell>
          <cell r="E675" t="str">
            <v>CORPOREO</v>
          </cell>
          <cell r="F675" t="str">
            <v>Ver Ficha</v>
          </cell>
          <cell r="G675" t="str">
            <v>Ver Ficha</v>
          </cell>
          <cell r="H675" t="str">
            <v>E</v>
          </cell>
          <cell r="I675" t="str">
            <v>INTERIOR MALL</v>
          </cell>
          <cell r="J675" t="str">
            <v>Según Corporeo</v>
          </cell>
          <cell r="L675">
            <v>2500000</v>
          </cell>
          <cell r="M675" t="str">
            <v>MALL PLAZA DEL TREBOL</v>
          </cell>
          <cell r="P675" t="str">
            <v>CONCEPCION</v>
          </cell>
          <cell r="Q675" t="str">
            <v>ESPECIAL</v>
          </cell>
          <cell r="R675" t="str">
            <v>Mall - Sur</v>
          </cell>
          <cell r="S675" t="str">
            <v>Mall Plaza</v>
          </cell>
          <cell r="T675" t="str">
            <v>Productos Especiales</v>
          </cell>
          <cell r="U675">
            <v>1</v>
          </cell>
          <cell r="V675" t="str">
            <v>NA</v>
          </cell>
        </row>
        <row r="676">
          <cell r="A676" t="str">
            <v>MAPT0030A</v>
          </cell>
          <cell r="B676" t="str">
            <v>Mall</v>
          </cell>
          <cell r="C676" t="str">
            <v>Mall Plaza</v>
          </cell>
          <cell r="D676" t="str">
            <v>P.E.: ASCENSOR</v>
          </cell>
          <cell r="E676" t="str">
            <v>ASCENSOR</v>
          </cell>
          <cell r="F676" t="str">
            <v>Ver Ficha</v>
          </cell>
          <cell r="G676" t="str">
            <v>Ver Ficha</v>
          </cell>
          <cell r="H676" t="str">
            <v>I</v>
          </cell>
          <cell r="I676" t="str">
            <v>INTERIOR</v>
          </cell>
          <cell r="J676">
            <v>85000</v>
          </cell>
          <cell r="K676">
            <v>0</v>
          </cell>
          <cell r="L676">
            <v>1950000</v>
          </cell>
          <cell r="M676" t="str">
            <v>MALL PLAZA DEL TREBOL</v>
          </cell>
          <cell r="P676" t="str">
            <v>CONCEPCION</v>
          </cell>
          <cell r="Q676" t="str">
            <v>ESPECIAL</v>
          </cell>
          <cell r="R676" t="str">
            <v>Mall - Sur</v>
          </cell>
          <cell r="S676" t="str">
            <v>Mall Plaza</v>
          </cell>
          <cell r="T676" t="str">
            <v>Productos Especiales</v>
          </cell>
          <cell r="U676">
            <v>1</v>
          </cell>
          <cell r="V676" t="str">
            <v>NA</v>
          </cell>
        </row>
        <row r="677">
          <cell r="A677" t="str">
            <v>MAPT0031A</v>
          </cell>
          <cell r="B677" t="str">
            <v>Mall</v>
          </cell>
          <cell r="C677" t="str">
            <v>Mall Plaza</v>
          </cell>
          <cell r="D677" t="str">
            <v>P.E.: ESCALERAS MECÁNICAS</v>
          </cell>
          <cell r="E677" t="str">
            <v>ESCALERAS MECÁNICAS</v>
          </cell>
          <cell r="F677" t="str">
            <v>Ver Ficha</v>
          </cell>
          <cell r="G677" t="str">
            <v>Ver Ficha</v>
          </cell>
          <cell r="H677" t="str">
            <v>I</v>
          </cell>
          <cell r="I677" t="str">
            <v>INTERIOR MALL</v>
          </cell>
          <cell r="J677">
            <v>193000</v>
          </cell>
          <cell r="K677">
            <v>0</v>
          </cell>
          <cell r="L677">
            <v>3750000</v>
          </cell>
          <cell r="M677" t="str">
            <v>MALL PLAZA DEL TREBOL</v>
          </cell>
          <cell r="P677" t="str">
            <v>CONCEPCION</v>
          </cell>
          <cell r="Q677" t="str">
            <v>ESPECIAL</v>
          </cell>
          <cell r="R677" t="str">
            <v>Mall - Sur</v>
          </cell>
          <cell r="S677" t="str">
            <v>Mall Plaza</v>
          </cell>
          <cell r="T677" t="str">
            <v>Productos Especiales</v>
          </cell>
          <cell r="U677">
            <v>1</v>
          </cell>
          <cell r="V677" t="str">
            <v>NA</v>
          </cell>
        </row>
        <row r="678">
          <cell r="A678" t="str">
            <v>MAPV0009A</v>
          </cell>
          <cell r="B678" t="str">
            <v>Mall</v>
          </cell>
          <cell r="C678" t="str">
            <v>Mall Plaza</v>
          </cell>
          <cell r="D678" t="str">
            <v>NO VENDIBLE</v>
          </cell>
          <cell r="E678" t="str">
            <v>PALETA SUPER SCREEN</v>
          </cell>
          <cell r="F678" t="str">
            <v>1.20 * 1.70</v>
          </cell>
          <cell r="G678" t="str">
            <v>1.23 * 1.75</v>
          </cell>
          <cell r="H678" t="str">
            <v>E</v>
          </cell>
          <cell r="I678" t="str">
            <v>ESTACIONAMIENTOS</v>
          </cell>
          <cell r="J678">
            <v>0</v>
          </cell>
          <cell r="K678">
            <v>0</v>
          </cell>
          <cell r="L678">
            <v>340000</v>
          </cell>
          <cell r="M678" t="str">
            <v>MALL PLAZA VESPUCIO</v>
          </cell>
          <cell r="O678" t="str">
            <v>Sí</v>
          </cell>
          <cell r="P678" t="str">
            <v>LA FLORIDA</v>
          </cell>
          <cell r="Q678" t="str">
            <v>TRADICIONAL</v>
          </cell>
          <cell r="R678" t="str">
            <v>Mall - Santiago</v>
          </cell>
          <cell r="S678" t="str">
            <v>Mall Plaza</v>
          </cell>
          <cell r="T678" t="str">
            <v>Paletas</v>
          </cell>
          <cell r="U678">
            <v>1</v>
          </cell>
          <cell r="V678" t="str">
            <v>1.20 * 1.70</v>
          </cell>
        </row>
        <row r="679">
          <cell r="A679" t="str">
            <v>MAPV0009B</v>
          </cell>
          <cell r="B679" t="str">
            <v>Mall</v>
          </cell>
          <cell r="C679" t="str">
            <v>Mall Plaza</v>
          </cell>
          <cell r="D679" t="str">
            <v>NO VENDIBLE</v>
          </cell>
          <cell r="E679" t="str">
            <v>PALETA SUPER SCREEN</v>
          </cell>
          <cell r="F679" t="str">
            <v>1.20 * 1.70</v>
          </cell>
          <cell r="G679" t="str">
            <v>1.23 * 1.75</v>
          </cell>
          <cell r="H679" t="str">
            <v>E</v>
          </cell>
          <cell r="I679" t="str">
            <v>ESTACIONAMIENTOS</v>
          </cell>
          <cell r="J679">
            <v>0</v>
          </cell>
          <cell r="K679">
            <v>0</v>
          </cell>
          <cell r="L679">
            <v>340000</v>
          </cell>
          <cell r="M679" t="str">
            <v>MALL PLAZA VESPUCIO</v>
          </cell>
          <cell r="O679" t="str">
            <v>Sí</v>
          </cell>
          <cell r="P679" t="str">
            <v>LA FLORIDA</v>
          </cell>
          <cell r="Q679" t="str">
            <v>TRADICIONAL</v>
          </cell>
          <cell r="R679" t="str">
            <v>Mall - Santiago</v>
          </cell>
          <cell r="S679" t="str">
            <v>Mall Plaza</v>
          </cell>
          <cell r="T679" t="str">
            <v>Paletas</v>
          </cell>
          <cell r="U679">
            <v>1</v>
          </cell>
          <cell r="V679" t="str">
            <v>1.20 * 1.70</v>
          </cell>
        </row>
        <row r="680">
          <cell r="A680" t="str">
            <v>MAPV0010A</v>
          </cell>
          <cell r="B680" t="str">
            <v>Mall</v>
          </cell>
          <cell r="C680" t="str">
            <v>Mall Plaza</v>
          </cell>
          <cell r="D680" t="str">
            <v>NO VENDIBLE</v>
          </cell>
          <cell r="E680" t="str">
            <v>PALETA SUPER SCREEN</v>
          </cell>
          <cell r="F680" t="str">
            <v>1.20 * 1.70</v>
          </cell>
          <cell r="G680" t="str">
            <v>1.23 * 1.75</v>
          </cell>
          <cell r="H680" t="str">
            <v>E</v>
          </cell>
          <cell r="I680" t="str">
            <v>ESTACIONAMIENTOS</v>
          </cell>
          <cell r="J680">
            <v>0</v>
          </cell>
          <cell r="K680">
            <v>0</v>
          </cell>
          <cell r="L680">
            <v>380000</v>
          </cell>
          <cell r="M680" t="str">
            <v>MALL PLAZA VESPUCIO</v>
          </cell>
          <cell r="O680" t="str">
            <v>Sí</v>
          </cell>
          <cell r="P680" t="str">
            <v>LA FLORIDA</v>
          </cell>
          <cell r="Q680" t="str">
            <v>TRADICIONAL</v>
          </cell>
          <cell r="R680" t="str">
            <v>Mall - Santiago</v>
          </cell>
          <cell r="S680" t="str">
            <v>Mall Plaza</v>
          </cell>
          <cell r="T680" t="str">
            <v>Paletas</v>
          </cell>
          <cell r="U680">
            <v>1</v>
          </cell>
          <cell r="V680" t="str">
            <v>1.20 * 1.70</v>
          </cell>
        </row>
        <row r="681">
          <cell r="A681" t="str">
            <v>MAPV0010B</v>
          </cell>
          <cell r="B681" t="str">
            <v>Mall</v>
          </cell>
          <cell r="C681" t="str">
            <v>Mall Plaza</v>
          </cell>
          <cell r="D681" t="str">
            <v>NO VENDIBLE</v>
          </cell>
          <cell r="E681" t="str">
            <v>PALETA SUPER SCREEN</v>
          </cell>
          <cell r="F681" t="str">
            <v>1.20 * 1.70</v>
          </cell>
          <cell r="G681" t="str">
            <v>1.23 * 1.75</v>
          </cell>
          <cell r="H681" t="str">
            <v>E</v>
          </cell>
          <cell r="I681" t="str">
            <v>ESTACIONAMIENTOS</v>
          </cell>
          <cell r="J681">
            <v>0</v>
          </cell>
          <cell r="K681">
            <v>0</v>
          </cell>
          <cell r="L681">
            <v>380000</v>
          </cell>
          <cell r="M681" t="str">
            <v>MALL PLAZA VESPUCIO</v>
          </cell>
          <cell r="O681" t="str">
            <v>Sí</v>
          </cell>
          <cell r="P681" t="str">
            <v>LA FLORIDA</v>
          </cell>
          <cell r="Q681" t="str">
            <v>TRADICIONAL</v>
          </cell>
          <cell r="R681" t="str">
            <v>Mall - Santiago</v>
          </cell>
          <cell r="S681" t="str">
            <v>Mall Plaza</v>
          </cell>
          <cell r="T681" t="str">
            <v>Paletas</v>
          </cell>
          <cell r="U681">
            <v>1</v>
          </cell>
          <cell r="V681" t="str">
            <v>1.20 * 1.70</v>
          </cell>
        </row>
        <row r="682">
          <cell r="A682" t="str">
            <v>MAPV0012A</v>
          </cell>
          <cell r="B682" t="str">
            <v>Mall</v>
          </cell>
          <cell r="C682" t="str">
            <v>Mall Plaza</v>
          </cell>
          <cell r="D682" t="str">
            <v>Paletas</v>
          </cell>
          <cell r="E682" t="str">
            <v>INTERIOR</v>
          </cell>
          <cell r="F682" t="str">
            <v>1.10 * 1.53</v>
          </cell>
          <cell r="G682" t="str">
            <v>1.15 * 1.57</v>
          </cell>
          <cell r="H682" t="str">
            <v>Y</v>
          </cell>
          <cell r="I682" t="str">
            <v>INTERIOR PASILLO</v>
          </cell>
          <cell r="J682">
            <v>0</v>
          </cell>
          <cell r="K682">
            <v>0</v>
          </cell>
          <cell r="L682">
            <v>380000</v>
          </cell>
          <cell r="M682" t="str">
            <v>MALL PLAZA VESPUCIO</v>
          </cell>
          <cell r="P682" t="str">
            <v>LA FLORIDA</v>
          </cell>
          <cell r="Q682" t="str">
            <v>TRADICIONAL</v>
          </cell>
          <cell r="R682" t="str">
            <v>Mall - Santiago</v>
          </cell>
          <cell r="S682" t="str">
            <v>Mall Plaza</v>
          </cell>
          <cell r="T682" t="str">
            <v>Paletas</v>
          </cell>
          <cell r="U682">
            <v>1</v>
          </cell>
          <cell r="V682" t="str">
            <v>1.10 * 1.53</v>
          </cell>
        </row>
        <row r="683">
          <cell r="A683" t="str">
            <v>MAPV0012B</v>
          </cell>
          <cell r="B683" t="str">
            <v>Mall</v>
          </cell>
          <cell r="C683" t="str">
            <v>Mall Plaza</v>
          </cell>
          <cell r="D683" t="str">
            <v>Paletas</v>
          </cell>
          <cell r="E683" t="str">
            <v>INTERIOR</v>
          </cell>
          <cell r="F683" t="str">
            <v>1.10 * 1.53</v>
          </cell>
          <cell r="G683" t="str">
            <v>1.15 * 1.57</v>
          </cell>
          <cell r="H683" t="str">
            <v>Y</v>
          </cell>
          <cell r="I683" t="str">
            <v>INTERIOR PASILLO</v>
          </cell>
          <cell r="J683">
            <v>0</v>
          </cell>
          <cell r="K683">
            <v>0</v>
          </cell>
          <cell r="L683">
            <v>380000</v>
          </cell>
          <cell r="M683" t="str">
            <v>MALL PLAZA VESPUCIO</v>
          </cell>
          <cell r="P683" t="str">
            <v>LA FLORIDA</v>
          </cell>
          <cell r="Q683" t="str">
            <v>TRADICIONAL</v>
          </cell>
          <cell r="R683" t="str">
            <v>Mall - Santiago</v>
          </cell>
          <cell r="S683" t="str">
            <v>Mall Plaza</v>
          </cell>
          <cell r="T683" t="str">
            <v>Paletas</v>
          </cell>
          <cell r="U683">
            <v>1</v>
          </cell>
          <cell r="V683" t="str">
            <v>1.10 * 1.53</v>
          </cell>
        </row>
        <row r="684">
          <cell r="A684" t="str">
            <v>MAPV0013A</v>
          </cell>
          <cell r="B684" t="str">
            <v>Mall</v>
          </cell>
          <cell r="C684" t="str">
            <v>Mall Plaza</v>
          </cell>
          <cell r="D684" t="str">
            <v>Paletas</v>
          </cell>
          <cell r="E684" t="str">
            <v>INTERIOR</v>
          </cell>
          <cell r="F684" t="str">
            <v>1.10 * 1.53</v>
          </cell>
          <cell r="G684" t="str">
            <v>1.15 * 1.57</v>
          </cell>
          <cell r="H684" t="str">
            <v>Y</v>
          </cell>
          <cell r="I684" t="str">
            <v>INTERIOR PASILLO</v>
          </cell>
          <cell r="J684">
            <v>0</v>
          </cell>
          <cell r="K684">
            <v>0</v>
          </cell>
          <cell r="L684">
            <v>380000</v>
          </cell>
          <cell r="M684" t="str">
            <v>MALL PLAZA VESPUCIO</v>
          </cell>
          <cell r="P684" t="str">
            <v>LA FLORIDA</v>
          </cell>
          <cell r="Q684" t="str">
            <v>TRADICIONAL</v>
          </cell>
          <cell r="R684" t="str">
            <v>Mall - Santiago</v>
          </cell>
          <cell r="S684" t="str">
            <v>Mall Plaza</v>
          </cell>
          <cell r="T684" t="str">
            <v>Paletas</v>
          </cell>
          <cell r="U684">
            <v>1</v>
          </cell>
          <cell r="V684" t="str">
            <v>1.10 * 1.53</v>
          </cell>
        </row>
        <row r="685">
          <cell r="A685" t="str">
            <v>MAPV0013B</v>
          </cell>
          <cell r="B685" t="str">
            <v>Mall</v>
          </cell>
          <cell r="C685" t="str">
            <v>Mall Plaza</v>
          </cell>
          <cell r="D685" t="str">
            <v>Paletas</v>
          </cell>
          <cell r="E685" t="str">
            <v>INTERIOR</v>
          </cell>
          <cell r="F685" t="str">
            <v>1.10 * 1.53</v>
          </cell>
          <cell r="G685" t="str">
            <v>1.15 * 1.57</v>
          </cell>
          <cell r="H685" t="str">
            <v>Y</v>
          </cell>
          <cell r="I685" t="str">
            <v>INTERIOR PASILLO</v>
          </cell>
          <cell r="J685">
            <v>0</v>
          </cell>
          <cell r="K685">
            <v>0</v>
          </cell>
          <cell r="L685">
            <v>380000</v>
          </cell>
          <cell r="M685" t="str">
            <v>MALL PLAZA VESPUCIO</v>
          </cell>
          <cell r="P685" t="str">
            <v>LA FLORIDA</v>
          </cell>
          <cell r="Q685" t="str">
            <v>TRADICIONAL</v>
          </cell>
          <cell r="R685" t="str">
            <v>Mall - Santiago</v>
          </cell>
          <cell r="S685" t="str">
            <v>Mall Plaza</v>
          </cell>
          <cell r="T685" t="str">
            <v>Paletas</v>
          </cell>
          <cell r="U685">
            <v>1</v>
          </cell>
          <cell r="V685" t="str">
            <v>1.10 * 1.53</v>
          </cell>
        </row>
        <row r="686">
          <cell r="A686" t="str">
            <v>MAPV0014A</v>
          </cell>
          <cell r="B686" t="str">
            <v>Mall</v>
          </cell>
          <cell r="C686" t="str">
            <v>Mall Plaza</v>
          </cell>
          <cell r="D686" t="str">
            <v>Paletas</v>
          </cell>
          <cell r="E686" t="str">
            <v>INTERIOR</v>
          </cell>
          <cell r="F686" t="str">
            <v>1.10 * 1.53</v>
          </cell>
          <cell r="G686" t="str">
            <v>1.15 * 1.57</v>
          </cell>
          <cell r="H686" t="str">
            <v>Y</v>
          </cell>
          <cell r="I686" t="str">
            <v>INTERIOR PASILLO</v>
          </cell>
          <cell r="J686">
            <v>0</v>
          </cell>
          <cell r="K686">
            <v>0</v>
          </cell>
          <cell r="L686">
            <v>380000</v>
          </cell>
          <cell r="M686" t="str">
            <v>MALL PLAZA VESPUCIO</v>
          </cell>
          <cell r="P686" t="str">
            <v>LA FLORIDA</v>
          </cell>
          <cell r="Q686" t="str">
            <v>TRADICIONAL</v>
          </cell>
          <cell r="R686" t="str">
            <v>Mall - Santiago</v>
          </cell>
          <cell r="S686" t="str">
            <v>Mall Plaza</v>
          </cell>
          <cell r="T686" t="str">
            <v>Paletas</v>
          </cell>
          <cell r="U686">
            <v>1</v>
          </cell>
          <cell r="V686" t="str">
            <v>1.10 * 1.53</v>
          </cell>
        </row>
        <row r="687">
          <cell r="A687" t="str">
            <v>MAPV0014B</v>
          </cell>
          <cell r="B687" t="str">
            <v>Mall</v>
          </cell>
          <cell r="C687" t="str">
            <v>Mall Plaza</v>
          </cell>
          <cell r="D687" t="str">
            <v>Paletas</v>
          </cell>
          <cell r="E687" t="str">
            <v>INTERIOR</v>
          </cell>
          <cell r="F687" t="str">
            <v>1.10 * 1.53</v>
          </cell>
          <cell r="G687" t="str">
            <v>1.15 * 1.57</v>
          </cell>
          <cell r="H687" t="str">
            <v>Y</v>
          </cell>
          <cell r="I687" t="str">
            <v>INTERIOR PASILLO</v>
          </cell>
          <cell r="J687">
            <v>0</v>
          </cell>
          <cell r="K687">
            <v>0</v>
          </cell>
          <cell r="L687">
            <v>380000</v>
          </cell>
          <cell r="M687" t="str">
            <v>MALL PLAZA VESPUCIO</v>
          </cell>
          <cell r="P687" t="str">
            <v>LA FLORIDA</v>
          </cell>
          <cell r="Q687" t="str">
            <v>TRADICIONAL</v>
          </cell>
          <cell r="R687" t="str">
            <v>Mall - Santiago</v>
          </cell>
          <cell r="S687" t="str">
            <v>Mall Plaza</v>
          </cell>
          <cell r="T687" t="str">
            <v>Paletas</v>
          </cell>
          <cell r="U687">
            <v>1</v>
          </cell>
          <cell r="V687" t="str">
            <v>1.10 * 1.53</v>
          </cell>
        </row>
        <row r="688">
          <cell r="A688" t="str">
            <v>MAPV0015A</v>
          </cell>
          <cell r="B688" t="str">
            <v>Mall</v>
          </cell>
          <cell r="C688" t="str">
            <v>Mall Plaza</v>
          </cell>
          <cell r="D688" t="str">
            <v>Paletas</v>
          </cell>
          <cell r="E688" t="str">
            <v>INTERIOR</v>
          </cell>
          <cell r="F688" t="str">
            <v>1.10 * 1.53</v>
          </cell>
          <cell r="G688" t="str">
            <v>1.15 * 1.57</v>
          </cell>
          <cell r="H688" t="str">
            <v>Y</v>
          </cell>
          <cell r="I688" t="str">
            <v>INTERIOR PASILLO</v>
          </cell>
          <cell r="J688">
            <v>0</v>
          </cell>
          <cell r="K688">
            <v>0</v>
          </cell>
          <cell r="L688">
            <v>380000</v>
          </cell>
          <cell r="M688" t="str">
            <v>MALL PLAZA VESPUCIO</v>
          </cell>
          <cell r="P688" t="str">
            <v>LA FLORIDA</v>
          </cell>
          <cell r="Q688" t="str">
            <v>TRADICIONAL</v>
          </cell>
          <cell r="R688" t="str">
            <v>Mall - Santiago</v>
          </cell>
          <cell r="S688" t="str">
            <v>Mall Plaza</v>
          </cell>
          <cell r="T688" t="str">
            <v>Paletas</v>
          </cell>
          <cell r="U688">
            <v>1</v>
          </cell>
          <cell r="V688" t="str">
            <v>1.10 * 1.53</v>
          </cell>
        </row>
        <row r="689">
          <cell r="A689" t="str">
            <v>MAPV0015B</v>
          </cell>
          <cell r="B689" t="str">
            <v>Mall</v>
          </cell>
          <cell r="C689" t="str">
            <v>Mall Plaza</v>
          </cell>
          <cell r="D689" t="str">
            <v>Paletas</v>
          </cell>
          <cell r="E689" t="str">
            <v>INTERIOR</v>
          </cell>
          <cell r="F689" t="str">
            <v>1.10 * 1.53</v>
          </cell>
          <cell r="G689" t="str">
            <v>1.15 * 1.57</v>
          </cell>
          <cell r="H689" t="str">
            <v>Y</v>
          </cell>
          <cell r="I689" t="str">
            <v>INTERIOR PASILLO</v>
          </cell>
          <cell r="J689">
            <v>0</v>
          </cell>
          <cell r="K689">
            <v>0</v>
          </cell>
          <cell r="L689">
            <v>380000</v>
          </cell>
          <cell r="M689" t="str">
            <v>MALL PLAZA VESPUCIO</v>
          </cell>
          <cell r="P689" t="str">
            <v>LA FLORIDA</v>
          </cell>
          <cell r="Q689" t="str">
            <v>TRADICIONAL</v>
          </cell>
          <cell r="R689" t="str">
            <v>Mall - Santiago</v>
          </cell>
          <cell r="S689" t="str">
            <v>Mall Plaza</v>
          </cell>
          <cell r="T689" t="str">
            <v>Paletas</v>
          </cell>
          <cell r="U689">
            <v>1</v>
          </cell>
          <cell r="V689" t="str">
            <v>1.10 * 1.53</v>
          </cell>
        </row>
        <row r="690">
          <cell r="A690" t="str">
            <v>MAPV0016A</v>
          </cell>
          <cell r="B690" t="str">
            <v>Mall</v>
          </cell>
          <cell r="C690" t="str">
            <v>Mall Plaza</v>
          </cell>
          <cell r="D690" t="str">
            <v>Paletas</v>
          </cell>
          <cell r="E690" t="str">
            <v>INTERIOR</v>
          </cell>
          <cell r="F690" t="str">
            <v>1.10 * 1.53</v>
          </cell>
          <cell r="G690" t="str">
            <v>1.15 * 1.57</v>
          </cell>
          <cell r="H690" t="str">
            <v>Y</v>
          </cell>
          <cell r="I690" t="str">
            <v>INTERIOR PASILLO</v>
          </cell>
          <cell r="J690">
            <v>0</v>
          </cell>
          <cell r="K690">
            <v>0</v>
          </cell>
          <cell r="L690">
            <v>380000</v>
          </cell>
          <cell r="M690" t="str">
            <v>MALL PLAZA VESPUCIO</v>
          </cell>
          <cell r="P690" t="str">
            <v>LA FLORIDA</v>
          </cell>
          <cell r="Q690" t="str">
            <v>TRADICIONAL</v>
          </cell>
          <cell r="R690" t="str">
            <v>Mall - Santiago</v>
          </cell>
          <cell r="S690" t="str">
            <v>Mall Plaza</v>
          </cell>
          <cell r="T690" t="str">
            <v>Paletas</v>
          </cell>
          <cell r="U690">
            <v>1</v>
          </cell>
          <cell r="V690" t="str">
            <v>1.10 * 1.53</v>
          </cell>
        </row>
        <row r="691">
          <cell r="A691" t="str">
            <v>MAPV0016B</v>
          </cell>
          <cell r="B691" t="str">
            <v>Mall</v>
          </cell>
          <cell r="C691" t="str">
            <v>Mall Plaza</v>
          </cell>
          <cell r="D691" t="str">
            <v>Paletas</v>
          </cell>
          <cell r="E691" t="str">
            <v>INTERIOR</v>
          </cell>
          <cell r="F691" t="str">
            <v>1.10 * 1.53</v>
          </cell>
          <cell r="G691" t="str">
            <v>1.15 * 1.57</v>
          </cell>
          <cell r="H691" t="str">
            <v>Y</v>
          </cell>
          <cell r="I691" t="str">
            <v>INTERIOR PASILLO</v>
          </cell>
          <cell r="J691">
            <v>0</v>
          </cell>
          <cell r="K691">
            <v>0</v>
          </cell>
          <cell r="L691">
            <v>380000</v>
          </cell>
          <cell r="M691" t="str">
            <v>MALL PLAZA VESPUCIO</v>
          </cell>
          <cell r="P691" t="str">
            <v>LA FLORIDA</v>
          </cell>
          <cell r="Q691" t="str">
            <v>TRADICIONAL</v>
          </cell>
          <cell r="R691" t="str">
            <v>Mall - Santiago</v>
          </cell>
          <cell r="S691" t="str">
            <v>Mall Plaza</v>
          </cell>
          <cell r="T691" t="str">
            <v>Paletas</v>
          </cell>
          <cell r="U691">
            <v>1</v>
          </cell>
          <cell r="V691" t="str">
            <v>1.10 * 1.53</v>
          </cell>
        </row>
        <row r="692">
          <cell r="A692" t="str">
            <v>MAPV0017A</v>
          </cell>
          <cell r="B692" t="str">
            <v>Mall</v>
          </cell>
          <cell r="C692" t="str">
            <v>Mall Plaza</v>
          </cell>
          <cell r="D692" t="str">
            <v>Cajas de luz</v>
          </cell>
          <cell r="E692" t="str">
            <v>Cajas de luz</v>
          </cell>
          <cell r="F692" t="str">
            <v>3.92 * 1.92</v>
          </cell>
          <cell r="G692" t="str">
            <v>4.20 * 2.20</v>
          </cell>
          <cell r="H692" t="str">
            <v>S</v>
          </cell>
          <cell r="I692" t="str">
            <v>ESTACIONAMIENTOS</v>
          </cell>
          <cell r="J692">
            <v>0</v>
          </cell>
          <cell r="K692">
            <v>0</v>
          </cell>
          <cell r="L692">
            <v>520000</v>
          </cell>
          <cell r="M692" t="str">
            <v>MALL PLAZA VESPUCIO</v>
          </cell>
          <cell r="P692" t="str">
            <v>LA FLORIDA</v>
          </cell>
          <cell r="Q692" t="str">
            <v>TRADICIONAL</v>
          </cell>
          <cell r="R692" t="str">
            <v>Mall - Santiago</v>
          </cell>
          <cell r="S692" t="str">
            <v>Mall Plaza</v>
          </cell>
          <cell r="T692" t="str">
            <v>Cajas de luz</v>
          </cell>
          <cell r="U692">
            <v>1</v>
          </cell>
          <cell r="V692" t="str">
            <v>3.92 * 1.92</v>
          </cell>
        </row>
        <row r="693">
          <cell r="A693" t="str">
            <v>MAPV0018A</v>
          </cell>
          <cell r="B693" t="str">
            <v>Mall</v>
          </cell>
          <cell r="C693" t="str">
            <v>Mall Plaza</v>
          </cell>
          <cell r="D693" t="str">
            <v>Cajas de luz</v>
          </cell>
          <cell r="E693" t="str">
            <v>Cajas de luz</v>
          </cell>
          <cell r="F693" t="str">
            <v>3.92 * 1.62</v>
          </cell>
          <cell r="G693" t="str">
            <v>4.20 * 1.90</v>
          </cell>
          <cell r="H693" t="str">
            <v>S</v>
          </cell>
          <cell r="I693" t="str">
            <v>ESTACIONAMIENTOS</v>
          </cell>
          <cell r="J693">
            <v>0</v>
          </cell>
          <cell r="K693">
            <v>0</v>
          </cell>
          <cell r="L693">
            <v>520000</v>
          </cell>
          <cell r="M693" t="str">
            <v>MALL PLAZA VESPUCIO</v>
          </cell>
          <cell r="P693" t="str">
            <v>LA FLORIDA</v>
          </cell>
          <cell r="Q693" t="str">
            <v>TRADICIONAL</v>
          </cell>
          <cell r="R693" t="str">
            <v>Mall - Santiago</v>
          </cell>
          <cell r="S693" t="str">
            <v>Mall Plaza</v>
          </cell>
          <cell r="T693" t="str">
            <v>Cajas de luz</v>
          </cell>
          <cell r="U693">
            <v>1</v>
          </cell>
          <cell r="V693" t="str">
            <v>3.92 * 1.62</v>
          </cell>
        </row>
        <row r="694">
          <cell r="A694" t="str">
            <v>MAPV0019A</v>
          </cell>
          <cell r="B694" t="str">
            <v>Mall</v>
          </cell>
          <cell r="C694" t="str">
            <v>Mall Plaza</v>
          </cell>
          <cell r="D694" t="str">
            <v>Cajas de luz</v>
          </cell>
          <cell r="E694" t="str">
            <v>Cajas de luz</v>
          </cell>
          <cell r="F694" t="str">
            <v>3.92 * 1.62</v>
          </cell>
          <cell r="G694" t="str">
            <v>4.20 * 1.90</v>
          </cell>
          <cell r="H694" t="str">
            <v>S</v>
          </cell>
          <cell r="I694" t="str">
            <v>ESTACIONAMIENTOS</v>
          </cell>
          <cell r="J694">
            <v>0</v>
          </cell>
          <cell r="K694">
            <v>0</v>
          </cell>
          <cell r="L694">
            <v>520000</v>
          </cell>
          <cell r="M694" t="str">
            <v>MALL PLAZA VESPUCIO</v>
          </cell>
          <cell r="P694" t="str">
            <v>LA FLORIDA</v>
          </cell>
          <cell r="Q694" t="str">
            <v>TRADICIONAL</v>
          </cell>
          <cell r="R694" t="str">
            <v>Mall - Santiago</v>
          </cell>
          <cell r="S694" t="str">
            <v>Mall Plaza</v>
          </cell>
          <cell r="T694" t="str">
            <v>Cajas de luz</v>
          </cell>
          <cell r="U694">
            <v>1</v>
          </cell>
          <cell r="V694" t="str">
            <v>3.92 * 1.62</v>
          </cell>
        </row>
        <row r="695">
          <cell r="A695" t="str">
            <v>MAPV0023A</v>
          </cell>
          <cell r="B695" t="str">
            <v>Mall</v>
          </cell>
          <cell r="C695" t="str">
            <v>Mall Plaza</v>
          </cell>
          <cell r="D695" t="str">
            <v>Minipoles</v>
          </cell>
          <cell r="E695" t="str">
            <v>Minipoles</v>
          </cell>
          <cell r="F695" t="str">
            <v>2.80 * 1.30</v>
          </cell>
          <cell r="G695" t="str">
            <v>3.00 * 1.50</v>
          </cell>
          <cell r="H695" t="str">
            <v>E</v>
          </cell>
          <cell r="I695" t="str">
            <v>ESTACIONAMIENTOS</v>
          </cell>
          <cell r="J695">
            <v>0</v>
          </cell>
          <cell r="K695">
            <v>20000</v>
          </cell>
          <cell r="L695">
            <v>620000</v>
          </cell>
          <cell r="M695" t="str">
            <v>MALL PLAZA VESPUCIO</v>
          </cell>
          <cell r="P695" t="str">
            <v>LA FLORIDA</v>
          </cell>
          <cell r="Q695" t="str">
            <v>TRADICIONAL</v>
          </cell>
          <cell r="R695" t="str">
            <v>Mall - Santiago</v>
          </cell>
          <cell r="S695" t="str">
            <v>Mall Plaza</v>
          </cell>
          <cell r="T695" t="str">
            <v>Minipoles</v>
          </cell>
          <cell r="U695">
            <v>1</v>
          </cell>
          <cell r="V695" t="str">
            <v>2.80 * 1.30</v>
          </cell>
        </row>
        <row r="696">
          <cell r="A696" t="str">
            <v>MAPV0023B</v>
          </cell>
          <cell r="B696" t="str">
            <v>Mall</v>
          </cell>
          <cell r="C696" t="str">
            <v>Mall Plaza</v>
          </cell>
          <cell r="D696" t="str">
            <v>Minipoles</v>
          </cell>
          <cell r="E696" t="str">
            <v>Minipoles</v>
          </cell>
          <cell r="F696" t="str">
            <v>2.80 * 1.30</v>
          </cell>
          <cell r="G696" t="str">
            <v>3.00 * 1.50</v>
          </cell>
          <cell r="H696" t="str">
            <v>E</v>
          </cell>
          <cell r="I696" t="str">
            <v>ESTACIONAMIENTOS</v>
          </cell>
          <cell r="J696">
            <v>0</v>
          </cell>
          <cell r="K696">
            <v>0</v>
          </cell>
          <cell r="L696">
            <v>620000</v>
          </cell>
          <cell r="M696" t="str">
            <v>MALL PLAZA VESPUCIO</v>
          </cell>
          <cell r="P696" t="str">
            <v>LA FLORIDA</v>
          </cell>
          <cell r="Q696" t="str">
            <v>TRADICIONAL</v>
          </cell>
          <cell r="R696" t="str">
            <v>Mall - Santiago</v>
          </cell>
          <cell r="S696" t="str">
            <v>Mall Plaza</v>
          </cell>
          <cell r="T696" t="str">
            <v>Minipoles</v>
          </cell>
          <cell r="U696">
            <v>1</v>
          </cell>
          <cell r="V696" t="str">
            <v>2.80 * 1.30</v>
          </cell>
        </row>
        <row r="697">
          <cell r="A697" t="str">
            <v>MAPV0027A</v>
          </cell>
          <cell r="B697" t="str">
            <v>Mall</v>
          </cell>
          <cell r="C697" t="str">
            <v>Mall Plaza</v>
          </cell>
          <cell r="D697" t="str">
            <v>Cajas de luz</v>
          </cell>
          <cell r="E697" t="str">
            <v>CAJA SCROLLING</v>
          </cell>
          <cell r="F697" t="str">
            <v>3.23 * 2.29</v>
          </cell>
          <cell r="G697" t="str">
            <v>3.33 * 2.40</v>
          </cell>
          <cell r="H697" t="str">
            <v>Y</v>
          </cell>
          <cell r="I697" t="str">
            <v>INTERIOR PASILLO</v>
          </cell>
          <cell r="J697">
            <v>0</v>
          </cell>
          <cell r="K697">
            <v>0</v>
          </cell>
          <cell r="L697">
            <v>600000</v>
          </cell>
          <cell r="M697" t="str">
            <v>MALL PLAZA VESPUCIO</v>
          </cell>
          <cell r="P697" t="str">
            <v>LA FLORIDA</v>
          </cell>
          <cell r="Q697" t="str">
            <v>TRADICIONAL</v>
          </cell>
          <cell r="R697" t="str">
            <v>Mall - Santiago</v>
          </cell>
          <cell r="S697" t="str">
            <v>Mall Plaza</v>
          </cell>
          <cell r="T697" t="str">
            <v>Cajas de luz</v>
          </cell>
          <cell r="U697">
            <v>1</v>
          </cell>
          <cell r="V697" t="str">
            <v>3.23 * 2.29</v>
          </cell>
        </row>
        <row r="698">
          <cell r="A698" t="str">
            <v>MAPV0027B</v>
          </cell>
          <cell r="B698" t="str">
            <v>Mall</v>
          </cell>
          <cell r="C698" t="str">
            <v>Mall Plaza</v>
          </cell>
          <cell r="D698" t="str">
            <v>Cajas de luz</v>
          </cell>
          <cell r="E698" t="str">
            <v>CAJA SCROLLING</v>
          </cell>
          <cell r="F698" t="str">
            <v>3.23 * 2.29</v>
          </cell>
          <cell r="G698" t="str">
            <v>3.33 * 2.40</v>
          </cell>
          <cell r="H698" t="str">
            <v>Y</v>
          </cell>
          <cell r="I698" t="str">
            <v>INTERIOR PASILLO</v>
          </cell>
          <cell r="J698">
            <v>0</v>
          </cell>
          <cell r="K698">
            <v>0</v>
          </cell>
          <cell r="L698">
            <v>600000</v>
          </cell>
          <cell r="M698" t="str">
            <v>MALL PLAZA VESPUCIO</v>
          </cell>
          <cell r="P698" t="str">
            <v>LA FLORIDA</v>
          </cell>
          <cell r="Q698" t="str">
            <v>TRADICIONAL</v>
          </cell>
          <cell r="R698" t="str">
            <v>Mall - Santiago</v>
          </cell>
          <cell r="S698" t="str">
            <v>Mall Plaza</v>
          </cell>
          <cell r="T698" t="str">
            <v>Cajas de luz</v>
          </cell>
          <cell r="U698">
            <v>1</v>
          </cell>
          <cell r="V698" t="str">
            <v>3.23 * 2.29</v>
          </cell>
        </row>
        <row r="699">
          <cell r="A699" t="str">
            <v>MAPV0027C</v>
          </cell>
          <cell r="B699" t="str">
            <v>Mall</v>
          </cell>
          <cell r="C699" t="str">
            <v>Mall Plaza</v>
          </cell>
          <cell r="D699" t="str">
            <v>Cajas de luz</v>
          </cell>
          <cell r="E699" t="str">
            <v>CAJA SCROLLING</v>
          </cell>
          <cell r="F699" t="str">
            <v>3.23 * 2.29</v>
          </cell>
          <cell r="G699" t="str">
            <v>3.33 * 2.40</v>
          </cell>
          <cell r="H699" t="str">
            <v>Y</v>
          </cell>
          <cell r="I699" t="str">
            <v>INTERIOR PASILLO</v>
          </cell>
          <cell r="J699">
            <v>0</v>
          </cell>
          <cell r="K699">
            <v>0</v>
          </cell>
          <cell r="L699">
            <v>600000</v>
          </cell>
          <cell r="M699" t="str">
            <v>MALL PLAZA VESPUCIO</v>
          </cell>
          <cell r="P699" t="str">
            <v>LA FLORIDA</v>
          </cell>
          <cell r="Q699" t="str">
            <v>TRADICIONAL</v>
          </cell>
          <cell r="R699" t="str">
            <v>Mall - Santiago</v>
          </cell>
          <cell r="S699" t="str">
            <v>Mall Plaza</v>
          </cell>
          <cell r="T699" t="str">
            <v>Cajas de luz</v>
          </cell>
          <cell r="U699">
            <v>1</v>
          </cell>
          <cell r="V699" t="str">
            <v>3.23 * 2.29</v>
          </cell>
        </row>
        <row r="700">
          <cell r="A700" t="str">
            <v>MAPV0027D</v>
          </cell>
          <cell r="B700" t="str">
            <v>Mall</v>
          </cell>
          <cell r="C700" t="str">
            <v>Mall Plaza</v>
          </cell>
          <cell r="D700" t="str">
            <v>Cajas de luz</v>
          </cell>
          <cell r="E700" t="str">
            <v>CAJA SCROLLING</v>
          </cell>
          <cell r="F700" t="str">
            <v>3.23 * 2.29</v>
          </cell>
          <cell r="G700" t="str">
            <v>3.33 * 2.40</v>
          </cell>
          <cell r="H700" t="str">
            <v>Y</v>
          </cell>
          <cell r="I700" t="str">
            <v>INTERIOR PASILLO</v>
          </cell>
          <cell r="J700">
            <v>0</v>
          </cell>
          <cell r="K700">
            <v>0</v>
          </cell>
          <cell r="L700">
            <v>600000</v>
          </cell>
          <cell r="M700" t="str">
            <v>MALL PLAZA VESPUCIO</v>
          </cell>
          <cell r="P700" t="str">
            <v>LA FLORIDA</v>
          </cell>
          <cell r="Q700" t="str">
            <v>TRADICIONAL</v>
          </cell>
          <cell r="R700" t="str">
            <v>Mall - Santiago</v>
          </cell>
          <cell r="S700" t="str">
            <v>Mall Plaza</v>
          </cell>
          <cell r="T700" t="str">
            <v>Cajas de luz</v>
          </cell>
          <cell r="U700">
            <v>1</v>
          </cell>
          <cell r="V700" t="str">
            <v>3.23 * 2.29</v>
          </cell>
        </row>
        <row r="701">
          <cell r="A701" t="str">
            <v>MAPV0027E</v>
          </cell>
          <cell r="B701" t="str">
            <v>Mall</v>
          </cell>
          <cell r="C701" t="str">
            <v>Mall Plaza</v>
          </cell>
          <cell r="D701" t="str">
            <v>Cajas de luz</v>
          </cell>
          <cell r="E701" t="str">
            <v>CAJA SCROLLING</v>
          </cell>
          <cell r="F701" t="str">
            <v>3.23 * 2.29</v>
          </cell>
          <cell r="G701" t="str">
            <v>3.33 * 2.40</v>
          </cell>
          <cell r="H701" t="str">
            <v>Y</v>
          </cell>
          <cell r="I701" t="str">
            <v>INTERIOR PASILLO</v>
          </cell>
          <cell r="J701">
            <v>0</v>
          </cell>
          <cell r="K701">
            <v>0</v>
          </cell>
          <cell r="L701">
            <v>600000</v>
          </cell>
          <cell r="M701" t="str">
            <v>MALL PLAZA VESPUCIO</v>
          </cell>
          <cell r="P701" t="str">
            <v>LA FLORIDA</v>
          </cell>
          <cell r="Q701" t="str">
            <v>TRADICIONAL</v>
          </cell>
          <cell r="R701" t="str">
            <v>Mall - Santiago</v>
          </cell>
          <cell r="S701" t="str">
            <v>Mall Plaza</v>
          </cell>
          <cell r="T701" t="str">
            <v>Cajas de luz</v>
          </cell>
          <cell r="U701">
            <v>1</v>
          </cell>
          <cell r="V701" t="str">
            <v>3.23 * 2.29</v>
          </cell>
        </row>
        <row r="702">
          <cell r="A702" t="str">
            <v>MAPV0027F</v>
          </cell>
          <cell r="B702" t="str">
            <v>Mall</v>
          </cell>
          <cell r="C702" t="str">
            <v>Mall Plaza</v>
          </cell>
          <cell r="D702" t="str">
            <v>Cajas de luz</v>
          </cell>
          <cell r="E702" t="str">
            <v>CAJA SCROLLING</v>
          </cell>
          <cell r="F702" t="str">
            <v>3.23 * 2.29</v>
          </cell>
          <cell r="G702" t="str">
            <v>3.33 * 2.40</v>
          </cell>
          <cell r="H702" t="str">
            <v>Y</v>
          </cell>
          <cell r="J702">
            <v>0</v>
          </cell>
          <cell r="K702">
            <v>0</v>
          </cell>
          <cell r="L702">
            <v>600000</v>
          </cell>
          <cell r="M702" t="str">
            <v>MALL PLAZA VESPUCIO</v>
          </cell>
          <cell r="P702" t="str">
            <v>LA FLORIDA</v>
          </cell>
          <cell r="Q702" t="str">
            <v>TRADICIONAL</v>
          </cell>
          <cell r="R702" t="str">
            <v>Mall - Santiago</v>
          </cell>
          <cell r="S702" t="str">
            <v>Mall Plaza</v>
          </cell>
          <cell r="T702" t="str">
            <v>Cajas de luz</v>
          </cell>
          <cell r="U702">
            <v>1</v>
          </cell>
          <cell r="V702" t="str">
            <v>3.23 * 2.29</v>
          </cell>
        </row>
        <row r="703">
          <cell r="A703" t="str">
            <v>MAPV0028A</v>
          </cell>
          <cell r="B703" t="str">
            <v>Mall</v>
          </cell>
          <cell r="C703" t="str">
            <v>Mall Plaza</v>
          </cell>
          <cell r="D703" t="str">
            <v>Paletas</v>
          </cell>
          <cell r="E703" t="str">
            <v>SCROLLING MURO</v>
          </cell>
          <cell r="F703" t="str">
            <v>0.735 * 1.16</v>
          </cell>
          <cell r="G703" t="str">
            <v>0.80 * 1.20</v>
          </cell>
          <cell r="H703" t="str">
            <v>Y</v>
          </cell>
          <cell r="I703" t="str">
            <v>INTERIOR PASILLO</v>
          </cell>
          <cell r="J703">
            <v>0</v>
          </cell>
          <cell r="K703">
            <v>0</v>
          </cell>
          <cell r="L703">
            <v>180000</v>
          </cell>
          <cell r="M703" t="str">
            <v>MALL PLAZA VESPUCIO</v>
          </cell>
          <cell r="P703" t="str">
            <v>LA FLORIDA</v>
          </cell>
          <cell r="Q703" t="str">
            <v>TRADICIONAL</v>
          </cell>
          <cell r="R703" t="str">
            <v>Mall - Santiago</v>
          </cell>
          <cell r="S703" t="str">
            <v>Mall Plaza</v>
          </cell>
          <cell r="T703" t="str">
            <v>Paletas</v>
          </cell>
          <cell r="U703">
            <v>1</v>
          </cell>
          <cell r="V703" t="str">
            <v>0.735 * 1.16</v>
          </cell>
        </row>
        <row r="704">
          <cell r="A704" t="str">
            <v>MAPV0028B</v>
          </cell>
          <cell r="B704" t="str">
            <v>Mall</v>
          </cell>
          <cell r="C704" t="str">
            <v>Mall Plaza</v>
          </cell>
          <cell r="D704" t="str">
            <v>Paletas</v>
          </cell>
          <cell r="E704" t="str">
            <v>SCROLLING MURO</v>
          </cell>
          <cell r="F704" t="str">
            <v>0.735 * 1.16</v>
          </cell>
          <cell r="G704" t="str">
            <v>0.80 * 1.20</v>
          </cell>
          <cell r="H704" t="str">
            <v>Y</v>
          </cell>
          <cell r="I704" t="str">
            <v>INTERIOR PASILLO</v>
          </cell>
          <cell r="J704">
            <v>0</v>
          </cell>
          <cell r="K704">
            <v>0</v>
          </cell>
          <cell r="L704">
            <v>180000</v>
          </cell>
          <cell r="M704" t="str">
            <v>MALL PLAZA VESPUCIO</v>
          </cell>
          <cell r="P704" t="str">
            <v>LA FLORIDA</v>
          </cell>
          <cell r="Q704" t="str">
            <v>TRADICIONAL</v>
          </cell>
          <cell r="R704" t="str">
            <v>Mall - Santiago</v>
          </cell>
          <cell r="S704" t="str">
            <v>Mall Plaza</v>
          </cell>
          <cell r="T704" t="str">
            <v>Paletas</v>
          </cell>
          <cell r="U704">
            <v>1</v>
          </cell>
          <cell r="V704" t="str">
            <v>0.735 * 1.16</v>
          </cell>
        </row>
        <row r="705">
          <cell r="A705" t="str">
            <v>MAPV0028C</v>
          </cell>
          <cell r="B705" t="str">
            <v>Mall</v>
          </cell>
          <cell r="C705" t="str">
            <v>Mall Plaza</v>
          </cell>
          <cell r="D705" t="str">
            <v>Paletas</v>
          </cell>
          <cell r="E705" t="str">
            <v>SCROLLING MURO</v>
          </cell>
          <cell r="F705" t="str">
            <v>0.735 * 1.16</v>
          </cell>
          <cell r="G705" t="str">
            <v>0.80 * 1.20</v>
          </cell>
          <cell r="H705" t="str">
            <v>Y</v>
          </cell>
          <cell r="I705" t="str">
            <v>INTERIOR PASILLO</v>
          </cell>
          <cell r="J705">
            <v>0</v>
          </cell>
          <cell r="K705">
            <v>0</v>
          </cell>
          <cell r="L705">
            <v>180000</v>
          </cell>
          <cell r="M705" t="str">
            <v>MALL PLAZA VESPUCIO</v>
          </cell>
          <cell r="P705" t="str">
            <v>LA FLORIDA</v>
          </cell>
          <cell r="Q705" t="str">
            <v>TRADICIONAL</v>
          </cell>
          <cell r="R705" t="str">
            <v>Mall - Santiago</v>
          </cell>
          <cell r="S705" t="str">
            <v>Mall Plaza</v>
          </cell>
          <cell r="T705" t="str">
            <v>Paletas</v>
          </cell>
          <cell r="U705">
            <v>1</v>
          </cell>
          <cell r="V705" t="str">
            <v>0.735 * 1.16</v>
          </cell>
        </row>
        <row r="706">
          <cell r="A706" t="str">
            <v>MAPV0028D</v>
          </cell>
          <cell r="B706" t="str">
            <v>Mall</v>
          </cell>
          <cell r="C706" t="str">
            <v>Mall Plaza</v>
          </cell>
          <cell r="D706" t="str">
            <v>Paletas</v>
          </cell>
          <cell r="E706" t="str">
            <v>SCROLLING MURO</v>
          </cell>
          <cell r="F706" t="str">
            <v>0.735 * 1.16</v>
          </cell>
          <cell r="G706" t="str">
            <v>0.80 * 1.20</v>
          </cell>
          <cell r="H706" t="str">
            <v>Y</v>
          </cell>
          <cell r="I706" t="str">
            <v>INTERIOR PASILLO</v>
          </cell>
          <cell r="J706">
            <v>0</v>
          </cell>
          <cell r="K706">
            <v>0</v>
          </cell>
          <cell r="L706">
            <v>180000</v>
          </cell>
          <cell r="M706" t="str">
            <v>MALL PLAZA VESPUCIO</v>
          </cell>
          <cell r="P706" t="str">
            <v>LA FLORIDA</v>
          </cell>
          <cell r="Q706" t="str">
            <v>TRADICIONAL</v>
          </cell>
          <cell r="R706" t="str">
            <v>Mall - Santiago</v>
          </cell>
          <cell r="S706" t="str">
            <v>Mall Plaza</v>
          </cell>
          <cell r="T706" t="str">
            <v>Paletas</v>
          </cell>
          <cell r="U706">
            <v>1</v>
          </cell>
          <cell r="V706" t="str">
            <v>0.735 * 1.16</v>
          </cell>
        </row>
        <row r="707">
          <cell r="A707" t="str">
            <v>MAPV0030AB</v>
          </cell>
          <cell r="B707" t="str">
            <v>Mall</v>
          </cell>
          <cell r="C707" t="str">
            <v>Mall Plaza</v>
          </cell>
          <cell r="D707" t="str">
            <v>P.E.: PENDON PVC</v>
          </cell>
          <cell r="E707" t="str">
            <v>PENDON PVC</v>
          </cell>
          <cell r="F707" t="str">
            <v>Ver Ficha</v>
          </cell>
          <cell r="G707" t="str">
            <v>Ver Ficha</v>
          </cell>
          <cell r="H707" t="str">
            <v>Y</v>
          </cell>
          <cell r="I707" t="str">
            <v>INTERIOR PASILLO</v>
          </cell>
          <cell r="J707">
            <v>53000</v>
          </cell>
          <cell r="K707">
            <v>0</v>
          </cell>
          <cell r="L707">
            <v>1900000</v>
          </cell>
          <cell r="M707" t="str">
            <v>MALL PLAZA VESPUCIO</v>
          </cell>
          <cell r="P707" t="str">
            <v>LA FLORIDA</v>
          </cell>
          <cell r="Q707" t="str">
            <v>ESPECIAL</v>
          </cell>
          <cell r="R707" t="str">
            <v>Mall - Santiago</v>
          </cell>
          <cell r="S707" t="str">
            <v>Mall Plaza</v>
          </cell>
          <cell r="T707" t="str">
            <v>Productos Especiales</v>
          </cell>
          <cell r="U707">
            <v>1</v>
          </cell>
          <cell r="V707" t="str">
            <v>1.70 * 6.20</v>
          </cell>
        </row>
        <row r="708">
          <cell r="A708" t="str">
            <v>MAPV0039A</v>
          </cell>
          <cell r="B708" t="str">
            <v>Mall</v>
          </cell>
          <cell r="C708" t="str">
            <v>Mall Plaza</v>
          </cell>
          <cell r="D708" t="str">
            <v>P.E.: TELA MONUMENTAL FACHADA</v>
          </cell>
          <cell r="E708" t="str">
            <v>TELA MONUMENTAL FACHADA</v>
          </cell>
          <cell r="F708" t="str">
            <v>Ver Ficha</v>
          </cell>
          <cell r="G708" t="str">
            <v>Ver Ficha</v>
          </cell>
          <cell r="H708" t="str">
            <v>X</v>
          </cell>
          <cell r="I708" t="str">
            <v>EXTERIORES</v>
          </cell>
          <cell r="J708">
            <v>411000</v>
          </cell>
          <cell r="K708">
            <v>0</v>
          </cell>
          <cell r="L708">
            <v>4050000</v>
          </cell>
          <cell r="M708" t="str">
            <v>MALL PLAZA VESPUCIO</v>
          </cell>
          <cell r="P708" t="str">
            <v>LA FLORIDA</v>
          </cell>
          <cell r="Q708" t="str">
            <v>ESPECIAL</v>
          </cell>
          <cell r="R708" t="str">
            <v>Mall - Santiago</v>
          </cell>
          <cell r="S708" t="str">
            <v>Mall Plaza</v>
          </cell>
          <cell r="T708" t="str">
            <v>Productos Especiales</v>
          </cell>
          <cell r="U708">
            <v>1</v>
          </cell>
          <cell r="V708" t="str">
            <v>NA</v>
          </cell>
        </row>
        <row r="709">
          <cell r="A709" t="str">
            <v>MAPV0040A</v>
          </cell>
          <cell r="B709" t="str">
            <v>Mall</v>
          </cell>
          <cell r="C709" t="str">
            <v>Mall Plaza</v>
          </cell>
          <cell r="D709" t="str">
            <v>P.E.: MAMPARA</v>
          </cell>
          <cell r="E709" t="str">
            <v>MAMPARA</v>
          </cell>
          <cell r="F709" t="str">
            <v>Ver Ficha</v>
          </cell>
          <cell r="G709" t="str">
            <v>Ver Ficha</v>
          </cell>
          <cell r="H709" t="str">
            <v>V</v>
          </cell>
          <cell r="I709" t="str">
            <v>ACCESO SALA DE V</v>
          </cell>
          <cell r="J709">
            <v>198000</v>
          </cell>
          <cell r="K709">
            <v>0</v>
          </cell>
          <cell r="L709">
            <v>3450000</v>
          </cell>
          <cell r="M709" t="str">
            <v>MALL PLAZA VESPUCIO</v>
          </cell>
          <cell r="P709" t="str">
            <v>LA FLORIDA</v>
          </cell>
          <cell r="Q709" t="str">
            <v>ESPECIAL</v>
          </cell>
          <cell r="R709" t="str">
            <v>Mall - Santiago</v>
          </cell>
          <cell r="S709" t="str">
            <v>Mall Plaza</v>
          </cell>
          <cell r="T709" t="str">
            <v>Productos Especiales</v>
          </cell>
          <cell r="U709">
            <v>1</v>
          </cell>
          <cell r="V709" t="str">
            <v>NA</v>
          </cell>
        </row>
        <row r="710">
          <cell r="A710" t="str">
            <v>MAPV0047A</v>
          </cell>
          <cell r="B710" t="str">
            <v>Mall</v>
          </cell>
          <cell r="C710" t="str">
            <v>Mall Plaza</v>
          </cell>
          <cell r="D710" t="str">
            <v>Monumentales</v>
          </cell>
          <cell r="E710" t="str">
            <v>Monumentales</v>
          </cell>
          <cell r="F710" t="str">
            <v>16.00 * 6.00</v>
          </cell>
          <cell r="G710" t="str">
            <v>16.30 * 6.30</v>
          </cell>
          <cell r="H710" t="str">
            <v>X</v>
          </cell>
          <cell r="I710" t="str">
            <v>EXTERIOR</v>
          </cell>
          <cell r="J710">
            <v>0</v>
          </cell>
          <cell r="K710">
            <v>0</v>
          </cell>
          <cell r="L710">
            <v>2400000</v>
          </cell>
          <cell r="M710" t="str">
            <v>MALL PLAZA VESPUCIO</v>
          </cell>
          <cell r="P710" t="str">
            <v>LA FLORIDA</v>
          </cell>
          <cell r="Q710" t="str">
            <v>TRADICIONAL</v>
          </cell>
          <cell r="R710" t="str">
            <v>Mall - Santiago</v>
          </cell>
          <cell r="S710" t="str">
            <v>Mall Plaza</v>
          </cell>
          <cell r="T710" t="str">
            <v>Monumentales</v>
          </cell>
          <cell r="U710">
            <v>1</v>
          </cell>
          <cell r="V710" t="str">
            <v>16.00 * 6.00</v>
          </cell>
        </row>
        <row r="711">
          <cell r="A711" t="str">
            <v>MAPV0048A</v>
          </cell>
          <cell r="B711" t="str">
            <v>Mall</v>
          </cell>
          <cell r="C711" t="str">
            <v>Mall Plaza</v>
          </cell>
          <cell r="D711" t="str">
            <v>Pantallas Digitales</v>
          </cell>
          <cell r="E711" t="str">
            <v>Pantallas</v>
          </cell>
          <cell r="F711" t="str">
            <v>NA</v>
          </cell>
          <cell r="G711" t="str">
            <v>NA</v>
          </cell>
          <cell r="H711" t="str">
            <v>I</v>
          </cell>
          <cell r="I711" t="str">
            <v>LOTE DE 12 PANTA</v>
          </cell>
          <cell r="J711">
            <v>0</v>
          </cell>
          <cell r="K711">
            <v>0</v>
          </cell>
          <cell r="L711">
            <v>1100000</v>
          </cell>
          <cell r="M711" t="str">
            <v>MALL PLAZA VESPUCIO</v>
          </cell>
          <cell r="P711" t="str">
            <v>LA FLORIDA</v>
          </cell>
          <cell r="Q711" t="str">
            <v>PANTALLA</v>
          </cell>
          <cell r="R711" t="str">
            <v>Mall - Santiago</v>
          </cell>
          <cell r="S711" t="str">
            <v>Mall Plaza Digital</v>
          </cell>
          <cell r="T711" t="str">
            <v>Pantallas Digitales</v>
          </cell>
          <cell r="U711">
            <v>1</v>
          </cell>
          <cell r="V711" t="str">
            <v>NA</v>
          </cell>
        </row>
        <row r="712">
          <cell r="A712" t="str">
            <v>MAPV0048B</v>
          </cell>
          <cell r="B712" t="str">
            <v>Mall</v>
          </cell>
          <cell r="C712" t="str">
            <v>Mall Plaza</v>
          </cell>
          <cell r="D712" t="str">
            <v>Pantallas Digitales</v>
          </cell>
          <cell r="E712" t="str">
            <v>Pantallas</v>
          </cell>
          <cell r="F712" t="str">
            <v>NA</v>
          </cell>
          <cell r="G712" t="str">
            <v>NA</v>
          </cell>
          <cell r="H712" t="str">
            <v>I</v>
          </cell>
          <cell r="I712" t="str">
            <v>LOTE DE 12 PANTA</v>
          </cell>
          <cell r="J712">
            <v>0</v>
          </cell>
          <cell r="K712">
            <v>0</v>
          </cell>
          <cell r="L712">
            <v>1100000</v>
          </cell>
          <cell r="M712" t="str">
            <v>MALL PLAZA VESPUCIO</v>
          </cell>
          <cell r="P712" t="str">
            <v>LA FLORIDA</v>
          </cell>
          <cell r="Q712" t="str">
            <v>PANTALLA</v>
          </cell>
          <cell r="R712" t="str">
            <v>Mall - Santiago</v>
          </cell>
          <cell r="S712" t="str">
            <v>Mall Plaza Digital</v>
          </cell>
          <cell r="T712" t="str">
            <v>Pantallas Digitales</v>
          </cell>
          <cell r="U712">
            <v>1</v>
          </cell>
          <cell r="V712" t="str">
            <v>NA</v>
          </cell>
        </row>
        <row r="713">
          <cell r="A713" t="str">
            <v>MAPV0048C</v>
          </cell>
          <cell r="B713" t="str">
            <v>Mall</v>
          </cell>
          <cell r="C713" t="str">
            <v>Mall Plaza</v>
          </cell>
          <cell r="D713" t="str">
            <v>Pantallas Digitales</v>
          </cell>
          <cell r="E713" t="str">
            <v>Pantallas</v>
          </cell>
          <cell r="F713" t="str">
            <v>NA</v>
          </cell>
          <cell r="G713" t="str">
            <v>NA</v>
          </cell>
          <cell r="H713" t="str">
            <v>I</v>
          </cell>
          <cell r="I713" t="str">
            <v>LOTE DE 12 PANTA</v>
          </cell>
          <cell r="J713">
            <v>0</v>
          </cell>
          <cell r="K713">
            <v>0</v>
          </cell>
          <cell r="L713">
            <v>1100000</v>
          </cell>
          <cell r="M713" t="str">
            <v>MALL PLAZA VESPUCIO</v>
          </cell>
          <cell r="P713" t="str">
            <v>LA FLORIDA</v>
          </cell>
          <cell r="Q713" t="str">
            <v>PANTALLA</v>
          </cell>
          <cell r="R713" t="str">
            <v>Mall - Santiago</v>
          </cell>
          <cell r="S713" t="str">
            <v>Mall Plaza Digital</v>
          </cell>
          <cell r="T713" t="str">
            <v>Pantallas Digitales</v>
          </cell>
          <cell r="U713">
            <v>1</v>
          </cell>
          <cell r="V713" t="str">
            <v>NA</v>
          </cell>
        </row>
        <row r="714">
          <cell r="A714" t="str">
            <v>MAPV0048D</v>
          </cell>
          <cell r="B714" t="str">
            <v>Mall</v>
          </cell>
          <cell r="C714" t="str">
            <v>Mall Plaza</v>
          </cell>
          <cell r="D714" t="str">
            <v>Pantallas Digitales</v>
          </cell>
          <cell r="E714" t="str">
            <v>Pantallas</v>
          </cell>
          <cell r="F714" t="str">
            <v>NA</v>
          </cell>
          <cell r="G714" t="str">
            <v>NA</v>
          </cell>
          <cell r="H714" t="str">
            <v>I</v>
          </cell>
          <cell r="I714" t="str">
            <v>LOTE DE 12 PANTA</v>
          </cell>
          <cell r="J714">
            <v>0</v>
          </cell>
          <cell r="K714">
            <v>0</v>
          </cell>
          <cell r="L714">
            <v>1100000</v>
          </cell>
          <cell r="M714" t="str">
            <v>MALL PLAZA VESPUCIO</v>
          </cell>
          <cell r="P714" t="str">
            <v>LA FLORIDA</v>
          </cell>
          <cell r="Q714" t="str">
            <v>PANTALLA</v>
          </cell>
          <cell r="R714" t="str">
            <v>Mall - Santiago</v>
          </cell>
          <cell r="S714" t="str">
            <v>Mall Plaza Digital</v>
          </cell>
          <cell r="T714" t="str">
            <v>Pantallas Digitales</v>
          </cell>
          <cell r="U714">
            <v>1</v>
          </cell>
          <cell r="V714" t="str">
            <v>NA</v>
          </cell>
        </row>
        <row r="715">
          <cell r="A715" t="str">
            <v>MAPV0048E</v>
          </cell>
          <cell r="B715" t="str">
            <v>Mall</v>
          </cell>
          <cell r="C715" t="str">
            <v>Mall Plaza</v>
          </cell>
          <cell r="D715" t="str">
            <v>Pantallas Digitales</v>
          </cell>
          <cell r="E715" t="str">
            <v>Pantallas</v>
          </cell>
          <cell r="F715" t="str">
            <v>NA</v>
          </cell>
          <cell r="G715" t="str">
            <v>NA</v>
          </cell>
          <cell r="H715" t="str">
            <v>I</v>
          </cell>
          <cell r="I715" t="str">
            <v>LOTE 12 PANTALLA</v>
          </cell>
          <cell r="J715">
            <v>0</v>
          </cell>
          <cell r="K715">
            <v>0</v>
          </cell>
          <cell r="L715">
            <v>1100000</v>
          </cell>
          <cell r="M715" t="str">
            <v>MALL PLAZA VESPUCIO</v>
          </cell>
          <cell r="P715" t="str">
            <v>LA FLORIDA</v>
          </cell>
          <cell r="Q715" t="str">
            <v>PANTALLA</v>
          </cell>
          <cell r="R715" t="str">
            <v>Mall - Santiago</v>
          </cell>
          <cell r="S715" t="str">
            <v>Mall Plaza Digital</v>
          </cell>
          <cell r="T715" t="str">
            <v>Pantallas Digitales</v>
          </cell>
          <cell r="U715">
            <v>1</v>
          </cell>
          <cell r="V715" t="str">
            <v>NA</v>
          </cell>
        </row>
        <row r="716">
          <cell r="A716" t="str">
            <v>MAPV0048F</v>
          </cell>
          <cell r="B716" t="str">
            <v>Mall</v>
          </cell>
          <cell r="C716" t="str">
            <v>Mall Plaza</v>
          </cell>
          <cell r="D716" t="str">
            <v>Pantallas Digitales</v>
          </cell>
          <cell r="E716" t="str">
            <v>Pantallas</v>
          </cell>
          <cell r="F716" t="str">
            <v>NA</v>
          </cell>
          <cell r="G716" t="str">
            <v>NA</v>
          </cell>
          <cell r="H716" t="str">
            <v>I</v>
          </cell>
          <cell r="I716" t="str">
            <v>LOTE 12 PANTALLA</v>
          </cell>
          <cell r="J716">
            <v>0</v>
          </cell>
          <cell r="K716">
            <v>0</v>
          </cell>
          <cell r="L716">
            <v>1100000</v>
          </cell>
          <cell r="M716" t="str">
            <v>MALL PLAZA VESPUCIO</v>
          </cell>
          <cell r="P716" t="str">
            <v>LA FLORIDA</v>
          </cell>
          <cell r="Q716" t="str">
            <v>PANTALLA</v>
          </cell>
          <cell r="R716" t="str">
            <v>Mall - Santiago</v>
          </cell>
          <cell r="S716" t="str">
            <v>Mall Plaza Digital</v>
          </cell>
          <cell r="T716" t="str">
            <v>Pantallas Digitales</v>
          </cell>
          <cell r="U716">
            <v>1</v>
          </cell>
          <cell r="V716" t="str">
            <v>NA</v>
          </cell>
        </row>
        <row r="717">
          <cell r="A717" t="str">
            <v>MAPV0048G</v>
          </cell>
          <cell r="B717" t="str">
            <v>Mall</v>
          </cell>
          <cell r="C717" t="str">
            <v>Mall Plaza</v>
          </cell>
          <cell r="D717" t="str">
            <v>Pantallas Digitales</v>
          </cell>
          <cell r="E717" t="str">
            <v>Pantallas</v>
          </cell>
          <cell r="F717" t="str">
            <v>NA</v>
          </cell>
          <cell r="G717" t="str">
            <v>NA</v>
          </cell>
          <cell r="H717" t="str">
            <v>I</v>
          </cell>
          <cell r="I717" t="str">
            <v>LOTE 12 PANTALLA</v>
          </cell>
          <cell r="J717">
            <v>0</v>
          </cell>
          <cell r="K717">
            <v>0</v>
          </cell>
          <cell r="L717">
            <v>1100000</v>
          </cell>
          <cell r="M717" t="str">
            <v>MALL PLAZA VESPUCIO</v>
          </cell>
          <cell r="P717" t="str">
            <v>LA FLORIDA</v>
          </cell>
          <cell r="Q717" t="str">
            <v>PANTALLA</v>
          </cell>
          <cell r="R717" t="str">
            <v>Mall - Santiago</v>
          </cell>
          <cell r="S717" t="str">
            <v>Mall Plaza Digital</v>
          </cell>
          <cell r="T717" t="str">
            <v>Pantallas Digitales</v>
          </cell>
          <cell r="U717">
            <v>1</v>
          </cell>
          <cell r="V717" t="str">
            <v>NA</v>
          </cell>
        </row>
        <row r="718">
          <cell r="A718" t="str">
            <v>MAPV0048H</v>
          </cell>
          <cell r="B718" t="str">
            <v>Mall</v>
          </cell>
          <cell r="C718" t="str">
            <v>Mall Plaza</v>
          </cell>
          <cell r="D718" t="str">
            <v>Pantallas Digitales</v>
          </cell>
          <cell r="E718" t="str">
            <v>Pantallas</v>
          </cell>
          <cell r="F718" t="str">
            <v>NA</v>
          </cell>
          <cell r="G718" t="str">
            <v>NA</v>
          </cell>
          <cell r="H718" t="str">
            <v>I</v>
          </cell>
          <cell r="I718" t="str">
            <v>LOTE 12 PANTALLA</v>
          </cell>
          <cell r="J718">
            <v>0</v>
          </cell>
          <cell r="K718">
            <v>0</v>
          </cell>
          <cell r="L718">
            <v>1100000</v>
          </cell>
          <cell r="M718" t="str">
            <v>MALL PLAZA VESPUCIO</v>
          </cell>
          <cell r="P718" t="str">
            <v>LA FLORIDA</v>
          </cell>
          <cell r="Q718" t="str">
            <v>PANTALLA</v>
          </cell>
          <cell r="R718" t="str">
            <v>Mall - Santiago</v>
          </cell>
          <cell r="S718" t="str">
            <v>Mall Plaza Digital</v>
          </cell>
          <cell r="T718" t="str">
            <v>Pantallas Digitales</v>
          </cell>
          <cell r="U718">
            <v>1</v>
          </cell>
          <cell r="V718" t="str">
            <v>NA</v>
          </cell>
        </row>
        <row r="719">
          <cell r="A719" t="str">
            <v>MAPV0048I</v>
          </cell>
          <cell r="B719" t="str">
            <v>Mall</v>
          </cell>
          <cell r="C719" t="str">
            <v>Mall Plaza</v>
          </cell>
          <cell r="D719" t="str">
            <v>Pantallas Digitales</v>
          </cell>
          <cell r="E719" t="str">
            <v>Pantallas</v>
          </cell>
          <cell r="F719" t="str">
            <v>NA</v>
          </cell>
          <cell r="G719" t="str">
            <v>NA</v>
          </cell>
          <cell r="H719" t="str">
            <v>I</v>
          </cell>
          <cell r="I719" t="str">
            <v>LOTE 12 PANTALLA</v>
          </cell>
          <cell r="J719">
            <v>0</v>
          </cell>
          <cell r="K719">
            <v>0</v>
          </cell>
          <cell r="L719">
            <v>1100000</v>
          </cell>
          <cell r="M719" t="str">
            <v>MALL PLAZA VESPUCIO</v>
          </cell>
          <cell r="P719" t="str">
            <v>LA FLORIDA</v>
          </cell>
          <cell r="Q719" t="str">
            <v>PANTALLA</v>
          </cell>
          <cell r="R719" t="str">
            <v>Mall - Santiago</v>
          </cell>
          <cell r="S719" t="str">
            <v>Mall Plaza Digital</v>
          </cell>
          <cell r="T719" t="str">
            <v>Pantallas Digitales</v>
          </cell>
          <cell r="U719">
            <v>1</v>
          </cell>
          <cell r="V719" t="str">
            <v>NA</v>
          </cell>
        </row>
        <row r="720">
          <cell r="A720" t="str">
            <v>MAPV0048J</v>
          </cell>
          <cell r="B720" t="str">
            <v>Mall</v>
          </cell>
          <cell r="C720" t="str">
            <v>Mall Plaza</v>
          </cell>
          <cell r="D720" t="str">
            <v>Pantallas Digitales</v>
          </cell>
          <cell r="E720" t="str">
            <v>Pantallas</v>
          </cell>
          <cell r="F720" t="str">
            <v>NA</v>
          </cell>
          <cell r="G720" t="str">
            <v>NA</v>
          </cell>
          <cell r="H720" t="str">
            <v>I</v>
          </cell>
          <cell r="I720" t="str">
            <v>LOTE 12 PANTALLA</v>
          </cell>
          <cell r="J720">
            <v>0</v>
          </cell>
          <cell r="K720">
            <v>0</v>
          </cell>
          <cell r="L720">
            <v>1100000</v>
          </cell>
          <cell r="M720" t="str">
            <v>MALL PLAZA VESPUCIO</v>
          </cell>
          <cell r="P720" t="str">
            <v>LA FLORIDA</v>
          </cell>
          <cell r="Q720" t="str">
            <v>PANTALLA</v>
          </cell>
          <cell r="R720" t="str">
            <v>Mall - Santiago</v>
          </cell>
          <cell r="S720" t="str">
            <v>Mall Plaza Digital</v>
          </cell>
          <cell r="T720" t="str">
            <v>Pantallas Digitales</v>
          </cell>
          <cell r="U720">
            <v>1</v>
          </cell>
          <cell r="V720" t="str">
            <v>NA</v>
          </cell>
        </row>
        <row r="721">
          <cell r="A721" t="str">
            <v>MAPV0048K</v>
          </cell>
          <cell r="B721" t="str">
            <v>Mall</v>
          </cell>
          <cell r="C721" t="str">
            <v>Mall Plaza</v>
          </cell>
          <cell r="D721" t="str">
            <v>Pantallas Digitales</v>
          </cell>
          <cell r="E721" t="str">
            <v>Pantallas</v>
          </cell>
          <cell r="F721" t="str">
            <v>NA</v>
          </cell>
          <cell r="G721" t="str">
            <v>NA</v>
          </cell>
          <cell r="H721" t="str">
            <v>I</v>
          </cell>
          <cell r="I721" t="str">
            <v>LOTE 12 PANTALLA</v>
          </cell>
          <cell r="J721">
            <v>0</v>
          </cell>
          <cell r="K721">
            <v>0</v>
          </cell>
          <cell r="L721">
            <v>1100000</v>
          </cell>
          <cell r="M721" t="str">
            <v>MALL PLAZA VESPUCIO</v>
          </cell>
          <cell r="P721" t="str">
            <v>LA FLORIDA</v>
          </cell>
          <cell r="Q721" t="str">
            <v>PANTALLA</v>
          </cell>
          <cell r="R721" t="str">
            <v>Mall - Santiago</v>
          </cell>
          <cell r="S721" t="str">
            <v>Mall Plaza Digital</v>
          </cell>
          <cell r="T721" t="str">
            <v>Pantallas Digitales</v>
          </cell>
          <cell r="U721">
            <v>1</v>
          </cell>
          <cell r="V721" t="str">
            <v>NA</v>
          </cell>
        </row>
        <row r="722">
          <cell r="A722" t="str">
            <v>MAPV0048L</v>
          </cell>
          <cell r="B722" t="str">
            <v>Mall</v>
          </cell>
          <cell r="C722" t="str">
            <v>Mall Plaza</v>
          </cell>
          <cell r="D722" t="str">
            <v>Pantallas Digitales</v>
          </cell>
          <cell r="E722" t="str">
            <v>Pantallas</v>
          </cell>
          <cell r="F722" t="str">
            <v>NA</v>
          </cell>
          <cell r="G722" t="str">
            <v>NA</v>
          </cell>
          <cell r="H722" t="str">
            <v>I</v>
          </cell>
          <cell r="I722" t="str">
            <v>LOTE 12 PANTALLA</v>
          </cell>
          <cell r="J722">
            <v>0</v>
          </cell>
          <cell r="K722">
            <v>0</v>
          </cell>
          <cell r="L722">
            <v>1100000</v>
          </cell>
          <cell r="M722" t="str">
            <v>MALL PLAZA VESPUCIO</v>
          </cell>
          <cell r="P722" t="str">
            <v>LA FLORIDA</v>
          </cell>
          <cell r="Q722" t="str">
            <v>PANTALLA</v>
          </cell>
          <cell r="R722" t="str">
            <v>Mall - Santiago</v>
          </cell>
          <cell r="S722" t="str">
            <v>Mall Plaza Digital</v>
          </cell>
          <cell r="T722" t="str">
            <v>Pantallas Digitales</v>
          </cell>
          <cell r="U722">
            <v>1</v>
          </cell>
          <cell r="V722" t="str">
            <v>NA</v>
          </cell>
        </row>
        <row r="723">
          <cell r="A723" t="str">
            <v>MAPV0048M</v>
          </cell>
          <cell r="B723" t="str">
            <v>Mall</v>
          </cell>
          <cell r="C723" t="str">
            <v>Mall Plaza</v>
          </cell>
          <cell r="D723" t="str">
            <v>Pantallas Digitales</v>
          </cell>
          <cell r="E723" t="str">
            <v>Pantallas</v>
          </cell>
          <cell r="F723" t="str">
            <v>NA</v>
          </cell>
          <cell r="G723" t="str">
            <v>NA</v>
          </cell>
          <cell r="H723" t="str">
            <v>I</v>
          </cell>
          <cell r="I723" t="str">
            <v>LOTE 12 PANTALLA</v>
          </cell>
          <cell r="J723">
            <v>0</v>
          </cell>
          <cell r="K723">
            <v>0</v>
          </cell>
          <cell r="L723">
            <v>1100000</v>
          </cell>
          <cell r="M723" t="str">
            <v>MALL PLAZA VESPUCIO</v>
          </cell>
          <cell r="P723" t="str">
            <v>LA FLORIDA</v>
          </cell>
          <cell r="Q723" t="str">
            <v>PANTALLA</v>
          </cell>
          <cell r="R723" t="str">
            <v>Mall - Santiago</v>
          </cell>
          <cell r="S723" t="str">
            <v>Mall Plaza Digital</v>
          </cell>
          <cell r="T723" t="str">
            <v>Pantallas Digitales</v>
          </cell>
          <cell r="U723">
            <v>1</v>
          </cell>
          <cell r="V723" t="str">
            <v>NA</v>
          </cell>
        </row>
        <row r="724">
          <cell r="A724" t="str">
            <v>MAPV0048N</v>
          </cell>
          <cell r="B724" t="str">
            <v>Mall</v>
          </cell>
          <cell r="C724" t="str">
            <v>Mall Plaza</v>
          </cell>
          <cell r="D724" t="str">
            <v>Pantallas Digitales</v>
          </cell>
          <cell r="E724" t="str">
            <v>Pantallas</v>
          </cell>
          <cell r="F724" t="str">
            <v>NA</v>
          </cell>
          <cell r="G724" t="str">
            <v>NA</v>
          </cell>
          <cell r="H724" t="str">
            <v>I</v>
          </cell>
          <cell r="I724" t="str">
            <v>LOTE 12 PANTALLA</v>
          </cell>
          <cell r="J724">
            <v>0</v>
          </cell>
          <cell r="K724">
            <v>0</v>
          </cell>
          <cell r="L724">
            <v>1100000</v>
          </cell>
          <cell r="M724" t="str">
            <v>MALL PLAZA VESPUCIO</v>
          </cell>
          <cell r="P724" t="str">
            <v>LA FLORIDA</v>
          </cell>
          <cell r="Q724" t="str">
            <v>PANTALLA</v>
          </cell>
          <cell r="R724" t="str">
            <v>Mall - Santiago</v>
          </cell>
          <cell r="S724" t="str">
            <v>Mall Plaza Digital</v>
          </cell>
          <cell r="T724" t="str">
            <v>Pantallas Digitales</v>
          </cell>
          <cell r="U724">
            <v>1</v>
          </cell>
          <cell r="V724" t="str">
            <v>NA</v>
          </cell>
        </row>
        <row r="725">
          <cell r="A725" t="str">
            <v>MAPV0048Ñ</v>
          </cell>
          <cell r="B725" t="str">
            <v>Mall</v>
          </cell>
          <cell r="C725" t="str">
            <v>Mall Plaza</v>
          </cell>
          <cell r="D725" t="str">
            <v>Pantallas Digitales</v>
          </cell>
          <cell r="E725" t="str">
            <v>Pantallas</v>
          </cell>
          <cell r="F725" t="str">
            <v>NA</v>
          </cell>
          <cell r="G725" t="str">
            <v>NA</v>
          </cell>
          <cell r="H725" t="str">
            <v>I</v>
          </cell>
          <cell r="I725" t="str">
            <v>LOTE 12 PANTALLA</v>
          </cell>
          <cell r="J725">
            <v>0</v>
          </cell>
          <cell r="K725">
            <v>0</v>
          </cell>
          <cell r="L725">
            <v>1100000</v>
          </cell>
          <cell r="M725" t="str">
            <v>MALL PLAZA VESPUCIO</v>
          </cell>
          <cell r="P725" t="str">
            <v>LA FLORIDA</v>
          </cell>
          <cell r="Q725" t="str">
            <v>PANTALLA</v>
          </cell>
          <cell r="R725" t="str">
            <v>Mall - Santiago</v>
          </cell>
          <cell r="S725" t="str">
            <v>Mall Plaza Digital</v>
          </cell>
          <cell r="T725" t="str">
            <v>Pantallas Digitales</v>
          </cell>
          <cell r="U725">
            <v>1</v>
          </cell>
          <cell r="V725" t="str">
            <v>NA</v>
          </cell>
        </row>
        <row r="726">
          <cell r="A726" t="str">
            <v>MAPV0049A</v>
          </cell>
          <cell r="B726" t="str">
            <v>Mall</v>
          </cell>
          <cell r="C726" t="str">
            <v>Mall Plaza</v>
          </cell>
          <cell r="D726" t="str">
            <v>Paletas</v>
          </cell>
          <cell r="E726" t="str">
            <v>INTERIOR</v>
          </cell>
          <cell r="F726" t="str">
            <v>1.10 * 1.53</v>
          </cell>
          <cell r="G726" t="str">
            <v>1.15 * 1.57</v>
          </cell>
          <cell r="H726" t="str">
            <v>Y</v>
          </cell>
          <cell r="I726" t="str">
            <v>INTERIOR PASILLO</v>
          </cell>
          <cell r="J726">
            <v>0</v>
          </cell>
          <cell r="K726">
            <v>0</v>
          </cell>
          <cell r="L726">
            <v>380000</v>
          </cell>
          <cell r="M726" t="str">
            <v>MALL PLAZA VESPUCIO</v>
          </cell>
          <cell r="P726" t="str">
            <v>LA FLORIDA</v>
          </cell>
          <cell r="Q726" t="str">
            <v>TRADICIONAL</v>
          </cell>
          <cell r="R726" t="str">
            <v>Mall - Santiago</v>
          </cell>
          <cell r="S726" t="str">
            <v>Mall Plaza</v>
          </cell>
          <cell r="T726" t="str">
            <v>Paletas</v>
          </cell>
          <cell r="U726">
            <v>1</v>
          </cell>
          <cell r="V726" t="str">
            <v>1.10 * 1.53</v>
          </cell>
        </row>
        <row r="727">
          <cell r="A727" t="str">
            <v>MAPV0049B</v>
          </cell>
          <cell r="B727" t="str">
            <v>Mall</v>
          </cell>
          <cell r="C727" t="str">
            <v>Mall Plaza</v>
          </cell>
          <cell r="D727" t="str">
            <v>Paletas</v>
          </cell>
          <cell r="E727" t="str">
            <v>INTERIOR</v>
          </cell>
          <cell r="F727" t="str">
            <v>1.10 * 1.53</v>
          </cell>
          <cell r="G727" t="str">
            <v>1.15 * 1.57</v>
          </cell>
          <cell r="H727" t="str">
            <v>Y</v>
          </cell>
          <cell r="I727" t="str">
            <v>INTERIOR PASILLO</v>
          </cell>
          <cell r="J727">
            <v>0</v>
          </cell>
          <cell r="K727">
            <v>0</v>
          </cell>
          <cell r="L727">
            <v>380000</v>
          </cell>
          <cell r="M727" t="str">
            <v>MALL PLAZA VESPUCIO</v>
          </cell>
          <cell r="P727" t="str">
            <v>LA FLORIDA</v>
          </cell>
          <cell r="Q727" t="str">
            <v>TRADICIONAL</v>
          </cell>
          <cell r="R727" t="str">
            <v>Mall - Santiago</v>
          </cell>
          <cell r="S727" t="str">
            <v>Mall Plaza</v>
          </cell>
          <cell r="T727" t="str">
            <v>Paletas</v>
          </cell>
          <cell r="U727">
            <v>1</v>
          </cell>
          <cell r="V727" t="str">
            <v>1.10 * 1.53</v>
          </cell>
        </row>
        <row r="728">
          <cell r="A728" t="str">
            <v>MAPV0050A</v>
          </cell>
          <cell r="B728" t="str">
            <v>Mall</v>
          </cell>
          <cell r="C728" t="str">
            <v>Mall Plaza</v>
          </cell>
          <cell r="D728" t="str">
            <v>P.E.: CORPOREO</v>
          </cell>
          <cell r="E728" t="str">
            <v>CORPOREO</v>
          </cell>
          <cell r="F728" t="str">
            <v>Ver Ficha</v>
          </cell>
          <cell r="G728" t="str">
            <v>Ver Ficha</v>
          </cell>
          <cell r="H728" t="str">
            <v>E</v>
          </cell>
          <cell r="I728" t="str">
            <v>INTERIOR MALL</v>
          </cell>
          <cell r="J728" t="str">
            <v>Según Corporeo</v>
          </cell>
          <cell r="K728">
            <v>0</v>
          </cell>
          <cell r="L728">
            <v>2800000</v>
          </cell>
          <cell r="M728" t="str">
            <v>MALL PLAZA VESPUCIO</v>
          </cell>
          <cell r="P728" t="str">
            <v>LA FLORIDA</v>
          </cell>
          <cell r="Q728" t="str">
            <v>ESPECIAL</v>
          </cell>
          <cell r="R728" t="str">
            <v>Mall - Santiago</v>
          </cell>
          <cell r="S728" t="str">
            <v>Mall Plaza</v>
          </cell>
          <cell r="T728" t="str">
            <v>Productos Especiales</v>
          </cell>
          <cell r="U728">
            <v>1</v>
          </cell>
          <cell r="V728" t="str">
            <v>NA</v>
          </cell>
        </row>
        <row r="729">
          <cell r="A729" t="str">
            <v>MAPV0051A</v>
          </cell>
          <cell r="B729" t="str">
            <v>Mall</v>
          </cell>
          <cell r="C729" t="str">
            <v>Mall Plaza</v>
          </cell>
          <cell r="D729" t="str">
            <v>P.E.: CORPOREO</v>
          </cell>
          <cell r="E729" t="str">
            <v>CORPOREO</v>
          </cell>
          <cell r="F729" t="str">
            <v>Ver Ficha</v>
          </cell>
          <cell r="G729" t="str">
            <v>Ver Ficha</v>
          </cell>
          <cell r="H729" t="str">
            <v>E</v>
          </cell>
          <cell r="I729" t="str">
            <v>EXTERIOR ESTACIO</v>
          </cell>
          <cell r="J729" t="str">
            <v>Según Corporeo</v>
          </cell>
          <cell r="K729">
            <v>0</v>
          </cell>
          <cell r="L729">
            <v>2800000</v>
          </cell>
          <cell r="M729" t="str">
            <v>MALL PLAZA VESPUCIO</v>
          </cell>
          <cell r="P729" t="str">
            <v>LA FLORIDA</v>
          </cell>
          <cell r="Q729" t="str">
            <v>ESPECIAL</v>
          </cell>
          <cell r="R729" t="str">
            <v>Mall - Santiago</v>
          </cell>
          <cell r="S729" t="str">
            <v>Mall Plaza</v>
          </cell>
          <cell r="T729" t="str">
            <v>Productos Especiales</v>
          </cell>
          <cell r="U729">
            <v>1</v>
          </cell>
          <cell r="V729" t="str">
            <v>NA</v>
          </cell>
        </row>
        <row r="730">
          <cell r="A730" t="str">
            <v>MAPV0052A</v>
          </cell>
          <cell r="B730" t="str">
            <v>Mall</v>
          </cell>
          <cell r="C730" t="str">
            <v>Mall Plaza</v>
          </cell>
          <cell r="D730" t="str">
            <v>P.E.: ESPEJOS BAÑOS HOMBRES</v>
          </cell>
          <cell r="E730" t="str">
            <v>ESPEJOS BAÑOS HOMBRES</v>
          </cell>
          <cell r="F730" t="str">
            <v>Ver Ficha</v>
          </cell>
          <cell r="G730" t="str">
            <v>Ver Ficha</v>
          </cell>
          <cell r="H730" t="str">
            <v>I</v>
          </cell>
          <cell r="I730" t="str">
            <v>INTERIOR BAÑOS</v>
          </cell>
          <cell r="J730">
            <v>76000</v>
          </cell>
          <cell r="L730">
            <v>2800000</v>
          </cell>
          <cell r="M730" t="str">
            <v>MALL PLAZA VESPUCIO</v>
          </cell>
          <cell r="P730" t="str">
            <v>LA FLORIDA</v>
          </cell>
          <cell r="Q730" t="str">
            <v>ESPECIAL</v>
          </cell>
          <cell r="R730" t="str">
            <v>Mall - Santiago</v>
          </cell>
          <cell r="S730" t="str">
            <v>Mall Plaza</v>
          </cell>
          <cell r="T730" t="str">
            <v>Productos Especiales</v>
          </cell>
          <cell r="U730">
            <v>1</v>
          </cell>
          <cell r="V730" t="str">
            <v>NA</v>
          </cell>
        </row>
        <row r="731">
          <cell r="A731" t="str">
            <v>MAPV0052B</v>
          </cell>
          <cell r="B731" t="str">
            <v>Mall</v>
          </cell>
          <cell r="C731" t="str">
            <v>Mall Plaza</v>
          </cell>
          <cell r="D731" t="str">
            <v>P.E.: ESPEJOS BAÑOS MUJERES</v>
          </cell>
          <cell r="E731" t="str">
            <v>ESPEJOS BAÑOS MUJERES</v>
          </cell>
          <cell r="F731" t="str">
            <v>Ver Ficha</v>
          </cell>
          <cell r="G731" t="str">
            <v>Ver Ficha</v>
          </cell>
          <cell r="H731" t="str">
            <v>I</v>
          </cell>
          <cell r="I731" t="str">
            <v>INTERIOR BAÑOS</v>
          </cell>
          <cell r="J731">
            <v>80000</v>
          </cell>
          <cell r="L731">
            <v>2800000</v>
          </cell>
          <cell r="M731" t="str">
            <v>MALL PLAZA VESPUCIO</v>
          </cell>
          <cell r="P731" t="str">
            <v>LA FLORIDA</v>
          </cell>
          <cell r="Q731" t="str">
            <v>ESPECIAL</v>
          </cell>
          <cell r="R731" t="str">
            <v>Mall - Santiago</v>
          </cell>
          <cell r="S731" t="str">
            <v>Mall Plaza</v>
          </cell>
          <cell r="T731" t="str">
            <v>Productos Especiales</v>
          </cell>
          <cell r="U731">
            <v>1</v>
          </cell>
          <cell r="V731" t="str">
            <v>NA</v>
          </cell>
        </row>
        <row r="732">
          <cell r="A732" t="str">
            <v>MAPV0053A</v>
          </cell>
          <cell r="B732" t="str">
            <v>Mall</v>
          </cell>
          <cell r="C732" t="str">
            <v>Mall Plaza</v>
          </cell>
          <cell r="D732" t="str">
            <v>P.E.: PUERTAS BAÑOS HOMBRE</v>
          </cell>
          <cell r="E732" t="str">
            <v>PUERTAS BAÑOS HOMBRE</v>
          </cell>
          <cell r="F732" t="str">
            <v>Ver Ficha</v>
          </cell>
          <cell r="G732" t="str">
            <v>Ver Ficha</v>
          </cell>
          <cell r="H732" t="str">
            <v>Y</v>
          </cell>
          <cell r="I732" t="str">
            <v>INTERIOR BAÑOS</v>
          </cell>
          <cell r="J732">
            <v>125000</v>
          </cell>
          <cell r="K732">
            <v>0</v>
          </cell>
          <cell r="L732">
            <v>2250000</v>
          </cell>
          <cell r="M732" t="str">
            <v>MALL PLAZA VESPUCIO</v>
          </cell>
          <cell r="P732" t="str">
            <v>LA FLORIDA</v>
          </cell>
          <cell r="Q732" t="str">
            <v>ESPECIAL</v>
          </cell>
          <cell r="R732" t="str">
            <v>Mall - Santiago</v>
          </cell>
          <cell r="S732" t="str">
            <v>Mall Plaza</v>
          </cell>
          <cell r="T732" t="str">
            <v>Productos Especiales</v>
          </cell>
          <cell r="U732">
            <v>1</v>
          </cell>
          <cell r="V732" t="str">
            <v>NA</v>
          </cell>
        </row>
        <row r="733">
          <cell r="A733" t="str">
            <v>MAPV0055A</v>
          </cell>
          <cell r="B733" t="str">
            <v>Mall</v>
          </cell>
          <cell r="C733" t="str">
            <v>Mall Plaza</v>
          </cell>
          <cell r="D733" t="str">
            <v>P.E.: ASCENSOR</v>
          </cell>
          <cell r="E733" t="str">
            <v>ASCENSOR</v>
          </cell>
          <cell r="F733" t="str">
            <v>Ver Ficha</v>
          </cell>
          <cell r="G733" t="str">
            <v>Ver Ficha</v>
          </cell>
          <cell r="I733" t="str">
            <v>INTERIOR</v>
          </cell>
          <cell r="J733">
            <v>27000</v>
          </cell>
          <cell r="L733">
            <v>2550000</v>
          </cell>
          <cell r="M733" t="str">
            <v>MALL PLAZA VESPUCIO</v>
          </cell>
          <cell r="P733" t="str">
            <v>LA FLORIDA</v>
          </cell>
          <cell r="Q733" t="str">
            <v>ESPECIAL</v>
          </cell>
          <cell r="R733" t="str">
            <v>Mall - Santiago</v>
          </cell>
          <cell r="S733" t="str">
            <v>Mall Plaza</v>
          </cell>
          <cell r="T733" t="str">
            <v>Productos Especiales</v>
          </cell>
          <cell r="U733">
            <v>1</v>
          </cell>
          <cell r="V733" t="str">
            <v>NA</v>
          </cell>
        </row>
        <row r="734">
          <cell r="A734" t="str">
            <v>MAPV0059A</v>
          </cell>
          <cell r="B734" t="str">
            <v>Mall</v>
          </cell>
          <cell r="C734" t="str">
            <v>Mall Plaza</v>
          </cell>
          <cell r="D734" t="str">
            <v>P.E.: TELA MONUMENTAL FACHADA</v>
          </cell>
          <cell r="E734" t="str">
            <v>TELA MONUMENTAL FACHADA</v>
          </cell>
          <cell r="F734" t="str">
            <v>Ver Ficha</v>
          </cell>
          <cell r="G734" t="str">
            <v>Ver Ficha</v>
          </cell>
          <cell r="H734" t="str">
            <v>X</v>
          </cell>
          <cell r="I734" t="str">
            <v>EXTERIORES</v>
          </cell>
          <cell r="J734">
            <v>411000</v>
          </cell>
          <cell r="K734">
            <v>0</v>
          </cell>
          <cell r="L734">
            <v>4050000</v>
          </cell>
          <cell r="M734" t="str">
            <v>MALL PLAZA VESPUCIO</v>
          </cell>
          <cell r="P734" t="str">
            <v>LA FLORIDA</v>
          </cell>
          <cell r="Q734" t="str">
            <v>ESPECIAL</v>
          </cell>
          <cell r="R734" t="str">
            <v>Mall - Santiago</v>
          </cell>
          <cell r="S734" t="str">
            <v>Mall Plaza</v>
          </cell>
          <cell r="T734" t="str">
            <v>Productos Especiales</v>
          </cell>
          <cell r="U734">
            <v>1</v>
          </cell>
          <cell r="V734" t="str">
            <v>NA</v>
          </cell>
        </row>
        <row r="735">
          <cell r="A735" t="str">
            <v>MAPV0062A</v>
          </cell>
          <cell r="B735" t="str">
            <v>Mall</v>
          </cell>
          <cell r="C735" t="str">
            <v>Mall Plaza</v>
          </cell>
          <cell r="D735" t="str">
            <v>P.E.: ESCALERAS MECÁNICAS</v>
          </cell>
          <cell r="E735" t="str">
            <v>ESCALERAS MECÁNICAS</v>
          </cell>
          <cell r="F735" t="str">
            <v>Ver Ficha</v>
          </cell>
          <cell r="G735" t="str">
            <v>Ver Ficha</v>
          </cell>
          <cell r="H735" t="str">
            <v>I</v>
          </cell>
          <cell r="I735" t="str">
            <v>INTERIORES</v>
          </cell>
          <cell r="J735">
            <v>170000</v>
          </cell>
          <cell r="K735">
            <v>0</v>
          </cell>
          <cell r="L735">
            <v>4400000</v>
          </cell>
          <cell r="M735" t="str">
            <v>MALL PLAZA VESPUCIO</v>
          </cell>
          <cell r="P735" t="str">
            <v>LA FLORIDA</v>
          </cell>
          <cell r="Q735" t="str">
            <v>ESPECIAL</v>
          </cell>
          <cell r="R735" t="str">
            <v>Mall - Santiago</v>
          </cell>
          <cell r="S735" t="str">
            <v>Mall Plaza</v>
          </cell>
          <cell r="T735" t="str">
            <v>Productos Especiales</v>
          </cell>
          <cell r="U735">
            <v>1</v>
          </cell>
          <cell r="V735" t="str">
            <v>NA</v>
          </cell>
        </row>
        <row r="736">
          <cell r="A736" t="str">
            <v>MAPV0063A</v>
          </cell>
          <cell r="B736" t="str">
            <v>Mall</v>
          </cell>
          <cell r="C736" t="str">
            <v>Mall Plaza</v>
          </cell>
          <cell r="D736" t="str">
            <v>P.E.: PENDONES SUPERIORES</v>
          </cell>
          <cell r="E736" t="str">
            <v>PENDONES SUPERIORES</v>
          </cell>
          <cell r="F736" t="str">
            <v>Ver Ficha</v>
          </cell>
          <cell r="G736" t="str">
            <v>Ver Ficha</v>
          </cell>
          <cell r="H736" t="str">
            <v>I</v>
          </cell>
          <cell r="I736" t="str">
            <v>INTERIORES</v>
          </cell>
          <cell r="J736">
            <v>412000</v>
          </cell>
          <cell r="K736">
            <v>0</v>
          </cell>
          <cell r="L736">
            <v>4400000</v>
          </cell>
          <cell r="M736" t="str">
            <v>MALL PLAZA VESPUCIO</v>
          </cell>
          <cell r="P736" t="str">
            <v>LA FLORIDA</v>
          </cell>
          <cell r="Q736" t="str">
            <v>ESPECIAL</v>
          </cell>
          <cell r="R736" t="str">
            <v>Mall - Santiago</v>
          </cell>
          <cell r="S736" t="str">
            <v>Mall Plaza</v>
          </cell>
          <cell r="T736" t="str">
            <v>Productos Especiales</v>
          </cell>
          <cell r="U736">
            <v>1</v>
          </cell>
          <cell r="V736" t="str">
            <v>NA</v>
          </cell>
        </row>
        <row r="737">
          <cell r="A737" t="str">
            <v>MAPV0069A</v>
          </cell>
          <cell r="B737" t="str">
            <v>Mall</v>
          </cell>
          <cell r="C737" t="str">
            <v>Mall Plaza</v>
          </cell>
          <cell r="D737" t="str">
            <v>Paletas</v>
          </cell>
          <cell r="E737" t="str">
            <v>INTERIOR</v>
          </cell>
          <cell r="F737" t="str">
            <v>1.10 * 1.53</v>
          </cell>
          <cell r="G737" t="str">
            <v>1.15 * 1.57</v>
          </cell>
          <cell r="H737" t="str">
            <v>Y</v>
          </cell>
          <cell r="I737" t="str">
            <v>INTERIOR PASILLO</v>
          </cell>
          <cell r="J737">
            <v>0</v>
          </cell>
          <cell r="K737">
            <v>0</v>
          </cell>
          <cell r="L737">
            <v>380000</v>
          </cell>
          <cell r="M737" t="str">
            <v>MALL PLAZA VESPUCIO</v>
          </cell>
          <cell r="P737" t="str">
            <v>LA FLORIDA</v>
          </cell>
          <cell r="Q737" t="str">
            <v>TRADICIONAL</v>
          </cell>
          <cell r="R737" t="str">
            <v>Mall - Santiago</v>
          </cell>
          <cell r="S737" t="str">
            <v>Mall Plaza</v>
          </cell>
          <cell r="T737" t="str">
            <v>Paletas</v>
          </cell>
          <cell r="U737">
            <v>1</v>
          </cell>
          <cell r="V737" t="str">
            <v>1.10 * 1.53</v>
          </cell>
        </row>
        <row r="738">
          <cell r="A738" t="str">
            <v>MAPV0069B</v>
          </cell>
          <cell r="B738" t="str">
            <v>Mall</v>
          </cell>
          <cell r="C738" t="str">
            <v>Mall Plaza</v>
          </cell>
          <cell r="D738" t="str">
            <v>Paletas</v>
          </cell>
          <cell r="E738" t="str">
            <v>INTERIOR</v>
          </cell>
          <cell r="F738" t="str">
            <v>1.10 * 1.53</v>
          </cell>
          <cell r="G738" t="str">
            <v>1.15 * 1.57</v>
          </cell>
          <cell r="H738" t="str">
            <v>Y</v>
          </cell>
          <cell r="I738" t="str">
            <v>INTERIOR PASILLO</v>
          </cell>
          <cell r="J738">
            <v>0</v>
          </cell>
          <cell r="K738">
            <v>0</v>
          </cell>
          <cell r="L738">
            <v>380000</v>
          </cell>
          <cell r="M738" t="str">
            <v>MALL PLAZA VESPUCIO</v>
          </cell>
          <cell r="P738" t="str">
            <v>LA FLORIDA</v>
          </cell>
          <cell r="Q738" t="str">
            <v>TRADICIONAL</v>
          </cell>
          <cell r="R738" t="str">
            <v>Mall - Santiago</v>
          </cell>
          <cell r="S738" t="str">
            <v>Mall Plaza</v>
          </cell>
          <cell r="T738" t="str">
            <v>Paletas</v>
          </cell>
          <cell r="U738">
            <v>1</v>
          </cell>
          <cell r="V738" t="str">
            <v>1.10 * 1.53</v>
          </cell>
        </row>
        <row r="739">
          <cell r="A739" t="str">
            <v>MASE0011A</v>
          </cell>
          <cell r="B739" t="str">
            <v>Mall</v>
          </cell>
          <cell r="C739" t="str">
            <v>Mall Plaza</v>
          </cell>
          <cell r="D739" t="str">
            <v>Paletas</v>
          </cell>
          <cell r="E739" t="str">
            <v>INTERIOR</v>
          </cell>
          <cell r="F739" t="str">
            <v>1.10 * 1.53</v>
          </cell>
          <cell r="G739" t="str">
            <v>1.15 * 1.57</v>
          </cell>
          <cell r="H739" t="str">
            <v>Y</v>
          </cell>
          <cell r="I739" t="str">
            <v>INTERIOR PASILLO</v>
          </cell>
          <cell r="J739">
            <v>0</v>
          </cell>
          <cell r="K739">
            <v>0</v>
          </cell>
          <cell r="L739">
            <v>320000</v>
          </cell>
          <cell r="M739" t="str">
            <v>MALL PLAZA LA SERENA</v>
          </cell>
          <cell r="P739" t="str">
            <v>LA SERENA</v>
          </cell>
          <cell r="Q739" t="str">
            <v>TRADICIONAL</v>
          </cell>
          <cell r="R739" t="str">
            <v>Mall - Norte</v>
          </cell>
          <cell r="S739" t="str">
            <v>Mall Plaza</v>
          </cell>
          <cell r="T739" t="str">
            <v>Paletas</v>
          </cell>
          <cell r="U739">
            <v>1</v>
          </cell>
          <cell r="V739" t="str">
            <v>1.10 * 1.53</v>
          </cell>
        </row>
        <row r="740">
          <cell r="A740" t="str">
            <v>MASE0011B</v>
          </cell>
          <cell r="B740" t="str">
            <v>Mall</v>
          </cell>
          <cell r="C740" t="str">
            <v>Mall Plaza</v>
          </cell>
          <cell r="D740" t="str">
            <v>Paletas</v>
          </cell>
          <cell r="E740" t="str">
            <v>INTERIOR</v>
          </cell>
          <cell r="F740" t="str">
            <v>1.10 * 1.53</v>
          </cell>
          <cell r="G740" t="str">
            <v>1.15 * 1.57</v>
          </cell>
          <cell r="H740" t="str">
            <v>Y</v>
          </cell>
          <cell r="I740" t="str">
            <v>INTERIOR PASILLO</v>
          </cell>
          <cell r="J740">
            <v>0</v>
          </cell>
          <cell r="K740">
            <v>0</v>
          </cell>
          <cell r="L740">
            <v>320000</v>
          </cell>
          <cell r="M740" t="str">
            <v>MALL PLAZA LA SERENA</v>
          </cell>
          <cell r="P740" t="str">
            <v>LA SERENA</v>
          </cell>
          <cell r="Q740" t="str">
            <v>TRADICIONAL</v>
          </cell>
          <cell r="R740" t="str">
            <v>Mall - Norte</v>
          </cell>
          <cell r="S740" t="str">
            <v>Mall Plaza</v>
          </cell>
          <cell r="T740" t="str">
            <v>Paletas</v>
          </cell>
          <cell r="U740">
            <v>1</v>
          </cell>
          <cell r="V740" t="str">
            <v>1.10 * 1.53</v>
          </cell>
        </row>
        <row r="741">
          <cell r="A741" t="str">
            <v>MASE0012A</v>
          </cell>
          <cell r="B741" t="str">
            <v>Mall</v>
          </cell>
          <cell r="C741" t="str">
            <v>Mall Plaza</v>
          </cell>
          <cell r="D741" t="str">
            <v>Paletas</v>
          </cell>
          <cell r="E741" t="str">
            <v>INTERIOR</v>
          </cell>
          <cell r="F741" t="str">
            <v>1.10 * 1.53</v>
          </cell>
          <cell r="G741" t="str">
            <v>1.15 * 1.57</v>
          </cell>
          <cell r="H741" t="str">
            <v>Y</v>
          </cell>
          <cell r="I741" t="str">
            <v>INTERIOR PASILLO</v>
          </cell>
          <cell r="J741">
            <v>0</v>
          </cell>
          <cell r="K741">
            <v>0</v>
          </cell>
          <cell r="L741">
            <v>320000</v>
          </cell>
          <cell r="M741" t="str">
            <v>MALL PLAZA LA SERENA</v>
          </cell>
          <cell r="P741" t="str">
            <v>LA SERENA</v>
          </cell>
          <cell r="Q741" t="str">
            <v>TRADICIONAL</v>
          </cell>
          <cell r="R741" t="str">
            <v>Mall - Norte</v>
          </cell>
          <cell r="S741" t="str">
            <v>Mall Plaza</v>
          </cell>
          <cell r="T741" t="str">
            <v>Paletas</v>
          </cell>
          <cell r="U741">
            <v>1</v>
          </cell>
          <cell r="V741" t="str">
            <v>1.10 * 1.53</v>
          </cell>
        </row>
        <row r="742">
          <cell r="A742" t="str">
            <v>MASE0012B</v>
          </cell>
          <cell r="B742" t="str">
            <v>Mall</v>
          </cell>
          <cell r="C742" t="str">
            <v>Mall Plaza</v>
          </cell>
          <cell r="D742" t="str">
            <v>Paletas</v>
          </cell>
          <cell r="E742" t="str">
            <v>INTERIOR</v>
          </cell>
          <cell r="F742" t="str">
            <v>1.10 * 1.53</v>
          </cell>
          <cell r="G742" t="str">
            <v>1.15 * 1.57</v>
          </cell>
          <cell r="H742" t="str">
            <v>Y</v>
          </cell>
          <cell r="I742" t="str">
            <v>INTERIOR PASILLO</v>
          </cell>
          <cell r="J742">
            <v>0</v>
          </cell>
          <cell r="K742">
            <v>0</v>
          </cell>
          <cell r="L742">
            <v>320000</v>
          </cell>
          <cell r="M742" t="str">
            <v>MALL PLAZA LA SERENA</v>
          </cell>
          <cell r="P742" t="str">
            <v>LA SERENA</v>
          </cell>
          <cell r="Q742" t="str">
            <v>TRADICIONAL</v>
          </cell>
          <cell r="R742" t="str">
            <v>Mall - Norte</v>
          </cell>
          <cell r="S742" t="str">
            <v>Mall Plaza</v>
          </cell>
          <cell r="T742" t="str">
            <v>Paletas</v>
          </cell>
          <cell r="U742">
            <v>1</v>
          </cell>
          <cell r="V742" t="str">
            <v>1.10 * 1.53</v>
          </cell>
        </row>
        <row r="743">
          <cell r="A743" t="str">
            <v>MASE0013A</v>
          </cell>
          <cell r="B743" t="str">
            <v>Mall</v>
          </cell>
          <cell r="C743" t="str">
            <v>Mall Plaza</v>
          </cell>
          <cell r="D743" t="str">
            <v>Paletas</v>
          </cell>
          <cell r="E743" t="str">
            <v>INTERIOR</v>
          </cell>
          <cell r="F743" t="str">
            <v>1.10 * 1.53</v>
          </cell>
          <cell r="G743" t="str">
            <v>1.15 * 1.57</v>
          </cell>
          <cell r="H743" t="str">
            <v>Y</v>
          </cell>
          <cell r="I743" t="str">
            <v>INTERIOR PASILLO</v>
          </cell>
          <cell r="J743">
            <v>0</v>
          </cell>
          <cell r="K743">
            <v>0</v>
          </cell>
          <cell r="L743">
            <v>320000</v>
          </cell>
          <cell r="M743" t="str">
            <v>MALL PLAZA LA SERENA</v>
          </cell>
          <cell r="P743" t="str">
            <v>LA SERENA</v>
          </cell>
          <cell r="Q743" t="str">
            <v>TRADICIONAL</v>
          </cell>
          <cell r="R743" t="str">
            <v>Mall - Norte</v>
          </cell>
          <cell r="S743" t="str">
            <v>Mall Plaza</v>
          </cell>
          <cell r="T743" t="str">
            <v>Paletas</v>
          </cell>
          <cell r="U743">
            <v>1</v>
          </cell>
          <cell r="V743" t="str">
            <v>1.10 * 1.53</v>
          </cell>
        </row>
        <row r="744">
          <cell r="A744" t="str">
            <v>MASE0013B</v>
          </cell>
          <cell r="B744" t="str">
            <v>Mall</v>
          </cell>
          <cell r="C744" t="str">
            <v>Mall Plaza</v>
          </cell>
          <cell r="D744" t="str">
            <v>Paletas</v>
          </cell>
          <cell r="E744" t="str">
            <v>INTERIOR</v>
          </cell>
          <cell r="F744" t="str">
            <v>1.10 * 1.53</v>
          </cell>
          <cell r="G744" t="str">
            <v>1.15 * 1.57</v>
          </cell>
          <cell r="H744" t="str">
            <v>Y</v>
          </cell>
          <cell r="I744" t="str">
            <v>INTERIOR PASILLO</v>
          </cell>
          <cell r="J744">
            <v>0</v>
          </cell>
          <cell r="K744">
            <v>0</v>
          </cell>
          <cell r="L744">
            <v>320000</v>
          </cell>
          <cell r="M744" t="str">
            <v>MALL PLAZA LA SERENA</v>
          </cell>
          <cell r="P744" t="str">
            <v>LA SERENA</v>
          </cell>
          <cell r="Q744" t="str">
            <v>TRADICIONAL</v>
          </cell>
          <cell r="R744" t="str">
            <v>Mall - Norte</v>
          </cell>
          <cell r="S744" t="str">
            <v>Mall Plaza</v>
          </cell>
          <cell r="T744" t="str">
            <v>Paletas</v>
          </cell>
          <cell r="U744">
            <v>1</v>
          </cell>
          <cell r="V744" t="str">
            <v>1.10 * 1.53</v>
          </cell>
        </row>
        <row r="745">
          <cell r="A745" t="str">
            <v>MASE0014A</v>
          </cell>
          <cell r="B745" t="str">
            <v>Mall</v>
          </cell>
          <cell r="C745" t="str">
            <v>Mall Plaza</v>
          </cell>
          <cell r="D745" t="str">
            <v>Paletas</v>
          </cell>
          <cell r="E745" t="str">
            <v>INTERIOR</v>
          </cell>
          <cell r="F745" t="str">
            <v>1.10 * 1.53</v>
          </cell>
          <cell r="G745" t="str">
            <v>1.15 * 1.57</v>
          </cell>
          <cell r="H745" t="str">
            <v>Y</v>
          </cell>
          <cell r="I745" t="str">
            <v>INTERIOR PASILLO</v>
          </cell>
          <cell r="J745">
            <v>0</v>
          </cell>
          <cell r="K745">
            <v>0</v>
          </cell>
          <cell r="L745">
            <v>320000</v>
          </cell>
          <cell r="M745" t="str">
            <v>MALL PLAZA LA SERENA</v>
          </cell>
          <cell r="P745" t="str">
            <v>LA SERENA</v>
          </cell>
          <cell r="Q745" t="str">
            <v>TRADICIONAL</v>
          </cell>
          <cell r="R745" t="str">
            <v>Mall - Norte</v>
          </cell>
          <cell r="S745" t="str">
            <v>Mall Plaza</v>
          </cell>
          <cell r="T745" t="str">
            <v>Paletas</v>
          </cell>
          <cell r="U745">
            <v>1</v>
          </cell>
          <cell r="V745" t="str">
            <v>1.10 * 1.53</v>
          </cell>
        </row>
        <row r="746">
          <cell r="A746" t="str">
            <v>MASE0014B</v>
          </cell>
          <cell r="B746" t="str">
            <v>Mall</v>
          </cell>
          <cell r="C746" t="str">
            <v>Mall Plaza</v>
          </cell>
          <cell r="D746" t="str">
            <v>Paletas</v>
          </cell>
          <cell r="E746" t="str">
            <v>INTERIOR</v>
          </cell>
          <cell r="F746" t="str">
            <v>1.10 * 1.53</v>
          </cell>
          <cell r="G746" t="str">
            <v>1.15 * 1.57</v>
          </cell>
          <cell r="H746" t="str">
            <v>Y</v>
          </cell>
          <cell r="I746" t="str">
            <v>INTERIOR PASILLO</v>
          </cell>
          <cell r="J746">
            <v>0</v>
          </cell>
          <cell r="K746">
            <v>0</v>
          </cell>
          <cell r="L746">
            <v>320000</v>
          </cell>
          <cell r="M746" t="str">
            <v>MALL PLAZA LA SERENA</v>
          </cell>
          <cell r="P746" t="str">
            <v>LA SERENA</v>
          </cell>
          <cell r="Q746" t="str">
            <v>TRADICIONAL</v>
          </cell>
          <cell r="R746" t="str">
            <v>Mall - Norte</v>
          </cell>
          <cell r="S746" t="str">
            <v>Mall Plaza</v>
          </cell>
          <cell r="T746" t="str">
            <v>Paletas</v>
          </cell>
          <cell r="U746">
            <v>1</v>
          </cell>
          <cell r="V746" t="str">
            <v>1.10 * 1.53</v>
          </cell>
        </row>
        <row r="747">
          <cell r="A747" t="str">
            <v>MASE0018A</v>
          </cell>
          <cell r="B747" t="str">
            <v>Mall</v>
          </cell>
          <cell r="C747" t="str">
            <v>Mall Plaza</v>
          </cell>
          <cell r="D747" t="str">
            <v>Cajas de luz</v>
          </cell>
          <cell r="E747" t="str">
            <v>Cajas de luz</v>
          </cell>
          <cell r="F747" t="str">
            <v>3.92 * 1.62</v>
          </cell>
          <cell r="G747" t="str">
            <v>4.20 * 1.90</v>
          </cell>
          <cell r="H747" t="str">
            <v>S</v>
          </cell>
          <cell r="I747" t="str">
            <v>ESTACIONAMIENTOS</v>
          </cell>
          <cell r="J747">
            <v>0</v>
          </cell>
          <cell r="K747">
            <v>0</v>
          </cell>
          <cell r="L747">
            <v>480000</v>
          </cell>
          <cell r="M747" t="str">
            <v>MALL PLAZA LA SERENA</v>
          </cell>
          <cell r="P747" t="str">
            <v>LA SERENA</v>
          </cell>
          <cell r="Q747" t="str">
            <v>TRADICIONAL</v>
          </cell>
          <cell r="R747" t="str">
            <v>Mall - Norte</v>
          </cell>
          <cell r="S747" t="str">
            <v>Mall Plaza</v>
          </cell>
          <cell r="T747" t="str">
            <v>Cajas de luz</v>
          </cell>
          <cell r="U747">
            <v>1</v>
          </cell>
          <cell r="V747" t="str">
            <v>3.92 * 1.62</v>
          </cell>
        </row>
        <row r="748">
          <cell r="A748" t="str">
            <v>MASE0019A</v>
          </cell>
          <cell r="B748" t="str">
            <v>Mall</v>
          </cell>
          <cell r="C748" t="str">
            <v>Mall Plaza</v>
          </cell>
          <cell r="D748" t="str">
            <v>Cajas de luz</v>
          </cell>
          <cell r="E748" t="str">
            <v>Cajas de luz</v>
          </cell>
          <cell r="F748" t="str">
            <v>3.92 * 1.62</v>
          </cell>
          <cell r="G748" t="str">
            <v>4.20 * 1.90</v>
          </cell>
          <cell r="H748" t="str">
            <v>S</v>
          </cell>
          <cell r="I748" t="str">
            <v>ESTACIONAMIENTOS</v>
          </cell>
          <cell r="J748">
            <v>0</v>
          </cell>
          <cell r="K748">
            <v>0</v>
          </cell>
          <cell r="L748">
            <v>480000</v>
          </cell>
          <cell r="M748" t="str">
            <v>MALL PLAZA LA SERENA</v>
          </cell>
          <cell r="P748" t="str">
            <v>LA SERENA</v>
          </cell>
          <cell r="Q748" t="str">
            <v>TRADICIONAL</v>
          </cell>
          <cell r="R748" t="str">
            <v>Mall - Norte</v>
          </cell>
          <cell r="S748" t="str">
            <v>Mall Plaza</v>
          </cell>
          <cell r="T748" t="str">
            <v>Cajas de luz</v>
          </cell>
          <cell r="U748">
            <v>1</v>
          </cell>
          <cell r="V748" t="str">
            <v>3.92 * 1.62</v>
          </cell>
        </row>
        <row r="749">
          <cell r="A749" t="str">
            <v>MASE0020A</v>
          </cell>
          <cell r="B749" t="str">
            <v>Mall</v>
          </cell>
          <cell r="C749" t="str">
            <v>Mall Plaza</v>
          </cell>
          <cell r="D749" t="str">
            <v>Cajas de luz</v>
          </cell>
          <cell r="E749" t="str">
            <v>Cajas de luz</v>
          </cell>
          <cell r="F749" t="str">
            <v>3.92 * 1.62</v>
          </cell>
          <cell r="G749" t="str">
            <v>4.20 * 1.90</v>
          </cell>
          <cell r="H749" t="str">
            <v>S</v>
          </cell>
          <cell r="I749" t="str">
            <v>ESTACIONAMIENTOS</v>
          </cell>
          <cell r="J749">
            <v>0</v>
          </cell>
          <cell r="K749">
            <v>0</v>
          </cell>
          <cell r="L749">
            <v>480000</v>
          </cell>
          <cell r="M749" t="str">
            <v>MALL PLAZA LA SERENA</v>
          </cell>
          <cell r="P749" t="str">
            <v>LA SERENA</v>
          </cell>
          <cell r="Q749" t="str">
            <v>TRADICIONAL</v>
          </cell>
          <cell r="R749" t="str">
            <v>Mall - Norte</v>
          </cell>
          <cell r="S749" t="str">
            <v>Mall Plaza</v>
          </cell>
          <cell r="T749" t="str">
            <v>Cajas de luz</v>
          </cell>
          <cell r="U749">
            <v>1</v>
          </cell>
          <cell r="V749" t="str">
            <v>3.92 * 1.62</v>
          </cell>
        </row>
        <row r="750">
          <cell r="A750" t="str">
            <v>MASE0026A</v>
          </cell>
          <cell r="B750" t="str">
            <v>Mall</v>
          </cell>
          <cell r="C750" t="str">
            <v>Mall Plaza</v>
          </cell>
          <cell r="D750" t="str">
            <v>Pantallas Digitales</v>
          </cell>
          <cell r="E750" t="str">
            <v>Pantallas</v>
          </cell>
          <cell r="F750" t="str">
            <v>NA</v>
          </cell>
          <cell r="G750" t="str">
            <v>NA</v>
          </cell>
          <cell r="H750" t="str">
            <v>I</v>
          </cell>
          <cell r="I750" t="str">
            <v>LOTE 4 PANTALLAS</v>
          </cell>
          <cell r="J750">
            <v>0</v>
          </cell>
          <cell r="K750">
            <v>0</v>
          </cell>
          <cell r="L750">
            <v>500000</v>
          </cell>
          <cell r="M750" t="str">
            <v>MALL PLAZA LA SERENA</v>
          </cell>
          <cell r="P750" t="str">
            <v>LA SERENA</v>
          </cell>
          <cell r="Q750" t="str">
            <v>PANTALLA</v>
          </cell>
          <cell r="R750" t="str">
            <v>Mall - Norte</v>
          </cell>
          <cell r="S750" t="str">
            <v>Mall Plaza Digital</v>
          </cell>
          <cell r="T750" t="str">
            <v>Pantallas Digitales</v>
          </cell>
          <cell r="U750">
            <v>1</v>
          </cell>
        </row>
        <row r="751">
          <cell r="A751" t="str">
            <v>MASE0026B</v>
          </cell>
          <cell r="B751" t="str">
            <v>Mall</v>
          </cell>
          <cell r="C751" t="str">
            <v>Mall Plaza</v>
          </cell>
          <cell r="D751" t="str">
            <v>Pantallas Digitales</v>
          </cell>
          <cell r="E751" t="str">
            <v>Pantallas</v>
          </cell>
          <cell r="F751" t="str">
            <v>NA</v>
          </cell>
          <cell r="G751" t="str">
            <v>NA</v>
          </cell>
          <cell r="H751" t="str">
            <v>I</v>
          </cell>
          <cell r="I751" t="str">
            <v>LOTE 4 PANTALLAS</v>
          </cell>
          <cell r="J751">
            <v>0</v>
          </cell>
          <cell r="K751">
            <v>0</v>
          </cell>
          <cell r="L751">
            <v>500000</v>
          </cell>
          <cell r="M751" t="str">
            <v>MALL PLAZA LA SERENA</v>
          </cell>
          <cell r="P751" t="str">
            <v>LA SERENA</v>
          </cell>
          <cell r="Q751" t="str">
            <v>PANTALLA</v>
          </cell>
          <cell r="R751" t="str">
            <v>Mall - Norte</v>
          </cell>
          <cell r="S751" t="str">
            <v>Mall Plaza Digital</v>
          </cell>
          <cell r="T751" t="str">
            <v>Pantallas Digitales</v>
          </cell>
          <cell r="U751">
            <v>1</v>
          </cell>
          <cell r="V751" t="str">
            <v>NA</v>
          </cell>
        </row>
        <row r="752">
          <cell r="A752" t="str">
            <v>MASE0026C</v>
          </cell>
          <cell r="B752" t="str">
            <v>Mall</v>
          </cell>
          <cell r="C752" t="str">
            <v>Mall Plaza</v>
          </cell>
          <cell r="D752" t="str">
            <v>Pantallas Digitales</v>
          </cell>
          <cell r="E752" t="str">
            <v>Pantallas</v>
          </cell>
          <cell r="F752" t="str">
            <v>NA</v>
          </cell>
          <cell r="G752" t="str">
            <v>NA</v>
          </cell>
          <cell r="H752" t="str">
            <v>I</v>
          </cell>
          <cell r="I752" t="str">
            <v>LOTE 4  PANTALLA</v>
          </cell>
          <cell r="J752">
            <v>0</v>
          </cell>
          <cell r="K752">
            <v>0</v>
          </cell>
          <cell r="L752">
            <v>500000</v>
          </cell>
          <cell r="M752" t="str">
            <v>MALL PLAZA LA SERENA</v>
          </cell>
          <cell r="P752" t="str">
            <v>LA SERENA</v>
          </cell>
          <cell r="Q752" t="str">
            <v>PANTALLA</v>
          </cell>
          <cell r="R752" t="str">
            <v>Mall - Norte</v>
          </cell>
          <cell r="S752" t="str">
            <v>Mall Plaza Digital</v>
          </cell>
          <cell r="T752" t="str">
            <v>Pantallas Digitales</v>
          </cell>
          <cell r="U752">
            <v>1</v>
          </cell>
        </row>
        <row r="753">
          <cell r="A753" t="str">
            <v>MASE0026D</v>
          </cell>
          <cell r="B753" t="str">
            <v>Mall</v>
          </cell>
          <cell r="C753" t="str">
            <v>Mall Plaza</v>
          </cell>
          <cell r="D753" t="str">
            <v>Pantallas Digitales</v>
          </cell>
          <cell r="E753" t="str">
            <v>Pantallas</v>
          </cell>
          <cell r="F753" t="str">
            <v>NA</v>
          </cell>
          <cell r="G753" t="str">
            <v>NA</v>
          </cell>
          <cell r="H753" t="str">
            <v>I</v>
          </cell>
          <cell r="I753" t="str">
            <v>LOTE 4 PANTALLAS</v>
          </cell>
          <cell r="J753">
            <v>0</v>
          </cell>
          <cell r="K753">
            <v>0</v>
          </cell>
          <cell r="L753">
            <v>500000</v>
          </cell>
          <cell r="M753" t="str">
            <v>MALL PLAZA LA SERENA</v>
          </cell>
          <cell r="P753" t="str">
            <v>LA SERENA</v>
          </cell>
          <cell r="Q753" t="str">
            <v>PANTALLA</v>
          </cell>
          <cell r="R753" t="str">
            <v>Mall - Norte</v>
          </cell>
          <cell r="S753" t="str">
            <v>Mall Plaza Digital</v>
          </cell>
          <cell r="T753" t="str">
            <v>Pantallas Digitales</v>
          </cell>
          <cell r="U753">
            <v>1</v>
          </cell>
        </row>
        <row r="754">
          <cell r="A754" t="str">
            <v>MASE0026E</v>
          </cell>
          <cell r="B754" t="str">
            <v>Mall</v>
          </cell>
          <cell r="C754" t="str">
            <v>Mall Plaza</v>
          </cell>
          <cell r="D754" t="str">
            <v>Pantallas Digitales</v>
          </cell>
          <cell r="E754" t="str">
            <v>Pantallas</v>
          </cell>
          <cell r="F754" t="str">
            <v>NA</v>
          </cell>
          <cell r="G754" t="str">
            <v>NA</v>
          </cell>
          <cell r="H754" t="str">
            <v>I</v>
          </cell>
          <cell r="I754" t="str">
            <v>LOTE 4 PANTALLAS</v>
          </cell>
          <cell r="J754">
            <v>0</v>
          </cell>
          <cell r="K754">
            <v>0</v>
          </cell>
          <cell r="L754">
            <v>500000</v>
          </cell>
          <cell r="M754" t="str">
            <v>MALL PLAZA LA SERENA</v>
          </cell>
          <cell r="P754" t="str">
            <v>LA SERENA</v>
          </cell>
          <cell r="Q754" t="str">
            <v>PANTALLA</v>
          </cell>
          <cell r="R754" t="str">
            <v>Mall - Norte</v>
          </cell>
          <cell r="S754" t="str">
            <v>Mall Plaza Digital</v>
          </cell>
          <cell r="T754" t="str">
            <v>Pantallas Digitales</v>
          </cell>
          <cell r="U754">
            <v>1</v>
          </cell>
        </row>
        <row r="755">
          <cell r="A755" t="str">
            <v>MASE0026F</v>
          </cell>
          <cell r="B755" t="str">
            <v>Mall</v>
          </cell>
          <cell r="C755" t="str">
            <v>Mall Plaza</v>
          </cell>
          <cell r="D755" t="str">
            <v>Pantallas Digitales</v>
          </cell>
          <cell r="E755" t="str">
            <v>Pantallas</v>
          </cell>
          <cell r="F755" t="str">
            <v>NA</v>
          </cell>
          <cell r="G755" t="str">
            <v>NA</v>
          </cell>
          <cell r="H755" t="str">
            <v>I</v>
          </cell>
          <cell r="I755" t="str">
            <v>LOTE 4 PANTALLAS</v>
          </cell>
          <cell r="J755">
            <v>0</v>
          </cell>
          <cell r="K755">
            <v>0</v>
          </cell>
          <cell r="L755">
            <v>500000</v>
          </cell>
          <cell r="M755" t="str">
            <v>MALL PLAZA LA SERENA</v>
          </cell>
          <cell r="P755" t="str">
            <v>LA SERENA</v>
          </cell>
          <cell r="Q755" t="str">
            <v>PANTALLA</v>
          </cell>
          <cell r="R755" t="str">
            <v>Mall - Norte</v>
          </cell>
          <cell r="S755" t="str">
            <v>Mall Plaza Digital</v>
          </cell>
          <cell r="T755" t="str">
            <v>Pantallas Digitales</v>
          </cell>
          <cell r="U755">
            <v>1</v>
          </cell>
        </row>
        <row r="756">
          <cell r="A756" t="str">
            <v>MASE0026G</v>
          </cell>
          <cell r="B756" t="str">
            <v>Mall</v>
          </cell>
          <cell r="C756" t="str">
            <v>Mall Plaza</v>
          </cell>
          <cell r="D756" t="str">
            <v>Pantallas Digitales</v>
          </cell>
          <cell r="E756" t="str">
            <v>Pantallas</v>
          </cell>
          <cell r="F756" t="str">
            <v>NA</v>
          </cell>
          <cell r="G756" t="str">
            <v>NA</v>
          </cell>
          <cell r="H756" t="str">
            <v>I</v>
          </cell>
          <cell r="I756" t="str">
            <v>LOTE 4 PANTALLAS</v>
          </cell>
          <cell r="J756">
            <v>0</v>
          </cell>
          <cell r="K756">
            <v>0</v>
          </cell>
          <cell r="L756">
            <v>500000</v>
          </cell>
          <cell r="M756" t="str">
            <v>MALL PLAZA LA SERENA</v>
          </cell>
          <cell r="P756" t="str">
            <v>LA SERENA</v>
          </cell>
          <cell r="Q756" t="str">
            <v>PANTALLA</v>
          </cell>
          <cell r="R756" t="str">
            <v>Mall - Norte</v>
          </cell>
          <cell r="S756" t="str">
            <v>Mall Plaza Digital</v>
          </cell>
          <cell r="T756" t="str">
            <v>Pantallas Digitales</v>
          </cell>
          <cell r="U756">
            <v>1</v>
          </cell>
        </row>
        <row r="757">
          <cell r="A757" t="str">
            <v>MASE0026H</v>
          </cell>
          <cell r="B757" t="str">
            <v>Mall</v>
          </cell>
          <cell r="C757" t="str">
            <v>Mall Plaza</v>
          </cell>
          <cell r="D757" t="str">
            <v>Pantallas Digitales</v>
          </cell>
          <cell r="E757" t="str">
            <v>Pantallas</v>
          </cell>
          <cell r="F757" t="str">
            <v>NA</v>
          </cell>
          <cell r="G757" t="str">
            <v>NA</v>
          </cell>
          <cell r="H757" t="str">
            <v>I</v>
          </cell>
          <cell r="I757" t="str">
            <v>LOTE 4 PANTALLAS</v>
          </cell>
          <cell r="J757">
            <v>0</v>
          </cell>
          <cell r="K757">
            <v>0</v>
          </cell>
          <cell r="L757">
            <v>500000</v>
          </cell>
          <cell r="M757" t="str">
            <v>MALL PLAZA LA SERENA</v>
          </cell>
          <cell r="P757" t="str">
            <v>LA SERENA</v>
          </cell>
          <cell r="Q757" t="str">
            <v>PANTALLA</v>
          </cell>
          <cell r="R757" t="str">
            <v>Mall - Norte</v>
          </cell>
          <cell r="S757" t="str">
            <v>Mall Plaza Digital</v>
          </cell>
          <cell r="T757" t="str">
            <v>Pantallas Digitales</v>
          </cell>
          <cell r="U757">
            <v>1</v>
          </cell>
        </row>
        <row r="758">
          <cell r="A758" t="str">
            <v>MASE0026I</v>
          </cell>
          <cell r="B758" t="str">
            <v>Mall</v>
          </cell>
          <cell r="C758" t="str">
            <v>Mall Plaza</v>
          </cell>
          <cell r="D758" t="str">
            <v>Pantallas Digitales</v>
          </cell>
          <cell r="E758" t="str">
            <v>Pantallas</v>
          </cell>
          <cell r="F758" t="str">
            <v>NA</v>
          </cell>
          <cell r="G758" t="str">
            <v>NA</v>
          </cell>
          <cell r="H758" t="str">
            <v>I</v>
          </cell>
          <cell r="I758" t="str">
            <v>LOTE 4 PANTALLAS</v>
          </cell>
          <cell r="J758">
            <v>0</v>
          </cell>
          <cell r="K758">
            <v>0</v>
          </cell>
          <cell r="L758">
            <v>500000</v>
          </cell>
          <cell r="M758" t="str">
            <v>MALL PLAZA LA SERENA</v>
          </cell>
          <cell r="P758" t="str">
            <v>LA SERENA</v>
          </cell>
          <cell r="Q758" t="str">
            <v>PANTALLA</v>
          </cell>
          <cell r="R758" t="str">
            <v>Mall - Norte</v>
          </cell>
          <cell r="S758" t="str">
            <v>Mall Plaza Digital</v>
          </cell>
          <cell r="T758" t="str">
            <v>Pantallas Digitales</v>
          </cell>
          <cell r="U758">
            <v>1</v>
          </cell>
        </row>
        <row r="759">
          <cell r="A759" t="str">
            <v>MASE0026J</v>
          </cell>
          <cell r="B759" t="str">
            <v>Mall</v>
          </cell>
          <cell r="C759" t="str">
            <v>Mall Plaza</v>
          </cell>
          <cell r="D759" t="str">
            <v>Pantallas Digitales</v>
          </cell>
          <cell r="E759" t="str">
            <v>Pantallas</v>
          </cell>
          <cell r="F759" t="str">
            <v>NA</v>
          </cell>
          <cell r="G759" t="str">
            <v>NA</v>
          </cell>
          <cell r="H759" t="str">
            <v>I</v>
          </cell>
          <cell r="I759" t="str">
            <v>LOTE 4 PANTALLAS</v>
          </cell>
          <cell r="J759">
            <v>0</v>
          </cell>
          <cell r="K759">
            <v>0</v>
          </cell>
          <cell r="L759">
            <v>500000</v>
          </cell>
          <cell r="M759" t="str">
            <v>MALL PLAZA LA SERENA</v>
          </cell>
          <cell r="P759" t="str">
            <v>LA SERENA</v>
          </cell>
          <cell r="Q759" t="str">
            <v>PANTALLA</v>
          </cell>
          <cell r="R759" t="str">
            <v>Mall - Norte</v>
          </cell>
          <cell r="S759" t="str">
            <v>Mall Plaza Digital</v>
          </cell>
          <cell r="T759" t="str">
            <v>Pantallas Digitales</v>
          </cell>
          <cell r="U759">
            <v>1</v>
          </cell>
        </row>
        <row r="760">
          <cell r="A760" t="str">
            <v>MASE0026K</v>
          </cell>
          <cell r="B760" t="str">
            <v>Mall</v>
          </cell>
          <cell r="C760" t="str">
            <v>Mall Plaza</v>
          </cell>
          <cell r="D760" t="str">
            <v>Pantallas Digitales</v>
          </cell>
          <cell r="E760" t="str">
            <v>Pantallas</v>
          </cell>
          <cell r="F760" t="str">
            <v>NA</v>
          </cell>
          <cell r="G760" t="str">
            <v>NA</v>
          </cell>
          <cell r="H760" t="str">
            <v>I</v>
          </cell>
          <cell r="I760" t="str">
            <v>LOTE 4 PANTALLAS</v>
          </cell>
          <cell r="J760">
            <v>0</v>
          </cell>
          <cell r="K760">
            <v>0</v>
          </cell>
          <cell r="L760">
            <v>500000</v>
          </cell>
          <cell r="M760" t="str">
            <v>MALL PLAZA LA SERENA</v>
          </cell>
          <cell r="P760" t="str">
            <v>LA SERENA</v>
          </cell>
          <cell r="Q760" t="str">
            <v>PANTALLA</v>
          </cell>
          <cell r="R760" t="str">
            <v>Mall - Norte</v>
          </cell>
          <cell r="S760" t="str">
            <v>Mall Plaza Digital</v>
          </cell>
          <cell r="T760" t="str">
            <v>Pantallas Digitales</v>
          </cell>
          <cell r="U760">
            <v>1</v>
          </cell>
        </row>
        <row r="761">
          <cell r="A761" t="str">
            <v>MASE0026L</v>
          </cell>
          <cell r="B761" t="str">
            <v>Mall</v>
          </cell>
          <cell r="C761" t="str">
            <v>Mall Plaza</v>
          </cell>
          <cell r="D761" t="str">
            <v>Pantallas Digitales</v>
          </cell>
          <cell r="E761" t="str">
            <v>Pantallas</v>
          </cell>
          <cell r="F761" t="str">
            <v>NA</v>
          </cell>
          <cell r="G761" t="str">
            <v>NA</v>
          </cell>
          <cell r="H761" t="str">
            <v>I</v>
          </cell>
          <cell r="I761" t="str">
            <v>LOTE 4 PANTALLAS</v>
          </cell>
          <cell r="J761">
            <v>0</v>
          </cell>
          <cell r="K761">
            <v>0</v>
          </cell>
          <cell r="L761">
            <v>500000</v>
          </cell>
          <cell r="M761" t="str">
            <v>MALL PLAZA LA SERENA</v>
          </cell>
          <cell r="P761" t="str">
            <v>LA SERENA</v>
          </cell>
          <cell r="Q761" t="str">
            <v>PANTALLA</v>
          </cell>
          <cell r="R761" t="str">
            <v>Mall - Norte</v>
          </cell>
          <cell r="S761" t="str">
            <v>Mall Plaza Digital</v>
          </cell>
          <cell r="T761" t="str">
            <v>Pantallas Digitales</v>
          </cell>
          <cell r="U761">
            <v>1</v>
          </cell>
        </row>
        <row r="762">
          <cell r="A762" t="str">
            <v>MASE0026M</v>
          </cell>
          <cell r="B762" t="str">
            <v>Mall</v>
          </cell>
          <cell r="C762" t="str">
            <v>Mall Plaza</v>
          </cell>
          <cell r="D762" t="str">
            <v>Pantallas Digitales</v>
          </cell>
          <cell r="E762" t="str">
            <v>Pantallas</v>
          </cell>
          <cell r="F762" t="str">
            <v>NA</v>
          </cell>
          <cell r="G762" t="str">
            <v>NA</v>
          </cell>
          <cell r="H762" t="str">
            <v>I</v>
          </cell>
          <cell r="I762" t="str">
            <v>LOTE 4 PANTALLAS</v>
          </cell>
          <cell r="J762">
            <v>0</v>
          </cell>
          <cell r="K762">
            <v>0</v>
          </cell>
          <cell r="L762">
            <v>500000</v>
          </cell>
          <cell r="M762" t="str">
            <v>MALL PLAZA LA SERENA</v>
          </cell>
          <cell r="P762" t="str">
            <v>LA SERENA</v>
          </cell>
          <cell r="Q762" t="str">
            <v>PANTALLA</v>
          </cell>
          <cell r="R762" t="str">
            <v>Mall - Norte</v>
          </cell>
          <cell r="S762" t="str">
            <v>Mall Plaza Digital</v>
          </cell>
          <cell r="T762" t="str">
            <v>Pantallas Digitales</v>
          </cell>
          <cell r="U762">
            <v>1</v>
          </cell>
        </row>
        <row r="763">
          <cell r="A763" t="str">
            <v>MASE0026N</v>
          </cell>
          <cell r="B763" t="str">
            <v>Mall</v>
          </cell>
          <cell r="C763" t="str">
            <v>Mall Plaza</v>
          </cell>
          <cell r="D763" t="str">
            <v>Pantallas Digitales</v>
          </cell>
          <cell r="E763" t="str">
            <v>Pantallas</v>
          </cell>
          <cell r="F763" t="str">
            <v>NA</v>
          </cell>
          <cell r="G763" t="str">
            <v>NA</v>
          </cell>
          <cell r="H763" t="str">
            <v>I</v>
          </cell>
          <cell r="I763" t="str">
            <v>LOTE 4 PANTALLAS</v>
          </cell>
          <cell r="J763">
            <v>0</v>
          </cell>
          <cell r="K763">
            <v>0</v>
          </cell>
          <cell r="L763">
            <v>500000</v>
          </cell>
          <cell r="M763" t="str">
            <v>MALL PLAZA LA SERENA</v>
          </cell>
          <cell r="P763" t="str">
            <v>LA SERENA</v>
          </cell>
          <cell r="Q763" t="str">
            <v>PANTALLA</v>
          </cell>
          <cell r="R763" t="str">
            <v>Mall - Norte</v>
          </cell>
          <cell r="S763" t="str">
            <v>Mall Plaza Digital</v>
          </cell>
          <cell r="T763" t="str">
            <v>Pantallas Digitales</v>
          </cell>
          <cell r="U763">
            <v>1</v>
          </cell>
        </row>
        <row r="764">
          <cell r="A764" t="str">
            <v>MASE0026Ñ</v>
          </cell>
          <cell r="B764" t="str">
            <v>Mall</v>
          </cell>
          <cell r="C764" t="str">
            <v>Mall Plaza</v>
          </cell>
          <cell r="D764" t="str">
            <v>Pantallas Digitales</v>
          </cell>
          <cell r="E764" t="str">
            <v>Pantallas</v>
          </cell>
          <cell r="F764" t="str">
            <v>NA</v>
          </cell>
          <cell r="G764" t="str">
            <v>NA</v>
          </cell>
          <cell r="H764" t="str">
            <v>I</v>
          </cell>
          <cell r="I764" t="str">
            <v>LOTE 4 PANTALLAS</v>
          </cell>
          <cell r="J764">
            <v>0</v>
          </cell>
          <cell r="K764">
            <v>0</v>
          </cell>
          <cell r="L764">
            <v>500000</v>
          </cell>
          <cell r="M764" t="str">
            <v>MALL PLAZA LA SERENA</v>
          </cell>
          <cell r="P764" t="str">
            <v>LA SERENA</v>
          </cell>
          <cell r="Q764" t="str">
            <v>PANTALLA</v>
          </cell>
          <cell r="R764" t="str">
            <v>Mall - Norte</v>
          </cell>
          <cell r="S764" t="str">
            <v>Mall Plaza Digital</v>
          </cell>
          <cell r="T764" t="str">
            <v>Pantallas Digitales</v>
          </cell>
          <cell r="U764">
            <v>1</v>
          </cell>
        </row>
        <row r="765">
          <cell r="A765" t="str">
            <v>MATO0001A</v>
          </cell>
          <cell r="B765" t="str">
            <v>Mall</v>
          </cell>
          <cell r="C765" t="str">
            <v>Mall Plaza</v>
          </cell>
          <cell r="D765" t="str">
            <v>Paletas</v>
          </cell>
          <cell r="E765" t="str">
            <v>PALETA SUPER SCREEN</v>
          </cell>
          <cell r="F765" t="str">
            <v>1.20 * 1.70</v>
          </cell>
          <cell r="G765" t="str">
            <v>1.23 * 1.75</v>
          </cell>
          <cell r="H765" t="str">
            <v>E</v>
          </cell>
          <cell r="I765" t="str">
            <v>ESTACIONAMIENTOS</v>
          </cell>
          <cell r="J765">
            <v>0</v>
          </cell>
          <cell r="K765">
            <v>0</v>
          </cell>
          <cell r="L765">
            <v>300000</v>
          </cell>
          <cell r="M765" t="str">
            <v>MALL PLAZA TOBALABA</v>
          </cell>
          <cell r="P765" t="str">
            <v>PUENTE ALTO</v>
          </cell>
          <cell r="Q765" t="str">
            <v>TRADICIONAL</v>
          </cell>
          <cell r="R765" t="str">
            <v>Mall - Santiago</v>
          </cell>
          <cell r="S765" t="str">
            <v>Mall Plaza</v>
          </cell>
          <cell r="T765" t="str">
            <v>Paletas</v>
          </cell>
          <cell r="U765">
            <v>1</v>
          </cell>
          <cell r="V765" t="str">
            <v>1.20 * 1.70</v>
          </cell>
        </row>
        <row r="766">
          <cell r="A766" t="str">
            <v>MATO0001B</v>
          </cell>
          <cell r="B766" t="str">
            <v>Mall</v>
          </cell>
          <cell r="C766" t="str">
            <v>Mall Plaza</v>
          </cell>
          <cell r="D766" t="str">
            <v>Paletas</v>
          </cell>
          <cell r="E766" t="str">
            <v>PALETA SUPER SCREEN</v>
          </cell>
          <cell r="F766" t="str">
            <v>1.20 * 1.70</v>
          </cell>
          <cell r="G766" t="str">
            <v>1.23 * 1.75</v>
          </cell>
          <cell r="H766" t="str">
            <v>E</v>
          </cell>
          <cell r="I766" t="str">
            <v>ESTACIONAMIENTOS</v>
          </cell>
          <cell r="J766">
            <v>0</v>
          </cell>
          <cell r="K766">
            <v>0</v>
          </cell>
          <cell r="L766">
            <v>300000</v>
          </cell>
          <cell r="M766" t="str">
            <v>MALL PLAZA TOBALABA</v>
          </cell>
          <cell r="P766" t="str">
            <v>PUENTE ALTO</v>
          </cell>
          <cell r="Q766" t="str">
            <v>TRADICIONAL</v>
          </cell>
          <cell r="R766" t="str">
            <v>Mall - Santiago</v>
          </cell>
          <cell r="S766" t="str">
            <v>Mall Plaza</v>
          </cell>
          <cell r="T766" t="str">
            <v>Paletas</v>
          </cell>
          <cell r="U766">
            <v>1</v>
          </cell>
          <cell r="V766" t="str">
            <v>1.20 * 1.70</v>
          </cell>
        </row>
        <row r="767">
          <cell r="A767" t="str">
            <v>MATO0002A</v>
          </cell>
          <cell r="B767" t="str">
            <v>Mall</v>
          </cell>
          <cell r="C767" t="str">
            <v>Mall Plaza</v>
          </cell>
          <cell r="D767" t="str">
            <v>Paletas</v>
          </cell>
          <cell r="E767" t="str">
            <v>PALETA SUPER SCREEN</v>
          </cell>
          <cell r="F767" t="str">
            <v>1.20 * 1.70</v>
          </cell>
          <cell r="G767" t="str">
            <v>1.23 * 1.75</v>
          </cell>
          <cell r="H767" t="str">
            <v>E</v>
          </cell>
          <cell r="I767" t="str">
            <v>ESTACIONAMIENTOS</v>
          </cell>
          <cell r="J767">
            <v>0</v>
          </cell>
          <cell r="K767">
            <v>0</v>
          </cell>
          <cell r="L767">
            <v>300000</v>
          </cell>
          <cell r="M767" t="str">
            <v>MALL PLAZA TOBALABA</v>
          </cell>
          <cell r="P767" t="str">
            <v>PUENTE ALTO</v>
          </cell>
          <cell r="Q767" t="str">
            <v>TRADICIONAL</v>
          </cell>
          <cell r="R767" t="str">
            <v>Mall - Santiago</v>
          </cell>
          <cell r="S767" t="str">
            <v>Mall Plaza</v>
          </cell>
          <cell r="T767" t="str">
            <v>Paletas</v>
          </cell>
          <cell r="U767">
            <v>1</v>
          </cell>
          <cell r="V767" t="str">
            <v>1.20 * 1.70</v>
          </cell>
        </row>
        <row r="768">
          <cell r="A768" t="str">
            <v>MATO0003A</v>
          </cell>
          <cell r="B768" t="str">
            <v>Mall</v>
          </cell>
          <cell r="C768" t="str">
            <v>Mall Plaza</v>
          </cell>
          <cell r="D768" t="str">
            <v>Paletas</v>
          </cell>
          <cell r="E768" t="str">
            <v>PALETA SUPER SCREEN</v>
          </cell>
          <cell r="F768" t="str">
            <v>1.20 * 1.70</v>
          </cell>
          <cell r="G768" t="str">
            <v>1.23 * 1.75</v>
          </cell>
          <cell r="H768" t="str">
            <v>E</v>
          </cell>
          <cell r="I768" t="str">
            <v>ESTACIONAMIENTOS</v>
          </cell>
          <cell r="J768">
            <v>0</v>
          </cell>
          <cell r="K768">
            <v>0</v>
          </cell>
          <cell r="L768">
            <v>150000</v>
          </cell>
          <cell r="M768" t="str">
            <v>MALL PLAZA TOBALABA</v>
          </cell>
          <cell r="P768" t="str">
            <v>PUENTE ALTO</v>
          </cell>
          <cell r="Q768" t="str">
            <v>TRADICIONAL</v>
          </cell>
          <cell r="R768" t="str">
            <v>Mall - Santiago</v>
          </cell>
          <cell r="S768" t="str">
            <v>Mall Plaza</v>
          </cell>
          <cell r="T768" t="str">
            <v>Paletas</v>
          </cell>
          <cell r="U768">
            <v>1</v>
          </cell>
          <cell r="V768" t="str">
            <v>1.20 * 1.70</v>
          </cell>
        </row>
        <row r="769">
          <cell r="A769" t="str">
            <v>MATO0003B</v>
          </cell>
          <cell r="B769" t="str">
            <v>Mall</v>
          </cell>
          <cell r="C769" t="str">
            <v>Mall Plaza</v>
          </cell>
          <cell r="D769" t="str">
            <v>Paletas</v>
          </cell>
          <cell r="E769" t="str">
            <v>PALETA SUPER SCREEN</v>
          </cell>
          <cell r="F769" t="str">
            <v>1.20 * 1.70</v>
          </cell>
          <cell r="G769" t="str">
            <v>1.23 * 1.75</v>
          </cell>
          <cell r="H769" t="str">
            <v>E</v>
          </cell>
          <cell r="I769" t="str">
            <v>ESTACIONAMIENTOS</v>
          </cell>
          <cell r="J769">
            <v>0</v>
          </cell>
          <cell r="K769">
            <v>0</v>
          </cell>
          <cell r="L769">
            <v>150000</v>
          </cell>
          <cell r="M769" t="str">
            <v>MALL PLAZA TOBALABA</v>
          </cell>
          <cell r="P769" t="str">
            <v>PUENTE ALTO</v>
          </cell>
          <cell r="Q769" t="str">
            <v>TRADICIONAL</v>
          </cell>
          <cell r="R769" t="str">
            <v>Mall - Santiago</v>
          </cell>
          <cell r="S769" t="str">
            <v>Mall Plaza</v>
          </cell>
          <cell r="T769" t="str">
            <v>Paletas</v>
          </cell>
          <cell r="U769">
            <v>1</v>
          </cell>
          <cell r="V769" t="str">
            <v>1.20 * 1.70</v>
          </cell>
        </row>
        <row r="770">
          <cell r="A770" t="str">
            <v>MATO0004A</v>
          </cell>
          <cell r="B770" t="str">
            <v>Mall</v>
          </cell>
          <cell r="C770" t="str">
            <v>Mall Plaza</v>
          </cell>
          <cell r="D770" t="str">
            <v>Paletas</v>
          </cell>
          <cell r="E770" t="str">
            <v>PALETA SUPER SCREEN</v>
          </cell>
          <cell r="F770" t="str">
            <v>1.20 * 1.70</v>
          </cell>
          <cell r="G770" t="str">
            <v>1.23 * 1.75</v>
          </cell>
          <cell r="H770" t="str">
            <v>E</v>
          </cell>
          <cell r="I770" t="str">
            <v>ESTACIONAMIENTOS</v>
          </cell>
          <cell r="J770">
            <v>0</v>
          </cell>
          <cell r="K770">
            <v>0</v>
          </cell>
          <cell r="L770">
            <v>300000</v>
          </cell>
          <cell r="M770" t="str">
            <v>MALL PLAZA TOBALABA</v>
          </cell>
          <cell r="P770" t="str">
            <v>PUENTE ALTO</v>
          </cell>
          <cell r="Q770" t="str">
            <v>TRADICIONAL</v>
          </cell>
          <cell r="R770" t="str">
            <v>Mall - Santiago</v>
          </cell>
          <cell r="S770" t="str">
            <v>Mall Plaza</v>
          </cell>
          <cell r="T770" t="str">
            <v>Paletas</v>
          </cell>
          <cell r="U770">
            <v>1</v>
          </cell>
          <cell r="V770" t="str">
            <v>1.20 * 1.70</v>
          </cell>
        </row>
        <row r="771">
          <cell r="A771" t="str">
            <v>MATO0004B</v>
          </cell>
          <cell r="B771" t="str">
            <v>Mall</v>
          </cell>
          <cell r="C771" t="str">
            <v>Mall Plaza</v>
          </cell>
          <cell r="D771" t="str">
            <v>Paletas</v>
          </cell>
          <cell r="E771" t="str">
            <v>PALETA SUPER SCREEN</v>
          </cell>
          <cell r="F771" t="str">
            <v>1.20 * 1.70</v>
          </cell>
          <cell r="G771" t="str">
            <v>1.23 * 1.75</v>
          </cell>
          <cell r="H771" t="str">
            <v>E</v>
          </cell>
          <cell r="I771" t="str">
            <v>ESTACIONAMIENTOS</v>
          </cell>
          <cell r="J771">
            <v>0</v>
          </cell>
          <cell r="K771">
            <v>0</v>
          </cell>
          <cell r="L771">
            <v>300000</v>
          </cell>
          <cell r="M771" t="str">
            <v>MALL PLAZA TOBALABA</v>
          </cell>
          <cell r="P771" t="str">
            <v>PUENTE ALTO</v>
          </cell>
          <cell r="Q771" t="str">
            <v>TRADICIONAL</v>
          </cell>
          <cell r="R771" t="str">
            <v>Mall - Santiago</v>
          </cell>
          <cell r="S771" t="str">
            <v>Mall Plaza</v>
          </cell>
          <cell r="T771" t="str">
            <v>Paletas</v>
          </cell>
          <cell r="U771">
            <v>1</v>
          </cell>
          <cell r="V771" t="str">
            <v>1.20 * 1.70</v>
          </cell>
        </row>
        <row r="772">
          <cell r="A772" t="str">
            <v>MATO0005A</v>
          </cell>
          <cell r="B772" t="str">
            <v>Mall</v>
          </cell>
          <cell r="C772" t="str">
            <v>Mall Plaza</v>
          </cell>
          <cell r="D772" t="str">
            <v>Paletas</v>
          </cell>
          <cell r="E772" t="str">
            <v>PALETA SUPER SCREEN</v>
          </cell>
          <cell r="F772" t="str">
            <v>1.20 * 1.70</v>
          </cell>
          <cell r="G772" t="str">
            <v>1.23 * 1.75</v>
          </cell>
          <cell r="H772" t="str">
            <v>E</v>
          </cell>
          <cell r="I772" t="str">
            <v>ESTACIONAMIENTOS</v>
          </cell>
          <cell r="J772">
            <v>0</v>
          </cell>
          <cell r="K772">
            <v>0</v>
          </cell>
          <cell r="L772">
            <v>150000</v>
          </cell>
          <cell r="M772" t="str">
            <v>MALL PLAZA TOBALABA</v>
          </cell>
          <cell r="P772" t="str">
            <v>PUENTE ALTO</v>
          </cell>
          <cell r="Q772" t="str">
            <v>TRADICIONAL</v>
          </cell>
          <cell r="R772" t="str">
            <v>Mall - Santiago</v>
          </cell>
          <cell r="S772" t="str">
            <v>Mall Plaza</v>
          </cell>
          <cell r="T772" t="str">
            <v>Paletas</v>
          </cell>
          <cell r="U772">
            <v>1</v>
          </cell>
          <cell r="V772" t="str">
            <v>1.20 * 1.70</v>
          </cell>
        </row>
        <row r="773">
          <cell r="A773" t="str">
            <v>MATO0006A</v>
          </cell>
          <cell r="B773" t="str">
            <v>Mall</v>
          </cell>
          <cell r="C773" t="str">
            <v>Mall Plaza</v>
          </cell>
          <cell r="D773" t="str">
            <v>Paletas</v>
          </cell>
          <cell r="E773" t="str">
            <v>PALETA SUPER SCREEN</v>
          </cell>
          <cell r="F773" t="str">
            <v>1.20 * 1.70</v>
          </cell>
          <cell r="G773" t="str">
            <v>1.23 * 1.75</v>
          </cell>
          <cell r="H773" t="str">
            <v>E</v>
          </cell>
          <cell r="I773" t="str">
            <v>ESTACIONAMIENTOS</v>
          </cell>
          <cell r="J773">
            <v>0</v>
          </cell>
          <cell r="K773">
            <v>0</v>
          </cell>
          <cell r="L773">
            <v>300000</v>
          </cell>
          <cell r="M773" t="str">
            <v>MALL PLAZA TOBALABA</v>
          </cell>
          <cell r="P773" t="str">
            <v>PUENTE ALTO</v>
          </cell>
          <cell r="Q773" t="str">
            <v>TRADICIONAL</v>
          </cell>
          <cell r="R773" t="str">
            <v>Mall - Santiago</v>
          </cell>
          <cell r="S773" t="str">
            <v>Mall Plaza</v>
          </cell>
          <cell r="T773" t="str">
            <v>Paletas</v>
          </cell>
          <cell r="U773">
            <v>1</v>
          </cell>
          <cell r="V773" t="str">
            <v>1.20 * 1.70</v>
          </cell>
        </row>
        <row r="774">
          <cell r="A774" t="str">
            <v>MATO0006B</v>
          </cell>
          <cell r="B774" t="str">
            <v>Mall</v>
          </cell>
          <cell r="C774" t="str">
            <v>Mall Plaza</v>
          </cell>
          <cell r="D774" t="str">
            <v>Paletas</v>
          </cell>
          <cell r="E774" t="str">
            <v>PALETA SUPER SCREEN</v>
          </cell>
          <cell r="F774" t="str">
            <v>1.20 * 1.70</v>
          </cell>
          <cell r="G774" t="str">
            <v>1.23 * 1.75</v>
          </cell>
          <cell r="H774" t="str">
            <v>E</v>
          </cell>
          <cell r="I774" t="str">
            <v>ESTACIONAMIENTOS</v>
          </cell>
          <cell r="J774">
            <v>0</v>
          </cell>
          <cell r="K774">
            <v>0</v>
          </cell>
          <cell r="L774">
            <v>300000</v>
          </cell>
          <cell r="M774" t="str">
            <v>MALL PLAZA TOBALABA</v>
          </cell>
          <cell r="P774" t="str">
            <v>PUENTE ALTO</v>
          </cell>
          <cell r="Q774" t="str">
            <v>TRADICIONAL</v>
          </cell>
          <cell r="R774" t="str">
            <v>Mall - Santiago</v>
          </cell>
          <cell r="S774" t="str">
            <v>Mall Plaza</v>
          </cell>
          <cell r="T774" t="str">
            <v>Paletas</v>
          </cell>
          <cell r="U774">
            <v>1</v>
          </cell>
          <cell r="V774" t="str">
            <v>1.20 * 1.70</v>
          </cell>
        </row>
        <row r="775">
          <cell r="A775" t="str">
            <v>MATO0007A</v>
          </cell>
          <cell r="B775" t="str">
            <v>Mall</v>
          </cell>
          <cell r="C775" t="str">
            <v>Mall Plaza</v>
          </cell>
          <cell r="D775" t="str">
            <v>Paletas</v>
          </cell>
          <cell r="E775" t="str">
            <v>PALETA SUPER SCREEN</v>
          </cell>
          <cell r="F775" t="str">
            <v>1.20 * 1.70</v>
          </cell>
          <cell r="G775" t="str">
            <v>1.23 * 1.75</v>
          </cell>
          <cell r="H775" t="str">
            <v>E</v>
          </cell>
          <cell r="I775" t="str">
            <v>ESTACIONAMIENTOS</v>
          </cell>
          <cell r="J775">
            <v>0</v>
          </cell>
          <cell r="K775">
            <v>0</v>
          </cell>
          <cell r="L775">
            <v>300000</v>
          </cell>
          <cell r="M775" t="str">
            <v>MALL PLAZA TOBALABA</v>
          </cell>
          <cell r="P775" t="str">
            <v>PUENTE ALTO</v>
          </cell>
          <cell r="Q775" t="str">
            <v>TRADICIONAL</v>
          </cell>
          <cell r="R775" t="str">
            <v>Mall - Santiago</v>
          </cell>
          <cell r="S775" t="str">
            <v>Mall Plaza</v>
          </cell>
          <cell r="T775" t="str">
            <v>Paletas</v>
          </cell>
          <cell r="U775">
            <v>1</v>
          </cell>
          <cell r="V775" t="str">
            <v>1.20 * 1.70</v>
          </cell>
        </row>
        <row r="776">
          <cell r="A776" t="str">
            <v>MATO0007B</v>
          </cell>
          <cell r="B776" t="str">
            <v>Mall</v>
          </cell>
          <cell r="C776" t="str">
            <v>Mall Plaza</v>
          </cell>
          <cell r="D776" t="str">
            <v>Paletas</v>
          </cell>
          <cell r="E776" t="str">
            <v>PALETA SUPER SCREEN</v>
          </cell>
          <cell r="F776" t="str">
            <v>1.20 * 1.70</v>
          </cell>
          <cell r="G776" t="str">
            <v>1.23 * 1.75</v>
          </cell>
          <cell r="H776" t="str">
            <v>E</v>
          </cell>
          <cell r="I776" t="str">
            <v>ESTACIONAMIENTOS</v>
          </cell>
          <cell r="J776">
            <v>0</v>
          </cell>
          <cell r="K776">
            <v>0</v>
          </cell>
          <cell r="L776">
            <v>150000</v>
          </cell>
          <cell r="M776" t="str">
            <v>MALL PLAZA TOBALABA</v>
          </cell>
          <cell r="P776" t="str">
            <v>PUENTE ALTO</v>
          </cell>
          <cell r="Q776" t="str">
            <v>TRADICIONAL</v>
          </cell>
          <cell r="R776" t="str">
            <v>Mall - Santiago</v>
          </cell>
          <cell r="S776" t="str">
            <v>Mall Plaza</v>
          </cell>
          <cell r="T776" t="str">
            <v>Paletas</v>
          </cell>
          <cell r="U776">
            <v>1</v>
          </cell>
          <cell r="V776" t="str">
            <v>1.20 * 1.70</v>
          </cell>
        </row>
        <row r="777">
          <cell r="A777" t="str">
            <v>MATO0008A</v>
          </cell>
          <cell r="B777" t="str">
            <v>Mall</v>
          </cell>
          <cell r="C777" t="str">
            <v>Mall Plaza</v>
          </cell>
          <cell r="D777" t="str">
            <v>Paletas</v>
          </cell>
          <cell r="E777" t="str">
            <v>PALETA SUPER SCREEN</v>
          </cell>
          <cell r="F777" t="str">
            <v>1.20 * 1.70</v>
          </cell>
          <cell r="G777" t="str">
            <v>1.23 * 1.75</v>
          </cell>
          <cell r="H777" t="str">
            <v>E</v>
          </cell>
          <cell r="I777" t="str">
            <v>ESTACIONAMIENTOS</v>
          </cell>
          <cell r="J777">
            <v>0</v>
          </cell>
          <cell r="K777">
            <v>0</v>
          </cell>
          <cell r="L777">
            <v>300000</v>
          </cell>
          <cell r="M777" t="str">
            <v>MALL PLAZA TOBALABA</v>
          </cell>
          <cell r="P777" t="str">
            <v>PUENTE ALTO</v>
          </cell>
          <cell r="Q777" t="str">
            <v>TRADICIONAL</v>
          </cell>
          <cell r="R777" t="str">
            <v>Mall - Santiago</v>
          </cell>
          <cell r="S777" t="str">
            <v>Mall Plaza</v>
          </cell>
          <cell r="T777" t="str">
            <v>Paletas</v>
          </cell>
          <cell r="U777">
            <v>1</v>
          </cell>
          <cell r="V777" t="str">
            <v>1.20 * 1.70</v>
          </cell>
        </row>
        <row r="778">
          <cell r="A778" t="str">
            <v>MATO0008B</v>
          </cell>
          <cell r="B778" t="str">
            <v>Mall</v>
          </cell>
          <cell r="C778" t="str">
            <v>Mall Plaza</v>
          </cell>
          <cell r="D778" t="str">
            <v>Paletas</v>
          </cell>
          <cell r="E778" t="str">
            <v>PALETA SUPER SCREEN</v>
          </cell>
          <cell r="F778" t="str">
            <v>1.20 * 1.70</v>
          </cell>
          <cell r="G778" t="str">
            <v>1.23 * 1.75</v>
          </cell>
          <cell r="H778" t="str">
            <v>E</v>
          </cell>
          <cell r="I778" t="str">
            <v>ESTACIONAMIENTOS</v>
          </cell>
          <cell r="J778">
            <v>0</v>
          </cell>
          <cell r="K778">
            <v>0</v>
          </cell>
          <cell r="L778">
            <v>300000</v>
          </cell>
          <cell r="M778" t="str">
            <v>MALL PLAZA TOBALABA</v>
          </cell>
          <cell r="P778" t="str">
            <v>PUENTE ALTO</v>
          </cell>
          <cell r="Q778" t="str">
            <v>TRADICIONAL</v>
          </cell>
          <cell r="R778" t="str">
            <v>Mall - Santiago</v>
          </cell>
          <cell r="S778" t="str">
            <v>Mall Plaza</v>
          </cell>
          <cell r="T778" t="str">
            <v>Paletas</v>
          </cell>
          <cell r="U778">
            <v>1</v>
          </cell>
          <cell r="V778" t="str">
            <v>1.20 * 1.70</v>
          </cell>
        </row>
        <row r="779">
          <cell r="A779" t="str">
            <v>MATO0009A</v>
          </cell>
          <cell r="B779" t="str">
            <v>Mall</v>
          </cell>
          <cell r="C779" t="str">
            <v>Mall Plaza</v>
          </cell>
          <cell r="D779" t="str">
            <v>Paletas</v>
          </cell>
          <cell r="E779" t="str">
            <v>PALETA SUPER SCREEN</v>
          </cell>
          <cell r="F779" t="str">
            <v>1.20 * 1.70</v>
          </cell>
          <cell r="G779" t="str">
            <v>1.23 * 1.75</v>
          </cell>
          <cell r="H779" t="str">
            <v>E</v>
          </cell>
          <cell r="I779" t="str">
            <v>ESTACIONAMIENTOS</v>
          </cell>
          <cell r="J779">
            <v>0</v>
          </cell>
          <cell r="K779">
            <v>0</v>
          </cell>
          <cell r="L779">
            <v>150000</v>
          </cell>
          <cell r="M779" t="str">
            <v>MALL PLAZA TOBALABA</v>
          </cell>
          <cell r="P779" t="str">
            <v>PUENTE ALTO</v>
          </cell>
          <cell r="Q779" t="str">
            <v>TRADICIONAL</v>
          </cell>
          <cell r="R779" t="str">
            <v>Mall - Santiago</v>
          </cell>
          <cell r="S779" t="str">
            <v>Mall Plaza</v>
          </cell>
          <cell r="T779" t="str">
            <v>Paletas</v>
          </cell>
          <cell r="U779">
            <v>1</v>
          </cell>
          <cell r="V779" t="str">
            <v>1.20 * 1.70</v>
          </cell>
        </row>
        <row r="780">
          <cell r="A780" t="str">
            <v>MATO0009B</v>
          </cell>
          <cell r="B780" t="str">
            <v>Mall</v>
          </cell>
          <cell r="C780" t="str">
            <v>Mall Plaza</v>
          </cell>
          <cell r="D780" t="str">
            <v>Paletas</v>
          </cell>
          <cell r="E780" t="str">
            <v>PALETA SUPER SCREEN</v>
          </cell>
          <cell r="F780" t="str">
            <v>1.20 * 1.70</v>
          </cell>
          <cell r="G780" t="str">
            <v>1.23 * 1.75</v>
          </cell>
          <cell r="H780" t="str">
            <v>E</v>
          </cell>
          <cell r="I780" t="str">
            <v>ESTACIONAMIENTOS</v>
          </cell>
          <cell r="J780">
            <v>0</v>
          </cell>
          <cell r="K780">
            <v>0</v>
          </cell>
          <cell r="L780">
            <v>150000</v>
          </cell>
          <cell r="M780" t="str">
            <v>MALL PLAZA TOBALABA</v>
          </cell>
          <cell r="P780" t="str">
            <v>PUENTE ALTO</v>
          </cell>
          <cell r="Q780" t="str">
            <v>TRADICIONAL</v>
          </cell>
          <cell r="R780" t="str">
            <v>Mall - Santiago</v>
          </cell>
          <cell r="S780" t="str">
            <v>Mall Plaza</v>
          </cell>
          <cell r="T780" t="str">
            <v>Paletas</v>
          </cell>
          <cell r="U780">
            <v>1</v>
          </cell>
          <cell r="V780" t="str">
            <v>1.20 * 1.70</v>
          </cell>
        </row>
        <row r="781">
          <cell r="A781" t="str">
            <v>MATO0010A</v>
          </cell>
          <cell r="B781" t="str">
            <v>Mall</v>
          </cell>
          <cell r="C781" t="str">
            <v>Mall Plaza</v>
          </cell>
          <cell r="D781" t="str">
            <v>Paletas</v>
          </cell>
          <cell r="E781" t="str">
            <v>PALETA SUPER SCREEN</v>
          </cell>
          <cell r="F781" t="str">
            <v>1.20 * 1.70</v>
          </cell>
          <cell r="G781" t="str">
            <v>1.23 * 1.75</v>
          </cell>
          <cell r="H781" t="str">
            <v>E</v>
          </cell>
          <cell r="I781" t="str">
            <v>ESTACIONAMIENTOS</v>
          </cell>
          <cell r="J781">
            <v>0</v>
          </cell>
          <cell r="K781">
            <v>0</v>
          </cell>
          <cell r="L781">
            <v>300000</v>
          </cell>
          <cell r="M781" t="str">
            <v>MALL PLAZA TOBALABA</v>
          </cell>
          <cell r="P781" t="str">
            <v>PUENTE ALTO</v>
          </cell>
          <cell r="Q781" t="str">
            <v>TRADICIONAL</v>
          </cell>
          <cell r="R781" t="str">
            <v>Mall - Santiago</v>
          </cell>
          <cell r="S781" t="str">
            <v>Mall Plaza</v>
          </cell>
          <cell r="T781" t="str">
            <v>Paletas</v>
          </cell>
          <cell r="U781">
            <v>1</v>
          </cell>
          <cell r="V781" t="str">
            <v>1.20 * 1.70</v>
          </cell>
        </row>
        <row r="782">
          <cell r="A782" t="str">
            <v>MATO0010B</v>
          </cell>
          <cell r="B782" t="str">
            <v>Mall</v>
          </cell>
          <cell r="C782" t="str">
            <v>Mall Plaza</v>
          </cell>
          <cell r="D782" t="str">
            <v>Paletas</v>
          </cell>
          <cell r="E782" t="str">
            <v>PALETA SUPER SCREEN</v>
          </cell>
          <cell r="F782" t="str">
            <v>1.20 * 1.70</v>
          </cell>
          <cell r="G782" t="str">
            <v>1.23 * 1.75</v>
          </cell>
          <cell r="H782" t="str">
            <v>E</v>
          </cell>
          <cell r="I782" t="str">
            <v>ESTACIONAMIENTOS</v>
          </cell>
          <cell r="J782">
            <v>0</v>
          </cell>
          <cell r="K782">
            <v>0</v>
          </cell>
          <cell r="L782">
            <v>150000</v>
          </cell>
          <cell r="M782" t="str">
            <v>MALL PLAZA TOBALABA</v>
          </cell>
          <cell r="P782" t="str">
            <v>PUENTE ALTO</v>
          </cell>
          <cell r="Q782" t="str">
            <v>TRADICIONAL</v>
          </cell>
          <cell r="R782" t="str">
            <v>Mall - Santiago</v>
          </cell>
          <cell r="S782" t="str">
            <v>Mall Plaza</v>
          </cell>
          <cell r="T782" t="str">
            <v>Paletas</v>
          </cell>
          <cell r="U782">
            <v>1</v>
          </cell>
          <cell r="V782" t="str">
            <v>1.20 * 1.70</v>
          </cell>
        </row>
        <row r="783">
          <cell r="A783" t="str">
            <v>MATO0011A</v>
          </cell>
          <cell r="B783" t="str">
            <v>Mall</v>
          </cell>
          <cell r="C783" t="str">
            <v>Mall Plaza</v>
          </cell>
          <cell r="D783" t="str">
            <v>Paletas</v>
          </cell>
          <cell r="E783" t="str">
            <v>INTERIOR</v>
          </cell>
          <cell r="F783" t="str">
            <v>1.10 * 1.53</v>
          </cell>
          <cell r="G783" t="str">
            <v>1.15 * 1.57</v>
          </cell>
          <cell r="H783" t="str">
            <v>Y</v>
          </cell>
          <cell r="I783" t="str">
            <v>INTERIOR PASILLO</v>
          </cell>
          <cell r="J783">
            <v>0</v>
          </cell>
          <cell r="K783">
            <v>0</v>
          </cell>
          <cell r="L783">
            <v>320000</v>
          </cell>
          <cell r="M783" t="str">
            <v>MALL PLAZA TOBALABA</v>
          </cell>
          <cell r="P783" t="str">
            <v>PUENTE ALTO</v>
          </cell>
          <cell r="Q783" t="str">
            <v>TRADICIONAL</v>
          </cell>
          <cell r="R783" t="str">
            <v>Mall - Santiago</v>
          </cell>
          <cell r="S783" t="str">
            <v>Mall Plaza</v>
          </cell>
          <cell r="T783" t="str">
            <v>Paletas</v>
          </cell>
          <cell r="U783">
            <v>1</v>
          </cell>
          <cell r="V783" t="str">
            <v>1.10 * 1.53</v>
          </cell>
        </row>
        <row r="784">
          <cell r="A784" t="str">
            <v>MATO0011B</v>
          </cell>
          <cell r="B784" t="str">
            <v>Mall</v>
          </cell>
          <cell r="C784" t="str">
            <v>Mall Plaza</v>
          </cell>
          <cell r="D784" t="str">
            <v>Paletas</v>
          </cell>
          <cell r="E784" t="str">
            <v>INTERIOR</v>
          </cell>
          <cell r="F784" t="str">
            <v>1.10 * 1.53</v>
          </cell>
          <cell r="G784" t="str">
            <v>1.15 * 1.57</v>
          </cell>
          <cell r="H784" t="str">
            <v>Y</v>
          </cell>
          <cell r="I784" t="str">
            <v>INTERIOR PASILLO</v>
          </cell>
          <cell r="J784">
            <v>0</v>
          </cell>
          <cell r="K784">
            <v>0</v>
          </cell>
          <cell r="L784">
            <v>320000</v>
          </cell>
          <cell r="M784" t="str">
            <v>MALL PLAZA TOBALABA</v>
          </cell>
          <cell r="P784" t="str">
            <v>PUENTE ALTO</v>
          </cell>
          <cell r="Q784" t="str">
            <v>TRADICIONAL</v>
          </cell>
          <cell r="R784" t="str">
            <v>Mall - Santiago</v>
          </cell>
          <cell r="S784" t="str">
            <v>Mall Plaza</v>
          </cell>
          <cell r="T784" t="str">
            <v>Paletas</v>
          </cell>
          <cell r="U784">
            <v>1</v>
          </cell>
          <cell r="V784" t="str">
            <v>1.10 * 1.53</v>
          </cell>
        </row>
        <row r="785">
          <cell r="A785" t="str">
            <v>MATO0012A</v>
          </cell>
          <cell r="B785" t="str">
            <v>Mall</v>
          </cell>
          <cell r="C785" t="str">
            <v>Mall Plaza</v>
          </cell>
          <cell r="D785" t="str">
            <v>Paletas</v>
          </cell>
          <cell r="E785" t="str">
            <v>INTERIOR</v>
          </cell>
          <cell r="F785" t="str">
            <v>1.10 * 1.53</v>
          </cell>
          <cell r="G785" t="str">
            <v>1.15 * 1.57</v>
          </cell>
          <cell r="H785" t="str">
            <v>Y</v>
          </cell>
          <cell r="I785" t="str">
            <v>INTERIOR PASILLO</v>
          </cell>
          <cell r="J785">
            <v>0</v>
          </cell>
          <cell r="K785">
            <v>0</v>
          </cell>
          <cell r="L785">
            <v>320000</v>
          </cell>
          <cell r="M785" t="str">
            <v>MALL PLAZA TOBALABA</v>
          </cell>
          <cell r="P785" t="str">
            <v>PUENTE ALTO</v>
          </cell>
          <cell r="Q785" t="str">
            <v>TRADICIONAL</v>
          </cell>
          <cell r="R785" t="str">
            <v>Mall - Santiago</v>
          </cell>
          <cell r="S785" t="str">
            <v>Mall Plaza</v>
          </cell>
          <cell r="T785" t="str">
            <v>Paletas</v>
          </cell>
          <cell r="U785">
            <v>1</v>
          </cell>
          <cell r="V785" t="str">
            <v>1.10 * 1.53</v>
          </cell>
        </row>
        <row r="786">
          <cell r="A786" t="str">
            <v>MATO0012B</v>
          </cell>
          <cell r="B786" t="str">
            <v>Mall</v>
          </cell>
          <cell r="C786" t="str">
            <v>Mall Plaza</v>
          </cell>
          <cell r="D786" t="str">
            <v>Paletas</v>
          </cell>
          <cell r="E786" t="str">
            <v>INTERIOR</v>
          </cell>
          <cell r="F786" t="str">
            <v>1.10 * 1.53</v>
          </cell>
          <cell r="G786" t="str">
            <v>1.15 * 1.57</v>
          </cell>
          <cell r="H786" t="str">
            <v>Y</v>
          </cell>
          <cell r="I786" t="str">
            <v>INTERIOR PASILLO</v>
          </cell>
          <cell r="J786">
            <v>0</v>
          </cell>
          <cell r="K786">
            <v>0</v>
          </cell>
          <cell r="L786">
            <v>320000</v>
          </cell>
          <cell r="M786" t="str">
            <v>MALL PLAZA TOBALABA</v>
          </cell>
          <cell r="P786" t="str">
            <v>PUENTE ALTO</v>
          </cell>
          <cell r="Q786" t="str">
            <v>TRADICIONAL</v>
          </cell>
          <cell r="R786" t="str">
            <v>Mall - Santiago</v>
          </cell>
          <cell r="S786" t="str">
            <v>Mall Plaza</v>
          </cell>
          <cell r="T786" t="str">
            <v>Paletas</v>
          </cell>
          <cell r="U786">
            <v>1</v>
          </cell>
          <cell r="V786" t="str">
            <v>1.10 * 1.53</v>
          </cell>
        </row>
        <row r="787">
          <cell r="A787" t="str">
            <v>MATO0013A</v>
          </cell>
          <cell r="B787" t="str">
            <v>Mall</v>
          </cell>
          <cell r="C787" t="str">
            <v>Mall Plaza</v>
          </cell>
          <cell r="D787" t="str">
            <v>Unipoles</v>
          </cell>
          <cell r="E787" t="str">
            <v>DOBLE FAZ</v>
          </cell>
          <cell r="F787" t="str">
            <v>9.00 * 3.00</v>
          </cell>
          <cell r="G787" t="str">
            <v>9.30 * 3.30</v>
          </cell>
          <cell r="H787" t="str">
            <v>E</v>
          </cell>
          <cell r="I787" t="str">
            <v>ESTACIONAMIENTOS</v>
          </cell>
          <cell r="J787">
            <v>0</v>
          </cell>
          <cell r="K787">
            <v>0</v>
          </cell>
          <cell r="L787">
            <v>890000</v>
          </cell>
          <cell r="M787" t="str">
            <v>MALL PLAZA TOBALABA</v>
          </cell>
          <cell r="P787" t="str">
            <v>PUENTE ALTO</v>
          </cell>
          <cell r="Q787" t="str">
            <v>TRADICIONAL</v>
          </cell>
          <cell r="R787" t="str">
            <v>Mall - Santiago</v>
          </cell>
          <cell r="S787" t="str">
            <v>Mall Plaza</v>
          </cell>
          <cell r="T787" t="str">
            <v>Unipoles</v>
          </cell>
          <cell r="U787">
            <v>1</v>
          </cell>
          <cell r="V787" t="str">
            <v>9.00 * 3.00</v>
          </cell>
        </row>
        <row r="788">
          <cell r="A788" t="str">
            <v>MATO0013B</v>
          </cell>
          <cell r="B788" t="str">
            <v>Mall</v>
          </cell>
          <cell r="C788" t="str">
            <v>Mall Plaza</v>
          </cell>
          <cell r="D788" t="str">
            <v>Unipoles</v>
          </cell>
          <cell r="E788" t="str">
            <v>DOBLE FAZ</v>
          </cell>
          <cell r="F788" t="str">
            <v>9.00 * 3.00</v>
          </cell>
          <cell r="G788" t="str">
            <v>9.30 * 3.30</v>
          </cell>
          <cell r="H788" t="str">
            <v>E</v>
          </cell>
          <cell r="I788" t="str">
            <v>ESTACIONAMIENTOS</v>
          </cell>
          <cell r="J788">
            <v>0</v>
          </cell>
          <cell r="K788">
            <v>0</v>
          </cell>
          <cell r="L788">
            <v>890000</v>
          </cell>
          <cell r="M788" t="str">
            <v>MALL PLAZA TOBALABA</v>
          </cell>
          <cell r="P788" t="str">
            <v>PUENTE ALTO</v>
          </cell>
          <cell r="Q788" t="str">
            <v>TRADICIONAL</v>
          </cell>
          <cell r="R788" t="str">
            <v>Mall - Santiago</v>
          </cell>
          <cell r="S788" t="str">
            <v>Mall Plaza</v>
          </cell>
          <cell r="T788" t="str">
            <v>Unipoles</v>
          </cell>
          <cell r="U788">
            <v>1</v>
          </cell>
          <cell r="V788" t="str">
            <v>9.00 * 3.00</v>
          </cell>
        </row>
        <row r="789">
          <cell r="A789" t="str">
            <v>MATO0014A</v>
          </cell>
          <cell r="B789" t="str">
            <v>Mall</v>
          </cell>
          <cell r="C789" t="str">
            <v>Mall Plaza</v>
          </cell>
          <cell r="D789" t="str">
            <v>Minipoles</v>
          </cell>
          <cell r="E789" t="str">
            <v>Minipoles</v>
          </cell>
          <cell r="F789" t="str">
            <v>2.80 * 1.30</v>
          </cell>
          <cell r="G789" t="str">
            <v>3.00 * 1.50</v>
          </cell>
          <cell r="H789" t="str">
            <v>E</v>
          </cell>
          <cell r="I789" t="str">
            <v>ESTACIONAMIENTOS</v>
          </cell>
          <cell r="J789">
            <v>0</v>
          </cell>
          <cell r="K789">
            <v>0</v>
          </cell>
          <cell r="L789">
            <v>540000</v>
          </cell>
          <cell r="M789" t="str">
            <v>MALL PLAZA TOBALABA</v>
          </cell>
          <cell r="P789" t="str">
            <v>PUENTE ALTO</v>
          </cell>
          <cell r="Q789" t="str">
            <v>TRADICIONAL</v>
          </cell>
          <cell r="R789" t="str">
            <v>Mall - Santiago</v>
          </cell>
          <cell r="S789" t="str">
            <v>Mall Plaza</v>
          </cell>
          <cell r="T789" t="str">
            <v>Minipoles</v>
          </cell>
          <cell r="U789">
            <v>1</v>
          </cell>
          <cell r="V789" t="str">
            <v>2.80 * 1.30</v>
          </cell>
        </row>
        <row r="790">
          <cell r="A790" t="str">
            <v>MATO0014B</v>
          </cell>
          <cell r="B790" t="str">
            <v>Mall</v>
          </cell>
          <cell r="C790" t="str">
            <v>Mall Plaza</v>
          </cell>
          <cell r="D790" t="str">
            <v>Minipoles</v>
          </cell>
          <cell r="E790" t="str">
            <v>Minipoles</v>
          </cell>
          <cell r="F790" t="str">
            <v>2.80 * 1.30</v>
          </cell>
          <cell r="G790" t="str">
            <v>3.00 * 1.50</v>
          </cell>
          <cell r="H790" t="str">
            <v>E</v>
          </cell>
          <cell r="I790" t="str">
            <v>ESTACIONAMIENTOS</v>
          </cell>
          <cell r="J790">
            <v>0</v>
          </cell>
          <cell r="K790">
            <v>0</v>
          </cell>
          <cell r="L790">
            <v>270000</v>
          </cell>
          <cell r="M790" t="str">
            <v>MALL PLAZA TOBALABA</v>
          </cell>
          <cell r="P790" t="str">
            <v>PUENTE ALTO</v>
          </cell>
          <cell r="Q790" t="str">
            <v>TRADICIONAL</v>
          </cell>
          <cell r="R790" t="str">
            <v>Mall - Santiago</v>
          </cell>
          <cell r="S790" t="str">
            <v>Mall Plaza</v>
          </cell>
          <cell r="T790" t="str">
            <v>Minipoles</v>
          </cell>
          <cell r="U790">
            <v>1</v>
          </cell>
          <cell r="V790" t="str">
            <v>2.80 * 1.30</v>
          </cell>
        </row>
        <row r="791">
          <cell r="A791" t="str">
            <v>MATO0015A</v>
          </cell>
          <cell r="B791" t="str">
            <v>Mall</v>
          </cell>
          <cell r="C791" t="str">
            <v>Mall Plaza</v>
          </cell>
          <cell r="D791" t="str">
            <v>Minipoles</v>
          </cell>
          <cell r="E791" t="str">
            <v>Minipoles</v>
          </cell>
          <cell r="F791" t="str">
            <v>2.80 * 1.30</v>
          </cell>
          <cell r="G791" t="str">
            <v>3.00 * 1.50</v>
          </cell>
          <cell r="H791" t="str">
            <v>E</v>
          </cell>
          <cell r="I791" t="str">
            <v>ESTACIONAMIENTOS</v>
          </cell>
          <cell r="J791">
            <v>0</v>
          </cell>
          <cell r="K791">
            <v>0</v>
          </cell>
          <cell r="L791">
            <v>540000</v>
          </cell>
          <cell r="M791" t="str">
            <v>MALL PLAZA TOBALABA</v>
          </cell>
          <cell r="P791" t="str">
            <v>PUENTE ALTO</v>
          </cell>
          <cell r="Q791" t="str">
            <v>TRADICIONAL</v>
          </cell>
          <cell r="R791" t="str">
            <v>Mall - Santiago</v>
          </cell>
          <cell r="S791" t="str">
            <v>Mall Plaza</v>
          </cell>
          <cell r="T791" t="str">
            <v>Minipoles</v>
          </cell>
          <cell r="U791">
            <v>1</v>
          </cell>
          <cell r="V791" t="str">
            <v>2.80 * 1.30</v>
          </cell>
        </row>
        <row r="792">
          <cell r="A792" t="str">
            <v>MATO0015B</v>
          </cell>
          <cell r="B792" t="str">
            <v>Mall</v>
          </cell>
          <cell r="C792" t="str">
            <v>Mall Plaza</v>
          </cell>
          <cell r="D792" t="str">
            <v>Minipoles</v>
          </cell>
          <cell r="E792" t="str">
            <v>Minipoles</v>
          </cell>
          <cell r="F792" t="str">
            <v>2.80 * 1.30</v>
          </cell>
          <cell r="G792" t="str">
            <v>3.00 * 1.50</v>
          </cell>
          <cell r="H792" t="str">
            <v>E</v>
          </cell>
          <cell r="I792" t="str">
            <v>ESTACIONAMIENTOS</v>
          </cell>
          <cell r="J792">
            <v>0</v>
          </cell>
          <cell r="K792">
            <v>0</v>
          </cell>
          <cell r="L792">
            <v>270000</v>
          </cell>
          <cell r="M792" t="str">
            <v>MALL PLAZA TOBALABA</v>
          </cell>
          <cell r="P792" t="str">
            <v>PUENTE ALTO</v>
          </cell>
          <cell r="Q792" t="str">
            <v>TRADICIONAL</v>
          </cell>
          <cell r="R792" t="str">
            <v>Mall - Santiago</v>
          </cell>
          <cell r="S792" t="str">
            <v>Mall Plaza</v>
          </cell>
          <cell r="T792" t="str">
            <v>Minipoles</v>
          </cell>
          <cell r="U792">
            <v>1</v>
          </cell>
          <cell r="V792" t="str">
            <v>2.80 * 1.30</v>
          </cell>
        </row>
        <row r="793">
          <cell r="A793" t="str">
            <v>MATO0016A</v>
          </cell>
          <cell r="B793" t="str">
            <v>Mall</v>
          </cell>
          <cell r="C793" t="str">
            <v>Mall Plaza</v>
          </cell>
          <cell r="D793" t="str">
            <v>Minipoles</v>
          </cell>
          <cell r="E793" t="str">
            <v>Minipoles</v>
          </cell>
          <cell r="F793" t="str">
            <v>2.80 * 1.30</v>
          </cell>
          <cell r="G793" t="str">
            <v>3.00 * 1.50</v>
          </cell>
          <cell r="H793" t="str">
            <v>E</v>
          </cell>
          <cell r="I793" t="str">
            <v>ESTACIONAMIENTOS</v>
          </cell>
          <cell r="J793">
            <v>0</v>
          </cell>
          <cell r="K793">
            <v>0</v>
          </cell>
          <cell r="L793">
            <v>540000</v>
          </cell>
          <cell r="M793" t="str">
            <v>MALL PLAZA TOBALABA</v>
          </cell>
          <cell r="P793" t="str">
            <v>PUENTE ALTO</v>
          </cell>
          <cell r="Q793" t="str">
            <v>TRADICIONAL</v>
          </cell>
          <cell r="R793" t="str">
            <v>Mall - Santiago</v>
          </cell>
          <cell r="S793" t="str">
            <v>Mall Plaza</v>
          </cell>
          <cell r="T793" t="str">
            <v>Minipoles</v>
          </cell>
          <cell r="U793">
            <v>1</v>
          </cell>
          <cell r="V793" t="str">
            <v>2.80 * 1.30</v>
          </cell>
        </row>
        <row r="794">
          <cell r="A794" t="str">
            <v>MATO0016B</v>
          </cell>
          <cell r="B794" t="str">
            <v>Mall</v>
          </cell>
          <cell r="C794" t="str">
            <v>Mall Plaza</v>
          </cell>
          <cell r="D794" t="str">
            <v>Minipoles</v>
          </cell>
          <cell r="E794" t="str">
            <v>Minipoles</v>
          </cell>
          <cell r="F794" t="str">
            <v>2.80 * 1.30</v>
          </cell>
          <cell r="G794" t="str">
            <v>3.00 * 1.50</v>
          </cell>
          <cell r="H794" t="str">
            <v>E</v>
          </cell>
          <cell r="I794" t="str">
            <v>ESTACIONAMIENTOS</v>
          </cell>
          <cell r="J794">
            <v>0</v>
          </cell>
          <cell r="K794">
            <v>0</v>
          </cell>
          <cell r="L794">
            <v>270000</v>
          </cell>
          <cell r="M794" t="str">
            <v>MALL PLAZA TOBALABA</v>
          </cell>
          <cell r="P794" t="str">
            <v>PUENTE ALTO</v>
          </cell>
          <cell r="Q794" t="str">
            <v>TRADICIONAL</v>
          </cell>
          <cell r="R794" t="str">
            <v>Mall - Santiago</v>
          </cell>
          <cell r="S794" t="str">
            <v>Mall Plaza</v>
          </cell>
          <cell r="T794" t="str">
            <v>Minipoles</v>
          </cell>
          <cell r="U794">
            <v>1</v>
          </cell>
          <cell r="V794" t="str">
            <v>2.80 * 1.30</v>
          </cell>
        </row>
        <row r="795">
          <cell r="A795" t="str">
            <v>MATO0017A</v>
          </cell>
          <cell r="B795" t="str">
            <v>Mall</v>
          </cell>
          <cell r="C795" t="str">
            <v>Mall Plaza</v>
          </cell>
          <cell r="D795" t="str">
            <v>P.E.: CORPOREO</v>
          </cell>
          <cell r="E795" t="str">
            <v>CORPOREO</v>
          </cell>
          <cell r="F795" t="str">
            <v>Ver Ficha</v>
          </cell>
          <cell r="G795" t="str">
            <v>Ver Ficha</v>
          </cell>
          <cell r="H795" t="str">
            <v>E</v>
          </cell>
          <cell r="J795" t="str">
            <v>Según Corporeo</v>
          </cell>
          <cell r="L795">
            <v>2200000</v>
          </cell>
          <cell r="M795" t="str">
            <v>MALL PLAZA TOBALABA</v>
          </cell>
          <cell r="P795" t="str">
            <v>PUENTE ALTO</v>
          </cell>
          <cell r="Q795" t="str">
            <v>ESPECIAL</v>
          </cell>
          <cell r="R795" t="str">
            <v>Mall - Santiago</v>
          </cell>
          <cell r="S795" t="str">
            <v>Mall Plaza</v>
          </cell>
          <cell r="T795" t="str">
            <v>Productos Especiales</v>
          </cell>
          <cell r="U795">
            <v>1</v>
          </cell>
          <cell r="V795" t="str">
            <v>NA</v>
          </cell>
        </row>
        <row r="796">
          <cell r="A796" t="str">
            <v>MATO0018A</v>
          </cell>
          <cell r="B796" t="str">
            <v>Mall</v>
          </cell>
          <cell r="C796" t="str">
            <v>Mall Plaza</v>
          </cell>
          <cell r="D796" t="str">
            <v>Pantallas Digitales</v>
          </cell>
          <cell r="E796" t="str">
            <v>Pantallas</v>
          </cell>
          <cell r="F796" t="str">
            <v>NA</v>
          </cell>
          <cell r="G796" t="str">
            <v>NA</v>
          </cell>
          <cell r="H796" t="str">
            <v>I</v>
          </cell>
          <cell r="I796" t="str">
            <v>LOTE 4 PANTALLAS</v>
          </cell>
          <cell r="J796">
            <v>0</v>
          </cell>
          <cell r="K796">
            <v>0</v>
          </cell>
          <cell r="L796">
            <v>500000</v>
          </cell>
          <cell r="M796" t="str">
            <v>MALL PLAZA TOBALABA</v>
          </cell>
          <cell r="P796" t="str">
            <v>PUENTE ALTO</v>
          </cell>
          <cell r="Q796" t="str">
            <v>PANTALLA</v>
          </cell>
          <cell r="R796" t="str">
            <v>Mall - Santiago</v>
          </cell>
          <cell r="S796" t="str">
            <v>Mall Plaza</v>
          </cell>
          <cell r="T796" t="str">
            <v>Pantallas Digitales</v>
          </cell>
          <cell r="U796">
            <v>1</v>
          </cell>
          <cell r="V796" t="str">
            <v>NA</v>
          </cell>
        </row>
        <row r="797">
          <cell r="A797" t="str">
            <v>MATO0018B</v>
          </cell>
          <cell r="B797" t="str">
            <v>Mall</v>
          </cell>
          <cell r="C797" t="str">
            <v>Mall Plaza</v>
          </cell>
          <cell r="D797" t="str">
            <v>Pantallas Digitales</v>
          </cell>
          <cell r="E797" t="str">
            <v>Pantallas</v>
          </cell>
          <cell r="F797" t="str">
            <v>NA</v>
          </cell>
          <cell r="G797" t="str">
            <v>NA</v>
          </cell>
          <cell r="H797" t="str">
            <v>I</v>
          </cell>
          <cell r="I797" t="str">
            <v>LOTE 4 PANTALLAS</v>
          </cell>
          <cell r="J797">
            <v>0</v>
          </cell>
          <cell r="K797">
            <v>0</v>
          </cell>
          <cell r="L797">
            <v>500000</v>
          </cell>
          <cell r="M797" t="str">
            <v>MALL PLAZA TOBALABA</v>
          </cell>
          <cell r="P797" t="str">
            <v>PUENTE ALTO</v>
          </cell>
          <cell r="Q797" t="str">
            <v>PANTALLA</v>
          </cell>
          <cell r="R797" t="str">
            <v>Mall - Santiago</v>
          </cell>
          <cell r="S797" t="str">
            <v>Mall Plaza</v>
          </cell>
          <cell r="T797" t="str">
            <v>Pantallas Digitales</v>
          </cell>
          <cell r="U797">
            <v>1</v>
          </cell>
          <cell r="V797" t="str">
            <v>NA</v>
          </cell>
        </row>
        <row r="798">
          <cell r="A798" t="str">
            <v>MATO0018C</v>
          </cell>
          <cell r="B798" t="str">
            <v>Mall</v>
          </cell>
          <cell r="C798" t="str">
            <v>Mall Plaza</v>
          </cell>
          <cell r="D798" t="str">
            <v>Pantallas Digitales</v>
          </cell>
          <cell r="E798" t="str">
            <v>Pantallas</v>
          </cell>
          <cell r="F798" t="str">
            <v>NA</v>
          </cell>
          <cell r="G798" t="str">
            <v>NA</v>
          </cell>
          <cell r="H798" t="str">
            <v>I</v>
          </cell>
          <cell r="I798" t="str">
            <v>LOTE 4 PANTALLAS</v>
          </cell>
          <cell r="J798">
            <v>0</v>
          </cell>
          <cell r="K798">
            <v>0</v>
          </cell>
          <cell r="L798">
            <v>500000</v>
          </cell>
          <cell r="M798" t="str">
            <v>MALL PLAZA TOBALABA</v>
          </cell>
          <cell r="P798" t="str">
            <v>PUENTE ALTO</v>
          </cell>
          <cell r="Q798" t="str">
            <v>PANTALLA</v>
          </cell>
          <cell r="R798" t="str">
            <v>Mall - Santiago</v>
          </cell>
          <cell r="S798" t="str">
            <v>Mall Plaza</v>
          </cell>
          <cell r="T798" t="str">
            <v>Pantallas Digitales</v>
          </cell>
          <cell r="U798">
            <v>1</v>
          </cell>
          <cell r="V798" t="str">
            <v>NA</v>
          </cell>
        </row>
        <row r="799">
          <cell r="A799" t="str">
            <v>MATO0018D</v>
          </cell>
          <cell r="B799" t="str">
            <v>Mall</v>
          </cell>
          <cell r="C799" t="str">
            <v>Mall Plaza</v>
          </cell>
          <cell r="D799" t="str">
            <v>Pantallas Digitales</v>
          </cell>
          <cell r="E799" t="str">
            <v>Pantallas</v>
          </cell>
          <cell r="F799" t="str">
            <v>NA</v>
          </cell>
          <cell r="G799" t="str">
            <v>NA</v>
          </cell>
          <cell r="H799" t="str">
            <v>I</v>
          </cell>
          <cell r="I799" t="str">
            <v>LOTE 4 PANTALLAS</v>
          </cell>
          <cell r="J799">
            <v>0</v>
          </cell>
          <cell r="K799">
            <v>0</v>
          </cell>
          <cell r="L799">
            <v>500000</v>
          </cell>
          <cell r="M799" t="str">
            <v>MALL PLAZA TOBALABA</v>
          </cell>
          <cell r="P799" t="str">
            <v>PUENTE ALTO</v>
          </cell>
          <cell r="Q799" t="str">
            <v>PANTALLA</v>
          </cell>
          <cell r="R799" t="str">
            <v>Mall - Santiago</v>
          </cell>
          <cell r="S799" t="str">
            <v>Mall Plaza</v>
          </cell>
          <cell r="T799" t="str">
            <v>Pantallas Digitales</v>
          </cell>
          <cell r="U799">
            <v>1</v>
          </cell>
          <cell r="V799" t="str">
            <v>NA</v>
          </cell>
        </row>
        <row r="800">
          <cell r="A800" t="str">
            <v>MATO0018E</v>
          </cell>
          <cell r="B800" t="str">
            <v>Mall</v>
          </cell>
          <cell r="C800" t="str">
            <v>Mall Plaza</v>
          </cell>
          <cell r="D800" t="str">
            <v>Pantallas Digitales</v>
          </cell>
          <cell r="E800" t="str">
            <v>Pantallas</v>
          </cell>
          <cell r="F800" t="str">
            <v>NA</v>
          </cell>
          <cell r="G800" t="str">
            <v>NA</v>
          </cell>
          <cell r="H800" t="str">
            <v>I</v>
          </cell>
          <cell r="I800" t="str">
            <v>LOTE 4 PANTALLAS</v>
          </cell>
          <cell r="J800">
            <v>0</v>
          </cell>
          <cell r="K800">
            <v>0</v>
          </cell>
          <cell r="L800">
            <v>500000</v>
          </cell>
          <cell r="M800" t="str">
            <v>MALL PLAZA TOBALABA</v>
          </cell>
          <cell r="P800" t="str">
            <v>PUENTE ALTO</v>
          </cell>
          <cell r="Q800" t="str">
            <v>PANTALLA</v>
          </cell>
          <cell r="R800" t="str">
            <v>Mall - Santiago</v>
          </cell>
          <cell r="S800" t="str">
            <v>Mall Plaza</v>
          </cell>
          <cell r="T800" t="str">
            <v>Pantallas Digitales</v>
          </cell>
          <cell r="U800">
            <v>1</v>
          </cell>
          <cell r="V800" t="str">
            <v>NA</v>
          </cell>
        </row>
        <row r="801">
          <cell r="A801" t="str">
            <v>MATO0018F</v>
          </cell>
          <cell r="B801" t="str">
            <v>Mall</v>
          </cell>
          <cell r="C801" t="str">
            <v>Mall Plaza</v>
          </cell>
          <cell r="D801" t="str">
            <v>Pantallas Digitales</v>
          </cell>
          <cell r="E801" t="str">
            <v>Pantallas</v>
          </cell>
          <cell r="F801" t="str">
            <v>NA</v>
          </cell>
          <cell r="G801" t="str">
            <v>NA</v>
          </cell>
          <cell r="H801" t="str">
            <v>I</v>
          </cell>
          <cell r="I801" t="str">
            <v>LOTE 4 PANTALLAS</v>
          </cell>
          <cell r="J801">
            <v>0</v>
          </cell>
          <cell r="K801">
            <v>0</v>
          </cell>
          <cell r="L801">
            <v>500000</v>
          </cell>
          <cell r="M801" t="str">
            <v>MALL PLAZA TOBALABA</v>
          </cell>
          <cell r="P801" t="str">
            <v>PUENTE ALTO</v>
          </cell>
          <cell r="Q801" t="str">
            <v>PANTALLA</v>
          </cell>
          <cell r="R801" t="str">
            <v>Mall - Santiago</v>
          </cell>
          <cell r="S801" t="str">
            <v>Mall Plaza</v>
          </cell>
          <cell r="T801" t="str">
            <v>Pantallas Digitales</v>
          </cell>
          <cell r="U801">
            <v>1</v>
          </cell>
          <cell r="V801" t="str">
            <v>NA</v>
          </cell>
        </row>
        <row r="802">
          <cell r="A802" t="str">
            <v>MATO0018G</v>
          </cell>
          <cell r="B802" t="str">
            <v>Mall</v>
          </cell>
          <cell r="C802" t="str">
            <v>Mall Plaza</v>
          </cell>
          <cell r="D802" t="str">
            <v>Pantallas Digitales</v>
          </cell>
          <cell r="E802" t="str">
            <v>Pantallas</v>
          </cell>
          <cell r="F802" t="str">
            <v>NA</v>
          </cell>
          <cell r="G802" t="str">
            <v>NA</v>
          </cell>
          <cell r="H802" t="str">
            <v>I</v>
          </cell>
          <cell r="I802" t="str">
            <v>LOTE 4 PANTALLAS</v>
          </cell>
          <cell r="J802">
            <v>0</v>
          </cell>
          <cell r="K802">
            <v>0</v>
          </cell>
          <cell r="L802">
            <v>500000</v>
          </cell>
          <cell r="M802" t="str">
            <v>MALL PLAZA TOBALABA</v>
          </cell>
          <cell r="P802" t="str">
            <v>PUENTE ALTO</v>
          </cell>
          <cell r="Q802" t="str">
            <v>PANTALLA</v>
          </cell>
          <cell r="R802" t="str">
            <v>Mall - Santiago</v>
          </cell>
          <cell r="S802" t="str">
            <v>Mall Plaza</v>
          </cell>
          <cell r="T802" t="str">
            <v>Pantallas Digitales</v>
          </cell>
          <cell r="U802">
            <v>1</v>
          </cell>
          <cell r="V802" t="str">
            <v>NA</v>
          </cell>
        </row>
        <row r="803">
          <cell r="A803" t="str">
            <v>MATO0018H</v>
          </cell>
          <cell r="B803" t="str">
            <v>Mall</v>
          </cell>
          <cell r="C803" t="str">
            <v>Mall Plaza</v>
          </cell>
          <cell r="D803" t="str">
            <v>Pantallas Digitales</v>
          </cell>
          <cell r="E803" t="str">
            <v>Pantallas</v>
          </cell>
          <cell r="F803" t="str">
            <v>NA</v>
          </cell>
          <cell r="G803" t="str">
            <v>NA</v>
          </cell>
          <cell r="H803" t="str">
            <v>I</v>
          </cell>
          <cell r="I803" t="str">
            <v>LOTE 4 PANTALLAS</v>
          </cell>
          <cell r="J803">
            <v>0</v>
          </cell>
          <cell r="K803">
            <v>0</v>
          </cell>
          <cell r="L803">
            <v>500000</v>
          </cell>
          <cell r="M803" t="str">
            <v>MALL PLAZA TOBALABA</v>
          </cell>
          <cell r="P803" t="str">
            <v>PUENTE ALTO</v>
          </cell>
          <cell r="Q803" t="str">
            <v>PANTALLA</v>
          </cell>
          <cell r="R803" t="str">
            <v>Mall - Santiago</v>
          </cell>
          <cell r="S803" t="str">
            <v>Mall Plaza</v>
          </cell>
          <cell r="T803" t="str">
            <v>Pantallas Digitales</v>
          </cell>
          <cell r="U803">
            <v>1</v>
          </cell>
          <cell r="V803" t="str">
            <v>NA</v>
          </cell>
        </row>
        <row r="804">
          <cell r="A804" t="str">
            <v>MATO0018I</v>
          </cell>
          <cell r="B804" t="str">
            <v>Mall</v>
          </cell>
          <cell r="C804" t="str">
            <v>Mall Plaza</v>
          </cell>
          <cell r="D804" t="str">
            <v>Pantallas Digitales</v>
          </cell>
          <cell r="E804" t="str">
            <v>Pantallas</v>
          </cell>
          <cell r="F804" t="str">
            <v>NA</v>
          </cell>
          <cell r="G804" t="str">
            <v>NA</v>
          </cell>
          <cell r="H804" t="str">
            <v>I</v>
          </cell>
          <cell r="I804" t="str">
            <v>LOTE 4 PANTALLAS</v>
          </cell>
          <cell r="J804">
            <v>0</v>
          </cell>
          <cell r="K804">
            <v>0</v>
          </cell>
          <cell r="L804">
            <v>500000</v>
          </cell>
          <cell r="M804" t="str">
            <v>MALL PLAZA TOBALABA</v>
          </cell>
          <cell r="P804" t="str">
            <v>PUENTE ALTO</v>
          </cell>
          <cell r="Q804" t="str">
            <v>PANTALLA</v>
          </cell>
          <cell r="R804" t="str">
            <v>Mall - Santiago</v>
          </cell>
          <cell r="S804" t="str">
            <v>Mall Plaza</v>
          </cell>
          <cell r="T804" t="str">
            <v>Pantallas Digitales</v>
          </cell>
          <cell r="U804">
            <v>1</v>
          </cell>
          <cell r="V804" t="str">
            <v>NA</v>
          </cell>
        </row>
        <row r="805">
          <cell r="A805" t="str">
            <v>MATO0018J</v>
          </cell>
          <cell r="B805" t="str">
            <v>Mall</v>
          </cell>
          <cell r="C805" t="str">
            <v>Mall Plaza</v>
          </cell>
          <cell r="D805" t="str">
            <v>Pantallas Digitales</v>
          </cell>
          <cell r="E805" t="str">
            <v>Pantallas</v>
          </cell>
          <cell r="F805" t="str">
            <v>NA</v>
          </cell>
          <cell r="G805" t="str">
            <v>NA</v>
          </cell>
          <cell r="H805" t="str">
            <v>I</v>
          </cell>
          <cell r="I805" t="str">
            <v>LOTE 4 PANTALLAS</v>
          </cell>
          <cell r="J805">
            <v>0</v>
          </cell>
          <cell r="K805">
            <v>0</v>
          </cell>
          <cell r="L805">
            <v>500000</v>
          </cell>
          <cell r="M805" t="str">
            <v>MALL PLAZA TOBALABA</v>
          </cell>
          <cell r="P805" t="str">
            <v>PUENTE ALTO</v>
          </cell>
          <cell r="Q805" t="str">
            <v>PANTALLA</v>
          </cell>
          <cell r="R805" t="str">
            <v>Mall - Santiago</v>
          </cell>
          <cell r="S805" t="str">
            <v>Mall Plaza</v>
          </cell>
          <cell r="T805" t="str">
            <v>Pantallas Digitales</v>
          </cell>
          <cell r="U805">
            <v>1</v>
          </cell>
          <cell r="V805" t="str">
            <v>NA</v>
          </cell>
        </row>
        <row r="806">
          <cell r="A806" t="str">
            <v>MATO0018K</v>
          </cell>
          <cell r="B806" t="str">
            <v>Mall</v>
          </cell>
          <cell r="C806" t="str">
            <v>Mall Plaza</v>
          </cell>
          <cell r="D806" t="str">
            <v>Pantallas Digitales</v>
          </cell>
          <cell r="E806" t="str">
            <v>Pantallas</v>
          </cell>
          <cell r="F806" t="str">
            <v>NA</v>
          </cell>
          <cell r="G806" t="str">
            <v>NA</v>
          </cell>
          <cell r="H806" t="str">
            <v>I</v>
          </cell>
          <cell r="I806" t="str">
            <v>LOTE 4 PANTALLAS</v>
          </cell>
          <cell r="J806">
            <v>0</v>
          </cell>
          <cell r="K806">
            <v>0</v>
          </cell>
          <cell r="L806">
            <v>500000</v>
          </cell>
          <cell r="M806" t="str">
            <v>MALL PLAZA TOBALABA</v>
          </cell>
          <cell r="P806" t="str">
            <v>PUENTE ALTO</v>
          </cell>
          <cell r="Q806" t="str">
            <v>PANTALLA</v>
          </cell>
          <cell r="R806" t="str">
            <v>Mall - Santiago</v>
          </cell>
          <cell r="S806" t="str">
            <v>Mall Plaza</v>
          </cell>
          <cell r="T806" t="str">
            <v>Pantallas Digitales</v>
          </cell>
          <cell r="U806">
            <v>1</v>
          </cell>
          <cell r="V806" t="str">
            <v>NA</v>
          </cell>
        </row>
        <row r="807">
          <cell r="A807" t="str">
            <v>MATO0018L</v>
          </cell>
          <cell r="B807" t="str">
            <v>Mall</v>
          </cell>
          <cell r="C807" t="str">
            <v>Mall Plaza</v>
          </cell>
          <cell r="D807" t="str">
            <v>Pantallas Digitales</v>
          </cell>
          <cell r="E807" t="str">
            <v>Pantallas</v>
          </cell>
          <cell r="F807" t="str">
            <v>NA</v>
          </cell>
          <cell r="G807" t="str">
            <v>NA</v>
          </cell>
          <cell r="H807" t="str">
            <v>I</v>
          </cell>
          <cell r="I807" t="str">
            <v>LOTE 4 PANTALLAS</v>
          </cell>
          <cell r="J807">
            <v>0</v>
          </cell>
          <cell r="K807">
            <v>0</v>
          </cell>
          <cell r="L807">
            <v>500000</v>
          </cell>
          <cell r="M807" t="str">
            <v>MALL PLAZA TOBALABA</v>
          </cell>
          <cell r="P807" t="str">
            <v>PUENTE ALTO</v>
          </cell>
          <cell r="Q807" t="str">
            <v>PANTALLA</v>
          </cell>
          <cell r="R807" t="str">
            <v>Mall - Santiago</v>
          </cell>
          <cell r="S807" t="str">
            <v>Mall Plaza</v>
          </cell>
          <cell r="T807" t="str">
            <v>Pantallas Digitales</v>
          </cell>
          <cell r="U807">
            <v>1</v>
          </cell>
          <cell r="V807" t="str">
            <v>NA</v>
          </cell>
        </row>
        <row r="808">
          <cell r="A808" t="str">
            <v>MATO0018M</v>
          </cell>
          <cell r="B808" t="str">
            <v>Mall</v>
          </cell>
          <cell r="C808" t="str">
            <v>Mall Plaza</v>
          </cell>
          <cell r="D808" t="str">
            <v>Pantallas Digitales</v>
          </cell>
          <cell r="E808" t="str">
            <v>Pantallas</v>
          </cell>
          <cell r="F808" t="str">
            <v>NA</v>
          </cell>
          <cell r="G808" t="str">
            <v>NA</v>
          </cell>
          <cell r="H808" t="str">
            <v>I</v>
          </cell>
          <cell r="I808" t="str">
            <v>LOTE 4 PANTALLAS</v>
          </cell>
          <cell r="J808">
            <v>0</v>
          </cell>
          <cell r="K808">
            <v>0</v>
          </cell>
          <cell r="L808">
            <v>500000</v>
          </cell>
          <cell r="M808" t="str">
            <v>MALL PLAZA TOBALABA</v>
          </cell>
          <cell r="P808" t="str">
            <v>PUENTE ALTO</v>
          </cell>
          <cell r="Q808" t="str">
            <v>PANTALLA</v>
          </cell>
          <cell r="R808" t="str">
            <v>Mall - Santiago</v>
          </cell>
          <cell r="S808" t="str">
            <v>Mall Plaza</v>
          </cell>
          <cell r="T808" t="str">
            <v>Pantallas Digitales</v>
          </cell>
          <cell r="U808">
            <v>1</v>
          </cell>
          <cell r="V808" t="str">
            <v>NA</v>
          </cell>
        </row>
        <row r="809">
          <cell r="A809" t="str">
            <v>MATO0018N</v>
          </cell>
          <cell r="B809" t="str">
            <v>Mall</v>
          </cell>
          <cell r="C809" t="str">
            <v>Mall Plaza</v>
          </cell>
          <cell r="D809" t="str">
            <v>Pantallas Digitales</v>
          </cell>
          <cell r="E809" t="str">
            <v>Pantallas</v>
          </cell>
          <cell r="F809" t="str">
            <v>NA</v>
          </cell>
          <cell r="G809" t="str">
            <v>NA</v>
          </cell>
          <cell r="H809" t="str">
            <v>I</v>
          </cell>
          <cell r="I809" t="str">
            <v>LOTE 4 PANTALLAS</v>
          </cell>
          <cell r="J809">
            <v>0</v>
          </cell>
          <cell r="K809">
            <v>0</v>
          </cell>
          <cell r="L809">
            <v>500000</v>
          </cell>
          <cell r="M809" t="str">
            <v>MALL PLAZA TOBALABA</v>
          </cell>
          <cell r="P809" t="str">
            <v>PUENTE ALTO</v>
          </cell>
          <cell r="Q809" t="str">
            <v>PANTALLA</v>
          </cell>
          <cell r="R809" t="str">
            <v>Mall - Santiago</v>
          </cell>
          <cell r="S809" t="str">
            <v>Mall Plaza</v>
          </cell>
          <cell r="T809" t="str">
            <v>Pantallas Digitales</v>
          </cell>
          <cell r="U809">
            <v>1</v>
          </cell>
          <cell r="V809" t="str">
            <v>NA</v>
          </cell>
        </row>
        <row r="810">
          <cell r="A810" t="str">
            <v>MATO0018Ñ</v>
          </cell>
          <cell r="B810" t="str">
            <v>Mall</v>
          </cell>
          <cell r="C810" t="str">
            <v>Mall Plaza</v>
          </cell>
          <cell r="D810" t="str">
            <v>Pantallas Digitales</v>
          </cell>
          <cell r="E810" t="str">
            <v>Pantallas</v>
          </cell>
          <cell r="F810" t="str">
            <v>NA</v>
          </cell>
          <cell r="G810" t="str">
            <v>NA</v>
          </cell>
          <cell r="H810" t="str">
            <v>I</v>
          </cell>
          <cell r="I810" t="str">
            <v>LOTE 4 PANTALLAS</v>
          </cell>
          <cell r="J810">
            <v>0</v>
          </cell>
          <cell r="K810">
            <v>0</v>
          </cell>
          <cell r="L810">
            <v>500000</v>
          </cell>
          <cell r="M810" t="str">
            <v>MALL PLAZA TOBALABA</v>
          </cell>
          <cell r="P810" t="str">
            <v>PUENTE ALTO</v>
          </cell>
          <cell r="Q810" t="str">
            <v>PANTALLA</v>
          </cell>
          <cell r="R810" t="str">
            <v>Mall - Santiago</v>
          </cell>
          <cell r="S810" t="str">
            <v>Mall Plaza</v>
          </cell>
          <cell r="T810" t="str">
            <v>Pantallas Digitales</v>
          </cell>
          <cell r="U810">
            <v>1</v>
          </cell>
          <cell r="V810" t="str">
            <v>NA</v>
          </cell>
        </row>
        <row r="811">
          <cell r="A811" t="str">
            <v>MATO0019A</v>
          </cell>
          <cell r="B811" t="str">
            <v>Mall</v>
          </cell>
          <cell r="C811" t="str">
            <v>Mall Plaza</v>
          </cell>
          <cell r="D811" t="str">
            <v>P.E.: CORPOREO</v>
          </cell>
          <cell r="E811" t="str">
            <v>CORPOREO</v>
          </cell>
          <cell r="F811" t="str">
            <v>Ver Ficha</v>
          </cell>
          <cell r="G811" t="str">
            <v>Ver Ficha</v>
          </cell>
          <cell r="H811" t="str">
            <v>E</v>
          </cell>
          <cell r="J811" t="str">
            <v>Según Corporeo</v>
          </cell>
          <cell r="L811">
            <v>2200000</v>
          </cell>
          <cell r="M811" t="str">
            <v>MALL PLAZA TOBALABA</v>
          </cell>
          <cell r="P811" t="str">
            <v>PUENTE ALTO</v>
          </cell>
          <cell r="Q811" t="str">
            <v>ESPECIAL</v>
          </cell>
          <cell r="R811" t="str">
            <v>Mall - Santiago</v>
          </cell>
          <cell r="S811" t="str">
            <v>Mall Plaza</v>
          </cell>
          <cell r="T811" t="str">
            <v>Productos Especiales</v>
          </cell>
          <cell r="U811">
            <v>1</v>
          </cell>
          <cell r="V811" t="str">
            <v>NA</v>
          </cell>
        </row>
        <row r="812">
          <cell r="A812" t="str">
            <v>MCCU0005A</v>
          </cell>
          <cell r="B812" t="str">
            <v>Mall</v>
          </cell>
          <cell r="D812" t="str">
            <v>Cajas de luz</v>
          </cell>
          <cell r="E812" t="str">
            <v>Cajas de luz</v>
          </cell>
          <cell r="F812" t="str">
            <v>6.00 * 2.00</v>
          </cell>
          <cell r="G812" t="str">
            <v>6.30 * 2.30</v>
          </cell>
          <cell r="H812" t="str">
            <v>X</v>
          </cell>
          <cell r="I812" t="str">
            <v>ACCESO ESTACIONA</v>
          </cell>
          <cell r="L812">
            <v>550000</v>
          </cell>
          <cell r="M812" t="str">
            <v>MALL CENTER CURICO</v>
          </cell>
          <cell r="P812" t="str">
            <v>CURICO</v>
          </cell>
          <cell r="Q812" t="str">
            <v>TRADICIONAL</v>
          </cell>
          <cell r="R812" t="str">
            <v>Mall - Sur</v>
          </cell>
          <cell r="S812" t="str">
            <v>Inversiones Calama</v>
          </cell>
          <cell r="T812" t="str">
            <v>Cajas de luz</v>
          </cell>
          <cell r="U812">
            <v>1</v>
          </cell>
          <cell r="V812" t="str">
            <v>6.00 * 2.00</v>
          </cell>
        </row>
        <row r="813">
          <cell r="A813" t="str">
            <v>MCCU0006A</v>
          </cell>
          <cell r="B813" t="str">
            <v>Mall</v>
          </cell>
          <cell r="D813" t="str">
            <v>P.E.: MAMPARA</v>
          </cell>
          <cell r="E813" t="str">
            <v>MAMPARA</v>
          </cell>
          <cell r="F813" t="str">
            <v>VER FICHA</v>
          </cell>
          <cell r="G813" t="str">
            <v>VER FICHA</v>
          </cell>
          <cell r="H813" t="str">
            <v>X</v>
          </cell>
          <cell r="I813" t="str">
            <v>MAMPARAS</v>
          </cell>
          <cell r="K813">
            <v>0</v>
          </cell>
          <cell r="L813">
            <v>2650000</v>
          </cell>
          <cell r="M813" t="str">
            <v>MALL CENTER CURICO</v>
          </cell>
          <cell r="P813" t="str">
            <v>CURICO</v>
          </cell>
          <cell r="Q813" t="str">
            <v>ESPECIAL</v>
          </cell>
          <cell r="R813" t="str">
            <v>Mall - Sur</v>
          </cell>
          <cell r="S813" t="str">
            <v>Inversiones Calama</v>
          </cell>
          <cell r="T813" t="str">
            <v>Productos Especiales</v>
          </cell>
          <cell r="U813">
            <v>1</v>
          </cell>
          <cell r="V813" t="str">
            <v>NA</v>
          </cell>
        </row>
        <row r="814">
          <cell r="A814" t="str">
            <v>MCCU0007A</v>
          </cell>
          <cell r="B814" t="str">
            <v>Mall</v>
          </cell>
          <cell r="D814" t="str">
            <v>P.E.: CENEFA PATIO DE COMIDA</v>
          </cell>
          <cell r="E814" t="str">
            <v>CENEFA PATIO DE COMIDA</v>
          </cell>
          <cell r="F814" t="str">
            <v>VER FICHA</v>
          </cell>
          <cell r="G814" t="str">
            <v>VER FICHA</v>
          </cell>
          <cell r="I814" t="str">
            <v>CENEFA PATIO COM</v>
          </cell>
          <cell r="K814">
            <v>0</v>
          </cell>
          <cell r="L814">
            <v>1800000</v>
          </cell>
          <cell r="M814" t="str">
            <v>MALL CENTER CURICO</v>
          </cell>
          <cell r="P814" t="str">
            <v>CURICO</v>
          </cell>
          <cell r="Q814" t="str">
            <v>ESPECIAL</v>
          </cell>
          <cell r="R814" t="str">
            <v>Mall - Sur</v>
          </cell>
          <cell r="S814" t="str">
            <v>Inversiones Calama</v>
          </cell>
          <cell r="T814" t="str">
            <v>Productos Especiales</v>
          </cell>
          <cell r="U814">
            <v>1</v>
          </cell>
          <cell r="V814" t="str">
            <v>NA</v>
          </cell>
        </row>
        <row r="815">
          <cell r="A815" t="str">
            <v>MCCU0008A</v>
          </cell>
          <cell r="B815" t="str">
            <v>Mall</v>
          </cell>
          <cell r="D815" t="str">
            <v>P.E.: PILARES</v>
          </cell>
          <cell r="E815" t="str">
            <v>PILARES</v>
          </cell>
          <cell r="F815" t="str">
            <v>VER FICHA</v>
          </cell>
          <cell r="G815" t="str">
            <v>VER FICHA</v>
          </cell>
          <cell r="H815" t="str">
            <v>I</v>
          </cell>
          <cell r="I815" t="str">
            <v>PILARES CENTRALE</v>
          </cell>
          <cell r="K815">
            <v>0</v>
          </cell>
          <cell r="L815">
            <v>1850000</v>
          </cell>
          <cell r="M815" t="str">
            <v>MALL CENTER CURICO</v>
          </cell>
          <cell r="P815" t="str">
            <v>CURICO</v>
          </cell>
          <cell r="Q815" t="str">
            <v>ESPECIAL</v>
          </cell>
          <cell r="R815" t="str">
            <v>Mall - Sur</v>
          </cell>
          <cell r="S815" t="str">
            <v>Inversiones Calama</v>
          </cell>
          <cell r="T815" t="str">
            <v>Productos Especiales</v>
          </cell>
          <cell r="U815">
            <v>1</v>
          </cell>
          <cell r="V815" t="str">
            <v>NA</v>
          </cell>
        </row>
        <row r="816">
          <cell r="A816" t="str">
            <v>MCCU0009A</v>
          </cell>
          <cell r="B816" t="str">
            <v>Mall</v>
          </cell>
          <cell r="D816" t="str">
            <v>P.E.: ADHESIVO PISOS</v>
          </cell>
          <cell r="E816" t="str">
            <v>ADHESIVO PISOS</v>
          </cell>
          <cell r="F816" t="str">
            <v>VER FICHA</v>
          </cell>
          <cell r="G816" t="str">
            <v>VER FICHA</v>
          </cell>
          <cell r="H816" t="str">
            <v>X</v>
          </cell>
          <cell r="I816" t="str">
            <v>ADHESIVOS PISOS</v>
          </cell>
          <cell r="J816">
            <v>215000</v>
          </cell>
          <cell r="K816">
            <v>0</v>
          </cell>
          <cell r="L816">
            <v>2000000</v>
          </cell>
          <cell r="M816" t="str">
            <v>MALL CENTER CURICO</v>
          </cell>
          <cell r="P816" t="str">
            <v>CURICO</v>
          </cell>
          <cell r="Q816" t="str">
            <v>ESPECIAL</v>
          </cell>
          <cell r="R816" t="str">
            <v>Mall - Sur</v>
          </cell>
          <cell r="S816" t="str">
            <v>Inversiones Calama</v>
          </cell>
          <cell r="T816" t="str">
            <v>Productos Especiales</v>
          </cell>
          <cell r="U816">
            <v>1</v>
          </cell>
          <cell r="V816" t="str">
            <v>NA</v>
          </cell>
        </row>
        <row r="817">
          <cell r="A817" t="str">
            <v>MCCU0010A</v>
          </cell>
          <cell r="B817" t="str">
            <v>Mall</v>
          </cell>
          <cell r="D817" t="str">
            <v>P.E.: PENDONES LUMINARIAS</v>
          </cell>
          <cell r="E817" t="str">
            <v>PENDONES LUMINARIAS</v>
          </cell>
          <cell r="F817" t="str">
            <v>VER FICHA</v>
          </cell>
          <cell r="G817" t="str">
            <v>VER FICHA</v>
          </cell>
          <cell r="H817" t="str">
            <v>X</v>
          </cell>
          <cell r="I817" t="str">
            <v>PENDONES LUMINAR</v>
          </cell>
          <cell r="K817">
            <v>0</v>
          </cell>
          <cell r="L817">
            <v>2800000</v>
          </cell>
          <cell r="M817" t="str">
            <v>MALL CENTER CURICO</v>
          </cell>
          <cell r="P817" t="str">
            <v>CURICO</v>
          </cell>
          <cell r="Q817" t="str">
            <v>ESPECIAL</v>
          </cell>
          <cell r="R817" t="str">
            <v>Mall - Sur</v>
          </cell>
          <cell r="S817" t="str">
            <v>Inversiones Calama</v>
          </cell>
          <cell r="T817" t="str">
            <v>Productos Especiales</v>
          </cell>
          <cell r="U817">
            <v>1</v>
          </cell>
          <cell r="V817" t="str">
            <v>NA</v>
          </cell>
        </row>
        <row r="818">
          <cell r="A818" t="str">
            <v>MCCU0011A</v>
          </cell>
          <cell r="B818" t="str">
            <v>Mall</v>
          </cell>
          <cell r="D818" t="str">
            <v>P.E.: PENDON PVC</v>
          </cell>
          <cell r="E818" t="str">
            <v>PENDON PVC</v>
          </cell>
          <cell r="F818" t="str">
            <v>VER FICHA</v>
          </cell>
          <cell r="G818" t="str">
            <v>VER FICHA</v>
          </cell>
          <cell r="H818" t="str">
            <v>X</v>
          </cell>
          <cell r="K818">
            <v>0</v>
          </cell>
          <cell r="L818">
            <v>3200000</v>
          </cell>
          <cell r="M818" t="str">
            <v>MALL CENTER CURICO</v>
          </cell>
          <cell r="P818" t="str">
            <v>CURICO</v>
          </cell>
          <cell r="Q818" t="str">
            <v>ESPECIAL</v>
          </cell>
          <cell r="R818" t="str">
            <v>Mall - Sur</v>
          </cell>
          <cell r="S818" t="str">
            <v>Inversiones Calama</v>
          </cell>
          <cell r="T818" t="str">
            <v>Productos Especiales</v>
          </cell>
          <cell r="U818">
            <v>1</v>
          </cell>
          <cell r="V818" t="str">
            <v>NA</v>
          </cell>
        </row>
        <row r="819">
          <cell r="A819" t="str">
            <v>MCCU0012A</v>
          </cell>
          <cell r="B819" t="str">
            <v>Mall</v>
          </cell>
          <cell r="D819" t="str">
            <v>P.E.: ADHESIVO ALFOMBRAS</v>
          </cell>
          <cell r="E819" t="str">
            <v>ADHESIVO ALFOMBRAS</v>
          </cell>
          <cell r="F819" t="str">
            <v>VER FICHA</v>
          </cell>
          <cell r="G819" t="str">
            <v>VER FICHA</v>
          </cell>
          <cell r="H819" t="str">
            <v>I</v>
          </cell>
          <cell r="I819" t="str">
            <v>ADHESIVO ALFOMBR</v>
          </cell>
          <cell r="J819">
            <v>205000</v>
          </cell>
          <cell r="K819">
            <v>0</v>
          </cell>
          <cell r="L819">
            <v>1400000</v>
          </cell>
          <cell r="M819" t="str">
            <v>MALL CENTER CURICO</v>
          </cell>
          <cell r="P819" t="str">
            <v>CURICO</v>
          </cell>
          <cell r="Q819" t="str">
            <v>ESPECIAL</v>
          </cell>
          <cell r="R819" t="str">
            <v>Mall - Sur</v>
          </cell>
          <cell r="S819" t="str">
            <v>Inversiones Calama</v>
          </cell>
          <cell r="T819" t="str">
            <v>Productos Especiales</v>
          </cell>
          <cell r="U819">
            <v>1</v>
          </cell>
          <cell r="V819" t="str">
            <v>NA</v>
          </cell>
        </row>
        <row r="820">
          <cell r="A820" t="str">
            <v>MCCU0013A</v>
          </cell>
          <cell r="B820" t="str">
            <v>Mall</v>
          </cell>
          <cell r="D820" t="str">
            <v>P.E.: CORPOREO</v>
          </cell>
          <cell r="E820" t="str">
            <v>CORPOREO</v>
          </cell>
          <cell r="F820" t="str">
            <v>SEGÚN CORPOREO</v>
          </cell>
          <cell r="G820" t="str">
            <v>SEGÚN CORPOREO</v>
          </cell>
          <cell r="H820" t="str">
            <v>X</v>
          </cell>
          <cell r="I820" t="str">
            <v>CORPOREO EXTERNO</v>
          </cell>
          <cell r="J820" t="str">
            <v>SEGÚN CORPOREO</v>
          </cell>
          <cell r="K820">
            <v>0</v>
          </cell>
          <cell r="L820">
            <v>1600000</v>
          </cell>
          <cell r="M820" t="str">
            <v>MALL CENTER CURICO</v>
          </cell>
          <cell r="P820" t="str">
            <v>CURICO</v>
          </cell>
          <cell r="Q820" t="str">
            <v>ESPECIAL</v>
          </cell>
          <cell r="R820" t="str">
            <v>Mall - Sur</v>
          </cell>
          <cell r="S820" t="str">
            <v>Inversiones Calama</v>
          </cell>
          <cell r="T820" t="str">
            <v>Productos Especiales</v>
          </cell>
          <cell r="U820">
            <v>1</v>
          </cell>
          <cell r="V820" t="str">
            <v>NA</v>
          </cell>
        </row>
        <row r="821">
          <cell r="A821" t="str">
            <v>MCCU0013B</v>
          </cell>
          <cell r="B821" t="str">
            <v>Mall</v>
          </cell>
          <cell r="D821" t="str">
            <v>P.E.: CORPOREO</v>
          </cell>
          <cell r="E821" t="str">
            <v>CORPOREO</v>
          </cell>
          <cell r="F821" t="str">
            <v>SEGÚN CORPOREO</v>
          </cell>
          <cell r="G821" t="str">
            <v>SEGÚN CORPOREO</v>
          </cell>
          <cell r="H821" t="str">
            <v>I</v>
          </cell>
          <cell r="I821" t="str">
            <v>CORPOREO INTERIO</v>
          </cell>
          <cell r="J821" t="str">
            <v>SEGÚN CORPOREO</v>
          </cell>
          <cell r="K821">
            <v>0</v>
          </cell>
          <cell r="L821">
            <v>1600000</v>
          </cell>
          <cell r="M821" t="str">
            <v>MALL CENTER CURICO</v>
          </cell>
          <cell r="P821" t="str">
            <v>CURICO</v>
          </cell>
          <cell r="Q821" t="str">
            <v>ESPECIAL</v>
          </cell>
          <cell r="R821" t="str">
            <v>Mall - Sur</v>
          </cell>
          <cell r="S821" t="str">
            <v>Inversiones Calama</v>
          </cell>
          <cell r="T821" t="str">
            <v>Productos Especiales</v>
          </cell>
          <cell r="U821">
            <v>1</v>
          </cell>
          <cell r="V821" t="str">
            <v>NA</v>
          </cell>
        </row>
        <row r="822">
          <cell r="A822" t="str">
            <v>MCCU0014A</v>
          </cell>
          <cell r="B822" t="str">
            <v>Mall</v>
          </cell>
          <cell r="D822" t="str">
            <v>P.E.: ESPEJOS BAÑOS HOMBRES</v>
          </cell>
          <cell r="E822" t="str">
            <v>ESPEJOS BAÑOS HOMBRES</v>
          </cell>
          <cell r="F822" t="str">
            <v>VER FICHA</v>
          </cell>
          <cell r="G822" t="str">
            <v>VER FICHA</v>
          </cell>
          <cell r="H822" t="str">
            <v>I</v>
          </cell>
          <cell r="I822" t="str">
            <v>ESPEJOS BAÑOS HO</v>
          </cell>
          <cell r="K822">
            <v>0</v>
          </cell>
          <cell r="L822">
            <v>1500000</v>
          </cell>
          <cell r="M822" t="str">
            <v>MALL CENTER CURICO</v>
          </cell>
          <cell r="P822" t="str">
            <v>CURICO</v>
          </cell>
          <cell r="Q822" t="str">
            <v>ESPECIAL</v>
          </cell>
          <cell r="R822" t="str">
            <v>Mall - Sur</v>
          </cell>
          <cell r="S822" t="str">
            <v>Inversiones Calama</v>
          </cell>
          <cell r="T822" t="str">
            <v>Productos Especiales</v>
          </cell>
          <cell r="U822">
            <v>1</v>
          </cell>
          <cell r="V822" t="str">
            <v>NA</v>
          </cell>
        </row>
        <row r="823">
          <cell r="A823" t="str">
            <v>MCCU0014B</v>
          </cell>
          <cell r="B823" t="str">
            <v>Mall</v>
          </cell>
          <cell r="D823" t="str">
            <v>P.E.: ESPEJOS BAÑOS MUJERES</v>
          </cell>
          <cell r="E823" t="str">
            <v>ESPEJOS BAÑOS MUJERES</v>
          </cell>
          <cell r="F823" t="str">
            <v>VER FICHA</v>
          </cell>
          <cell r="G823" t="str">
            <v>VER FICHA</v>
          </cell>
          <cell r="H823" t="str">
            <v>I</v>
          </cell>
          <cell r="I823" t="str">
            <v>ESPEJOS BAÑOS MU</v>
          </cell>
          <cell r="K823">
            <v>0</v>
          </cell>
          <cell r="L823">
            <v>1500000</v>
          </cell>
          <cell r="M823" t="str">
            <v>MALL CENTER CURICO</v>
          </cell>
          <cell r="P823" t="str">
            <v>CURICO</v>
          </cell>
          <cell r="Q823" t="str">
            <v>ESPECIAL</v>
          </cell>
          <cell r="R823" t="str">
            <v>Mall - Sur</v>
          </cell>
          <cell r="S823" t="str">
            <v>Inversiones Calama</v>
          </cell>
          <cell r="T823" t="str">
            <v>Productos Especiales</v>
          </cell>
          <cell r="U823">
            <v>1</v>
          </cell>
          <cell r="V823" t="str">
            <v>NA</v>
          </cell>
        </row>
        <row r="824">
          <cell r="A824" t="str">
            <v>MCRA0001A</v>
          </cell>
          <cell r="B824" t="str">
            <v>Mall</v>
          </cell>
          <cell r="D824" t="str">
            <v>Paletas</v>
          </cell>
          <cell r="E824" t="str">
            <v>INTERIOR</v>
          </cell>
          <cell r="F824" t="str">
            <v>1.10 * 1.53</v>
          </cell>
          <cell r="G824" t="str">
            <v>1.15 * 1.57</v>
          </cell>
          <cell r="H824" t="str">
            <v>Y</v>
          </cell>
          <cell r="I824" t="str">
            <v>INTERIOR PASILLO</v>
          </cell>
          <cell r="J824">
            <v>0</v>
          </cell>
          <cell r="K824">
            <v>0</v>
          </cell>
          <cell r="L824">
            <v>320000</v>
          </cell>
          <cell r="M824" t="str">
            <v>MALL DEL CENTRO RANCAGUA</v>
          </cell>
          <cell r="P824" t="str">
            <v>RANCAGUA</v>
          </cell>
          <cell r="Q824" t="str">
            <v>TRADICIONAL</v>
          </cell>
          <cell r="R824" t="str">
            <v>Mall - Sur</v>
          </cell>
          <cell r="S824" t="str">
            <v>Grupo Calderon</v>
          </cell>
          <cell r="T824" t="str">
            <v>Paletas</v>
          </cell>
          <cell r="U824">
            <v>1</v>
          </cell>
          <cell r="V824" t="str">
            <v>1.10 * 1.53</v>
          </cell>
        </row>
        <row r="825">
          <cell r="A825" t="str">
            <v>MCRA0001B</v>
          </cell>
          <cell r="B825" t="str">
            <v>Mall</v>
          </cell>
          <cell r="D825" t="str">
            <v>Paletas</v>
          </cell>
          <cell r="E825" t="str">
            <v>INTERIOR</v>
          </cell>
          <cell r="F825" t="str">
            <v>1.10 * 1.53</v>
          </cell>
          <cell r="G825" t="str">
            <v>1.15 * 1.57</v>
          </cell>
          <cell r="H825" t="str">
            <v>Y</v>
          </cell>
          <cell r="I825" t="str">
            <v>INTERIOR PASILLO</v>
          </cell>
          <cell r="J825">
            <v>0</v>
          </cell>
          <cell r="K825">
            <v>0</v>
          </cell>
          <cell r="L825">
            <v>320000</v>
          </cell>
          <cell r="M825" t="str">
            <v>MALL DEL CENTRO RANCAGUA</v>
          </cell>
          <cell r="P825" t="str">
            <v>RANCAGUA</v>
          </cell>
          <cell r="Q825" t="str">
            <v>TRADICIONAL</v>
          </cell>
          <cell r="R825" t="str">
            <v>Mall - Sur</v>
          </cell>
          <cell r="S825" t="str">
            <v>Grupo Calderon</v>
          </cell>
          <cell r="T825" t="str">
            <v>Paletas</v>
          </cell>
          <cell r="U825">
            <v>1</v>
          </cell>
          <cell r="V825" t="str">
            <v>1.10 * 1.53</v>
          </cell>
        </row>
        <row r="826">
          <cell r="A826" t="str">
            <v>MCRA0002A</v>
          </cell>
          <cell r="B826" t="str">
            <v>Mall</v>
          </cell>
          <cell r="D826" t="str">
            <v>Paletas</v>
          </cell>
          <cell r="E826" t="str">
            <v>INTERIOR</v>
          </cell>
          <cell r="F826" t="str">
            <v>1.10 * 1.53</v>
          </cell>
          <cell r="G826" t="str">
            <v>1.15 * 1.57</v>
          </cell>
          <cell r="H826" t="str">
            <v>Y</v>
          </cell>
          <cell r="I826" t="str">
            <v>INTERIOR PASILLO</v>
          </cell>
          <cell r="J826">
            <v>0</v>
          </cell>
          <cell r="K826">
            <v>0</v>
          </cell>
          <cell r="L826">
            <v>320000</v>
          </cell>
          <cell r="M826" t="str">
            <v>MALL DEL CENTRO RANCAGUA</v>
          </cell>
          <cell r="P826" t="str">
            <v>RANCAGUA</v>
          </cell>
          <cell r="Q826" t="str">
            <v>TRADICIONAL</v>
          </cell>
          <cell r="R826" t="str">
            <v>Mall - Sur</v>
          </cell>
          <cell r="S826" t="str">
            <v>Grupo Calderon</v>
          </cell>
          <cell r="T826" t="str">
            <v>Paletas</v>
          </cell>
          <cell r="U826">
            <v>1</v>
          </cell>
          <cell r="V826" t="str">
            <v>1.10 * 1.53</v>
          </cell>
        </row>
        <row r="827">
          <cell r="A827" t="str">
            <v>MCRA0002B</v>
          </cell>
          <cell r="B827" t="str">
            <v>Mall</v>
          </cell>
          <cell r="D827" t="str">
            <v>Paletas</v>
          </cell>
          <cell r="E827" t="str">
            <v>INTERIOR</v>
          </cell>
          <cell r="F827" t="str">
            <v>1.10 * 1.53</v>
          </cell>
          <cell r="G827" t="str">
            <v>1.15 * 1.57</v>
          </cell>
          <cell r="H827" t="str">
            <v>Y</v>
          </cell>
          <cell r="I827" t="str">
            <v>INTERIOR PASILLO</v>
          </cell>
          <cell r="J827">
            <v>0</v>
          </cell>
          <cell r="K827">
            <v>0</v>
          </cell>
          <cell r="L827">
            <v>320000</v>
          </cell>
          <cell r="M827" t="str">
            <v>MALL DEL CENTRO RANCAGUA</v>
          </cell>
          <cell r="P827" t="str">
            <v>RANCAGUA</v>
          </cell>
          <cell r="Q827" t="str">
            <v>TRADICIONAL</v>
          </cell>
          <cell r="R827" t="str">
            <v>Mall - Sur</v>
          </cell>
          <cell r="S827" t="str">
            <v>Grupo Calderon</v>
          </cell>
          <cell r="T827" t="str">
            <v>Paletas</v>
          </cell>
          <cell r="U827">
            <v>1</v>
          </cell>
          <cell r="V827" t="str">
            <v>1.10 * 1.53</v>
          </cell>
        </row>
        <row r="828">
          <cell r="A828" t="str">
            <v>MCRA0003A</v>
          </cell>
          <cell r="B828" t="str">
            <v>Mall</v>
          </cell>
          <cell r="D828" t="str">
            <v>Paletas</v>
          </cell>
          <cell r="E828" t="str">
            <v>MURO</v>
          </cell>
          <cell r="F828" t="str">
            <v>1.10 * 1.53</v>
          </cell>
          <cell r="G828" t="str">
            <v>1.15 * 1.57</v>
          </cell>
          <cell r="H828" t="str">
            <v>X</v>
          </cell>
          <cell r="I828" t="str">
            <v>EXTERIORES</v>
          </cell>
          <cell r="J828">
            <v>0</v>
          </cell>
          <cell r="K828">
            <v>0</v>
          </cell>
          <cell r="L828">
            <v>280000</v>
          </cell>
          <cell r="M828" t="str">
            <v>MALL DEL CENTRO RANCAGUA</v>
          </cell>
          <cell r="P828" t="str">
            <v>RANCAGUA</v>
          </cell>
          <cell r="Q828" t="str">
            <v>TRADICIONAL</v>
          </cell>
          <cell r="R828" t="str">
            <v>Mall - Sur</v>
          </cell>
          <cell r="S828" t="str">
            <v>Grupo Calderon</v>
          </cell>
          <cell r="T828" t="str">
            <v>Paletas</v>
          </cell>
          <cell r="U828">
            <v>1</v>
          </cell>
          <cell r="V828" t="str">
            <v>1.10 * 1.53</v>
          </cell>
        </row>
        <row r="829">
          <cell r="A829" t="str">
            <v>MCRA0004A</v>
          </cell>
          <cell r="B829" t="str">
            <v>Mall</v>
          </cell>
          <cell r="D829" t="str">
            <v>Paletas</v>
          </cell>
          <cell r="E829" t="str">
            <v>MURO</v>
          </cell>
          <cell r="F829" t="str">
            <v>1.10 * 1.53</v>
          </cell>
          <cell r="G829" t="str">
            <v>1.15 * 1.57</v>
          </cell>
          <cell r="H829" t="str">
            <v>X</v>
          </cell>
          <cell r="I829" t="str">
            <v>EXTERIORES</v>
          </cell>
          <cell r="J829">
            <v>0</v>
          </cell>
          <cell r="K829">
            <v>0</v>
          </cell>
          <cell r="L829">
            <v>280000</v>
          </cell>
          <cell r="M829" t="str">
            <v>MALL DEL CENTRO RANCAGUA</v>
          </cell>
          <cell r="P829" t="str">
            <v>RANCAGUA</v>
          </cell>
          <cell r="Q829" t="str">
            <v>TRADICIONAL</v>
          </cell>
          <cell r="R829" t="str">
            <v>Mall - Sur</v>
          </cell>
          <cell r="S829" t="str">
            <v>Grupo Calderon</v>
          </cell>
          <cell r="T829" t="str">
            <v>Paletas</v>
          </cell>
          <cell r="U829">
            <v>1</v>
          </cell>
          <cell r="V829" t="str">
            <v>1.10 * 1.53</v>
          </cell>
        </row>
        <row r="830">
          <cell r="A830" t="str">
            <v>MCRA0005A</v>
          </cell>
          <cell r="B830" t="str">
            <v>Mall</v>
          </cell>
          <cell r="D830" t="str">
            <v>Cajas de luz</v>
          </cell>
          <cell r="E830" t="str">
            <v>Cajas de luz</v>
          </cell>
          <cell r="F830" t="str">
            <v>3.92 * 1.92</v>
          </cell>
          <cell r="G830" t="str">
            <v>4.20 * 2.20</v>
          </cell>
          <cell r="H830" t="str">
            <v>X</v>
          </cell>
          <cell r="I830" t="str">
            <v>EXTERIORES</v>
          </cell>
          <cell r="J830">
            <v>0</v>
          </cell>
          <cell r="K830">
            <v>0</v>
          </cell>
          <cell r="L830">
            <v>420000</v>
          </cell>
          <cell r="M830" t="str">
            <v>MALL DEL CENTRO RANCAGUA</v>
          </cell>
          <cell r="P830" t="str">
            <v>RANCAGUA</v>
          </cell>
          <cell r="Q830" t="str">
            <v>TRADICIONAL</v>
          </cell>
          <cell r="R830" t="str">
            <v>Mall - Sur</v>
          </cell>
          <cell r="S830" t="str">
            <v>Grupo Calderon</v>
          </cell>
          <cell r="T830" t="str">
            <v>Cajas de luz</v>
          </cell>
          <cell r="U830">
            <v>1</v>
          </cell>
          <cell r="V830" t="str">
            <v>3.92 * 1.92</v>
          </cell>
        </row>
        <row r="831">
          <cell r="A831" t="str">
            <v>MCSA0001A</v>
          </cell>
          <cell r="B831" t="str">
            <v>Mall</v>
          </cell>
          <cell r="D831" t="str">
            <v>Paletas</v>
          </cell>
          <cell r="E831" t="str">
            <v>Paletas</v>
          </cell>
          <cell r="F831" t="str">
            <v>1.10 * 1.53</v>
          </cell>
          <cell r="G831" t="str">
            <v>1.15 * 1.57</v>
          </cell>
          <cell r="H831" t="str">
            <v>V</v>
          </cell>
          <cell r="I831" t="str">
            <v>ACCESO SALA DE V</v>
          </cell>
          <cell r="J831">
            <v>0</v>
          </cell>
          <cell r="K831">
            <v>0</v>
          </cell>
          <cell r="L831">
            <v>320000</v>
          </cell>
          <cell r="M831" t="str">
            <v>MALL DEL CENTRO SANTIAGO</v>
          </cell>
          <cell r="P831" t="str">
            <v>SANTIAGO</v>
          </cell>
          <cell r="Q831" t="str">
            <v>TRADICIONAL</v>
          </cell>
          <cell r="R831" t="str">
            <v>Mall - Santiago</v>
          </cell>
          <cell r="S831" t="str">
            <v>Grupo Calderon</v>
          </cell>
          <cell r="T831" t="str">
            <v>Paletas</v>
          </cell>
          <cell r="U831">
            <v>1</v>
          </cell>
          <cell r="V831" t="str">
            <v>1.10 * 1.53</v>
          </cell>
        </row>
        <row r="832">
          <cell r="A832" t="str">
            <v>MCSA0002A</v>
          </cell>
          <cell r="B832" t="str">
            <v>Mall</v>
          </cell>
          <cell r="D832" t="str">
            <v>Paletas</v>
          </cell>
          <cell r="E832" t="str">
            <v>INTERIOR</v>
          </cell>
          <cell r="F832" t="str">
            <v>1.10 * 1.53</v>
          </cell>
          <cell r="G832" t="str">
            <v>1.15 * 1.57</v>
          </cell>
          <cell r="H832" t="str">
            <v>Y</v>
          </cell>
          <cell r="I832" t="str">
            <v>INTERIOR PASILLO</v>
          </cell>
          <cell r="J832">
            <v>0</v>
          </cell>
          <cell r="K832">
            <v>0</v>
          </cell>
          <cell r="L832">
            <v>320000</v>
          </cell>
          <cell r="M832" t="str">
            <v>MALL DEL CENTRO SANTIAGO</v>
          </cell>
          <cell r="P832" t="str">
            <v>SANTIAGO</v>
          </cell>
          <cell r="Q832" t="str">
            <v>TRADICIONAL</v>
          </cell>
          <cell r="R832" t="str">
            <v>Mall - Santiago</v>
          </cell>
          <cell r="S832" t="str">
            <v>Grupo Calderon</v>
          </cell>
          <cell r="T832" t="str">
            <v>Paletas</v>
          </cell>
          <cell r="U832">
            <v>1</v>
          </cell>
          <cell r="V832" t="str">
            <v>1.10 * 1.53</v>
          </cell>
        </row>
        <row r="833">
          <cell r="A833" t="str">
            <v>MCSA0002B</v>
          </cell>
          <cell r="B833" t="str">
            <v>Mall</v>
          </cell>
          <cell r="D833" t="str">
            <v>Paletas</v>
          </cell>
          <cell r="E833" t="str">
            <v>INTERIOR</v>
          </cell>
          <cell r="F833" t="str">
            <v>1.10 * 1.53</v>
          </cell>
          <cell r="G833" t="str">
            <v>1.15 * 1.57</v>
          </cell>
          <cell r="H833" t="str">
            <v>Y</v>
          </cell>
          <cell r="I833" t="str">
            <v>INTERIOR PASILLO</v>
          </cell>
          <cell r="J833">
            <v>0</v>
          </cell>
          <cell r="K833">
            <v>0</v>
          </cell>
          <cell r="L833">
            <v>320000</v>
          </cell>
          <cell r="M833" t="str">
            <v>MALL DEL CENTRO SANTIAGO</v>
          </cell>
          <cell r="P833" t="str">
            <v>SANTIAGO</v>
          </cell>
          <cell r="Q833" t="str">
            <v>TRADICIONAL</v>
          </cell>
          <cell r="R833" t="str">
            <v>Mall - Santiago</v>
          </cell>
          <cell r="S833" t="str">
            <v>Grupo Calderon</v>
          </cell>
          <cell r="T833" t="str">
            <v>Paletas</v>
          </cell>
          <cell r="U833">
            <v>1</v>
          </cell>
          <cell r="V833" t="str">
            <v>1.10 * 1.53</v>
          </cell>
        </row>
        <row r="834">
          <cell r="A834" t="str">
            <v>MCSA0003A</v>
          </cell>
          <cell r="B834" t="str">
            <v>Mall</v>
          </cell>
          <cell r="D834" t="str">
            <v>Paletas</v>
          </cell>
          <cell r="E834" t="str">
            <v>INTERIOR</v>
          </cell>
          <cell r="F834" t="str">
            <v>1.10 * 1.53</v>
          </cell>
          <cell r="G834" t="str">
            <v>1.15 * 1.57</v>
          </cell>
          <cell r="H834" t="str">
            <v>Y</v>
          </cell>
          <cell r="I834" t="str">
            <v>INTERIOR PASILLO</v>
          </cell>
          <cell r="J834">
            <v>0</v>
          </cell>
          <cell r="K834">
            <v>0</v>
          </cell>
          <cell r="L834">
            <v>320000</v>
          </cell>
          <cell r="M834" t="str">
            <v>MALL DEL CENTRO SANTIAGO</v>
          </cell>
          <cell r="P834" t="str">
            <v>SANTIAGO</v>
          </cell>
          <cell r="Q834" t="str">
            <v>TRADICIONAL</v>
          </cell>
          <cell r="R834" t="str">
            <v>Mall - Santiago</v>
          </cell>
          <cell r="S834" t="str">
            <v>Grupo Calderon</v>
          </cell>
          <cell r="T834" t="str">
            <v>Paletas</v>
          </cell>
          <cell r="U834">
            <v>1</v>
          </cell>
          <cell r="V834" t="str">
            <v>1.10 * 1.53</v>
          </cell>
        </row>
        <row r="835">
          <cell r="A835" t="str">
            <v>MCSA0003B</v>
          </cell>
          <cell r="B835" t="str">
            <v>Mall</v>
          </cell>
          <cell r="D835" t="str">
            <v>Paletas</v>
          </cell>
          <cell r="E835" t="str">
            <v>INTERIOR</v>
          </cell>
          <cell r="F835" t="str">
            <v>1.10 * 1.53</v>
          </cell>
          <cell r="G835" t="str">
            <v>1.15 * 1.57</v>
          </cell>
          <cell r="H835" t="str">
            <v>Y</v>
          </cell>
          <cell r="I835" t="str">
            <v>INTERIOR PASILLO</v>
          </cell>
          <cell r="J835">
            <v>0</v>
          </cell>
          <cell r="K835">
            <v>0</v>
          </cell>
          <cell r="L835">
            <v>320000</v>
          </cell>
          <cell r="M835" t="str">
            <v>MALL DEL CENTRO SANTIAGO</v>
          </cell>
          <cell r="P835" t="str">
            <v>SANTIAGO</v>
          </cell>
          <cell r="Q835" t="str">
            <v>TRADICIONAL</v>
          </cell>
          <cell r="R835" t="str">
            <v>Mall - Santiago</v>
          </cell>
          <cell r="S835" t="str">
            <v>Grupo Calderon</v>
          </cell>
          <cell r="T835" t="str">
            <v>Paletas</v>
          </cell>
          <cell r="U835">
            <v>1</v>
          </cell>
          <cell r="V835" t="str">
            <v>1.10 * 1.53</v>
          </cell>
        </row>
        <row r="836">
          <cell r="A836" t="str">
            <v>MCSA0004A</v>
          </cell>
          <cell r="B836" t="str">
            <v>Mall</v>
          </cell>
          <cell r="D836" t="str">
            <v>Paletas</v>
          </cell>
          <cell r="E836" t="str">
            <v>INTERIOR</v>
          </cell>
          <cell r="F836" t="str">
            <v>1.10 * 1.53</v>
          </cell>
          <cell r="G836" t="str">
            <v>1.15 * 1.57</v>
          </cell>
          <cell r="H836" t="str">
            <v>Y</v>
          </cell>
          <cell r="I836" t="str">
            <v>INTERIOR PASILLO</v>
          </cell>
          <cell r="J836">
            <v>0</v>
          </cell>
          <cell r="K836">
            <v>0</v>
          </cell>
          <cell r="L836">
            <v>320000</v>
          </cell>
          <cell r="M836" t="str">
            <v>MALL DEL CENTRO SANTIAGO</v>
          </cell>
          <cell r="P836" t="str">
            <v>SANTIAGO</v>
          </cell>
          <cell r="Q836" t="str">
            <v>TRADICIONAL</v>
          </cell>
          <cell r="R836" t="str">
            <v>Mall - Santiago</v>
          </cell>
          <cell r="S836" t="str">
            <v>Grupo Calderon</v>
          </cell>
          <cell r="T836" t="str">
            <v>Paletas</v>
          </cell>
          <cell r="U836">
            <v>1</v>
          </cell>
          <cell r="V836" t="str">
            <v>1.10 * 1.53</v>
          </cell>
        </row>
        <row r="837">
          <cell r="A837" t="str">
            <v>MCSA0004B</v>
          </cell>
          <cell r="B837" t="str">
            <v>Mall</v>
          </cell>
          <cell r="D837" t="str">
            <v>Paletas</v>
          </cell>
          <cell r="E837" t="str">
            <v>INTERIOR</v>
          </cell>
          <cell r="F837" t="str">
            <v>1.10 * 1.53</v>
          </cell>
          <cell r="G837" t="str">
            <v>1.15 * 1.57</v>
          </cell>
          <cell r="H837" t="str">
            <v>Y</v>
          </cell>
          <cell r="I837" t="str">
            <v>INTERIOR PASILLO</v>
          </cell>
          <cell r="J837">
            <v>0</v>
          </cell>
          <cell r="K837">
            <v>0</v>
          </cell>
          <cell r="L837">
            <v>320000</v>
          </cell>
          <cell r="M837" t="str">
            <v>MALL DEL CENTRO SANTIAGO</v>
          </cell>
          <cell r="P837" t="str">
            <v>SANTIAGO</v>
          </cell>
          <cell r="Q837" t="str">
            <v>TRADICIONAL</v>
          </cell>
          <cell r="R837" t="str">
            <v>Mall - Santiago</v>
          </cell>
          <cell r="S837" t="str">
            <v>Grupo Calderon</v>
          </cell>
          <cell r="T837" t="str">
            <v>Paletas</v>
          </cell>
          <cell r="U837">
            <v>1</v>
          </cell>
          <cell r="V837" t="str">
            <v>1.10 * 1.53</v>
          </cell>
        </row>
        <row r="838">
          <cell r="A838" t="str">
            <v>MCSA0005A</v>
          </cell>
          <cell r="B838" t="str">
            <v>Mall</v>
          </cell>
          <cell r="D838" t="str">
            <v>Paletas</v>
          </cell>
          <cell r="E838" t="str">
            <v>INTERIOR</v>
          </cell>
          <cell r="F838" t="str">
            <v>1.10 * 1.53</v>
          </cell>
          <cell r="G838" t="str">
            <v>1.15 * 1.57</v>
          </cell>
          <cell r="H838" t="str">
            <v>Y</v>
          </cell>
          <cell r="I838" t="str">
            <v>INTERIOR PASILLO</v>
          </cell>
          <cell r="J838">
            <v>0</v>
          </cell>
          <cell r="K838">
            <v>0</v>
          </cell>
          <cell r="L838">
            <v>320000</v>
          </cell>
          <cell r="M838" t="str">
            <v>MALL DEL CENTRO SANTIAGO</v>
          </cell>
          <cell r="P838" t="str">
            <v>SANTIAGO</v>
          </cell>
          <cell r="Q838" t="str">
            <v>TRADICIONAL</v>
          </cell>
          <cell r="R838" t="str">
            <v>Mall - Santiago</v>
          </cell>
          <cell r="S838" t="str">
            <v>Grupo Calderon</v>
          </cell>
          <cell r="T838" t="str">
            <v>Paletas</v>
          </cell>
          <cell r="U838">
            <v>1</v>
          </cell>
          <cell r="V838" t="str">
            <v>1.10 * 1.53</v>
          </cell>
        </row>
        <row r="839">
          <cell r="A839" t="str">
            <v>MCSA0005B</v>
          </cell>
          <cell r="B839" t="str">
            <v>Mall</v>
          </cell>
          <cell r="D839" t="str">
            <v>Paletas</v>
          </cell>
          <cell r="E839" t="str">
            <v>INTERIOR</v>
          </cell>
          <cell r="F839" t="str">
            <v>1.10 * 1.53</v>
          </cell>
          <cell r="G839" t="str">
            <v>1.15 * 1.57</v>
          </cell>
          <cell r="H839" t="str">
            <v>Y</v>
          </cell>
          <cell r="I839" t="str">
            <v>INTERIOR PASILLO</v>
          </cell>
          <cell r="J839">
            <v>0</v>
          </cell>
          <cell r="K839">
            <v>0</v>
          </cell>
          <cell r="L839">
            <v>320000</v>
          </cell>
          <cell r="M839" t="str">
            <v>MALL DEL CENTRO SANTIAGO</v>
          </cell>
          <cell r="P839" t="str">
            <v>SANTIAGO</v>
          </cell>
          <cell r="Q839" t="str">
            <v>TRADICIONAL</v>
          </cell>
          <cell r="R839" t="str">
            <v>Mall - Santiago</v>
          </cell>
          <cell r="S839" t="str">
            <v>Grupo Calderon</v>
          </cell>
          <cell r="T839" t="str">
            <v>Paletas</v>
          </cell>
          <cell r="U839">
            <v>1</v>
          </cell>
          <cell r="V839" t="str">
            <v>1.10 * 1.53</v>
          </cell>
        </row>
        <row r="840">
          <cell r="A840" t="str">
            <v>MCSA0006A</v>
          </cell>
          <cell r="B840" t="str">
            <v>Mall</v>
          </cell>
          <cell r="D840" t="str">
            <v>Paletas</v>
          </cell>
          <cell r="E840" t="str">
            <v>INTERIOR</v>
          </cell>
          <cell r="F840" t="str">
            <v>1.10 * 1.53</v>
          </cell>
          <cell r="G840" t="str">
            <v>1.15 * 1.57</v>
          </cell>
          <cell r="H840" t="str">
            <v>Y</v>
          </cell>
          <cell r="I840" t="str">
            <v>INTERIOR PASILLO</v>
          </cell>
          <cell r="J840">
            <v>0</v>
          </cell>
          <cell r="K840">
            <v>0</v>
          </cell>
          <cell r="L840">
            <v>320000</v>
          </cell>
          <cell r="M840" t="str">
            <v>MALL DEL CENTRO SANTIAGO</v>
          </cell>
          <cell r="P840" t="str">
            <v>SANTIAGO</v>
          </cell>
          <cell r="Q840" t="str">
            <v>TRADICIONAL</v>
          </cell>
          <cell r="R840" t="str">
            <v>Mall - Santiago</v>
          </cell>
          <cell r="S840" t="str">
            <v>Grupo Calderon</v>
          </cell>
          <cell r="T840" t="str">
            <v>Paletas</v>
          </cell>
          <cell r="U840">
            <v>1</v>
          </cell>
          <cell r="V840" t="str">
            <v>1.10 * 1.53</v>
          </cell>
        </row>
        <row r="841">
          <cell r="A841" t="str">
            <v>MCSA0006B</v>
          </cell>
          <cell r="B841" t="str">
            <v>Mall</v>
          </cell>
          <cell r="D841" t="str">
            <v>Paletas</v>
          </cell>
          <cell r="E841" t="str">
            <v>INTERIOR</v>
          </cell>
          <cell r="F841" t="str">
            <v>1.10 * 1.53</v>
          </cell>
          <cell r="G841" t="str">
            <v>1.15 * 1.57</v>
          </cell>
          <cell r="H841" t="str">
            <v>Y</v>
          </cell>
          <cell r="I841" t="str">
            <v>INTERIOR PASILLO</v>
          </cell>
          <cell r="J841">
            <v>0</v>
          </cell>
          <cell r="K841">
            <v>0</v>
          </cell>
          <cell r="L841">
            <v>320000</v>
          </cell>
          <cell r="M841" t="str">
            <v>MALL DEL CENTRO SANTIAGO</v>
          </cell>
          <cell r="P841" t="str">
            <v>SANTIAGO</v>
          </cell>
          <cell r="Q841" t="str">
            <v>TRADICIONAL</v>
          </cell>
          <cell r="R841" t="str">
            <v>Mall - Santiago</v>
          </cell>
          <cell r="S841" t="str">
            <v>Grupo Calderon</v>
          </cell>
          <cell r="T841" t="str">
            <v>Paletas</v>
          </cell>
          <cell r="U841">
            <v>1</v>
          </cell>
          <cell r="V841" t="str">
            <v>1.10 * 1.53</v>
          </cell>
        </row>
        <row r="842">
          <cell r="A842" t="str">
            <v>MCSA0007A</v>
          </cell>
          <cell r="B842" t="str">
            <v>Mall</v>
          </cell>
          <cell r="D842" t="str">
            <v>Paletas</v>
          </cell>
          <cell r="E842" t="str">
            <v>MURO</v>
          </cell>
          <cell r="F842" t="str">
            <v>1.10 * 1.53</v>
          </cell>
          <cell r="G842" t="str">
            <v>1.15 * 1.57</v>
          </cell>
          <cell r="H842" t="str">
            <v>V</v>
          </cell>
          <cell r="I842" t="str">
            <v>ACCESO SALA DE V</v>
          </cell>
          <cell r="J842">
            <v>0</v>
          </cell>
          <cell r="K842">
            <v>0</v>
          </cell>
          <cell r="L842">
            <v>320000</v>
          </cell>
          <cell r="M842" t="str">
            <v>MALL DEL CENTRO SANTIAGO</v>
          </cell>
          <cell r="P842" t="str">
            <v>SANTIAGO</v>
          </cell>
          <cell r="Q842" t="str">
            <v>TRADICIONAL</v>
          </cell>
          <cell r="R842" t="str">
            <v>Mall - Santiago</v>
          </cell>
          <cell r="S842" t="str">
            <v>Grupo Calderon</v>
          </cell>
          <cell r="T842" t="str">
            <v>Paletas</v>
          </cell>
          <cell r="U842">
            <v>1</v>
          </cell>
          <cell r="V842" t="str">
            <v>1.10 * 1.53</v>
          </cell>
        </row>
        <row r="843">
          <cell r="A843" t="str">
            <v>MCSA0008A</v>
          </cell>
          <cell r="B843" t="str">
            <v>Mall</v>
          </cell>
          <cell r="D843" t="str">
            <v>Paletas</v>
          </cell>
          <cell r="E843" t="str">
            <v>MURO</v>
          </cell>
          <cell r="F843" t="str">
            <v>1.10 * 1.53</v>
          </cell>
          <cell r="G843" t="str">
            <v>1.15 * 1.57</v>
          </cell>
          <cell r="H843" t="str">
            <v>V</v>
          </cell>
          <cell r="I843" t="str">
            <v>ACCESO SALA DE V</v>
          </cell>
          <cell r="J843">
            <v>0</v>
          </cell>
          <cell r="K843">
            <v>0</v>
          </cell>
          <cell r="L843">
            <v>320000</v>
          </cell>
          <cell r="M843" t="str">
            <v>MALL DEL CENTRO SANTIAGO</v>
          </cell>
          <cell r="P843" t="str">
            <v>SANTIAGO</v>
          </cell>
          <cell r="Q843" t="str">
            <v>TRADICIONAL</v>
          </cell>
          <cell r="R843" t="str">
            <v>Mall - Santiago</v>
          </cell>
          <cell r="S843" t="str">
            <v>Grupo Calderon</v>
          </cell>
          <cell r="T843" t="str">
            <v>Paletas</v>
          </cell>
          <cell r="U843">
            <v>1</v>
          </cell>
          <cell r="V843" t="str">
            <v>1.10 * 1.53</v>
          </cell>
        </row>
        <row r="844">
          <cell r="A844" t="str">
            <v>MCSA0009A</v>
          </cell>
          <cell r="B844" t="str">
            <v>Mall</v>
          </cell>
          <cell r="D844" t="str">
            <v>P.E.: ESPEJOS BAÑOS HOMBRES</v>
          </cell>
          <cell r="E844" t="str">
            <v>ESPEJOS BAÑOS HOMBRES</v>
          </cell>
          <cell r="F844" t="str">
            <v>VER FICHA</v>
          </cell>
          <cell r="G844" t="str">
            <v>VER FICHA</v>
          </cell>
          <cell r="H844" t="str">
            <v>I</v>
          </cell>
          <cell r="I844" t="str">
            <v>BAÑOS</v>
          </cell>
          <cell r="J844">
            <v>35000</v>
          </cell>
          <cell r="L844">
            <v>1600000</v>
          </cell>
          <cell r="M844" t="str">
            <v>MALL DEL CENTRO SANTIAGO</v>
          </cell>
          <cell r="P844" t="str">
            <v>SANTIAGO</v>
          </cell>
          <cell r="Q844" t="str">
            <v>ESPECIAL</v>
          </cell>
          <cell r="R844" t="str">
            <v>Mall - Santiago</v>
          </cell>
          <cell r="S844" t="str">
            <v>Grupo Calderon</v>
          </cell>
          <cell r="T844" t="str">
            <v>Productos Especiales</v>
          </cell>
          <cell r="U844">
            <v>1</v>
          </cell>
          <cell r="V844" t="str">
            <v>NA</v>
          </cell>
        </row>
        <row r="845">
          <cell r="A845" t="str">
            <v>MCSA0009B</v>
          </cell>
          <cell r="B845" t="str">
            <v>Mall</v>
          </cell>
          <cell r="D845" t="str">
            <v>P.E.: ESPEJOS BAÑOS MUJERES</v>
          </cell>
          <cell r="E845" t="str">
            <v>ESPEJOS BAÑOS MUJERES</v>
          </cell>
          <cell r="F845" t="str">
            <v>VER FICHA</v>
          </cell>
          <cell r="G845" t="str">
            <v>VER FICHA</v>
          </cell>
          <cell r="H845" t="str">
            <v>I</v>
          </cell>
          <cell r="I845" t="str">
            <v>BAÑOS</v>
          </cell>
          <cell r="J845">
            <v>31000</v>
          </cell>
          <cell r="L845">
            <v>1600000</v>
          </cell>
          <cell r="M845" t="str">
            <v>MALL DEL CENTRO SANTIAGO</v>
          </cell>
          <cell r="P845" t="str">
            <v>SANTIAGO</v>
          </cell>
          <cell r="Q845" t="str">
            <v>ESPECIAL</v>
          </cell>
          <cell r="R845" t="str">
            <v>Mall - Santiago</v>
          </cell>
          <cell r="S845" t="str">
            <v>Grupo Calderon</v>
          </cell>
          <cell r="T845" t="str">
            <v>Productos Especiales</v>
          </cell>
          <cell r="U845">
            <v>1</v>
          </cell>
          <cell r="V845" t="str">
            <v>NA</v>
          </cell>
        </row>
        <row r="846">
          <cell r="A846" t="str">
            <v>MCSA0010A</v>
          </cell>
          <cell r="B846" t="str">
            <v>Mall</v>
          </cell>
          <cell r="D846" t="str">
            <v>P.E.: MAMPARA</v>
          </cell>
          <cell r="E846" t="str">
            <v>MAMPARA</v>
          </cell>
          <cell r="F846" t="str">
            <v>VER FICHA</v>
          </cell>
          <cell r="G846" t="str">
            <v>VER FICHA</v>
          </cell>
          <cell r="H846" t="str">
            <v>X</v>
          </cell>
          <cell r="I846" t="str">
            <v>ACCESO MALL</v>
          </cell>
          <cell r="J846">
            <v>86000</v>
          </cell>
          <cell r="L846">
            <v>2500000</v>
          </cell>
          <cell r="M846" t="str">
            <v>MALL DEL CENTRO SANTIAGO</v>
          </cell>
          <cell r="P846" t="str">
            <v>SANTIAGO</v>
          </cell>
          <cell r="Q846" t="str">
            <v>ESPECIAL</v>
          </cell>
          <cell r="R846" t="str">
            <v>Mall - Santiago</v>
          </cell>
          <cell r="S846" t="str">
            <v>Grupo Calderon</v>
          </cell>
          <cell r="T846" t="str">
            <v>Productos Especiales</v>
          </cell>
          <cell r="U846">
            <v>1</v>
          </cell>
          <cell r="V846" t="str">
            <v>NA</v>
          </cell>
        </row>
        <row r="847">
          <cell r="A847" t="str">
            <v>MCSA0011A</v>
          </cell>
          <cell r="B847" t="str">
            <v>Mall</v>
          </cell>
          <cell r="D847" t="str">
            <v>P.E.: ASCENSORES</v>
          </cell>
          <cell r="E847" t="str">
            <v>ASCENSORES</v>
          </cell>
          <cell r="F847" t="str">
            <v>VER FICHA</v>
          </cell>
          <cell r="G847" t="str">
            <v>VER FICHA</v>
          </cell>
          <cell r="H847" t="str">
            <v>I</v>
          </cell>
          <cell r="I847" t="str">
            <v>4 ASCENSORES</v>
          </cell>
          <cell r="J847">
            <v>100000</v>
          </cell>
          <cell r="L847">
            <v>3600000</v>
          </cell>
          <cell r="M847" t="str">
            <v>MALL DEL CENTRO SANTIAGO</v>
          </cell>
          <cell r="P847" t="str">
            <v>SANTIAGO</v>
          </cell>
          <cell r="Q847" t="str">
            <v>ESPECIAL</v>
          </cell>
          <cell r="R847" t="str">
            <v>Mall - Santiago</v>
          </cell>
          <cell r="S847" t="str">
            <v>Grupo Calderon</v>
          </cell>
          <cell r="T847" t="str">
            <v>Productos Especiales</v>
          </cell>
          <cell r="U847">
            <v>1</v>
          </cell>
          <cell r="V847" t="str">
            <v>NA</v>
          </cell>
        </row>
        <row r="848">
          <cell r="A848" t="str">
            <v>MCSA0012A</v>
          </cell>
          <cell r="B848" t="str">
            <v>Mall</v>
          </cell>
          <cell r="D848" t="str">
            <v>P.E.: ESCALERAS MECÁNICAS</v>
          </cell>
          <cell r="E848" t="str">
            <v>ESCALERAS MECÁNICAS</v>
          </cell>
          <cell r="F848" t="str">
            <v>VER FICHA</v>
          </cell>
          <cell r="G848" t="str">
            <v>VER FICHA</v>
          </cell>
          <cell r="H848" t="str">
            <v>I</v>
          </cell>
          <cell r="I848" t="str">
            <v>3 ESCALERAS</v>
          </cell>
          <cell r="J848">
            <v>797000</v>
          </cell>
          <cell r="L848">
            <v>3600000</v>
          </cell>
          <cell r="M848" t="str">
            <v>MALL DEL CENTRO SANTIAGO</v>
          </cell>
          <cell r="P848" t="str">
            <v>SANTIAGO</v>
          </cell>
          <cell r="Q848" t="str">
            <v>ESPECIAL</v>
          </cell>
          <cell r="R848" t="str">
            <v>Mall - Santiago</v>
          </cell>
          <cell r="S848" t="str">
            <v>Grupo Calderon</v>
          </cell>
          <cell r="T848" t="str">
            <v>Productos Especiales</v>
          </cell>
          <cell r="U848">
            <v>1</v>
          </cell>
          <cell r="V848" t="str">
            <v>NA</v>
          </cell>
        </row>
        <row r="849">
          <cell r="A849" t="str">
            <v>MCSA0013A</v>
          </cell>
          <cell r="B849" t="str">
            <v>Mall</v>
          </cell>
          <cell r="D849" t="str">
            <v>P.E.: CORPOREO</v>
          </cell>
          <cell r="E849" t="str">
            <v>CORPOREO</v>
          </cell>
          <cell r="F849" t="str">
            <v>VER FICHA</v>
          </cell>
          <cell r="G849" t="str">
            <v>VER FICHA</v>
          </cell>
          <cell r="H849" t="str">
            <v>I</v>
          </cell>
          <cell r="I849" t="str">
            <v>INTERIOR MALL</v>
          </cell>
          <cell r="J849" t="str">
            <v>SEGÚN CORPOREO</v>
          </cell>
          <cell r="L849">
            <v>2500000</v>
          </cell>
          <cell r="M849" t="str">
            <v>MALL DEL CENTRO SANTIAGO</v>
          </cell>
          <cell r="P849" t="str">
            <v>SANTIAGO</v>
          </cell>
          <cell r="Q849" t="str">
            <v>ESPECIAL</v>
          </cell>
          <cell r="R849" t="str">
            <v>Mall - Santiago</v>
          </cell>
          <cell r="S849" t="str">
            <v>Grupo Calderon</v>
          </cell>
          <cell r="T849" t="str">
            <v>Productos Especiales</v>
          </cell>
          <cell r="U849">
            <v>1</v>
          </cell>
          <cell r="V849" t="str">
            <v>NA</v>
          </cell>
        </row>
        <row r="850">
          <cell r="A850" t="str">
            <v>MCSA0014A</v>
          </cell>
          <cell r="B850" t="str">
            <v>Mall</v>
          </cell>
          <cell r="D850" t="str">
            <v>P.E.: PUERTAS BAÑOS HOMBRE</v>
          </cell>
          <cell r="E850" t="str">
            <v>PUERTAS BAÑOS HOMBRE</v>
          </cell>
          <cell r="F850" t="str">
            <v>VER FICHA</v>
          </cell>
          <cell r="G850" t="str">
            <v>VER FICHA</v>
          </cell>
          <cell r="H850" t="str">
            <v>I</v>
          </cell>
          <cell r="I850" t="str">
            <v>BAÑOS MALL</v>
          </cell>
          <cell r="J850">
            <v>67000</v>
          </cell>
          <cell r="L850">
            <v>1800000</v>
          </cell>
          <cell r="M850" t="str">
            <v>MALL DEL CENTRO SANTIAGO</v>
          </cell>
          <cell r="P850" t="str">
            <v>SANTIAGO</v>
          </cell>
          <cell r="Q850" t="str">
            <v>ESPECIAL</v>
          </cell>
          <cell r="R850" t="str">
            <v>Mall - Santiago</v>
          </cell>
          <cell r="S850" t="str">
            <v>Grupo Calderon</v>
          </cell>
          <cell r="T850" t="str">
            <v>Productos Especiales</v>
          </cell>
          <cell r="U850">
            <v>1</v>
          </cell>
          <cell r="V850" t="str">
            <v>NA</v>
          </cell>
        </row>
        <row r="851">
          <cell r="A851" t="str">
            <v>MCSA0014B</v>
          </cell>
          <cell r="B851" t="str">
            <v>Mall</v>
          </cell>
          <cell r="D851" t="str">
            <v>P.E.: PUERTAS BAÑOS MUJERES</v>
          </cell>
          <cell r="E851" t="str">
            <v>PUERTAS BAÑOS MUJERES</v>
          </cell>
          <cell r="F851" t="str">
            <v>VER FICHA</v>
          </cell>
          <cell r="G851" t="str">
            <v>VER FICHA</v>
          </cell>
          <cell r="H851" t="str">
            <v>I</v>
          </cell>
          <cell r="I851" t="str">
            <v>BAÑOS MALL</v>
          </cell>
          <cell r="J851">
            <v>105000</v>
          </cell>
          <cell r="L851">
            <v>1800000</v>
          </cell>
          <cell r="M851" t="str">
            <v>MALL DEL CENTRO SANTIAGO</v>
          </cell>
          <cell r="P851" t="str">
            <v>SANTIAGO</v>
          </cell>
          <cell r="Q851" t="str">
            <v>ESPECIAL</v>
          </cell>
          <cell r="R851" t="str">
            <v>Mall - Santiago</v>
          </cell>
          <cell r="S851" t="str">
            <v>Grupo Calderon</v>
          </cell>
          <cell r="T851" t="str">
            <v>Productos Especiales</v>
          </cell>
          <cell r="U851">
            <v>1</v>
          </cell>
          <cell r="V851" t="str">
            <v>NA</v>
          </cell>
        </row>
        <row r="852">
          <cell r="A852" t="str">
            <v>MPLA0001A</v>
          </cell>
          <cell r="B852" t="str">
            <v>Mall</v>
          </cell>
          <cell r="C852" t="str">
            <v>Mall Plaza</v>
          </cell>
          <cell r="D852" t="str">
            <v>Cajas de luz</v>
          </cell>
          <cell r="E852" t="str">
            <v>Cajas de luz</v>
          </cell>
          <cell r="F852" t="str">
            <v>5.20 * 1.50</v>
          </cell>
          <cell r="G852" t="str">
            <v>5.50 * 1.80</v>
          </cell>
          <cell r="H852" t="str">
            <v>S</v>
          </cell>
          <cell r="I852" t="str">
            <v>ESTACIONAMIENTOS</v>
          </cell>
          <cell r="J852">
            <v>0</v>
          </cell>
          <cell r="K852">
            <v>0</v>
          </cell>
          <cell r="L852">
            <v>450000</v>
          </cell>
          <cell r="M852" t="str">
            <v>MALL PLAZA LOS ÁNGELES</v>
          </cell>
          <cell r="P852" t="str">
            <v>LOS ANGELES</v>
          </cell>
          <cell r="Q852" t="str">
            <v>TRADICIONAL</v>
          </cell>
          <cell r="R852" t="str">
            <v>Mall - Sur</v>
          </cell>
          <cell r="S852" t="str">
            <v>Mall Plaza</v>
          </cell>
          <cell r="T852" t="str">
            <v>Cajas de luz</v>
          </cell>
          <cell r="U852">
            <v>1</v>
          </cell>
          <cell r="V852" t="str">
            <v>5.20 * 1.50</v>
          </cell>
        </row>
        <row r="853">
          <cell r="A853" t="str">
            <v>MPLA0002A</v>
          </cell>
          <cell r="B853" t="str">
            <v>Mall</v>
          </cell>
          <cell r="C853" t="str">
            <v>Mall Plaza</v>
          </cell>
          <cell r="D853" t="str">
            <v>Cajas de luz</v>
          </cell>
          <cell r="E853" t="str">
            <v>Cajas de luz</v>
          </cell>
          <cell r="F853" t="str">
            <v>6.60 * 3.00</v>
          </cell>
          <cell r="G853" t="str">
            <v>6.90 * 3.30</v>
          </cell>
          <cell r="H853" t="str">
            <v>S</v>
          </cell>
          <cell r="I853" t="str">
            <v>ESTACIONAMIENTOS</v>
          </cell>
          <cell r="J853">
            <v>0</v>
          </cell>
          <cell r="K853">
            <v>0</v>
          </cell>
          <cell r="L853">
            <v>520000</v>
          </cell>
          <cell r="M853" t="str">
            <v>MALL PLAZA LOS ÁNGELES</v>
          </cell>
          <cell r="P853" t="str">
            <v>LOS ANGELES</v>
          </cell>
          <cell r="Q853" t="str">
            <v>TRADICIONAL</v>
          </cell>
          <cell r="R853" t="str">
            <v>Mall - Sur</v>
          </cell>
          <cell r="S853" t="str">
            <v>Mall Plaza</v>
          </cell>
          <cell r="T853" t="str">
            <v>Cajas de luz</v>
          </cell>
          <cell r="U853">
            <v>1</v>
          </cell>
          <cell r="V853" t="str">
            <v>6.60 * 3.00</v>
          </cell>
        </row>
        <row r="854">
          <cell r="A854" t="str">
            <v>MPLA0003A</v>
          </cell>
          <cell r="B854" t="str">
            <v>Mall</v>
          </cell>
          <cell r="C854" t="str">
            <v>Mall Plaza</v>
          </cell>
          <cell r="D854" t="str">
            <v>Cajas de luz</v>
          </cell>
          <cell r="E854" t="str">
            <v>Cajas de luz</v>
          </cell>
          <cell r="F854" t="str">
            <v>3.50 * 2.00</v>
          </cell>
          <cell r="G854" t="str">
            <v>3.80 * 2.30</v>
          </cell>
          <cell r="H854" t="str">
            <v>S</v>
          </cell>
          <cell r="I854" t="str">
            <v>ESTACIONAMIENTOS</v>
          </cell>
          <cell r="J854">
            <v>0</v>
          </cell>
          <cell r="K854">
            <v>0</v>
          </cell>
          <cell r="L854">
            <v>400000</v>
          </cell>
          <cell r="M854" t="str">
            <v>MALL PLAZA LOS ÁNGELES</v>
          </cell>
          <cell r="P854" t="str">
            <v>LOS ANGELES</v>
          </cell>
          <cell r="Q854" t="str">
            <v>TRADICIONAL</v>
          </cell>
          <cell r="R854" t="str">
            <v>Mall - Sur</v>
          </cell>
          <cell r="S854" t="str">
            <v>Mall Plaza</v>
          </cell>
          <cell r="T854" t="str">
            <v>Cajas de luz</v>
          </cell>
          <cell r="U854">
            <v>1</v>
          </cell>
          <cell r="V854" t="str">
            <v>3.50 * 2.00</v>
          </cell>
        </row>
        <row r="855">
          <cell r="A855" t="str">
            <v>MPLA0004A</v>
          </cell>
          <cell r="B855" t="str">
            <v>Mall</v>
          </cell>
          <cell r="C855" t="str">
            <v>Mall Plaza</v>
          </cell>
          <cell r="D855" t="str">
            <v>Cajas de luz</v>
          </cell>
          <cell r="E855" t="str">
            <v>Cajas de luz</v>
          </cell>
          <cell r="F855" t="str">
            <v>3.92 * 1.92</v>
          </cell>
          <cell r="G855" t="str">
            <v>4.20 * 2.20</v>
          </cell>
          <cell r="H855" t="str">
            <v>I</v>
          </cell>
          <cell r="I855" t="str">
            <v>INTERIOR</v>
          </cell>
          <cell r="J855">
            <v>0</v>
          </cell>
          <cell r="K855">
            <v>0</v>
          </cell>
          <cell r="L855">
            <v>450000</v>
          </cell>
          <cell r="M855" t="str">
            <v>MALL PLAZA LOS ÁNGELES</v>
          </cell>
          <cell r="P855" t="str">
            <v>LOS ANGELES</v>
          </cell>
          <cell r="Q855" t="str">
            <v>TRADICIONAL</v>
          </cell>
          <cell r="R855" t="str">
            <v>Mall - Sur</v>
          </cell>
          <cell r="S855" t="str">
            <v>Mall Plaza</v>
          </cell>
          <cell r="T855" t="str">
            <v>Cajas de luz</v>
          </cell>
          <cell r="U855">
            <v>1</v>
          </cell>
          <cell r="V855" t="str">
            <v>3.92 * 1.92</v>
          </cell>
        </row>
        <row r="856">
          <cell r="A856" t="str">
            <v>MPLA0005A</v>
          </cell>
          <cell r="B856" t="str">
            <v>Mall</v>
          </cell>
          <cell r="C856" t="str">
            <v>Mall Plaza</v>
          </cell>
          <cell r="D856" t="str">
            <v>Pantallas Digitales</v>
          </cell>
          <cell r="E856" t="str">
            <v>Pantallas</v>
          </cell>
          <cell r="F856" t="str">
            <v>NA</v>
          </cell>
          <cell r="G856" t="str">
            <v>NA</v>
          </cell>
          <cell r="H856" t="str">
            <v>I</v>
          </cell>
          <cell r="I856" t="str">
            <v>LOTE 4 PANTALLAS</v>
          </cell>
          <cell r="J856">
            <v>0</v>
          </cell>
          <cell r="K856">
            <v>0</v>
          </cell>
          <cell r="L856">
            <v>500000</v>
          </cell>
          <cell r="M856" t="str">
            <v>MALL PLAZA LOS ÁNGELES</v>
          </cell>
          <cell r="P856" t="str">
            <v>LOS ANGELES</v>
          </cell>
          <cell r="Q856" t="str">
            <v>PANTALLA</v>
          </cell>
          <cell r="R856" t="str">
            <v>Mall - Sur</v>
          </cell>
          <cell r="S856" t="str">
            <v>Mall Plaza</v>
          </cell>
          <cell r="T856" t="str">
            <v>Pantallas Digitales</v>
          </cell>
          <cell r="U856">
            <v>1</v>
          </cell>
        </row>
        <row r="857">
          <cell r="A857" t="str">
            <v>MPLA0005B</v>
          </cell>
          <cell r="B857" t="str">
            <v>Mall</v>
          </cell>
          <cell r="C857" t="str">
            <v>Mall Plaza</v>
          </cell>
          <cell r="D857" t="str">
            <v>Pantallas Digitales</v>
          </cell>
          <cell r="E857" t="str">
            <v>Pantallas</v>
          </cell>
          <cell r="F857" t="str">
            <v>NA</v>
          </cell>
          <cell r="G857" t="str">
            <v>NA</v>
          </cell>
          <cell r="H857" t="str">
            <v>I</v>
          </cell>
          <cell r="I857" t="str">
            <v>LOTE 4 PANTALLAS</v>
          </cell>
          <cell r="J857">
            <v>0</v>
          </cell>
          <cell r="K857">
            <v>0</v>
          </cell>
          <cell r="L857">
            <v>500000</v>
          </cell>
          <cell r="M857" t="str">
            <v>MALL PLAZA LOS ÁNGELES</v>
          </cell>
          <cell r="P857" t="str">
            <v>LOS ANGELES</v>
          </cell>
          <cell r="Q857" t="str">
            <v>PANTALLA</v>
          </cell>
          <cell r="R857" t="str">
            <v>Mall - Sur</v>
          </cell>
          <cell r="S857" t="str">
            <v>Mall Plaza</v>
          </cell>
          <cell r="T857" t="str">
            <v>Pantallas Digitales</v>
          </cell>
          <cell r="U857">
            <v>1</v>
          </cell>
        </row>
        <row r="858">
          <cell r="A858" t="str">
            <v>MPLA0005C</v>
          </cell>
          <cell r="B858" t="str">
            <v>Mall</v>
          </cell>
          <cell r="C858" t="str">
            <v>Mall Plaza</v>
          </cell>
          <cell r="D858" t="str">
            <v>Pantallas Digitales</v>
          </cell>
          <cell r="E858" t="str">
            <v>Pantallas</v>
          </cell>
          <cell r="F858" t="str">
            <v>NA</v>
          </cell>
          <cell r="G858" t="str">
            <v>NA</v>
          </cell>
          <cell r="H858" t="str">
            <v>I</v>
          </cell>
          <cell r="I858" t="str">
            <v>LOTE 4 PANTALLA</v>
          </cell>
          <cell r="J858">
            <v>0</v>
          </cell>
          <cell r="K858">
            <v>0</v>
          </cell>
          <cell r="L858">
            <v>500000</v>
          </cell>
          <cell r="M858" t="str">
            <v>MALL PLAZA LOS ÁNGELES</v>
          </cell>
          <cell r="P858" t="str">
            <v>LOS ANGELES</v>
          </cell>
          <cell r="Q858" t="str">
            <v>PANTALLA</v>
          </cell>
          <cell r="R858" t="str">
            <v>Mall - Sur</v>
          </cell>
          <cell r="S858" t="str">
            <v>Mall Plaza</v>
          </cell>
          <cell r="T858" t="str">
            <v>Pantallas Digitales</v>
          </cell>
          <cell r="U858">
            <v>1</v>
          </cell>
        </row>
        <row r="859">
          <cell r="A859" t="str">
            <v>MPLA0005D</v>
          </cell>
          <cell r="B859" t="str">
            <v>Mall</v>
          </cell>
          <cell r="C859" t="str">
            <v>Mall Plaza</v>
          </cell>
          <cell r="D859" t="str">
            <v>Pantallas Digitales</v>
          </cell>
          <cell r="E859" t="str">
            <v>Pantallas</v>
          </cell>
          <cell r="F859" t="str">
            <v>NA</v>
          </cell>
          <cell r="G859" t="str">
            <v>NA</v>
          </cell>
          <cell r="H859" t="str">
            <v>I</v>
          </cell>
          <cell r="I859" t="str">
            <v>LOTE 4 PANTALLAS</v>
          </cell>
          <cell r="J859">
            <v>0</v>
          </cell>
          <cell r="K859">
            <v>0</v>
          </cell>
          <cell r="L859">
            <v>500000</v>
          </cell>
          <cell r="M859" t="str">
            <v>MALL PLAZA LOS ÁNGELES</v>
          </cell>
          <cell r="P859" t="str">
            <v>LOS ANGELES</v>
          </cell>
          <cell r="Q859" t="str">
            <v>PANTALLA</v>
          </cell>
          <cell r="R859" t="str">
            <v>Mall - Sur</v>
          </cell>
          <cell r="S859" t="str">
            <v>Mall Plaza</v>
          </cell>
          <cell r="T859" t="str">
            <v>Pantallas Digitales</v>
          </cell>
          <cell r="U859">
            <v>1</v>
          </cell>
        </row>
        <row r="860">
          <cell r="A860" t="str">
            <v>MPLA0005E</v>
          </cell>
          <cell r="B860" t="str">
            <v>Mall</v>
          </cell>
          <cell r="C860" t="str">
            <v>Mall Plaza</v>
          </cell>
          <cell r="D860" t="str">
            <v>Pantallas Digitales</v>
          </cell>
          <cell r="E860" t="str">
            <v>Pantallas</v>
          </cell>
          <cell r="F860" t="str">
            <v>NA</v>
          </cell>
          <cell r="G860" t="str">
            <v>NA</v>
          </cell>
          <cell r="H860" t="str">
            <v>I</v>
          </cell>
          <cell r="I860" t="str">
            <v>LOTE 4 PANTALLAS</v>
          </cell>
          <cell r="J860">
            <v>0</v>
          </cell>
          <cell r="K860">
            <v>0</v>
          </cell>
          <cell r="L860">
            <v>500000</v>
          </cell>
          <cell r="M860" t="str">
            <v>MALL PLAZA LOS ÁNGELES</v>
          </cell>
          <cell r="P860" t="str">
            <v>LOS ANGELES</v>
          </cell>
          <cell r="Q860" t="str">
            <v>PANTALLA</v>
          </cell>
          <cell r="R860" t="str">
            <v>Mall - Sur</v>
          </cell>
          <cell r="S860" t="str">
            <v>Mall Plaza</v>
          </cell>
          <cell r="T860" t="str">
            <v>Pantallas Digitales</v>
          </cell>
          <cell r="U860">
            <v>1</v>
          </cell>
        </row>
        <row r="861">
          <cell r="A861" t="str">
            <v>MPLA0005F</v>
          </cell>
          <cell r="B861" t="str">
            <v>Mall</v>
          </cell>
          <cell r="C861" t="str">
            <v>Mall Plaza</v>
          </cell>
          <cell r="D861" t="str">
            <v>Pantallas Digitales</v>
          </cell>
          <cell r="E861" t="str">
            <v>Pantallas</v>
          </cell>
          <cell r="F861" t="str">
            <v>NA</v>
          </cell>
          <cell r="G861" t="str">
            <v>NA</v>
          </cell>
          <cell r="H861" t="str">
            <v>I</v>
          </cell>
          <cell r="I861" t="str">
            <v>LOTE 4 PANTALLAS</v>
          </cell>
          <cell r="J861">
            <v>0</v>
          </cell>
          <cell r="K861">
            <v>0</v>
          </cell>
          <cell r="L861">
            <v>500000</v>
          </cell>
          <cell r="M861" t="str">
            <v>MALL PLAZA LOS ÁNGELES</v>
          </cell>
          <cell r="P861" t="str">
            <v>LOS ANGELES</v>
          </cell>
          <cell r="Q861" t="str">
            <v>PANTALLA</v>
          </cell>
          <cell r="R861" t="str">
            <v>Mall - Sur</v>
          </cell>
          <cell r="S861" t="str">
            <v>Mall Plaza</v>
          </cell>
          <cell r="T861" t="str">
            <v>Pantallas Digitales</v>
          </cell>
          <cell r="U861">
            <v>1</v>
          </cell>
        </row>
        <row r="862">
          <cell r="A862" t="str">
            <v>MPLA0005G</v>
          </cell>
          <cell r="B862" t="str">
            <v>Mall</v>
          </cell>
          <cell r="C862" t="str">
            <v>Mall Plaza</v>
          </cell>
          <cell r="D862" t="str">
            <v>Pantallas Digitales</v>
          </cell>
          <cell r="E862" t="str">
            <v>Pantallas</v>
          </cell>
          <cell r="F862" t="str">
            <v>NA</v>
          </cell>
          <cell r="G862" t="str">
            <v>NA</v>
          </cell>
          <cell r="H862" t="str">
            <v>I</v>
          </cell>
          <cell r="I862" t="str">
            <v>LOTE 4 PANTALLAS</v>
          </cell>
          <cell r="J862">
            <v>0</v>
          </cell>
          <cell r="K862">
            <v>0</v>
          </cell>
          <cell r="L862">
            <v>500000</v>
          </cell>
          <cell r="M862" t="str">
            <v>MALL PLAZA LOS ÁNGELES</v>
          </cell>
          <cell r="P862" t="str">
            <v>LOS ANGELES</v>
          </cell>
          <cell r="Q862" t="str">
            <v>PANTALLA</v>
          </cell>
          <cell r="R862" t="str">
            <v>Mall - Sur</v>
          </cell>
          <cell r="S862" t="str">
            <v>Mall Plaza</v>
          </cell>
          <cell r="T862" t="str">
            <v>Pantallas Digitales</v>
          </cell>
          <cell r="U862">
            <v>1</v>
          </cell>
        </row>
        <row r="863">
          <cell r="A863" t="str">
            <v>MPLA0005H</v>
          </cell>
          <cell r="B863" t="str">
            <v>Mall</v>
          </cell>
          <cell r="C863" t="str">
            <v>Mall Plaza</v>
          </cell>
          <cell r="D863" t="str">
            <v>Pantallas Digitales</v>
          </cell>
          <cell r="E863" t="str">
            <v>Pantallas</v>
          </cell>
          <cell r="F863" t="str">
            <v>NA</v>
          </cell>
          <cell r="G863" t="str">
            <v>NA</v>
          </cell>
          <cell r="H863" t="str">
            <v>I</v>
          </cell>
          <cell r="I863" t="str">
            <v>LOTE 4 PANTALLAS</v>
          </cell>
          <cell r="J863">
            <v>0</v>
          </cell>
          <cell r="K863">
            <v>0</v>
          </cell>
          <cell r="L863">
            <v>500000</v>
          </cell>
          <cell r="M863" t="str">
            <v>MALL PLAZA LOS ÁNGELES</v>
          </cell>
          <cell r="P863" t="str">
            <v>LOS ANGELES</v>
          </cell>
          <cell r="Q863" t="str">
            <v>PANTALLA</v>
          </cell>
          <cell r="R863" t="str">
            <v>Mall - Sur</v>
          </cell>
          <cell r="S863" t="str">
            <v>Mall Plaza</v>
          </cell>
          <cell r="T863" t="str">
            <v>Pantallas Digitales</v>
          </cell>
          <cell r="U863">
            <v>1</v>
          </cell>
        </row>
        <row r="864">
          <cell r="A864" t="str">
            <v>MPLA0005I</v>
          </cell>
          <cell r="B864" t="str">
            <v>Mall</v>
          </cell>
          <cell r="C864" t="str">
            <v>Mall Plaza</v>
          </cell>
          <cell r="D864" t="str">
            <v>Pantallas Digitales</v>
          </cell>
          <cell r="E864" t="str">
            <v>Pantallas</v>
          </cell>
          <cell r="F864" t="str">
            <v>NA</v>
          </cell>
          <cell r="G864" t="str">
            <v>NA</v>
          </cell>
          <cell r="H864" t="str">
            <v>I</v>
          </cell>
          <cell r="I864" t="str">
            <v>LOTE 4 PANTALLAS</v>
          </cell>
          <cell r="J864">
            <v>0</v>
          </cell>
          <cell r="K864">
            <v>0</v>
          </cell>
          <cell r="L864">
            <v>500000</v>
          </cell>
          <cell r="M864" t="str">
            <v>MALL PLAZA LOS ÁNGELES</v>
          </cell>
          <cell r="P864" t="str">
            <v>LOS ANGELES</v>
          </cell>
          <cell r="Q864" t="str">
            <v>PANTALLA</v>
          </cell>
          <cell r="R864" t="str">
            <v>Mall - Sur</v>
          </cell>
          <cell r="S864" t="str">
            <v>Mall Plaza</v>
          </cell>
          <cell r="T864" t="str">
            <v>Pantallas Digitales</v>
          </cell>
          <cell r="U864">
            <v>1</v>
          </cell>
        </row>
        <row r="865">
          <cell r="A865" t="str">
            <v>MPLA0005J</v>
          </cell>
          <cell r="B865" t="str">
            <v>Mall</v>
          </cell>
          <cell r="C865" t="str">
            <v>Mall Plaza</v>
          </cell>
          <cell r="D865" t="str">
            <v>Pantallas Digitales</v>
          </cell>
          <cell r="E865" t="str">
            <v>Pantallas</v>
          </cell>
          <cell r="F865" t="str">
            <v>NA</v>
          </cell>
          <cell r="G865" t="str">
            <v>NA</v>
          </cell>
          <cell r="H865" t="str">
            <v>I</v>
          </cell>
          <cell r="I865" t="str">
            <v>LOTE 4 PANTALLAS</v>
          </cell>
          <cell r="J865">
            <v>0</v>
          </cell>
          <cell r="K865">
            <v>0</v>
          </cell>
          <cell r="L865">
            <v>500000</v>
          </cell>
          <cell r="M865" t="str">
            <v>MALL PLAZA LOS ÁNGELES</v>
          </cell>
          <cell r="P865" t="str">
            <v>LOS ANGELES</v>
          </cell>
          <cell r="Q865" t="str">
            <v>PANTALLA</v>
          </cell>
          <cell r="R865" t="str">
            <v>Mall - Sur</v>
          </cell>
          <cell r="S865" t="str">
            <v>Mall Plaza</v>
          </cell>
          <cell r="T865" t="str">
            <v>Pantallas Digitales</v>
          </cell>
          <cell r="U865">
            <v>1</v>
          </cell>
        </row>
        <row r="866">
          <cell r="A866" t="str">
            <v>MPLA0005K</v>
          </cell>
          <cell r="B866" t="str">
            <v>Mall</v>
          </cell>
          <cell r="C866" t="str">
            <v>Mall Plaza</v>
          </cell>
          <cell r="D866" t="str">
            <v>Pantallas Digitales</v>
          </cell>
          <cell r="E866" t="str">
            <v>Pantallas</v>
          </cell>
          <cell r="F866" t="str">
            <v>NA</v>
          </cell>
          <cell r="G866" t="str">
            <v>NA</v>
          </cell>
          <cell r="H866" t="str">
            <v>I</v>
          </cell>
          <cell r="I866" t="str">
            <v>LOTE 4 PANTALLAS</v>
          </cell>
          <cell r="J866">
            <v>0</v>
          </cell>
          <cell r="K866">
            <v>0</v>
          </cell>
          <cell r="L866">
            <v>500000</v>
          </cell>
          <cell r="M866" t="str">
            <v>MALL PLAZA LOS ÁNGELES</v>
          </cell>
          <cell r="P866" t="str">
            <v>LOS ANGELES</v>
          </cell>
          <cell r="Q866" t="str">
            <v>PANTALLA</v>
          </cell>
          <cell r="R866" t="str">
            <v>Mall - Sur</v>
          </cell>
          <cell r="S866" t="str">
            <v>Mall Plaza</v>
          </cell>
          <cell r="T866" t="str">
            <v>Pantallas Digitales</v>
          </cell>
          <cell r="U866">
            <v>1</v>
          </cell>
        </row>
        <row r="867">
          <cell r="A867" t="str">
            <v>MPLA0005L</v>
          </cell>
          <cell r="B867" t="str">
            <v>Mall</v>
          </cell>
          <cell r="C867" t="str">
            <v>Mall Plaza</v>
          </cell>
          <cell r="D867" t="str">
            <v>Pantallas Digitales</v>
          </cell>
          <cell r="E867" t="str">
            <v>Pantallas</v>
          </cell>
          <cell r="F867" t="str">
            <v>NA</v>
          </cell>
          <cell r="G867" t="str">
            <v>NA</v>
          </cell>
          <cell r="H867" t="str">
            <v>I</v>
          </cell>
          <cell r="I867" t="str">
            <v>LOTE 4 PANTALLAS</v>
          </cell>
          <cell r="J867">
            <v>0</v>
          </cell>
          <cell r="K867">
            <v>0</v>
          </cell>
          <cell r="L867">
            <v>500000</v>
          </cell>
          <cell r="M867" t="str">
            <v>MALL PLAZA LOS ÁNGELES</v>
          </cell>
          <cell r="P867" t="str">
            <v>LOS ANGELES</v>
          </cell>
          <cell r="Q867" t="str">
            <v>PANTALLA</v>
          </cell>
          <cell r="R867" t="str">
            <v>Mall - Sur</v>
          </cell>
          <cell r="S867" t="str">
            <v>Mall Plaza</v>
          </cell>
          <cell r="T867" t="str">
            <v>Pantallas Digitales</v>
          </cell>
          <cell r="U867">
            <v>1</v>
          </cell>
        </row>
        <row r="868">
          <cell r="A868" t="str">
            <v>MPLA0005M</v>
          </cell>
          <cell r="B868" t="str">
            <v>Mall</v>
          </cell>
          <cell r="C868" t="str">
            <v>Mall Plaza</v>
          </cell>
          <cell r="D868" t="str">
            <v>Pantallas Digitales</v>
          </cell>
          <cell r="E868" t="str">
            <v>Pantallas</v>
          </cell>
          <cell r="F868" t="str">
            <v>NA</v>
          </cell>
          <cell r="G868" t="str">
            <v>NA</v>
          </cell>
          <cell r="H868" t="str">
            <v>I</v>
          </cell>
          <cell r="I868" t="str">
            <v>LOTE 4 PANTALLAS</v>
          </cell>
          <cell r="J868">
            <v>0</v>
          </cell>
          <cell r="K868">
            <v>0</v>
          </cell>
          <cell r="L868">
            <v>500000</v>
          </cell>
          <cell r="M868" t="str">
            <v>MALL PLAZA LOS ÁNGELES</v>
          </cell>
          <cell r="P868" t="str">
            <v>LOS ANGELES</v>
          </cell>
          <cell r="Q868" t="str">
            <v>PANTALLA</v>
          </cell>
          <cell r="R868" t="str">
            <v>Mall - Sur</v>
          </cell>
          <cell r="S868" t="str">
            <v>Mall Plaza</v>
          </cell>
          <cell r="T868" t="str">
            <v>Pantallas Digitales</v>
          </cell>
          <cell r="U868">
            <v>1</v>
          </cell>
        </row>
        <row r="869">
          <cell r="A869" t="str">
            <v>MPLA0005N</v>
          </cell>
          <cell r="B869" t="str">
            <v>Mall</v>
          </cell>
          <cell r="C869" t="str">
            <v>Mall Plaza</v>
          </cell>
          <cell r="D869" t="str">
            <v>Pantallas Digitales</v>
          </cell>
          <cell r="E869" t="str">
            <v>Pantallas</v>
          </cell>
          <cell r="F869" t="str">
            <v>NA</v>
          </cell>
          <cell r="G869" t="str">
            <v>NA</v>
          </cell>
          <cell r="H869" t="str">
            <v>I</v>
          </cell>
          <cell r="I869" t="str">
            <v>LOTE 4 PANTALLAS</v>
          </cell>
          <cell r="J869">
            <v>0</v>
          </cell>
          <cell r="K869">
            <v>0</v>
          </cell>
          <cell r="L869">
            <v>500000</v>
          </cell>
          <cell r="M869" t="str">
            <v>MALL PLAZA LOS ÁNGELES</v>
          </cell>
          <cell r="P869" t="str">
            <v>LOS ANGELES</v>
          </cell>
          <cell r="Q869" t="str">
            <v>PANTALLA</v>
          </cell>
          <cell r="R869" t="str">
            <v>Mall - Sur</v>
          </cell>
          <cell r="S869" t="str">
            <v>Mall Plaza</v>
          </cell>
          <cell r="T869" t="str">
            <v>Pantallas Digitales</v>
          </cell>
          <cell r="U869">
            <v>1</v>
          </cell>
        </row>
        <row r="870">
          <cell r="A870" t="str">
            <v>MPLA0005Ñ</v>
          </cell>
          <cell r="B870" t="str">
            <v>Mall</v>
          </cell>
          <cell r="C870" t="str">
            <v>Mall Plaza</v>
          </cell>
          <cell r="D870" t="str">
            <v>Pantallas Digitales</v>
          </cell>
          <cell r="E870" t="str">
            <v>Pantallas</v>
          </cell>
          <cell r="F870" t="str">
            <v>NA</v>
          </cell>
          <cell r="G870" t="str">
            <v>NA</v>
          </cell>
          <cell r="H870" t="str">
            <v>I</v>
          </cell>
          <cell r="I870" t="str">
            <v>LOTE 4 PANTALLAS</v>
          </cell>
          <cell r="J870">
            <v>0</v>
          </cell>
          <cell r="K870">
            <v>0</v>
          </cell>
          <cell r="L870">
            <v>500000</v>
          </cell>
          <cell r="M870" t="str">
            <v>MALL PLAZA LOS ÁNGELES</v>
          </cell>
          <cell r="P870" t="str">
            <v>LOS ANGELES</v>
          </cell>
          <cell r="Q870" t="str">
            <v>PANTALLA</v>
          </cell>
          <cell r="R870" t="str">
            <v>Mall - Sur</v>
          </cell>
          <cell r="S870" t="str">
            <v>Mall Plaza</v>
          </cell>
          <cell r="T870" t="str">
            <v>Pantallas Digitales</v>
          </cell>
          <cell r="U870">
            <v>1</v>
          </cell>
        </row>
        <row r="871">
          <cell r="A871" t="str">
            <v>MPLT0001A</v>
          </cell>
          <cell r="B871" t="str">
            <v>Mall</v>
          </cell>
          <cell r="D871" t="str">
            <v>Cajas de luz</v>
          </cell>
          <cell r="E871" t="str">
            <v>Cajas de luz</v>
          </cell>
          <cell r="F871" t="str">
            <v>5.08 * 2.85</v>
          </cell>
          <cell r="G871" t="str">
            <v>5.68 * 3.45</v>
          </cell>
          <cell r="H871" t="str">
            <v>E</v>
          </cell>
          <cell r="I871" t="str">
            <v>ESTACIONAMIENTOS</v>
          </cell>
          <cell r="J871">
            <v>0</v>
          </cell>
          <cell r="K871">
            <v>0</v>
          </cell>
          <cell r="L871">
            <v>900000</v>
          </cell>
          <cell r="M871" t="str">
            <v>MALL PASEO LOS TRAPENSES</v>
          </cell>
          <cell r="P871" t="str">
            <v>LO BARNECHEA</v>
          </cell>
          <cell r="Q871" t="str">
            <v>TRADICIONAL</v>
          </cell>
          <cell r="R871" t="str">
            <v>Mall - Santiago</v>
          </cell>
          <cell r="S871" t="str">
            <v>Mall Paseo Los Trapenses</v>
          </cell>
          <cell r="T871" t="str">
            <v>Cajas de luz</v>
          </cell>
          <cell r="U871">
            <v>1</v>
          </cell>
          <cell r="V871" t="str">
            <v>5.08 * 2.85</v>
          </cell>
        </row>
        <row r="872">
          <cell r="A872" t="str">
            <v>MPLT0002A</v>
          </cell>
          <cell r="B872" t="str">
            <v>Mall</v>
          </cell>
          <cell r="D872" t="str">
            <v>Cajas de luz</v>
          </cell>
          <cell r="E872" t="str">
            <v>Cajas de luz</v>
          </cell>
          <cell r="F872" t="str">
            <v>4.03 * 2.07</v>
          </cell>
          <cell r="G872" t="str">
            <v>4.63 * 2.67</v>
          </cell>
          <cell r="H872" t="str">
            <v>E</v>
          </cell>
          <cell r="I872" t="str">
            <v>ESTACIONAMIENTOS</v>
          </cell>
          <cell r="J872">
            <v>0</v>
          </cell>
          <cell r="K872">
            <v>0</v>
          </cell>
          <cell r="L872">
            <v>577500</v>
          </cell>
          <cell r="M872" t="str">
            <v>MALL PASEO LOS TRAPENSES</v>
          </cell>
          <cell r="P872" t="str">
            <v>LO BARNECHEA</v>
          </cell>
          <cell r="Q872" t="str">
            <v>TRADICIONAL</v>
          </cell>
          <cell r="R872" t="str">
            <v>Mall - Santiago</v>
          </cell>
          <cell r="S872" t="str">
            <v>Mall Paseo Los Trapenses</v>
          </cell>
          <cell r="T872" t="str">
            <v>Cajas de luz</v>
          </cell>
          <cell r="U872">
            <v>1</v>
          </cell>
          <cell r="V872" t="str">
            <v>4.03 * 2.07</v>
          </cell>
        </row>
        <row r="873">
          <cell r="A873" t="str">
            <v>MPLT0003A</v>
          </cell>
          <cell r="B873" t="str">
            <v>Mall</v>
          </cell>
          <cell r="D873" t="str">
            <v>Cajas de luz</v>
          </cell>
          <cell r="E873" t="str">
            <v>Cajas de luz</v>
          </cell>
          <cell r="F873" t="str">
            <v>3.30 * 3.80</v>
          </cell>
          <cell r="G873" t="str">
            <v>3.90 * 4.40</v>
          </cell>
          <cell r="H873" t="str">
            <v>E</v>
          </cell>
          <cell r="I873" t="str">
            <v>ESTACIONAMIENTOS</v>
          </cell>
          <cell r="J873">
            <v>0</v>
          </cell>
          <cell r="K873">
            <v>0</v>
          </cell>
          <cell r="L873">
            <v>787500</v>
          </cell>
          <cell r="M873" t="str">
            <v>MALL PASEO LOS TRAPENSES</v>
          </cell>
          <cell r="P873" t="str">
            <v>LO BARNECHEA</v>
          </cell>
          <cell r="Q873" t="str">
            <v>TRADICIONAL</v>
          </cell>
          <cell r="R873" t="str">
            <v>Mall - Santiago</v>
          </cell>
          <cell r="S873" t="str">
            <v>Mall Paseo Los Trapenses</v>
          </cell>
          <cell r="T873" t="str">
            <v>Cajas de luz</v>
          </cell>
          <cell r="U873">
            <v>1</v>
          </cell>
          <cell r="V873" t="str">
            <v>3.30 * 3.80</v>
          </cell>
        </row>
        <row r="874">
          <cell r="A874" t="str">
            <v>MPLT0004A</v>
          </cell>
          <cell r="B874" t="str">
            <v>Mall</v>
          </cell>
          <cell r="D874" t="str">
            <v>Cajas de luz</v>
          </cell>
          <cell r="E874" t="str">
            <v>Cajas de luz</v>
          </cell>
          <cell r="F874" t="str">
            <v>3.36 * 3.85</v>
          </cell>
          <cell r="G874" t="str">
            <v>3.96 * 4.45</v>
          </cell>
          <cell r="H874" t="str">
            <v>E</v>
          </cell>
          <cell r="I874" t="str">
            <v>ESTACIONAMIENTOS</v>
          </cell>
          <cell r="J874">
            <v>0</v>
          </cell>
          <cell r="K874">
            <v>0</v>
          </cell>
          <cell r="L874">
            <v>787500</v>
          </cell>
          <cell r="M874" t="str">
            <v>MALL PASEO LOS TRAPENSES</v>
          </cell>
          <cell r="P874" t="str">
            <v>LO BARNECHEA</v>
          </cell>
          <cell r="Q874" t="str">
            <v>TRADICIONAL</v>
          </cell>
          <cell r="R874" t="str">
            <v>Mall - Santiago</v>
          </cell>
          <cell r="S874" t="str">
            <v>Mall Paseo Los Trapenses</v>
          </cell>
          <cell r="T874" t="str">
            <v>Cajas de luz</v>
          </cell>
          <cell r="U874">
            <v>1</v>
          </cell>
          <cell r="V874" t="str">
            <v>3.36 * 3.85</v>
          </cell>
        </row>
        <row r="875">
          <cell r="A875" t="str">
            <v>MPLT0005A</v>
          </cell>
          <cell r="B875" t="str">
            <v>Mall</v>
          </cell>
          <cell r="D875" t="str">
            <v>Cajas de luz</v>
          </cell>
          <cell r="E875" t="str">
            <v>Cajas de luz</v>
          </cell>
          <cell r="F875" t="str">
            <v>7.06 * 4.73</v>
          </cell>
          <cell r="G875" t="str">
            <v>7.66 * 5.33</v>
          </cell>
          <cell r="H875" t="str">
            <v>E</v>
          </cell>
          <cell r="I875" t="str">
            <v>ESTACIONAMIENTOS</v>
          </cell>
          <cell r="J875">
            <v>0</v>
          </cell>
          <cell r="K875">
            <v>0</v>
          </cell>
          <cell r="L875">
            <v>1102500</v>
          </cell>
          <cell r="M875" t="str">
            <v>MALL PASEO LOS TRAPENSES</v>
          </cell>
          <cell r="P875" t="str">
            <v>LO BARNECHEA</v>
          </cell>
          <cell r="Q875" t="str">
            <v>TRADICIONAL</v>
          </cell>
          <cell r="R875" t="str">
            <v>Mall - Santiago</v>
          </cell>
          <cell r="S875" t="str">
            <v>Mall Paseo Los Trapenses</v>
          </cell>
          <cell r="T875" t="str">
            <v>Cajas de luz</v>
          </cell>
          <cell r="U875">
            <v>1</v>
          </cell>
          <cell r="V875" t="str">
            <v>7.06 * 4.73</v>
          </cell>
        </row>
        <row r="876">
          <cell r="A876" t="str">
            <v>MPLT0006A</v>
          </cell>
          <cell r="B876" t="str">
            <v>Mall</v>
          </cell>
          <cell r="D876" t="str">
            <v>Cajas de luz</v>
          </cell>
          <cell r="E876" t="str">
            <v>Cajas de luz</v>
          </cell>
          <cell r="F876" t="str">
            <v>4.54 * 4.63</v>
          </cell>
          <cell r="G876" t="str">
            <v>5.15 * 5.23</v>
          </cell>
          <cell r="H876" t="str">
            <v>E</v>
          </cell>
          <cell r="I876" t="str">
            <v>ESTACIONAMIENTOS</v>
          </cell>
          <cell r="J876">
            <v>0</v>
          </cell>
          <cell r="K876">
            <v>0</v>
          </cell>
          <cell r="L876">
            <v>934500</v>
          </cell>
          <cell r="M876" t="str">
            <v>MALL PASEO LOS TRAPENSES</v>
          </cell>
          <cell r="P876" t="str">
            <v>LO BARNECHEA</v>
          </cell>
          <cell r="Q876" t="str">
            <v>TRADICIONAL</v>
          </cell>
          <cell r="R876" t="str">
            <v>Mall - Santiago</v>
          </cell>
          <cell r="S876" t="str">
            <v>Mall Paseo Los Trapenses</v>
          </cell>
          <cell r="T876" t="str">
            <v>Cajas de luz</v>
          </cell>
          <cell r="U876">
            <v>1</v>
          </cell>
          <cell r="V876" t="str">
            <v>4.54 * 4.63</v>
          </cell>
        </row>
        <row r="877">
          <cell r="A877" t="str">
            <v>MPLT0007A</v>
          </cell>
          <cell r="B877" t="str">
            <v>Mall</v>
          </cell>
          <cell r="D877" t="str">
            <v>Cajas de luz</v>
          </cell>
          <cell r="E877" t="str">
            <v>Cajas de luz</v>
          </cell>
          <cell r="F877" t="str">
            <v>4.52 * 2.02</v>
          </cell>
          <cell r="G877" t="str">
            <v>5.12 * 2.62</v>
          </cell>
          <cell r="H877" t="str">
            <v>E</v>
          </cell>
          <cell r="I877" t="str">
            <v>ESTACIONAMIENTOS</v>
          </cell>
          <cell r="J877">
            <v>0</v>
          </cell>
          <cell r="K877">
            <v>0</v>
          </cell>
          <cell r="L877">
            <v>577500</v>
          </cell>
          <cell r="M877" t="str">
            <v>MALL PASEO LOS TRAPENSES</v>
          </cell>
          <cell r="P877" t="str">
            <v>LO BARNECHEA</v>
          </cell>
          <cell r="Q877" t="str">
            <v>TRADICIONAL</v>
          </cell>
          <cell r="R877" t="str">
            <v>Mall - Santiago</v>
          </cell>
          <cell r="S877" t="str">
            <v>Mall Paseo Los Trapenses</v>
          </cell>
          <cell r="T877" t="str">
            <v>Cajas de luz</v>
          </cell>
          <cell r="U877">
            <v>1</v>
          </cell>
          <cell r="V877" t="str">
            <v>4.52 * 2.02</v>
          </cell>
        </row>
        <row r="878">
          <cell r="A878" t="str">
            <v>MPLT0008A</v>
          </cell>
          <cell r="B878" t="str">
            <v>Mall</v>
          </cell>
          <cell r="D878" t="str">
            <v>Cajas de luz</v>
          </cell>
          <cell r="E878" t="str">
            <v>Cajas de luz</v>
          </cell>
          <cell r="F878" t="str">
            <v>7.10 * 4.66</v>
          </cell>
          <cell r="G878" t="str">
            <v>7.70 * 5.26</v>
          </cell>
          <cell r="H878" t="str">
            <v>E</v>
          </cell>
          <cell r="I878" t="str">
            <v>ESTACIONAMIENTOS</v>
          </cell>
          <cell r="J878">
            <v>0</v>
          </cell>
          <cell r="K878">
            <v>0</v>
          </cell>
          <cell r="L878">
            <v>1102500</v>
          </cell>
          <cell r="M878" t="str">
            <v>MALL PASEO LOS TRAPENSES</v>
          </cell>
          <cell r="P878" t="str">
            <v>LO BARNECHEA</v>
          </cell>
          <cell r="Q878" t="str">
            <v>TRADICIONAL</v>
          </cell>
          <cell r="R878" t="str">
            <v>Mall - Santiago</v>
          </cell>
          <cell r="S878" t="str">
            <v>Mall Paseo Los Trapenses</v>
          </cell>
          <cell r="T878" t="str">
            <v>Cajas de luz</v>
          </cell>
          <cell r="U878">
            <v>1</v>
          </cell>
          <cell r="V878" t="str">
            <v>7.10 * 4.66</v>
          </cell>
        </row>
        <row r="879">
          <cell r="A879" t="str">
            <v>MPLT0009A</v>
          </cell>
          <cell r="B879" t="str">
            <v>Mall</v>
          </cell>
          <cell r="D879" t="str">
            <v>Cajas de luz</v>
          </cell>
          <cell r="E879" t="str">
            <v>Cajas de luz</v>
          </cell>
          <cell r="F879" t="str">
            <v>4.57 * 4.70</v>
          </cell>
          <cell r="G879" t="str">
            <v>5.17 * 5.30</v>
          </cell>
          <cell r="H879" t="str">
            <v>E</v>
          </cell>
          <cell r="I879" t="str">
            <v>ESTACIONAMIENTOS</v>
          </cell>
          <cell r="J879">
            <v>0</v>
          </cell>
          <cell r="K879">
            <v>0</v>
          </cell>
          <cell r="L879">
            <v>900000</v>
          </cell>
          <cell r="M879" t="str">
            <v>MALL PASEO LOS TRAPENSES</v>
          </cell>
          <cell r="P879" t="str">
            <v>LO BARNECHEA</v>
          </cell>
          <cell r="Q879" t="str">
            <v>TRADICIONAL</v>
          </cell>
          <cell r="R879" t="str">
            <v>Mall - Santiago</v>
          </cell>
          <cell r="S879" t="str">
            <v>Mall Paseo Los Trapenses</v>
          </cell>
          <cell r="T879" t="str">
            <v>Cajas de luz</v>
          </cell>
          <cell r="U879">
            <v>1</v>
          </cell>
          <cell r="V879" t="str">
            <v>4.57 * 4.70</v>
          </cell>
        </row>
        <row r="880">
          <cell r="A880" t="str">
            <v>MPLT0010A</v>
          </cell>
          <cell r="B880" t="str">
            <v>Mall</v>
          </cell>
          <cell r="D880" t="str">
            <v>Cajas de luz</v>
          </cell>
          <cell r="E880" t="str">
            <v>Cajas de luz</v>
          </cell>
          <cell r="F880" t="str">
            <v>7.11 * 5.52</v>
          </cell>
          <cell r="G880" t="str">
            <v>7.71 * 6.12</v>
          </cell>
          <cell r="H880" t="str">
            <v>E</v>
          </cell>
          <cell r="I880" t="str">
            <v>ESTACIONAMIENTOS</v>
          </cell>
          <cell r="J880">
            <v>0</v>
          </cell>
          <cell r="K880">
            <v>0</v>
          </cell>
          <cell r="L880">
            <v>1260000</v>
          </cell>
          <cell r="M880" t="str">
            <v>MALL PASEO LOS TRAPENSES</v>
          </cell>
          <cell r="P880" t="str">
            <v>LO BARNECHEA</v>
          </cell>
          <cell r="Q880" t="str">
            <v>TRADICIONAL</v>
          </cell>
          <cell r="R880" t="str">
            <v>Mall - Santiago</v>
          </cell>
          <cell r="S880" t="str">
            <v>Mall Paseo Los Trapenses</v>
          </cell>
          <cell r="T880" t="str">
            <v>Cajas de luz</v>
          </cell>
          <cell r="U880">
            <v>1</v>
          </cell>
          <cell r="V880" t="str">
            <v>7.11 * 5.52</v>
          </cell>
        </row>
        <row r="881">
          <cell r="A881" t="str">
            <v>MPLT0011A</v>
          </cell>
          <cell r="B881" t="str">
            <v>Mall</v>
          </cell>
          <cell r="D881" t="str">
            <v>Cajas de luz</v>
          </cell>
          <cell r="E881" t="str">
            <v>Cajas de luz</v>
          </cell>
          <cell r="F881" t="str">
            <v>4.55 * 4.69</v>
          </cell>
          <cell r="G881" t="str">
            <v>5.15 * 5.29</v>
          </cell>
          <cell r="H881" t="str">
            <v>E</v>
          </cell>
          <cell r="I881" t="str">
            <v>ESTACIONAMIENTOS</v>
          </cell>
          <cell r="J881">
            <v>0</v>
          </cell>
          <cell r="K881">
            <v>0</v>
          </cell>
          <cell r="L881">
            <v>900000</v>
          </cell>
          <cell r="M881" t="str">
            <v>MALL PASEO LOS TRAPENSES</v>
          </cell>
          <cell r="P881" t="str">
            <v>LO BARNECHEA</v>
          </cell>
          <cell r="Q881" t="str">
            <v>TRADICIONAL</v>
          </cell>
          <cell r="R881" t="str">
            <v>Mall - Santiago</v>
          </cell>
          <cell r="S881" t="str">
            <v>Mall Paseo Los Trapenses</v>
          </cell>
          <cell r="T881" t="str">
            <v>Cajas de luz</v>
          </cell>
          <cell r="U881">
            <v>1</v>
          </cell>
          <cell r="V881" t="str">
            <v>4.55 * 4.69</v>
          </cell>
        </row>
        <row r="882">
          <cell r="A882" t="str">
            <v>PAAR0001A</v>
          </cell>
          <cell r="B882" t="str">
            <v>Mall</v>
          </cell>
          <cell r="D882" t="str">
            <v>Paletas</v>
          </cell>
          <cell r="E882" t="str">
            <v>PALETA SUPER SCREEN</v>
          </cell>
          <cell r="F882" t="str">
            <v>1.20 * 1.70</v>
          </cell>
          <cell r="G882" t="str">
            <v>1.23 * 1.75</v>
          </cell>
          <cell r="I882" t="str">
            <v>ESTACIONAMIENTOS</v>
          </cell>
          <cell r="J882">
            <v>0</v>
          </cell>
          <cell r="K882">
            <v>0</v>
          </cell>
          <cell r="L882">
            <v>380000</v>
          </cell>
          <cell r="M882" t="str">
            <v>MALL PARQUE ARAUCO</v>
          </cell>
          <cell r="P882" t="str">
            <v>LAS CONDES</v>
          </cell>
          <cell r="Q882" t="str">
            <v>TRADICIONAL</v>
          </cell>
          <cell r="R882" t="str">
            <v>Mall - Santiago</v>
          </cell>
          <cell r="S882" t="str">
            <v>Parque Arauco</v>
          </cell>
          <cell r="T882" t="str">
            <v>Paletas</v>
          </cell>
          <cell r="U882">
            <v>1</v>
          </cell>
          <cell r="V882" t="str">
            <v>1.20 * 1.70</v>
          </cell>
        </row>
        <row r="883">
          <cell r="A883" t="str">
            <v>PAAR0002A</v>
          </cell>
          <cell r="B883" t="str">
            <v>Mall</v>
          </cell>
          <cell r="D883" t="str">
            <v>Paletas</v>
          </cell>
          <cell r="E883" t="str">
            <v>PALETA SUPER SCREEN</v>
          </cell>
          <cell r="F883" t="str">
            <v>1.20 * 1.70</v>
          </cell>
          <cell r="G883" t="str">
            <v>1.23 * 1.75</v>
          </cell>
          <cell r="I883" t="str">
            <v>ESTACIONAMIENTOS</v>
          </cell>
          <cell r="J883">
            <v>0</v>
          </cell>
          <cell r="K883">
            <v>0</v>
          </cell>
          <cell r="L883">
            <v>380000</v>
          </cell>
          <cell r="M883" t="str">
            <v>MALL PARQUE ARAUCO</v>
          </cell>
          <cell r="P883" t="str">
            <v>LAS CONDES</v>
          </cell>
          <cell r="Q883" t="str">
            <v>TRADICIONAL</v>
          </cell>
          <cell r="R883" t="str">
            <v>Mall - Santiago</v>
          </cell>
          <cell r="S883" t="str">
            <v>Parque Arauco</v>
          </cell>
          <cell r="T883" t="str">
            <v>Paletas</v>
          </cell>
          <cell r="U883">
            <v>1</v>
          </cell>
          <cell r="V883" t="str">
            <v>1.20 * 1.70</v>
          </cell>
        </row>
        <row r="884">
          <cell r="A884" t="str">
            <v>PAAR0002B</v>
          </cell>
          <cell r="B884" t="str">
            <v>Mall</v>
          </cell>
          <cell r="D884" t="str">
            <v>Paletas</v>
          </cell>
          <cell r="E884" t="str">
            <v>PALETA SUPER SCREEN</v>
          </cell>
          <cell r="F884" t="str">
            <v>1.20 * 1.70</v>
          </cell>
          <cell r="G884" t="str">
            <v>1.23 * 1.75</v>
          </cell>
          <cell r="I884" t="str">
            <v>ESTACIONAMIENTOS</v>
          </cell>
          <cell r="J884">
            <v>0</v>
          </cell>
          <cell r="K884">
            <v>0</v>
          </cell>
          <cell r="L884">
            <v>380000</v>
          </cell>
          <cell r="M884" t="str">
            <v>MALL PARQUE ARAUCO</v>
          </cell>
          <cell r="P884" t="str">
            <v>LAS CONDES</v>
          </cell>
          <cell r="Q884" t="str">
            <v>TRADICIONAL</v>
          </cell>
          <cell r="R884" t="str">
            <v>Mall - Santiago</v>
          </cell>
          <cell r="S884" t="str">
            <v>Parque Arauco</v>
          </cell>
          <cell r="T884" t="str">
            <v>Paletas</v>
          </cell>
          <cell r="U884">
            <v>1</v>
          </cell>
          <cell r="V884" t="str">
            <v>1.20 * 1.70</v>
          </cell>
        </row>
        <row r="885">
          <cell r="A885" t="str">
            <v>PAAR0003A</v>
          </cell>
          <cell r="B885" t="str">
            <v>Mall</v>
          </cell>
          <cell r="D885" t="str">
            <v>Paletas</v>
          </cell>
          <cell r="E885" t="str">
            <v>PALETA SUPER SCREEN</v>
          </cell>
          <cell r="F885" t="str">
            <v>1.20 * 1.70</v>
          </cell>
          <cell r="G885" t="str">
            <v>1.23 * 1.75</v>
          </cell>
          <cell r="I885" t="str">
            <v>ESTACIONAMIENTOS</v>
          </cell>
          <cell r="J885">
            <v>0</v>
          </cell>
          <cell r="K885">
            <v>0</v>
          </cell>
          <cell r="L885">
            <v>380000</v>
          </cell>
          <cell r="M885" t="str">
            <v>MALL PARQUE ARAUCO</v>
          </cell>
          <cell r="P885" t="str">
            <v>LAS CONDES</v>
          </cell>
          <cell r="Q885" t="str">
            <v>TRADICIONAL</v>
          </cell>
          <cell r="R885" t="str">
            <v>Mall - Santiago</v>
          </cell>
          <cell r="S885" t="str">
            <v>Parque Arauco</v>
          </cell>
          <cell r="T885" t="str">
            <v>Paletas</v>
          </cell>
          <cell r="U885">
            <v>1</v>
          </cell>
          <cell r="V885" t="str">
            <v>1.20 * 1.70</v>
          </cell>
        </row>
        <row r="886">
          <cell r="A886" t="str">
            <v>PAAR0003B</v>
          </cell>
          <cell r="B886" t="str">
            <v>Mall</v>
          </cell>
          <cell r="D886" t="str">
            <v>Paletas</v>
          </cell>
          <cell r="E886" t="str">
            <v>PALETA SUPER SCREEN</v>
          </cell>
          <cell r="F886" t="str">
            <v>1.20 * 1.70</v>
          </cell>
          <cell r="G886" t="str">
            <v>1.23 * 1.75</v>
          </cell>
          <cell r="I886" t="str">
            <v>ESTACIONAMIENTO</v>
          </cell>
          <cell r="J886">
            <v>0</v>
          </cell>
          <cell r="K886">
            <v>0</v>
          </cell>
          <cell r="L886">
            <v>380000</v>
          </cell>
          <cell r="M886" t="str">
            <v>MALL PARQUE ARAUCO</v>
          </cell>
          <cell r="P886" t="str">
            <v>LAS CONDES</v>
          </cell>
          <cell r="Q886" t="str">
            <v>TRADICIONAL</v>
          </cell>
          <cell r="R886" t="str">
            <v>Mall - Santiago</v>
          </cell>
          <cell r="S886" t="str">
            <v>Parque Arauco</v>
          </cell>
          <cell r="T886" t="str">
            <v>Paletas</v>
          </cell>
          <cell r="U886">
            <v>1</v>
          </cell>
          <cell r="V886" t="str">
            <v>1.20 * 1.70</v>
          </cell>
        </row>
        <row r="887">
          <cell r="A887" t="str">
            <v>PAAR0004A</v>
          </cell>
          <cell r="B887" t="str">
            <v>Mall</v>
          </cell>
          <cell r="D887" t="str">
            <v>Paletas</v>
          </cell>
          <cell r="E887" t="str">
            <v>PALETA SUPER SCREEN</v>
          </cell>
          <cell r="F887" t="str">
            <v>1.20 * 1.70</v>
          </cell>
          <cell r="G887" t="str">
            <v>1.23 * 1.75</v>
          </cell>
          <cell r="I887" t="str">
            <v>ESTACIONAMIENTO</v>
          </cell>
          <cell r="J887">
            <v>0</v>
          </cell>
          <cell r="K887">
            <v>0</v>
          </cell>
          <cell r="L887">
            <v>380000</v>
          </cell>
          <cell r="M887" t="str">
            <v>MALL PARQUE ARAUCO</v>
          </cell>
          <cell r="P887" t="str">
            <v>LAS CONDES</v>
          </cell>
          <cell r="Q887" t="str">
            <v>TRADICIONAL</v>
          </cell>
          <cell r="R887" t="str">
            <v>Mall - Santiago</v>
          </cell>
          <cell r="S887" t="str">
            <v>Parque Arauco</v>
          </cell>
          <cell r="T887" t="str">
            <v>Paletas</v>
          </cell>
          <cell r="U887">
            <v>1</v>
          </cell>
          <cell r="V887" t="str">
            <v>1.20 * 1.70</v>
          </cell>
        </row>
        <row r="888">
          <cell r="A888" t="str">
            <v>PAAR0004B</v>
          </cell>
          <cell r="B888" t="str">
            <v>Mall</v>
          </cell>
          <cell r="D888" t="str">
            <v>Paletas</v>
          </cell>
          <cell r="E888" t="str">
            <v>PALETA SUPER SCREEN</v>
          </cell>
          <cell r="F888" t="str">
            <v>1.20 * 1.70</v>
          </cell>
          <cell r="G888" t="str">
            <v>1.23 * 1.75</v>
          </cell>
          <cell r="I888" t="str">
            <v>ESTACIONAMIENTOS</v>
          </cell>
          <cell r="J888">
            <v>0</v>
          </cell>
          <cell r="K888">
            <v>0</v>
          </cell>
          <cell r="L888">
            <v>380000</v>
          </cell>
          <cell r="M888" t="str">
            <v>MALL PARQUE ARAUCO</v>
          </cell>
          <cell r="P888" t="str">
            <v>LAS CONDES</v>
          </cell>
          <cell r="Q888" t="str">
            <v>TRADICIONAL</v>
          </cell>
          <cell r="R888" t="str">
            <v>Mall - Santiago</v>
          </cell>
          <cell r="S888" t="str">
            <v>Parque Arauco</v>
          </cell>
          <cell r="T888" t="str">
            <v>Paletas</v>
          </cell>
          <cell r="U888">
            <v>1</v>
          </cell>
          <cell r="V888" t="str">
            <v>1.20 * 1.70</v>
          </cell>
        </row>
        <row r="889">
          <cell r="A889" t="str">
            <v>PAAR0005A</v>
          </cell>
          <cell r="B889" t="str">
            <v>Mall</v>
          </cell>
          <cell r="D889" t="str">
            <v>Paletas</v>
          </cell>
          <cell r="E889" t="str">
            <v>PALETA SUPER SCREEN</v>
          </cell>
          <cell r="F889" t="str">
            <v>1.20 * 1.70</v>
          </cell>
          <cell r="G889" t="str">
            <v>1.23 * 1.75</v>
          </cell>
          <cell r="I889" t="str">
            <v>INTERIOR PASILLO</v>
          </cell>
          <cell r="J889">
            <v>0</v>
          </cell>
          <cell r="K889">
            <v>0</v>
          </cell>
          <cell r="L889">
            <v>380000</v>
          </cell>
          <cell r="M889" t="str">
            <v>MALL PARQUE ARAUCO</v>
          </cell>
          <cell r="P889" t="str">
            <v>LAS CONDES</v>
          </cell>
          <cell r="Q889" t="str">
            <v>TRADICIONAL</v>
          </cell>
          <cell r="R889" t="str">
            <v>Mall - Santiago</v>
          </cell>
          <cell r="S889" t="str">
            <v>Parque Arauco</v>
          </cell>
          <cell r="T889" t="str">
            <v>Paletas</v>
          </cell>
          <cell r="U889">
            <v>1</v>
          </cell>
          <cell r="V889" t="str">
            <v>1.20 * 1.70</v>
          </cell>
        </row>
        <row r="890">
          <cell r="A890" t="str">
            <v>PAAR0005B</v>
          </cell>
          <cell r="B890" t="str">
            <v>Mall</v>
          </cell>
          <cell r="D890" t="str">
            <v>Paletas</v>
          </cell>
          <cell r="E890" t="str">
            <v>PALETA SUPER SCREEN</v>
          </cell>
          <cell r="F890" t="str">
            <v>1.20 * 1.70</v>
          </cell>
          <cell r="G890" t="str">
            <v>1.23 * 1.75</v>
          </cell>
          <cell r="I890" t="str">
            <v>ESTACIONAMIENTO</v>
          </cell>
          <cell r="J890">
            <v>0</v>
          </cell>
          <cell r="K890">
            <v>0</v>
          </cell>
          <cell r="L890">
            <v>380000</v>
          </cell>
          <cell r="M890" t="str">
            <v>MALL PARQUE ARAUCO</v>
          </cell>
          <cell r="P890" t="str">
            <v>LAS CONDES</v>
          </cell>
          <cell r="Q890" t="str">
            <v>TRADICIONAL</v>
          </cell>
          <cell r="R890" t="str">
            <v>Mall - Santiago</v>
          </cell>
          <cell r="S890" t="str">
            <v>Parque Arauco</v>
          </cell>
          <cell r="T890" t="str">
            <v>Paletas</v>
          </cell>
          <cell r="U890">
            <v>1</v>
          </cell>
          <cell r="V890" t="str">
            <v>1.20 * 1.70</v>
          </cell>
        </row>
        <row r="891">
          <cell r="A891" t="str">
            <v>PAAR0006A</v>
          </cell>
          <cell r="B891" t="str">
            <v>Mall</v>
          </cell>
          <cell r="D891" t="str">
            <v>Paletas</v>
          </cell>
          <cell r="E891" t="str">
            <v>PALETA SUPER SCREEN</v>
          </cell>
          <cell r="F891" t="str">
            <v>1.20 * 1.70</v>
          </cell>
          <cell r="G891" t="str">
            <v>1.23 * 1.75</v>
          </cell>
          <cell r="I891" t="str">
            <v>ESTACIONAMIENTO</v>
          </cell>
          <cell r="J891">
            <v>0</v>
          </cell>
          <cell r="K891">
            <v>0</v>
          </cell>
          <cell r="L891">
            <v>380000</v>
          </cell>
          <cell r="M891" t="str">
            <v>MALL PARQUE ARAUCO</v>
          </cell>
          <cell r="P891" t="str">
            <v>LAS CONDES</v>
          </cell>
          <cell r="Q891" t="str">
            <v>TRADICIONAL</v>
          </cell>
          <cell r="R891" t="str">
            <v>Mall - Santiago</v>
          </cell>
          <cell r="S891" t="str">
            <v>Parque Arauco</v>
          </cell>
          <cell r="T891" t="str">
            <v>Paletas</v>
          </cell>
          <cell r="U891">
            <v>1</v>
          </cell>
          <cell r="V891" t="str">
            <v>1.20 * 1.70</v>
          </cell>
        </row>
        <row r="892">
          <cell r="A892" t="str">
            <v>PAAR0007A</v>
          </cell>
          <cell r="B892" t="str">
            <v>Mall</v>
          </cell>
          <cell r="D892" t="str">
            <v>Cajas de luz</v>
          </cell>
          <cell r="E892" t="str">
            <v>Cajas de luz</v>
          </cell>
          <cell r="F892" t="str">
            <v>3.80 * 1.80</v>
          </cell>
          <cell r="G892" t="str">
            <v>4.00 * 2.00</v>
          </cell>
          <cell r="H892" t="str">
            <v>S</v>
          </cell>
          <cell r="I892" t="str">
            <v>ESTACIONAMIENTOS</v>
          </cell>
          <cell r="J892">
            <v>0</v>
          </cell>
          <cell r="K892">
            <v>0</v>
          </cell>
          <cell r="L892">
            <v>600000</v>
          </cell>
          <cell r="M892" t="str">
            <v>MALL PARQUE ARAUCO</v>
          </cell>
          <cell r="P892" t="str">
            <v>LAS CONDES</v>
          </cell>
          <cell r="Q892" t="str">
            <v>TRADICIONAL</v>
          </cell>
          <cell r="R892" t="str">
            <v>Mall - Santiago</v>
          </cell>
          <cell r="S892" t="str">
            <v>Parque Arauco</v>
          </cell>
          <cell r="T892" t="str">
            <v>Cajas de luz</v>
          </cell>
          <cell r="U892">
            <v>1</v>
          </cell>
          <cell r="V892" t="str">
            <v>3.80 * 1.80</v>
          </cell>
        </row>
        <row r="893">
          <cell r="A893" t="str">
            <v>PAAR0008A</v>
          </cell>
          <cell r="B893" t="str">
            <v>Mall</v>
          </cell>
          <cell r="D893" t="str">
            <v>Minipoles</v>
          </cell>
          <cell r="E893" t="str">
            <v>Minipoles</v>
          </cell>
          <cell r="F893" t="str">
            <v>2.80 * 1.30</v>
          </cell>
          <cell r="G893" t="str">
            <v>3.10 * 1.60</v>
          </cell>
          <cell r="I893" t="str">
            <v>ESTACIONAMIENTOS</v>
          </cell>
          <cell r="J893">
            <v>0</v>
          </cell>
          <cell r="K893">
            <v>0</v>
          </cell>
          <cell r="L893">
            <v>620000</v>
          </cell>
          <cell r="M893" t="str">
            <v>MALL PARQUE ARAUCO</v>
          </cell>
          <cell r="P893" t="str">
            <v>LAS CONDES</v>
          </cell>
          <cell r="Q893" t="str">
            <v>TRADICIONAL</v>
          </cell>
          <cell r="R893" t="str">
            <v>Mall - Santiago</v>
          </cell>
          <cell r="S893" t="str">
            <v>Parque Arauco</v>
          </cell>
          <cell r="T893" t="str">
            <v>Minipoles</v>
          </cell>
          <cell r="U893">
            <v>1</v>
          </cell>
          <cell r="V893" t="str">
            <v>2.80 * 1.30</v>
          </cell>
        </row>
        <row r="894">
          <cell r="A894" t="str">
            <v>PAAR0009A</v>
          </cell>
          <cell r="B894" t="str">
            <v>Mall</v>
          </cell>
          <cell r="D894" t="str">
            <v>Cajas de luz</v>
          </cell>
          <cell r="E894" t="str">
            <v>Cajas de luz</v>
          </cell>
          <cell r="F894" t="str">
            <v>3.92 * 1.92</v>
          </cell>
          <cell r="G894" t="str">
            <v>4.20 * 2.20</v>
          </cell>
          <cell r="H894" t="str">
            <v>S</v>
          </cell>
          <cell r="I894" t="str">
            <v>ESTACIONAMIENTOS</v>
          </cell>
          <cell r="J894">
            <v>0</v>
          </cell>
          <cell r="K894">
            <v>0</v>
          </cell>
          <cell r="L894">
            <v>600000</v>
          </cell>
          <cell r="M894" t="str">
            <v>MALL PARQUE ARAUCO</v>
          </cell>
          <cell r="P894" t="str">
            <v>LAS CONDES</v>
          </cell>
          <cell r="Q894" t="str">
            <v>TRADICIONAL</v>
          </cell>
          <cell r="R894" t="str">
            <v>Mall - Santiago</v>
          </cell>
          <cell r="S894" t="str">
            <v>Parque Arauco</v>
          </cell>
          <cell r="T894" t="str">
            <v>Cajas de luz</v>
          </cell>
          <cell r="U894">
            <v>1</v>
          </cell>
          <cell r="V894" t="str">
            <v>3.92 * 1.92</v>
          </cell>
        </row>
        <row r="895">
          <cell r="A895" t="str">
            <v>PAAR0010A</v>
          </cell>
          <cell r="B895" t="str">
            <v>Mall</v>
          </cell>
          <cell r="D895" t="str">
            <v>Cajas de luz</v>
          </cell>
          <cell r="E895" t="str">
            <v>Cajas de luz</v>
          </cell>
          <cell r="F895" t="str">
            <v>3.92 * 1.92</v>
          </cell>
          <cell r="G895" t="str">
            <v>4.20 * 2.20</v>
          </cell>
          <cell r="H895" t="str">
            <v>S</v>
          </cell>
          <cell r="I895" t="str">
            <v>ESTACIONAMIENTOS</v>
          </cell>
          <cell r="J895">
            <v>0</v>
          </cell>
          <cell r="K895">
            <v>0</v>
          </cell>
          <cell r="L895">
            <v>600000</v>
          </cell>
          <cell r="M895" t="str">
            <v>MALL PARQUE ARAUCO</v>
          </cell>
          <cell r="P895" t="str">
            <v>LAS CONDES</v>
          </cell>
          <cell r="Q895" t="str">
            <v>TRADICIONAL</v>
          </cell>
          <cell r="R895" t="str">
            <v>Mall - Santiago</v>
          </cell>
          <cell r="S895" t="str">
            <v>Parque Arauco</v>
          </cell>
          <cell r="T895" t="str">
            <v>Cajas de luz</v>
          </cell>
          <cell r="U895">
            <v>1</v>
          </cell>
          <cell r="V895" t="str">
            <v>3.92 * 1.92</v>
          </cell>
        </row>
        <row r="896">
          <cell r="A896" t="str">
            <v>PAAR0011A</v>
          </cell>
          <cell r="B896" t="str">
            <v>Mall</v>
          </cell>
          <cell r="D896" t="str">
            <v>Cajas de luz</v>
          </cell>
          <cell r="E896" t="str">
            <v>Cajas de luz</v>
          </cell>
          <cell r="F896" t="str">
            <v>3.92 * 1.92</v>
          </cell>
          <cell r="G896" t="str">
            <v>4.20 * 2.20</v>
          </cell>
          <cell r="H896" t="str">
            <v>S</v>
          </cell>
          <cell r="I896" t="str">
            <v>ESTACIONAMIENTOS</v>
          </cell>
          <cell r="J896">
            <v>0</v>
          </cell>
          <cell r="K896">
            <v>0</v>
          </cell>
          <cell r="L896">
            <v>600000</v>
          </cell>
          <cell r="M896" t="str">
            <v>MALL PARQUE ARAUCO</v>
          </cell>
          <cell r="P896" t="str">
            <v>LAS CONDES</v>
          </cell>
          <cell r="Q896" t="str">
            <v>TRADICIONAL</v>
          </cell>
          <cell r="R896" t="str">
            <v>Mall - Santiago</v>
          </cell>
          <cell r="S896" t="str">
            <v>Parque Arauco</v>
          </cell>
          <cell r="T896" t="str">
            <v>Cajas de luz</v>
          </cell>
          <cell r="U896">
            <v>1</v>
          </cell>
          <cell r="V896" t="str">
            <v>3.92 * 1.92</v>
          </cell>
        </row>
        <row r="897">
          <cell r="A897" t="str">
            <v>PAAR0012A</v>
          </cell>
          <cell r="B897" t="str">
            <v>Mall</v>
          </cell>
          <cell r="D897" t="str">
            <v>Cajas de luz</v>
          </cell>
          <cell r="E897" t="str">
            <v>Cajas de luz</v>
          </cell>
          <cell r="F897" t="str">
            <v>3.80 * 1.80</v>
          </cell>
          <cell r="G897" t="str">
            <v>4.00 * 2.00</v>
          </cell>
          <cell r="H897" t="str">
            <v>S</v>
          </cell>
          <cell r="I897" t="str">
            <v>ESTACIONAMIENTOS</v>
          </cell>
          <cell r="J897">
            <v>0</v>
          </cell>
          <cell r="K897">
            <v>0</v>
          </cell>
          <cell r="L897">
            <v>600000</v>
          </cell>
          <cell r="M897" t="str">
            <v>MALL PARQUE ARAUCO</v>
          </cell>
          <cell r="P897" t="str">
            <v>LAS CONDES</v>
          </cell>
          <cell r="Q897" t="str">
            <v>TRADICIONAL</v>
          </cell>
          <cell r="R897" t="str">
            <v>Mall - Santiago</v>
          </cell>
          <cell r="S897" t="str">
            <v>Parque Arauco</v>
          </cell>
          <cell r="T897" t="str">
            <v>Cajas de luz</v>
          </cell>
          <cell r="U897">
            <v>1</v>
          </cell>
          <cell r="V897" t="str">
            <v>3.80 * 1.80</v>
          </cell>
        </row>
        <row r="898">
          <cell r="A898" t="str">
            <v>PAAR0013A</v>
          </cell>
          <cell r="B898" t="str">
            <v>Mall</v>
          </cell>
          <cell r="D898" t="str">
            <v>Cajas de luz</v>
          </cell>
          <cell r="E898" t="str">
            <v>Cajas de luz</v>
          </cell>
          <cell r="F898" t="str">
            <v>4.00 * 2.00</v>
          </cell>
          <cell r="G898" t="str">
            <v>4.20 * 2.20</v>
          </cell>
          <cell r="H898" t="str">
            <v>S</v>
          </cell>
          <cell r="I898" t="str">
            <v>ESTACIONAMIENTOS</v>
          </cell>
          <cell r="J898">
            <v>0</v>
          </cell>
          <cell r="K898">
            <v>0</v>
          </cell>
          <cell r="L898">
            <v>600000</v>
          </cell>
          <cell r="M898" t="str">
            <v>MALL PARQUE ARAUCO</v>
          </cell>
          <cell r="P898" t="str">
            <v>LAS CONDES</v>
          </cell>
          <cell r="Q898" t="str">
            <v>TRADICIONAL</v>
          </cell>
          <cell r="R898" t="str">
            <v>Mall - Santiago</v>
          </cell>
          <cell r="S898" t="str">
            <v>Parque Arauco</v>
          </cell>
          <cell r="T898" t="str">
            <v>Cajas de luz</v>
          </cell>
          <cell r="U898">
            <v>1</v>
          </cell>
          <cell r="V898" t="str">
            <v>4.00 * 2.00</v>
          </cell>
        </row>
        <row r="899">
          <cell r="A899" t="str">
            <v>PAAR0014A</v>
          </cell>
          <cell r="B899" t="str">
            <v>Mall</v>
          </cell>
          <cell r="D899" t="str">
            <v>Cajas de luz</v>
          </cell>
          <cell r="E899" t="str">
            <v>Cajas de luz</v>
          </cell>
          <cell r="F899" t="str">
            <v>3.92 * 1.92</v>
          </cell>
          <cell r="G899" t="str">
            <v>4.20 * 2.20</v>
          </cell>
          <cell r="H899" t="str">
            <v>S</v>
          </cell>
          <cell r="I899" t="str">
            <v>ESTACIONAMIENTOS</v>
          </cell>
          <cell r="J899">
            <v>0</v>
          </cell>
          <cell r="K899">
            <v>0</v>
          </cell>
          <cell r="L899">
            <v>600000</v>
          </cell>
          <cell r="M899" t="str">
            <v>MALL PARQUE ARAUCO</v>
          </cell>
          <cell r="P899" t="str">
            <v>LAS CONDES</v>
          </cell>
          <cell r="Q899" t="str">
            <v>TRADICIONAL</v>
          </cell>
          <cell r="R899" t="str">
            <v>Mall - Santiago</v>
          </cell>
          <cell r="S899" t="str">
            <v>Parque Arauco</v>
          </cell>
          <cell r="T899" t="str">
            <v>Cajas de luz</v>
          </cell>
          <cell r="U899">
            <v>1</v>
          </cell>
          <cell r="V899" t="str">
            <v>3.92 * 1.92</v>
          </cell>
        </row>
        <row r="900">
          <cell r="A900" t="str">
            <v>PAAR0015A</v>
          </cell>
          <cell r="B900" t="str">
            <v>Mall</v>
          </cell>
          <cell r="D900" t="str">
            <v>Cajas de luz</v>
          </cell>
          <cell r="E900" t="str">
            <v>Cajas de luz</v>
          </cell>
          <cell r="F900" t="str">
            <v>1.74 *1.78</v>
          </cell>
          <cell r="G900" t="str">
            <v>2.04 * 2.08</v>
          </cell>
          <cell r="H900" t="str">
            <v>A</v>
          </cell>
          <cell r="I900" t="str">
            <v>ACCESO ESTACIONA</v>
          </cell>
          <cell r="J900">
            <v>0</v>
          </cell>
          <cell r="K900">
            <v>0</v>
          </cell>
          <cell r="L900">
            <v>390000</v>
          </cell>
          <cell r="M900" t="str">
            <v>MALL PARQUE ARAUCO</v>
          </cell>
          <cell r="P900" t="str">
            <v>LAS CONDES</v>
          </cell>
          <cell r="Q900" t="str">
            <v>TRADICIONAL</v>
          </cell>
          <cell r="R900" t="str">
            <v>Mall - Santiago</v>
          </cell>
          <cell r="S900" t="str">
            <v>Parque Arauco</v>
          </cell>
          <cell r="T900" t="str">
            <v>Cajas de luz</v>
          </cell>
          <cell r="U900">
            <v>1</v>
          </cell>
          <cell r="V900" t="str">
            <v>1.74 * 1.78</v>
          </cell>
        </row>
        <row r="901">
          <cell r="A901" t="str">
            <v>PAAR0016AB</v>
          </cell>
          <cell r="B901" t="str">
            <v>Mall</v>
          </cell>
          <cell r="D901" t="str">
            <v>Cajas de luz</v>
          </cell>
          <cell r="E901" t="str">
            <v>BIFAZ</v>
          </cell>
          <cell r="F901" t="str">
            <v>1.74 * 1.78</v>
          </cell>
          <cell r="G901" t="str">
            <v>2.04 * 2.08</v>
          </cell>
          <cell r="H901">
            <v>32</v>
          </cell>
          <cell r="I901" t="str">
            <v>ACCESO ESTACIONA</v>
          </cell>
          <cell r="J901">
            <v>0</v>
          </cell>
          <cell r="K901">
            <v>0</v>
          </cell>
          <cell r="L901">
            <v>780000</v>
          </cell>
          <cell r="M901" t="str">
            <v>MALL PARQUE ARAUCO</v>
          </cell>
          <cell r="P901" t="str">
            <v>LAS CONDES</v>
          </cell>
          <cell r="Q901" t="str">
            <v>TRADICIONAL</v>
          </cell>
          <cell r="R901" t="str">
            <v>Mall - Santiago</v>
          </cell>
          <cell r="S901" t="str">
            <v>Parque Arauco</v>
          </cell>
          <cell r="T901" t="str">
            <v>Cajas de luz</v>
          </cell>
          <cell r="U901">
            <v>2</v>
          </cell>
          <cell r="V901" t="str">
            <v>1.74 * 1.78</v>
          </cell>
        </row>
        <row r="902">
          <cell r="A902" t="str">
            <v>PAAR0018A</v>
          </cell>
          <cell r="B902" t="str">
            <v>Mall</v>
          </cell>
          <cell r="D902" t="str">
            <v>Cajas de luz</v>
          </cell>
          <cell r="E902" t="str">
            <v>Cajas de luz</v>
          </cell>
          <cell r="F902" t="str">
            <v>3.80 * 1.80</v>
          </cell>
          <cell r="G902" t="str">
            <v>4.00 * 2.00</v>
          </cell>
          <cell r="H902" t="str">
            <v>S</v>
          </cell>
          <cell r="I902" t="str">
            <v>ESTACIONAMIENTOS</v>
          </cell>
          <cell r="J902">
            <v>0</v>
          </cell>
          <cell r="K902">
            <v>0</v>
          </cell>
          <cell r="L902">
            <v>600000</v>
          </cell>
          <cell r="M902" t="str">
            <v>MALL PARQUE ARAUCO</v>
          </cell>
          <cell r="P902" t="str">
            <v>LAS CONDES</v>
          </cell>
          <cell r="Q902" t="str">
            <v>TRADICIONAL</v>
          </cell>
          <cell r="R902" t="str">
            <v>Mall - Santiago</v>
          </cell>
          <cell r="S902" t="str">
            <v>Parque Arauco</v>
          </cell>
          <cell r="T902" t="str">
            <v>Cajas de luz</v>
          </cell>
          <cell r="U902">
            <v>1</v>
          </cell>
          <cell r="V902" t="str">
            <v>3.80 * 1.80</v>
          </cell>
        </row>
        <row r="903">
          <cell r="A903" t="str">
            <v>PAAR0019A</v>
          </cell>
          <cell r="B903" t="str">
            <v>Mall</v>
          </cell>
          <cell r="D903" t="str">
            <v>Cajas de luz</v>
          </cell>
          <cell r="E903" t="str">
            <v>Cajas de luz</v>
          </cell>
          <cell r="F903" t="str">
            <v>4.93 * 2.23</v>
          </cell>
          <cell r="G903" t="str">
            <v>5.20 * 2.50</v>
          </cell>
          <cell r="H903" t="str">
            <v>S</v>
          </cell>
          <cell r="I903" t="str">
            <v>ESTACIONAMIENTOS</v>
          </cell>
          <cell r="J903">
            <v>0</v>
          </cell>
          <cell r="K903">
            <v>0</v>
          </cell>
          <cell r="L903">
            <v>600000</v>
          </cell>
          <cell r="M903" t="str">
            <v>MALL PARQUE ARAUCO</v>
          </cell>
          <cell r="P903" t="str">
            <v>LAS CONDES</v>
          </cell>
          <cell r="Q903" t="str">
            <v>TRADICIONAL</v>
          </cell>
          <cell r="R903" t="str">
            <v>Mall - Santiago</v>
          </cell>
          <cell r="S903" t="str">
            <v>Parque Arauco</v>
          </cell>
          <cell r="T903" t="str">
            <v>Cajas de luz</v>
          </cell>
          <cell r="U903">
            <v>1</v>
          </cell>
          <cell r="V903" t="str">
            <v>4.93 * 2.23</v>
          </cell>
        </row>
        <row r="904">
          <cell r="A904" t="str">
            <v>PAAR0020A</v>
          </cell>
          <cell r="B904" t="str">
            <v>Mall</v>
          </cell>
          <cell r="D904" t="str">
            <v>Cajas de luz</v>
          </cell>
          <cell r="E904" t="str">
            <v>Cajas de luz</v>
          </cell>
          <cell r="F904" t="str">
            <v>4.93 * 2.23</v>
          </cell>
          <cell r="G904" t="str">
            <v>5.20 * 2.50</v>
          </cell>
          <cell r="H904" t="str">
            <v>S</v>
          </cell>
          <cell r="I904" t="str">
            <v>ESTACIONAMIENTOS</v>
          </cell>
          <cell r="J904">
            <v>0</v>
          </cell>
          <cell r="K904">
            <v>0</v>
          </cell>
          <cell r="L904">
            <v>600000</v>
          </cell>
          <cell r="M904" t="str">
            <v>MALL PARQUE ARAUCO</v>
          </cell>
          <cell r="P904" t="str">
            <v>LAS CONDES</v>
          </cell>
          <cell r="Q904" t="str">
            <v>TRADICIONAL</v>
          </cell>
          <cell r="R904" t="str">
            <v>Mall - Santiago</v>
          </cell>
          <cell r="S904" t="str">
            <v>Parque Arauco</v>
          </cell>
          <cell r="T904" t="str">
            <v>Cajas de luz</v>
          </cell>
          <cell r="U904">
            <v>1</v>
          </cell>
          <cell r="V904" t="str">
            <v>4.93 * 2.23</v>
          </cell>
        </row>
        <row r="905">
          <cell r="A905" t="str">
            <v>PAAR0021A</v>
          </cell>
          <cell r="B905" t="str">
            <v>Mall</v>
          </cell>
          <cell r="D905" t="str">
            <v>Cajas de luz</v>
          </cell>
          <cell r="E905" t="str">
            <v>Cajas de luz</v>
          </cell>
          <cell r="F905" t="str">
            <v>6.00 * 1.86</v>
          </cell>
          <cell r="G905" t="str">
            <v>6.20 * 2.06</v>
          </cell>
          <cell r="H905" t="str">
            <v>S</v>
          </cell>
          <cell r="I905" t="str">
            <v>ESTACIONAMIENTOS</v>
          </cell>
          <cell r="J905">
            <v>0</v>
          </cell>
          <cell r="K905">
            <v>0</v>
          </cell>
          <cell r="L905">
            <v>600000</v>
          </cell>
          <cell r="M905" t="str">
            <v>MALL PARQUE ARAUCO</v>
          </cell>
          <cell r="P905" t="str">
            <v>LAS CONDES</v>
          </cell>
          <cell r="Q905" t="str">
            <v>TRADICIONAL</v>
          </cell>
          <cell r="R905" t="str">
            <v>Mall - Santiago</v>
          </cell>
          <cell r="S905" t="str">
            <v>Parque Arauco</v>
          </cell>
          <cell r="T905" t="str">
            <v>Cajas de luz</v>
          </cell>
          <cell r="U905">
            <v>1</v>
          </cell>
          <cell r="V905" t="str">
            <v>6.00 * 1.86</v>
          </cell>
        </row>
        <row r="906">
          <cell r="A906" t="str">
            <v>PAAR0022A</v>
          </cell>
          <cell r="B906" t="str">
            <v>Mall</v>
          </cell>
          <cell r="D906" t="str">
            <v>Cajas de luz</v>
          </cell>
          <cell r="E906" t="str">
            <v>Cajas de luz</v>
          </cell>
          <cell r="F906" t="str">
            <v>5.00 * 1.86</v>
          </cell>
          <cell r="G906" t="str">
            <v>5.20 * 2.06</v>
          </cell>
          <cell r="H906" t="str">
            <v>S</v>
          </cell>
          <cell r="I906" t="str">
            <v>ESTACIONAMIENTOS</v>
          </cell>
          <cell r="J906">
            <v>0</v>
          </cell>
          <cell r="K906">
            <v>0</v>
          </cell>
          <cell r="L906">
            <v>400000</v>
          </cell>
          <cell r="M906" t="str">
            <v>MALL PARQUE ARAUCO</v>
          </cell>
          <cell r="P906" t="str">
            <v>LAS CONDES</v>
          </cell>
          <cell r="Q906" t="str">
            <v>TRADICIONAL</v>
          </cell>
          <cell r="R906" t="str">
            <v>Mall - Santiago</v>
          </cell>
          <cell r="S906" t="str">
            <v>Parque Arauco</v>
          </cell>
          <cell r="T906" t="str">
            <v>Cajas de luz</v>
          </cell>
          <cell r="U906">
            <v>1</v>
          </cell>
          <cell r="V906" t="str">
            <v>5.00 * 1.86</v>
          </cell>
        </row>
        <row r="907">
          <cell r="A907" t="str">
            <v>PAAR0023A</v>
          </cell>
          <cell r="B907" t="str">
            <v>Mall</v>
          </cell>
          <cell r="D907" t="str">
            <v>Cajas de luz</v>
          </cell>
          <cell r="E907" t="str">
            <v>Cajas de luz</v>
          </cell>
          <cell r="F907" t="str">
            <v>6.00 * 1.86</v>
          </cell>
          <cell r="G907" t="str">
            <v>6.20 * 2.06</v>
          </cell>
          <cell r="H907" t="str">
            <v>V</v>
          </cell>
          <cell r="I907" t="str">
            <v>ESTACIONAMIENTOS</v>
          </cell>
          <cell r="J907">
            <v>0</v>
          </cell>
          <cell r="K907">
            <v>0</v>
          </cell>
          <cell r="L907">
            <v>600000</v>
          </cell>
          <cell r="M907" t="str">
            <v>MALL PARQUE ARAUCO</v>
          </cell>
          <cell r="P907" t="str">
            <v>LAS CONDES</v>
          </cell>
          <cell r="Q907" t="str">
            <v>TRADICIONAL</v>
          </cell>
          <cell r="R907" t="str">
            <v>Mall - Santiago</v>
          </cell>
          <cell r="S907" t="str">
            <v>Parque Arauco</v>
          </cell>
          <cell r="T907" t="str">
            <v>Cajas de luz</v>
          </cell>
          <cell r="U907">
            <v>1</v>
          </cell>
          <cell r="V907" t="str">
            <v>6.00 * 1.86</v>
          </cell>
        </row>
        <row r="908">
          <cell r="A908" t="str">
            <v>PAAR0026A</v>
          </cell>
          <cell r="B908" t="str">
            <v>Mall</v>
          </cell>
          <cell r="D908" t="str">
            <v>Cajas de luz</v>
          </cell>
          <cell r="E908" t="str">
            <v>Cajas de luz</v>
          </cell>
          <cell r="F908" t="str">
            <v>4.93 * 1.43</v>
          </cell>
          <cell r="G908" t="str">
            <v>5.20 * 1.70</v>
          </cell>
          <cell r="H908" t="str">
            <v>A</v>
          </cell>
          <cell r="I908" t="str">
            <v>ACCESO ESTACIONA</v>
          </cell>
          <cell r="J908">
            <v>0</v>
          </cell>
          <cell r="K908">
            <v>0</v>
          </cell>
          <cell r="L908">
            <v>600000</v>
          </cell>
          <cell r="M908" t="str">
            <v>MALL PARQUE ARAUCO</v>
          </cell>
          <cell r="P908" t="str">
            <v>LAS CONDES</v>
          </cell>
          <cell r="Q908" t="str">
            <v>TRADICIONAL</v>
          </cell>
          <cell r="R908" t="str">
            <v>Mall - Santiago</v>
          </cell>
          <cell r="S908" t="str">
            <v>Parque Arauco</v>
          </cell>
          <cell r="T908" t="str">
            <v>Cajas de luz</v>
          </cell>
          <cell r="U908">
            <v>1</v>
          </cell>
          <cell r="V908" t="str">
            <v>4.93 * 1.43</v>
          </cell>
        </row>
        <row r="909">
          <cell r="A909" t="str">
            <v>PAAR0027A</v>
          </cell>
          <cell r="B909" t="str">
            <v>Mall</v>
          </cell>
          <cell r="D909" t="str">
            <v>Cajas de luz</v>
          </cell>
          <cell r="E909" t="str">
            <v>Cajas de luz</v>
          </cell>
          <cell r="F909" t="str">
            <v>4.93 * 1.43</v>
          </cell>
          <cell r="G909" t="str">
            <v>5.20 * 1.70</v>
          </cell>
          <cell r="H909" t="str">
            <v>A</v>
          </cell>
          <cell r="I909" t="str">
            <v>ACCESO ESTACIONA</v>
          </cell>
          <cell r="J909">
            <v>0</v>
          </cell>
          <cell r="K909">
            <v>0</v>
          </cell>
          <cell r="L909">
            <v>600000</v>
          </cell>
          <cell r="M909" t="str">
            <v>MALL PARQUE ARAUCO</v>
          </cell>
          <cell r="P909" t="str">
            <v>LAS CONDES</v>
          </cell>
          <cell r="Q909" t="str">
            <v>TRADICIONAL</v>
          </cell>
          <cell r="R909" t="str">
            <v>Mall - Santiago</v>
          </cell>
          <cell r="S909" t="str">
            <v>Parque Arauco</v>
          </cell>
          <cell r="T909" t="str">
            <v>Cajas de luz</v>
          </cell>
          <cell r="U909">
            <v>1</v>
          </cell>
          <cell r="V909" t="str">
            <v>4.93 * 1.43</v>
          </cell>
        </row>
        <row r="910">
          <cell r="A910" t="str">
            <v>PAAR0031A</v>
          </cell>
          <cell r="B910" t="str">
            <v>Mall</v>
          </cell>
          <cell r="D910" t="str">
            <v>Unipoles</v>
          </cell>
          <cell r="E910" t="str">
            <v>PRISMA</v>
          </cell>
          <cell r="F910" t="str">
            <v>9.00 * 3.00</v>
          </cell>
          <cell r="G910" t="str">
            <v>9.00 * 3.00</v>
          </cell>
          <cell r="H910" t="str">
            <v>E</v>
          </cell>
          <cell r="I910" t="str">
            <v>ESTACIONAMIENTOS</v>
          </cell>
          <cell r="J910">
            <v>0</v>
          </cell>
          <cell r="K910">
            <v>0</v>
          </cell>
          <cell r="L910">
            <v>1100000</v>
          </cell>
          <cell r="M910" t="str">
            <v>MALL PARQUE ARAUCO</v>
          </cell>
          <cell r="P910" t="str">
            <v>LAS CONDES</v>
          </cell>
          <cell r="Q910" t="str">
            <v>TRADICIONAL</v>
          </cell>
          <cell r="R910" t="str">
            <v>Mall - Santiago</v>
          </cell>
          <cell r="S910" t="str">
            <v>Parque Arauco</v>
          </cell>
          <cell r="T910" t="str">
            <v>Unipoles</v>
          </cell>
          <cell r="U910">
            <v>1</v>
          </cell>
          <cell r="V910" t="str">
            <v>9.00 * 3.00</v>
          </cell>
        </row>
        <row r="911">
          <cell r="A911" t="str">
            <v>PAAR0031B</v>
          </cell>
          <cell r="B911" t="str">
            <v>Mall</v>
          </cell>
          <cell r="D911" t="str">
            <v>Unipoles</v>
          </cell>
          <cell r="E911" t="str">
            <v>PRISMA</v>
          </cell>
          <cell r="F911" t="str">
            <v>9.00 * 3.00</v>
          </cell>
          <cell r="G911" t="str">
            <v>9.00 * 3.00</v>
          </cell>
          <cell r="H911" t="str">
            <v>E</v>
          </cell>
          <cell r="I911" t="str">
            <v>ESTACIONAMIENTOS</v>
          </cell>
          <cell r="J911">
            <v>0</v>
          </cell>
          <cell r="K911">
            <v>0</v>
          </cell>
          <cell r="L911">
            <v>1100000</v>
          </cell>
          <cell r="M911" t="str">
            <v>MALL PARQUE ARAUCO</v>
          </cell>
          <cell r="P911" t="str">
            <v>LAS CONDES</v>
          </cell>
          <cell r="Q911" t="str">
            <v>TRADICIONAL</v>
          </cell>
          <cell r="R911" t="str">
            <v>Mall - Santiago</v>
          </cell>
          <cell r="S911" t="str">
            <v>Parque Arauco</v>
          </cell>
          <cell r="T911" t="str">
            <v>Unipoles</v>
          </cell>
          <cell r="U911">
            <v>1</v>
          </cell>
          <cell r="V911" t="str">
            <v>9.00 * 3.00</v>
          </cell>
        </row>
        <row r="912">
          <cell r="A912" t="str">
            <v>PAAR0031C</v>
          </cell>
          <cell r="B912" t="str">
            <v>Mall</v>
          </cell>
          <cell r="D912" t="str">
            <v>Unipoles</v>
          </cell>
          <cell r="E912" t="str">
            <v>PRISMA</v>
          </cell>
          <cell r="F912" t="str">
            <v>9.00 * 3.00</v>
          </cell>
          <cell r="G912" t="str">
            <v>9.00 * 3.00</v>
          </cell>
          <cell r="H912" t="str">
            <v>E</v>
          </cell>
          <cell r="I912" t="str">
            <v>ESTACIONAMIENTOS</v>
          </cell>
          <cell r="J912">
            <v>0</v>
          </cell>
          <cell r="K912">
            <v>0</v>
          </cell>
          <cell r="L912">
            <v>1100000</v>
          </cell>
          <cell r="M912" t="str">
            <v>MALL PARQUE ARAUCO</v>
          </cell>
          <cell r="P912" t="str">
            <v>LAS CONDES</v>
          </cell>
          <cell r="Q912" t="str">
            <v>TRADICIONAL</v>
          </cell>
          <cell r="R912" t="str">
            <v>Mall - Santiago</v>
          </cell>
          <cell r="S912" t="str">
            <v>Parque Arauco</v>
          </cell>
          <cell r="T912" t="str">
            <v>Unipoles</v>
          </cell>
          <cell r="U912">
            <v>1</v>
          </cell>
          <cell r="V912" t="str">
            <v>9.00 * 3.00</v>
          </cell>
        </row>
        <row r="913">
          <cell r="A913" t="str">
            <v>PAAR0031X</v>
          </cell>
          <cell r="B913" t="str">
            <v>Mall</v>
          </cell>
          <cell r="D913" t="str">
            <v>Unipoles</v>
          </cell>
          <cell r="E913" t="str">
            <v>CARA FIJA</v>
          </cell>
          <cell r="F913" t="str">
            <v>9.00 * 3.00</v>
          </cell>
          <cell r="G913" t="str">
            <v>9.30 * 3.30</v>
          </cell>
          <cell r="H913" t="str">
            <v>E</v>
          </cell>
          <cell r="I913" t="str">
            <v>ESTACIONAMIENTOS</v>
          </cell>
          <cell r="J913">
            <v>0</v>
          </cell>
          <cell r="K913">
            <v>0</v>
          </cell>
          <cell r="L913">
            <v>980000</v>
          </cell>
          <cell r="M913" t="str">
            <v>MALL PARQUE ARAUCO</v>
          </cell>
          <cell r="P913" t="str">
            <v>LAS CONDES</v>
          </cell>
          <cell r="Q913" t="str">
            <v>TRADICIONAL</v>
          </cell>
          <cell r="R913" t="str">
            <v>Mall - Santiago</v>
          </cell>
          <cell r="S913" t="str">
            <v>Parque Arauco</v>
          </cell>
          <cell r="T913" t="str">
            <v>Unipoles</v>
          </cell>
          <cell r="U913">
            <v>1</v>
          </cell>
          <cell r="V913" t="str">
            <v>9.00 * 3.00</v>
          </cell>
        </row>
        <row r="914">
          <cell r="A914" t="str">
            <v>PAAR0032A</v>
          </cell>
          <cell r="B914" t="str">
            <v>Mall</v>
          </cell>
          <cell r="D914" t="str">
            <v>Minipoles</v>
          </cell>
          <cell r="E914" t="str">
            <v>Minipoles</v>
          </cell>
          <cell r="F914" t="str">
            <v>2.80 * 1.30</v>
          </cell>
          <cell r="G914" t="str">
            <v>3.10 * 1.60</v>
          </cell>
          <cell r="H914" t="str">
            <v>E</v>
          </cell>
          <cell r="I914" t="str">
            <v>ESTACIONAMIENTOS</v>
          </cell>
          <cell r="J914">
            <v>0</v>
          </cell>
          <cell r="K914">
            <v>0</v>
          </cell>
          <cell r="L914">
            <v>620000</v>
          </cell>
          <cell r="M914" t="str">
            <v>MALL PARQUE ARAUCO</v>
          </cell>
          <cell r="P914" t="str">
            <v>LAS CONDES</v>
          </cell>
          <cell r="Q914" t="str">
            <v>TRADICIONAL</v>
          </cell>
          <cell r="R914" t="str">
            <v>Mall - Santiago</v>
          </cell>
          <cell r="S914" t="str">
            <v>Parque Arauco</v>
          </cell>
          <cell r="T914" t="str">
            <v>Minipoles</v>
          </cell>
          <cell r="U914">
            <v>1</v>
          </cell>
          <cell r="V914" t="str">
            <v>2.80 * 1.30</v>
          </cell>
        </row>
        <row r="915">
          <cell r="A915" t="str">
            <v>PAAR0032B</v>
          </cell>
          <cell r="B915" t="str">
            <v>Mall</v>
          </cell>
          <cell r="D915" t="str">
            <v>Minipoles</v>
          </cell>
          <cell r="E915" t="str">
            <v>Minipoles</v>
          </cell>
          <cell r="F915" t="str">
            <v>2.80 * 1.30</v>
          </cell>
          <cell r="G915" t="str">
            <v>3.10 * 1.60</v>
          </cell>
          <cell r="H915" t="str">
            <v>E</v>
          </cell>
          <cell r="I915" t="str">
            <v>ESTACIONAMIENTOS</v>
          </cell>
          <cell r="J915">
            <v>0</v>
          </cell>
          <cell r="K915">
            <v>0</v>
          </cell>
          <cell r="L915">
            <v>620000</v>
          </cell>
          <cell r="M915" t="str">
            <v>MALL PARQUE ARAUCO</v>
          </cell>
          <cell r="P915" t="str">
            <v>LAS CONDES</v>
          </cell>
          <cell r="Q915" t="str">
            <v>TRADICIONAL</v>
          </cell>
          <cell r="R915" t="str">
            <v>Mall - Santiago</v>
          </cell>
          <cell r="S915" t="str">
            <v>Parque Arauco</v>
          </cell>
          <cell r="T915" t="str">
            <v>Minipoles</v>
          </cell>
          <cell r="U915">
            <v>1</v>
          </cell>
          <cell r="V915" t="str">
            <v>2.80 * 1.30</v>
          </cell>
        </row>
        <row r="916">
          <cell r="A916" t="str">
            <v>PAAR0033A</v>
          </cell>
          <cell r="B916" t="str">
            <v>Mall</v>
          </cell>
          <cell r="D916" t="str">
            <v>Minipoles</v>
          </cell>
          <cell r="E916" t="str">
            <v>Minipoles</v>
          </cell>
          <cell r="F916" t="str">
            <v>2.80 * 1.30</v>
          </cell>
          <cell r="G916" t="str">
            <v>3.10 * 1.60</v>
          </cell>
          <cell r="H916" t="str">
            <v>E</v>
          </cell>
          <cell r="I916" t="str">
            <v>ESTACIONAMIENTOS</v>
          </cell>
          <cell r="J916">
            <v>0</v>
          </cell>
          <cell r="K916">
            <v>0</v>
          </cell>
          <cell r="L916">
            <v>620000</v>
          </cell>
          <cell r="M916" t="str">
            <v>MALL PARQUE ARAUCO</v>
          </cell>
          <cell r="P916" t="str">
            <v>LAS CONDES</v>
          </cell>
          <cell r="Q916" t="str">
            <v>TRADICIONAL</v>
          </cell>
          <cell r="R916" t="str">
            <v>Mall - Santiago</v>
          </cell>
          <cell r="S916" t="str">
            <v>Parque Arauco</v>
          </cell>
          <cell r="T916" t="str">
            <v>Minipoles</v>
          </cell>
          <cell r="U916">
            <v>1</v>
          </cell>
          <cell r="V916" t="str">
            <v>2.80 * 1.30</v>
          </cell>
        </row>
        <row r="917">
          <cell r="A917" t="str">
            <v>PAAR0033B</v>
          </cell>
          <cell r="B917" t="str">
            <v>Mall</v>
          </cell>
          <cell r="D917" t="str">
            <v>Minipoles</v>
          </cell>
          <cell r="E917" t="str">
            <v>Minipoles</v>
          </cell>
          <cell r="F917" t="str">
            <v>2.80 * 1.30</v>
          </cell>
          <cell r="G917" t="str">
            <v>3.10 * 1.60</v>
          </cell>
          <cell r="H917" t="str">
            <v>E</v>
          </cell>
          <cell r="I917" t="str">
            <v>ESTACIONAMIENTOS</v>
          </cell>
          <cell r="J917">
            <v>0</v>
          </cell>
          <cell r="K917">
            <v>0</v>
          </cell>
          <cell r="L917">
            <v>620000</v>
          </cell>
          <cell r="M917" t="str">
            <v>MALL PARQUE ARAUCO</v>
          </cell>
          <cell r="P917" t="str">
            <v>LAS CONDES</v>
          </cell>
          <cell r="Q917" t="str">
            <v>TRADICIONAL</v>
          </cell>
          <cell r="R917" t="str">
            <v>Mall - Santiago</v>
          </cell>
          <cell r="S917" t="str">
            <v>Parque Arauco</v>
          </cell>
          <cell r="T917" t="str">
            <v>Minipoles</v>
          </cell>
          <cell r="U917">
            <v>1</v>
          </cell>
          <cell r="V917" t="str">
            <v>2.80 * 1.30</v>
          </cell>
        </row>
        <row r="918">
          <cell r="A918" t="str">
            <v>PAAR0035A</v>
          </cell>
          <cell r="B918" t="str">
            <v>Mall</v>
          </cell>
          <cell r="D918" t="str">
            <v>Unipoles</v>
          </cell>
          <cell r="E918" t="str">
            <v>PRISMA</v>
          </cell>
          <cell r="F918" t="str">
            <v>8.80 * 2.80</v>
          </cell>
          <cell r="G918" t="str">
            <v>8.80 * 2.80</v>
          </cell>
          <cell r="H918" t="str">
            <v>E</v>
          </cell>
          <cell r="I918" t="str">
            <v>ESTACIONAMIENTOS</v>
          </cell>
          <cell r="J918">
            <v>0</v>
          </cell>
          <cell r="K918">
            <v>0</v>
          </cell>
          <cell r="L918">
            <v>1100000</v>
          </cell>
          <cell r="M918" t="str">
            <v>MALL PARQUE ARAUCO</v>
          </cell>
          <cell r="P918" t="str">
            <v>LAS CONDES</v>
          </cell>
          <cell r="Q918" t="str">
            <v>TRADICIONAL</v>
          </cell>
          <cell r="R918" t="str">
            <v>Mall - Santiago</v>
          </cell>
          <cell r="S918" t="str">
            <v>Parque Arauco</v>
          </cell>
          <cell r="T918" t="str">
            <v>Unipoles</v>
          </cell>
          <cell r="U918">
            <v>1</v>
          </cell>
          <cell r="V918" t="str">
            <v>8.80 * 2.80</v>
          </cell>
        </row>
        <row r="919">
          <cell r="A919" t="str">
            <v>PAAR0035B</v>
          </cell>
          <cell r="B919" t="str">
            <v>Mall</v>
          </cell>
          <cell r="D919" t="str">
            <v>Unipoles</v>
          </cell>
          <cell r="E919" t="str">
            <v>PRISMA</v>
          </cell>
          <cell r="F919" t="str">
            <v>8.80 * 2.80</v>
          </cell>
          <cell r="G919" t="str">
            <v>8.80 * 2.80</v>
          </cell>
          <cell r="H919" t="str">
            <v>E</v>
          </cell>
          <cell r="I919" t="str">
            <v>ESTACIONAMIENTOS</v>
          </cell>
          <cell r="J919">
            <v>0</v>
          </cell>
          <cell r="K919">
            <v>0</v>
          </cell>
          <cell r="L919">
            <v>1100000</v>
          </cell>
          <cell r="M919" t="str">
            <v>MALL PARQUE ARAUCO</v>
          </cell>
          <cell r="P919" t="str">
            <v>LAS CONDES</v>
          </cell>
          <cell r="Q919" t="str">
            <v>TRADICIONAL</v>
          </cell>
          <cell r="R919" t="str">
            <v>Mall - Santiago</v>
          </cell>
          <cell r="S919" t="str">
            <v>Parque Arauco</v>
          </cell>
          <cell r="T919" t="str">
            <v>Unipoles</v>
          </cell>
          <cell r="U919">
            <v>1</v>
          </cell>
          <cell r="V919" t="str">
            <v>8.80 * 2.80</v>
          </cell>
        </row>
        <row r="920">
          <cell r="A920" t="str">
            <v>PAAR0035C</v>
          </cell>
          <cell r="B920" t="str">
            <v>Mall</v>
          </cell>
          <cell r="D920" t="str">
            <v>Unipoles</v>
          </cell>
          <cell r="E920" t="str">
            <v>PRISMA</v>
          </cell>
          <cell r="F920" t="str">
            <v>8.80 * 2.80</v>
          </cell>
          <cell r="G920" t="str">
            <v>8.80 * 2.80</v>
          </cell>
          <cell r="H920" t="str">
            <v>E</v>
          </cell>
          <cell r="I920" t="str">
            <v>ESTACIONAMIENTOS</v>
          </cell>
          <cell r="J920">
            <v>0</v>
          </cell>
          <cell r="K920">
            <v>0</v>
          </cell>
          <cell r="L920">
            <v>1100000</v>
          </cell>
          <cell r="M920" t="str">
            <v>MALL PARQUE ARAUCO</v>
          </cell>
          <cell r="P920" t="str">
            <v>LAS CONDES</v>
          </cell>
          <cell r="Q920" t="str">
            <v>TRADICIONAL</v>
          </cell>
          <cell r="R920" t="str">
            <v>Mall - Santiago</v>
          </cell>
          <cell r="S920" t="str">
            <v>Parque Arauco</v>
          </cell>
          <cell r="T920" t="str">
            <v>Unipoles</v>
          </cell>
          <cell r="U920">
            <v>1</v>
          </cell>
          <cell r="V920" t="str">
            <v>8.80 * 2.80</v>
          </cell>
        </row>
        <row r="921">
          <cell r="A921" t="str">
            <v>PAAR0035X</v>
          </cell>
          <cell r="B921" t="str">
            <v>Mall</v>
          </cell>
          <cell r="D921" t="str">
            <v>Unipoles</v>
          </cell>
          <cell r="E921" t="str">
            <v>CARA FIJA</v>
          </cell>
          <cell r="F921" t="str">
            <v>9:00 * 3.00</v>
          </cell>
          <cell r="G921" t="str">
            <v>9.30 * 3.30</v>
          </cell>
          <cell r="H921" t="str">
            <v>E</v>
          </cell>
          <cell r="I921" t="str">
            <v>ESTACIONAMIENTOS</v>
          </cell>
          <cell r="J921">
            <v>0</v>
          </cell>
          <cell r="K921">
            <v>0</v>
          </cell>
          <cell r="L921">
            <v>980000</v>
          </cell>
          <cell r="M921" t="str">
            <v>MALL PARQUE ARAUCO</v>
          </cell>
          <cell r="P921" t="str">
            <v>LAS CONDES</v>
          </cell>
          <cell r="Q921" t="str">
            <v>TRADICIONAL</v>
          </cell>
          <cell r="R921" t="str">
            <v>Mall - Santiago</v>
          </cell>
          <cell r="S921" t="str">
            <v>Parque Arauco</v>
          </cell>
          <cell r="T921" t="str">
            <v>Unipoles</v>
          </cell>
          <cell r="U921">
            <v>1</v>
          </cell>
          <cell r="V921" t="str">
            <v>9.00 * 3.00</v>
          </cell>
        </row>
        <row r="922">
          <cell r="A922" t="str">
            <v>PAAR0036A</v>
          </cell>
          <cell r="B922" t="str">
            <v>Mall</v>
          </cell>
          <cell r="D922" t="str">
            <v>Cajas de luz</v>
          </cell>
          <cell r="E922" t="str">
            <v>LOTE DE 45 PANCARTAS POSTES</v>
          </cell>
          <cell r="F922" t="str">
            <v>0.93 * 0.93</v>
          </cell>
          <cell r="G922" t="str">
            <v>1.00 * 1.00</v>
          </cell>
          <cell r="H922" t="str">
            <v>E</v>
          </cell>
          <cell r="I922" t="str">
            <v>ESTACIONAMIENTOS</v>
          </cell>
          <cell r="J922" t="str">
            <v>incluido</v>
          </cell>
          <cell r="K922">
            <v>0</v>
          </cell>
          <cell r="L922">
            <v>2050000</v>
          </cell>
          <cell r="M922" t="str">
            <v>MALL PARQUE ARAUCO</v>
          </cell>
          <cell r="P922" t="str">
            <v>LAS CONDES</v>
          </cell>
          <cell r="Q922" t="str">
            <v>TRADICIONAL</v>
          </cell>
          <cell r="R922" t="str">
            <v>Mall - Santiago</v>
          </cell>
          <cell r="S922" t="str">
            <v>Parque Arauco</v>
          </cell>
          <cell r="T922" t="str">
            <v>Cajas de luz</v>
          </cell>
          <cell r="U922">
            <v>45</v>
          </cell>
          <cell r="V922" t="str">
            <v>0.93 * 0.93</v>
          </cell>
        </row>
        <row r="923">
          <cell r="A923" t="str">
            <v>PAAR0037A</v>
          </cell>
          <cell r="B923" t="str">
            <v>Mall</v>
          </cell>
          <cell r="D923" t="str">
            <v>Cajas de luz</v>
          </cell>
          <cell r="E923" t="str">
            <v>Cajas de luz</v>
          </cell>
          <cell r="F923" t="str">
            <v>6.93 * 1.43</v>
          </cell>
          <cell r="G923" t="str">
            <v>7.20 * 1.70</v>
          </cell>
          <cell r="H923" t="str">
            <v>A</v>
          </cell>
          <cell r="I923" t="str">
            <v>ACCESO ESTACIONA</v>
          </cell>
          <cell r="J923">
            <v>0</v>
          </cell>
          <cell r="K923">
            <v>0</v>
          </cell>
          <cell r="L923">
            <v>600000</v>
          </cell>
          <cell r="M923" t="str">
            <v>MALL PARQUE ARAUCO</v>
          </cell>
          <cell r="P923" t="str">
            <v>LAS CONDES</v>
          </cell>
          <cell r="Q923" t="str">
            <v>TRADICIONAL</v>
          </cell>
          <cell r="R923" t="str">
            <v>Mall - Santiago</v>
          </cell>
          <cell r="S923" t="str">
            <v>Parque Arauco</v>
          </cell>
          <cell r="T923" t="str">
            <v>Cajas de luz</v>
          </cell>
          <cell r="U923">
            <v>1</v>
          </cell>
          <cell r="V923" t="str">
            <v>6.93 * 1.43</v>
          </cell>
        </row>
        <row r="924">
          <cell r="A924" t="str">
            <v>PAAR0038A</v>
          </cell>
          <cell r="B924" t="str">
            <v>Mall</v>
          </cell>
          <cell r="D924" t="str">
            <v>Totem</v>
          </cell>
          <cell r="E924" t="str">
            <v>POSTE</v>
          </cell>
          <cell r="F924" t="str">
            <v>2 Telas PVC de 5.0 mts x 2.0 mts y 3 Telas Hiflex de 0.83 mts x 5.93 mts</v>
          </cell>
          <cell r="G924" t="str">
            <v>2 Telas PVC de 5.3 mts x 2.3 mts y 3 Telas Hiflex de 1.03 mts x 6.13 mts (importante el excedente de la Tela PVC debe venir en bolsillos perimetrales de 15 cm y la de la Tela Hiflex el bolsillo debe ser de 10 cm, siempre color fondo)</v>
          </cell>
          <cell r="H924" t="str">
            <v>E</v>
          </cell>
          <cell r="I924" t="str">
            <v>ESTACIONAMIENTOS</v>
          </cell>
          <cell r="J924">
            <v>157000</v>
          </cell>
          <cell r="K924">
            <v>0</v>
          </cell>
          <cell r="L924">
            <v>2900000</v>
          </cell>
          <cell r="M924" t="str">
            <v>MALL PARQUE ARAUCO</v>
          </cell>
          <cell r="P924" t="str">
            <v>LAS CONDES</v>
          </cell>
          <cell r="Q924" t="str">
            <v>TRADICIONAL</v>
          </cell>
          <cell r="R924" t="str">
            <v>Mall - Santiago</v>
          </cell>
          <cell r="S924" t="str">
            <v>Parque Arauco</v>
          </cell>
          <cell r="T924" t="str">
            <v>Totem</v>
          </cell>
          <cell r="U924">
            <v>1</v>
          </cell>
          <cell r="V924" t="str">
            <v>NA</v>
          </cell>
        </row>
        <row r="925">
          <cell r="A925" t="str">
            <v>PAAR0039A</v>
          </cell>
          <cell r="B925" t="str">
            <v>Mall</v>
          </cell>
          <cell r="D925" t="str">
            <v>Paletas</v>
          </cell>
          <cell r="E925" t="str">
            <v>PALETAS SCREEN NUEVAS</v>
          </cell>
          <cell r="F925" t="str">
            <v>1.20 * 1.70</v>
          </cell>
          <cell r="G925" t="str">
            <v>1.23 * 1.75</v>
          </cell>
          <cell r="H925" t="str">
            <v>E</v>
          </cell>
          <cell r="I925" t="str">
            <v>ESTACIONAMIENTOS</v>
          </cell>
          <cell r="J925">
            <v>0</v>
          </cell>
          <cell r="K925">
            <v>0</v>
          </cell>
          <cell r="L925">
            <v>380000</v>
          </cell>
          <cell r="M925" t="str">
            <v>MALL PARQUE ARAUCO</v>
          </cell>
          <cell r="P925" t="str">
            <v>LAS CONDES</v>
          </cell>
          <cell r="Q925" t="str">
            <v>TRADICIONAL</v>
          </cell>
          <cell r="R925" t="str">
            <v>Mall - Santiago</v>
          </cell>
          <cell r="S925" t="str">
            <v>Parque Arauco</v>
          </cell>
          <cell r="T925" t="str">
            <v>Paletas</v>
          </cell>
          <cell r="U925">
            <v>1</v>
          </cell>
          <cell r="V925" t="str">
            <v>1.20 * 1.70</v>
          </cell>
        </row>
        <row r="926">
          <cell r="A926" t="str">
            <v>PAAR0039B</v>
          </cell>
          <cell r="B926" t="str">
            <v>Mall</v>
          </cell>
          <cell r="D926" t="str">
            <v>Paletas</v>
          </cell>
          <cell r="E926" t="str">
            <v>PALETAS SCREEN NUEVAS</v>
          </cell>
          <cell r="F926" t="str">
            <v>1.20 * 1.70</v>
          </cell>
          <cell r="G926" t="str">
            <v>1.23 * 1.75</v>
          </cell>
          <cell r="H926" t="str">
            <v>E</v>
          </cell>
          <cell r="I926" t="str">
            <v>ESTACIONAMIENTOS</v>
          </cell>
          <cell r="J926">
            <v>0</v>
          </cell>
          <cell r="K926">
            <v>0</v>
          </cell>
          <cell r="L926">
            <v>0</v>
          </cell>
          <cell r="M926" t="str">
            <v>MALL PARQUE ARAUCO</v>
          </cell>
          <cell r="P926" t="str">
            <v>LAS CONDES</v>
          </cell>
          <cell r="Q926" t="str">
            <v>TRADICIONAL</v>
          </cell>
          <cell r="R926" t="str">
            <v>Mall - Santiago</v>
          </cell>
          <cell r="S926" t="str">
            <v>Parque Arauco</v>
          </cell>
          <cell r="T926" t="str">
            <v>Paletas</v>
          </cell>
          <cell r="U926">
            <v>1</v>
          </cell>
          <cell r="V926" t="str">
            <v>1.20 * 1.70</v>
          </cell>
        </row>
        <row r="927">
          <cell r="A927" t="str">
            <v>PAAR0040A</v>
          </cell>
          <cell r="B927" t="str">
            <v>Mall</v>
          </cell>
          <cell r="D927" t="str">
            <v>Paletas</v>
          </cell>
          <cell r="E927" t="str">
            <v>PALETAS SCREEN NUEVAS</v>
          </cell>
          <cell r="F927" t="str">
            <v>1.20 * 1.70</v>
          </cell>
          <cell r="G927" t="str">
            <v>1.23 * 1.75</v>
          </cell>
          <cell r="H927" t="str">
            <v>E</v>
          </cell>
          <cell r="I927" t="str">
            <v>ESTACIONAMIENTOS</v>
          </cell>
          <cell r="J927">
            <v>0</v>
          </cell>
          <cell r="K927">
            <v>0</v>
          </cell>
          <cell r="L927">
            <v>380000</v>
          </cell>
          <cell r="M927" t="str">
            <v>MALL PARQUE ARAUCO</v>
          </cell>
          <cell r="P927" t="str">
            <v>LAS CONDES</v>
          </cell>
          <cell r="Q927" t="str">
            <v>TRADICIONAL</v>
          </cell>
          <cell r="R927" t="str">
            <v>Mall - Santiago</v>
          </cell>
          <cell r="S927" t="str">
            <v>Parque Arauco</v>
          </cell>
          <cell r="T927" t="str">
            <v>Paletas</v>
          </cell>
          <cell r="U927">
            <v>1</v>
          </cell>
          <cell r="V927" t="str">
            <v>1.20 * 1.70</v>
          </cell>
        </row>
        <row r="928">
          <cell r="A928" t="str">
            <v>PAAR0040B</v>
          </cell>
          <cell r="B928" t="str">
            <v>Mall</v>
          </cell>
          <cell r="D928" t="str">
            <v>Paletas</v>
          </cell>
          <cell r="E928" t="str">
            <v>PALETAS SCREEN NUEVAS</v>
          </cell>
          <cell r="F928" t="str">
            <v>1.20 * 1.70</v>
          </cell>
          <cell r="G928" t="str">
            <v>1.23 * 1.75</v>
          </cell>
          <cell r="H928" t="str">
            <v>E</v>
          </cell>
          <cell r="I928" t="str">
            <v>ESTACIONAMIENTOS</v>
          </cell>
          <cell r="J928">
            <v>0</v>
          </cell>
          <cell r="K928">
            <v>0</v>
          </cell>
          <cell r="L928">
            <v>0</v>
          </cell>
          <cell r="M928" t="str">
            <v>MALL PARQUE ARAUCO</v>
          </cell>
          <cell r="P928" t="str">
            <v>LAS CONDES</v>
          </cell>
          <cell r="Q928" t="str">
            <v>TRADICIONAL</v>
          </cell>
          <cell r="R928" t="str">
            <v>Mall - Santiago</v>
          </cell>
          <cell r="S928" t="str">
            <v>Parque Arauco</v>
          </cell>
          <cell r="T928" t="str">
            <v>Paletas</v>
          </cell>
          <cell r="U928">
            <v>1</v>
          </cell>
          <cell r="V928" t="str">
            <v>1.20 * 1.70</v>
          </cell>
        </row>
        <row r="929">
          <cell r="A929" t="str">
            <v>PAAR0041A</v>
          </cell>
          <cell r="B929" t="str">
            <v>Mall</v>
          </cell>
          <cell r="D929" t="str">
            <v>Paletas</v>
          </cell>
          <cell r="E929" t="str">
            <v>PALETAS SCREEN NUEVAS</v>
          </cell>
          <cell r="F929" t="str">
            <v>1.20 * 1.70</v>
          </cell>
          <cell r="G929" t="str">
            <v>1.23 * 1.75</v>
          </cell>
          <cell r="H929" t="str">
            <v>E</v>
          </cell>
          <cell r="I929" t="str">
            <v>ESTACIONAMIENTOS</v>
          </cell>
          <cell r="J929">
            <v>0</v>
          </cell>
          <cell r="K929">
            <v>0</v>
          </cell>
          <cell r="L929">
            <v>380000</v>
          </cell>
          <cell r="M929" t="str">
            <v>MALL PARQUE ARAUCO</v>
          </cell>
          <cell r="P929" t="str">
            <v>LAS CONDES</v>
          </cell>
          <cell r="Q929" t="str">
            <v>TRADICIONAL</v>
          </cell>
          <cell r="R929" t="str">
            <v>Mall - Santiago</v>
          </cell>
          <cell r="S929" t="str">
            <v>Parque Arauco</v>
          </cell>
          <cell r="T929" t="str">
            <v>Paletas</v>
          </cell>
          <cell r="U929">
            <v>1</v>
          </cell>
          <cell r="V929" t="str">
            <v>1.20 * 1.70</v>
          </cell>
        </row>
        <row r="930">
          <cell r="A930" t="str">
            <v>PAAR0050A</v>
          </cell>
          <cell r="B930" t="str">
            <v>Mall</v>
          </cell>
          <cell r="D930" t="str">
            <v>Paletas</v>
          </cell>
          <cell r="E930" t="str">
            <v>PALETAS SCREEN NUEVAS</v>
          </cell>
          <cell r="F930" t="str">
            <v>1.20 * 1.70</v>
          </cell>
          <cell r="G930" t="str">
            <v>1.23 * 1.75</v>
          </cell>
          <cell r="H930" t="str">
            <v>E</v>
          </cell>
          <cell r="I930" t="str">
            <v>ESTACIONAMIENTOS</v>
          </cell>
          <cell r="J930">
            <v>0</v>
          </cell>
          <cell r="K930">
            <v>0</v>
          </cell>
          <cell r="L930">
            <v>380000</v>
          </cell>
          <cell r="M930" t="str">
            <v>MALL PARQUE ARAUCO</v>
          </cell>
          <cell r="P930" t="str">
            <v>LAS CONDES</v>
          </cell>
          <cell r="Q930" t="str">
            <v>TRADICIONAL</v>
          </cell>
          <cell r="R930" t="str">
            <v>Mall - Santiago</v>
          </cell>
          <cell r="S930" t="str">
            <v>Parque Arauco</v>
          </cell>
          <cell r="T930" t="str">
            <v>Paletas</v>
          </cell>
          <cell r="U930">
            <v>1</v>
          </cell>
          <cell r="V930" t="str">
            <v>1.20 * 1.70</v>
          </cell>
        </row>
        <row r="931">
          <cell r="A931" t="str">
            <v>PAAR0050B</v>
          </cell>
          <cell r="B931" t="str">
            <v>Mall</v>
          </cell>
          <cell r="D931" t="str">
            <v>Paletas</v>
          </cell>
          <cell r="E931" t="str">
            <v>PALETAS SCREEN NUEVAS</v>
          </cell>
          <cell r="F931" t="str">
            <v>1.20 * 1.70</v>
          </cell>
          <cell r="G931" t="str">
            <v>1.23 * 1.75</v>
          </cell>
          <cell r="H931" t="str">
            <v>E</v>
          </cell>
          <cell r="I931" t="str">
            <v>ESTACIONAMIENTOS</v>
          </cell>
          <cell r="J931">
            <v>0</v>
          </cell>
          <cell r="K931">
            <v>0</v>
          </cell>
          <cell r="L931">
            <v>380000</v>
          </cell>
          <cell r="M931" t="str">
            <v>MALL PARQUE ARAUCO</v>
          </cell>
          <cell r="P931" t="str">
            <v>LAS CONDES</v>
          </cell>
          <cell r="Q931" t="str">
            <v>TRADICIONAL</v>
          </cell>
          <cell r="R931" t="str">
            <v>Mall - Santiago</v>
          </cell>
          <cell r="S931" t="str">
            <v>Parque Arauco</v>
          </cell>
          <cell r="T931" t="str">
            <v>Paletas</v>
          </cell>
          <cell r="U931">
            <v>1</v>
          </cell>
          <cell r="V931" t="str">
            <v>1.20 * 1.70</v>
          </cell>
        </row>
        <row r="932">
          <cell r="A932" t="str">
            <v>PAAR0051A</v>
          </cell>
          <cell r="B932" t="str">
            <v>Mall</v>
          </cell>
          <cell r="D932" t="str">
            <v>Paletas</v>
          </cell>
          <cell r="E932" t="str">
            <v>PALETAS SCREEN NUEVAS</v>
          </cell>
          <cell r="F932" t="str">
            <v>1.20 * 1.70</v>
          </cell>
          <cell r="G932" t="str">
            <v>1.23 * 1.75</v>
          </cell>
          <cell r="H932" t="str">
            <v>E</v>
          </cell>
          <cell r="I932" t="str">
            <v>ESTACIONAMIENTOS</v>
          </cell>
          <cell r="J932">
            <v>0</v>
          </cell>
          <cell r="K932">
            <v>0</v>
          </cell>
          <cell r="L932">
            <v>380000</v>
          </cell>
          <cell r="M932" t="str">
            <v>MALL PARQUE ARAUCO</v>
          </cell>
          <cell r="P932" t="str">
            <v>LAS CONDES</v>
          </cell>
          <cell r="Q932" t="str">
            <v>TRADICIONAL</v>
          </cell>
          <cell r="R932" t="str">
            <v>Mall - Santiago</v>
          </cell>
          <cell r="S932" t="str">
            <v>Parque Arauco</v>
          </cell>
          <cell r="T932" t="str">
            <v>Paletas</v>
          </cell>
          <cell r="U932">
            <v>1</v>
          </cell>
          <cell r="V932" t="str">
            <v>1.20 * 1.70</v>
          </cell>
        </row>
        <row r="933">
          <cell r="A933" t="str">
            <v>PAAR0051B</v>
          </cell>
          <cell r="B933" t="str">
            <v>Mall</v>
          </cell>
          <cell r="D933" t="str">
            <v>Paletas</v>
          </cell>
          <cell r="E933" t="str">
            <v>PALETAS SCREEN NUEVAS</v>
          </cell>
          <cell r="F933" t="str">
            <v>1.20 * 1.70</v>
          </cell>
          <cell r="G933" t="str">
            <v>1.23 * 1.75</v>
          </cell>
          <cell r="H933" t="str">
            <v>E</v>
          </cell>
          <cell r="I933" t="str">
            <v>ESTACIONAMIENTOS</v>
          </cell>
          <cell r="J933">
            <v>0</v>
          </cell>
          <cell r="K933">
            <v>0</v>
          </cell>
          <cell r="L933">
            <v>380000</v>
          </cell>
          <cell r="M933" t="str">
            <v>MALL PARQUE ARAUCO</v>
          </cell>
          <cell r="P933" t="str">
            <v>LAS CONDES</v>
          </cell>
          <cell r="Q933" t="str">
            <v>TRADICIONAL</v>
          </cell>
          <cell r="R933" t="str">
            <v>Mall - Santiago</v>
          </cell>
          <cell r="S933" t="str">
            <v>Parque Arauco</v>
          </cell>
          <cell r="T933" t="str">
            <v>Paletas</v>
          </cell>
          <cell r="U933">
            <v>1</v>
          </cell>
          <cell r="V933" t="str">
            <v>1.20 * 1.70</v>
          </cell>
        </row>
        <row r="934">
          <cell r="A934" t="str">
            <v>PAAR0053A</v>
          </cell>
          <cell r="B934" t="str">
            <v>Mall</v>
          </cell>
          <cell r="D934" t="str">
            <v>Paletas</v>
          </cell>
          <cell r="E934" t="str">
            <v>PALETAS SCREEN NUEVAS</v>
          </cell>
          <cell r="F934" t="str">
            <v>1.20 * 1.70</v>
          </cell>
          <cell r="G934" t="str">
            <v>1.23 * 1.75</v>
          </cell>
          <cell r="H934" t="str">
            <v>E</v>
          </cell>
          <cell r="I934" t="str">
            <v>ESTACIONAMIENTOS</v>
          </cell>
          <cell r="J934">
            <v>0</v>
          </cell>
          <cell r="K934">
            <v>0</v>
          </cell>
          <cell r="L934">
            <v>380000</v>
          </cell>
          <cell r="M934" t="str">
            <v>MALL PARQUE ARAUCO</v>
          </cell>
          <cell r="P934" t="str">
            <v>LAS CONDES</v>
          </cell>
          <cell r="Q934" t="str">
            <v>TRADICIONAL</v>
          </cell>
          <cell r="R934" t="str">
            <v>Mall - Santiago</v>
          </cell>
          <cell r="S934" t="str">
            <v>Parque Arauco</v>
          </cell>
          <cell r="T934" t="str">
            <v>Paletas</v>
          </cell>
          <cell r="U934">
            <v>1</v>
          </cell>
          <cell r="V934" t="str">
            <v>1.20 * 1.70</v>
          </cell>
        </row>
        <row r="935">
          <cell r="A935" t="str">
            <v>PAAR0053B</v>
          </cell>
          <cell r="B935" t="str">
            <v>Mall</v>
          </cell>
          <cell r="D935" t="str">
            <v>Paletas</v>
          </cell>
          <cell r="E935" t="str">
            <v>PALETAS SCREEN NUEVAS</v>
          </cell>
          <cell r="F935" t="str">
            <v>1.20 * 1.70</v>
          </cell>
          <cell r="G935" t="str">
            <v>1.23 * 1.75</v>
          </cell>
          <cell r="H935" t="str">
            <v>E</v>
          </cell>
          <cell r="I935" t="str">
            <v>ESTACIONAMIENTOS</v>
          </cell>
          <cell r="J935">
            <v>0</v>
          </cell>
          <cell r="K935">
            <v>0</v>
          </cell>
          <cell r="L935">
            <v>380000</v>
          </cell>
          <cell r="M935" t="str">
            <v>MALL PARQUE ARAUCO</v>
          </cell>
          <cell r="P935" t="str">
            <v>LAS CONDES</v>
          </cell>
          <cell r="Q935" t="str">
            <v>TRADICIONAL</v>
          </cell>
          <cell r="R935" t="str">
            <v>Mall - Santiago</v>
          </cell>
          <cell r="S935" t="str">
            <v>Parque Arauco</v>
          </cell>
          <cell r="T935" t="str">
            <v>Paletas</v>
          </cell>
          <cell r="U935">
            <v>1</v>
          </cell>
          <cell r="V935" t="str">
            <v>1.20 * 1.70</v>
          </cell>
        </row>
        <row r="936">
          <cell r="A936" t="str">
            <v>PAAR0054A</v>
          </cell>
          <cell r="B936" t="str">
            <v>Mall</v>
          </cell>
          <cell r="D936" t="str">
            <v>Paletas</v>
          </cell>
          <cell r="E936" t="str">
            <v>PALETAS SCREEN NUEVAS</v>
          </cell>
          <cell r="F936" t="str">
            <v>1.20 * 1.70</v>
          </cell>
          <cell r="G936" t="str">
            <v>1.23 * 1.75</v>
          </cell>
          <cell r="H936" t="str">
            <v>E</v>
          </cell>
          <cell r="I936" t="str">
            <v>ESTACIONAMIENTOS</v>
          </cell>
          <cell r="J936">
            <v>0</v>
          </cell>
          <cell r="K936">
            <v>0</v>
          </cell>
          <cell r="L936">
            <v>380000</v>
          </cell>
          <cell r="M936" t="str">
            <v>MALL PARQUE ARAUCO</v>
          </cell>
          <cell r="P936" t="str">
            <v>LAS CONDES</v>
          </cell>
          <cell r="Q936" t="str">
            <v>TRADICIONAL</v>
          </cell>
          <cell r="R936" t="str">
            <v>Mall - Santiago</v>
          </cell>
          <cell r="S936" t="str">
            <v>Parque Arauco</v>
          </cell>
          <cell r="T936" t="str">
            <v>Paletas</v>
          </cell>
          <cell r="U936">
            <v>1</v>
          </cell>
          <cell r="V936" t="str">
            <v>1.20 * 1.70</v>
          </cell>
        </row>
        <row r="937">
          <cell r="A937" t="str">
            <v>PAAR0054B</v>
          </cell>
          <cell r="B937" t="str">
            <v>Mall</v>
          </cell>
          <cell r="D937" t="str">
            <v>Paletas</v>
          </cell>
          <cell r="E937" t="str">
            <v>PALETAS SCREEN NUEVAS</v>
          </cell>
          <cell r="F937" t="str">
            <v>1.20 * 1.70</v>
          </cell>
          <cell r="G937" t="str">
            <v>1.23 * 1.75</v>
          </cell>
          <cell r="H937" t="str">
            <v>E</v>
          </cell>
          <cell r="I937" t="str">
            <v>ESTACIONAMIENTOS</v>
          </cell>
          <cell r="J937">
            <v>0</v>
          </cell>
          <cell r="K937">
            <v>0</v>
          </cell>
          <cell r="L937">
            <v>380000</v>
          </cell>
          <cell r="M937" t="str">
            <v>MALL PARQUE ARAUCO</v>
          </cell>
          <cell r="P937" t="str">
            <v>LAS CONDES</v>
          </cell>
          <cell r="Q937" t="str">
            <v>TRADICIONAL</v>
          </cell>
          <cell r="R937" t="str">
            <v>Mall - Santiago</v>
          </cell>
          <cell r="S937" t="str">
            <v>Parque Arauco</v>
          </cell>
          <cell r="T937" t="str">
            <v>Paletas</v>
          </cell>
          <cell r="U937">
            <v>1</v>
          </cell>
          <cell r="V937" t="str">
            <v>1.20 * 1.70</v>
          </cell>
        </row>
        <row r="938">
          <cell r="A938" t="str">
            <v>PAAR0065A</v>
          </cell>
          <cell r="B938" t="str">
            <v>Mall</v>
          </cell>
          <cell r="D938" t="str">
            <v>P.E.: MESAS - 80% Cobertura</v>
          </cell>
          <cell r="E938" t="str">
            <v>MESAS - 80% Cobertura</v>
          </cell>
          <cell r="F938" t="str">
            <v>Ver Ficha</v>
          </cell>
          <cell r="G938" t="str">
            <v>Ver Ficha</v>
          </cell>
          <cell r="I938" t="str">
            <v>INTERIOR</v>
          </cell>
          <cell r="J938">
            <v>443000</v>
          </cell>
          <cell r="K938">
            <v>0</v>
          </cell>
          <cell r="L938">
            <v>4800000</v>
          </cell>
          <cell r="M938" t="str">
            <v>MALL PARQUE ARAUCO</v>
          </cell>
          <cell r="P938" t="str">
            <v>LAS CONDES</v>
          </cell>
          <cell r="Q938" t="str">
            <v>ESPECIAL</v>
          </cell>
          <cell r="R938" t="str">
            <v>Mall - Santiago</v>
          </cell>
          <cell r="S938" t="str">
            <v>Parque Arauco</v>
          </cell>
          <cell r="T938" t="str">
            <v>Productos Especiales</v>
          </cell>
          <cell r="U938">
            <v>1</v>
          </cell>
          <cell r="V938" t="str">
            <v>NA</v>
          </cell>
        </row>
        <row r="939">
          <cell r="A939" t="str">
            <v>PAAR0066A</v>
          </cell>
          <cell r="B939" t="str">
            <v>Mall</v>
          </cell>
          <cell r="D939" t="str">
            <v>P.E.: Pendón Bifaz</v>
          </cell>
          <cell r="E939" t="str">
            <v>Pendón Bifaz</v>
          </cell>
          <cell r="F939" t="str">
            <v>Ver Ficha</v>
          </cell>
          <cell r="G939" t="str">
            <v>Ver Ficha</v>
          </cell>
          <cell r="I939" t="str">
            <v>INTERIOR MALL</v>
          </cell>
          <cell r="J939">
            <v>62000</v>
          </cell>
          <cell r="K939">
            <v>0</v>
          </cell>
          <cell r="L939">
            <v>3500000</v>
          </cell>
          <cell r="M939" t="str">
            <v>MALL PARQUE ARAUCO</v>
          </cell>
          <cell r="P939" t="str">
            <v>LAS CONDES</v>
          </cell>
          <cell r="Q939" t="str">
            <v>ESPECIAL</v>
          </cell>
          <cell r="R939" t="str">
            <v>Mall - Santiago</v>
          </cell>
          <cell r="S939" t="str">
            <v>Parque Arauco</v>
          </cell>
          <cell r="T939" t="str">
            <v>Productos Especiales</v>
          </cell>
          <cell r="U939">
            <v>1</v>
          </cell>
          <cell r="V939" t="str">
            <v>NA</v>
          </cell>
        </row>
        <row r="940">
          <cell r="A940" t="str">
            <v>PAAR0067A</v>
          </cell>
          <cell r="B940" t="str">
            <v>Mall</v>
          </cell>
          <cell r="D940" t="str">
            <v>P.E.: Triptico central</v>
          </cell>
          <cell r="E940" t="str">
            <v>Triptico central</v>
          </cell>
          <cell r="F940" t="str">
            <v>Ver Ficha</v>
          </cell>
          <cell r="G940" t="str">
            <v>Ver Ficha</v>
          </cell>
          <cell r="I940" t="str">
            <v>INTERIOR MALL</v>
          </cell>
          <cell r="J940">
            <v>453000</v>
          </cell>
          <cell r="K940">
            <v>0</v>
          </cell>
          <cell r="L940">
            <v>5500000</v>
          </cell>
          <cell r="M940" t="str">
            <v>MALL PARQUE ARAUCO</v>
          </cell>
          <cell r="P940" t="str">
            <v>LAS CONDES</v>
          </cell>
          <cell r="Q940" t="str">
            <v>ESPECIAL</v>
          </cell>
          <cell r="R940" t="str">
            <v>Mall - Santiago</v>
          </cell>
          <cell r="S940" t="str">
            <v>Parque Arauco</v>
          </cell>
          <cell r="T940" t="str">
            <v>Productos Especiales</v>
          </cell>
          <cell r="U940">
            <v>1</v>
          </cell>
          <cell r="V940" t="str">
            <v>NA</v>
          </cell>
        </row>
        <row r="941">
          <cell r="A941" t="str">
            <v>PAAR0068A</v>
          </cell>
          <cell r="B941" t="str">
            <v>Mall</v>
          </cell>
          <cell r="D941" t="str">
            <v>P.E.: PENDONES</v>
          </cell>
          <cell r="E941" t="str">
            <v>PENDONES</v>
          </cell>
          <cell r="F941" t="str">
            <v>Ver Ficha</v>
          </cell>
          <cell r="G941" t="str">
            <v>Ver Ficha</v>
          </cell>
          <cell r="I941" t="str">
            <v>INTERIOR PASIILO</v>
          </cell>
          <cell r="J941">
            <v>207000</v>
          </cell>
          <cell r="K941">
            <v>0</v>
          </cell>
          <cell r="L941">
            <v>4500000</v>
          </cell>
          <cell r="M941" t="str">
            <v>MALL PARQUE ARAUCO</v>
          </cell>
          <cell r="P941" t="str">
            <v>LAS CONDES</v>
          </cell>
          <cell r="Q941" t="str">
            <v>ESPECIAL</v>
          </cell>
          <cell r="R941" t="str">
            <v>Mall - Santiago</v>
          </cell>
          <cell r="S941" t="str">
            <v>Parque Arauco</v>
          </cell>
          <cell r="T941" t="str">
            <v>Productos Especiales</v>
          </cell>
          <cell r="U941">
            <v>1</v>
          </cell>
          <cell r="V941" t="str">
            <v>NA</v>
          </cell>
        </row>
        <row r="942">
          <cell r="A942" t="str">
            <v>POLD0001A</v>
          </cell>
          <cell r="B942" t="str">
            <v>Mall</v>
          </cell>
          <cell r="D942" t="str">
            <v>Pantallas Digitales</v>
          </cell>
          <cell r="E942" t="str">
            <v>Pantallas</v>
          </cell>
          <cell r="F942" t="str">
            <v>NA</v>
          </cell>
          <cell r="G942" t="str">
            <v>NA</v>
          </cell>
          <cell r="H942" t="str">
            <v>I</v>
          </cell>
          <cell r="I942" t="str">
            <v>Lote de 8 TV</v>
          </cell>
          <cell r="J942">
            <v>0</v>
          </cell>
          <cell r="K942">
            <v>0</v>
          </cell>
          <cell r="L942">
            <v>700000</v>
          </cell>
          <cell r="M942" t="str">
            <v>PORTAL LA DEHESA</v>
          </cell>
          <cell r="P942" t="str">
            <v>LO BARNECHEA</v>
          </cell>
          <cell r="Q942" t="str">
            <v>PANTALLA</v>
          </cell>
          <cell r="R942" t="str">
            <v>Mall - Santiago</v>
          </cell>
          <cell r="S942" t="str">
            <v>Inversiones las Verbenas Digital</v>
          </cell>
          <cell r="T942" t="str">
            <v>Pantallas Digitales</v>
          </cell>
          <cell r="U942">
            <v>1</v>
          </cell>
          <cell r="V942" t="str">
            <v>NA</v>
          </cell>
        </row>
        <row r="943">
          <cell r="A943" t="str">
            <v>POLD0001B</v>
          </cell>
          <cell r="B943" t="str">
            <v>Mall</v>
          </cell>
          <cell r="D943" t="str">
            <v>Pantallas Digitales</v>
          </cell>
          <cell r="E943" t="str">
            <v>Pantallas</v>
          </cell>
          <cell r="F943" t="str">
            <v>NA</v>
          </cell>
          <cell r="G943" t="str">
            <v>NA</v>
          </cell>
          <cell r="I943" t="str">
            <v>Lote de 8 TV</v>
          </cell>
          <cell r="J943">
            <v>0</v>
          </cell>
          <cell r="K943">
            <v>0</v>
          </cell>
          <cell r="L943">
            <v>700000</v>
          </cell>
          <cell r="M943" t="str">
            <v>PORTAL LA DEHESA</v>
          </cell>
          <cell r="P943" t="str">
            <v>LO BARNECHEA</v>
          </cell>
          <cell r="Q943" t="str">
            <v>PANTALLA</v>
          </cell>
          <cell r="R943" t="str">
            <v>Mall - Santiago</v>
          </cell>
          <cell r="S943" t="str">
            <v>Inversiones las Verbenas Digital</v>
          </cell>
          <cell r="T943" t="str">
            <v>Pantallas Digitales</v>
          </cell>
          <cell r="U943">
            <v>1</v>
          </cell>
          <cell r="V943" t="str">
            <v>NA</v>
          </cell>
        </row>
        <row r="944">
          <cell r="A944" t="str">
            <v>POLD0001C</v>
          </cell>
          <cell r="B944" t="str">
            <v>Mall</v>
          </cell>
          <cell r="D944" t="str">
            <v>Pantallas Digitales</v>
          </cell>
          <cell r="E944" t="str">
            <v>Pantallas</v>
          </cell>
          <cell r="F944" t="str">
            <v>NA</v>
          </cell>
          <cell r="G944" t="str">
            <v>NA</v>
          </cell>
          <cell r="H944" t="str">
            <v>I</v>
          </cell>
          <cell r="I944" t="str">
            <v>Lote de 8 TV</v>
          </cell>
          <cell r="J944">
            <v>0</v>
          </cell>
          <cell r="K944">
            <v>0</v>
          </cell>
          <cell r="L944">
            <v>700000</v>
          </cell>
          <cell r="M944" t="str">
            <v>PORTAL LA DEHESA</v>
          </cell>
          <cell r="P944" t="str">
            <v>LO BARNECHEA</v>
          </cell>
          <cell r="Q944" t="str">
            <v>PANTALLA</v>
          </cell>
          <cell r="R944" t="str">
            <v>Mall - Santiago</v>
          </cell>
          <cell r="S944" t="str">
            <v>Inversiones las Verbenas Digital</v>
          </cell>
          <cell r="T944" t="str">
            <v>Pantallas Digitales</v>
          </cell>
          <cell r="U944">
            <v>1</v>
          </cell>
          <cell r="V944" t="str">
            <v>NA</v>
          </cell>
        </row>
        <row r="945">
          <cell r="A945" t="str">
            <v>POLD0001D</v>
          </cell>
          <cell r="B945" t="str">
            <v>Mall</v>
          </cell>
          <cell r="D945" t="str">
            <v>Pantallas Digitales</v>
          </cell>
          <cell r="E945" t="str">
            <v>Pantallas</v>
          </cell>
          <cell r="F945" t="str">
            <v>NA</v>
          </cell>
          <cell r="G945" t="str">
            <v>NA</v>
          </cell>
          <cell r="H945" t="str">
            <v>I</v>
          </cell>
          <cell r="I945" t="str">
            <v>Lote de 8 TV</v>
          </cell>
          <cell r="J945">
            <v>0</v>
          </cell>
          <cell r="K945">
            <v>0</v>
          </cell>
          <cell r="L945">
            <v>700000</v>
          </cell>
          <cell r="M945" t="str">
            <v>PORTAL LA DEHESA</v>
          </cell>
          <cell r="P945" t="str">
            <v>LO BARNECHEA</v>
          </cell>
          <cell r="Q945" t="str">
            <v>PANTALLA</v>
          </cell>
          <cell r="R945" t="str">
            <v>Mall - Santiago</v>
          </cell>
          <cell r="S945" t="str">
            <v>Inversiones las Verbenas Digital</v>
          </cell>
          <cell r="T945" t="str">
            <v>Pantallas Digitales</v>
          </cell>
          <cell r="U945">
            <v>1</v>
          </cell>
          <cell r="V945" t="str">
            <v>NA</v>
          </cell>
        </row>
        <row r="946">
          <cell r="A946" t="str">
            <v>POLD0001E</v>
          </cell>
          <cell r="B946" t="str">
            <v>Mall</v>
          </cell>
          <cell r="D946" t="str">
            <v>Pantallas Digitales</v>
          </cell>
          <cell r="E946" t="str">
            <v>Pantallas</v>
          </cell>
          <cell r="F946" t="str">
            <v>NA</v>
          </cell>
          <cell r="G946" t="str">
            <v>NA</v>
          </cell>
          <cell r="I946" t="str">
            <v>Lote de 8 TV</v>
          </cell>
          <cell r="J946">
            <v>0</v>
          </cell>
          <cell r="K946">
            <v>0</v>
          </cell>
          <cell r="L946">
            <v>700000</v>
          </cell>
          <cell r="M946" t="str">
            <v>PORTAL LA DEHESA</v>
          </cell>
          <cell r="P946" t="str">
            <v>LO BARNECHEA</v>
          </cell>
          <cell r="Q946" t="str">
            <v>PANTALLA</v>
          </cell>
          <cell r="R946" t="str">
            <v>Mall - Santiago</v>
          </cell>
          <cell r="S946" t="str">
            <v>Inversiones las Verbenas Digital</v>
          </cell>
          <cell r="T946" t="str">
            <v>Pantallas Digitales</v>
          </cell>
          <cell r="U946">
            <v>1</v>
          </cell>
          <cell r="V946" t="str">
            <v>NA</v>
          </cell>
        </row>
        <row r="947">
          <cell r="A947" t="str">
            <v>POLD0001F</v>
          </cell>
          <cell r="B947" t="str">
            <v>Mall</v>
          </cell>
          <cell r="D947" t="str">
            <v>Pantallas Digitales</v>
          </cell>
          <cell r="E947" t="str">
            <v>Pantallas</v>
          </cell>
          <cell r="F947" t="str">
            <v>NA</v>
          </cell>
          <cell r="G947" t="str">
            <v>NA</v>
          </cell>
          <cell r="I947" t="str">
            <v>Lote de 8 TV</v>
          </cell>
          <cell r="J947">
            <v>0</v>
          </cell>
          <cell r="K947">
            <v>0</v>
          </cell>
          <cell r="L947">
            <v>700000</v>
          </cell>
          <cell r="M947" t="str">
            <v>PORTAL LA DEHESA</v>
          </cell>
          <cell r="P947" t="str">
            <v>LO BARNECHEA</v>
          </cell>
          <cell r="Q947" t="str">
            <v>PANTALLA</v>
          </cell>
          <cell r="R947" t="str">
            <v>Mall - Santiago</v>
          </cell>
          <cell r="S947" t="str">
            <v>Inversiones las Verbenas Digital</v>
          </cell>
          <cell r="T947" t="str">
            <v>Pantallas Digitales</v>
          </cell>
          <cell r="U947">
            <v>1</v>
          </cell>
          <cell r="V947" t="str">
            <v>NA</v>
          </cell>
        </row>
        <row r="948">
          <cell r="A948" t="str">
            <v>POLD0001G</v>
          </cell>
          <cell r="B948" t="str">
            <v>Mall</v>
          </cell>
          <cell r="D948" t="str">
            <v>Pantallas Digitales</v>
          </cell>
          <cell r="E948" t="str">
            <v>Pantallas</v>
          </cell>
          <cell r="F948" t="str">
            <v>NA</v>
          </cell>
          <cell r="G948" t="str">
            <v>NA</v>
          </cell>
          <cell r="I948" t="str">
            <v>Lote de 8 TV</v>
          </cell>
          <cell r="J948">
            <v>0</v>
          </cell>
          <cell r="K948">
            <v>0</v>
          </cell>
          <cell r="L948">
            <v>700000</v>
          </cell>
          <cell r="M948" t="str">
            <v>PORTAL LA DEHESA</v>
          </cell>
          <cell r="P948" t="str">
            <v>LO BARNECHEA</v>
          </cell>
          <cell r="Q948" t="str">
            <v>PANTALLA</v>
          </cell>
          <cell r="R948" t="str">
            <v>Mall - Santiago</v>
          </cell>
          <cell r="S948" t="str">
            <v>Inversiones las Verbenas Digital</v>
          </cell>
          <cell r="T948" t="str">
            <v>Pantallas Digitales</v>
          </cell>
          <cell r="U948">
            <v>1</v>
          </cell>
          <cell r="V948" t="str">
            <v>NA</v>
          </cell>
        </row>
        <row r="949">
          <cell r="A949" t="str">
            <v>POLD0001H</v>
          </cell>
          <cell r="B949" t="str">
            <v>Mall</v>
          </cell>
          <cell r="D949" t="str">
            <v>Pantallas Digitales</v>
          </cell>
          <cell r="E949" t="str">
            <v>Pantallas</v>
          </cell>
          <cell r="F949" t="str">
            <v>NA</v>
          </cell>
          <cell r="G949" t="str">
            <v>NA</v>
          </cell>
          <cell r="I949" t="str">
            <v>Lote de 8 TV</v>
          </cell>
          <cell r="J949">
            <v>0</v>
          </cell>
          <cell r="K949">
            <v>0</v>
          </cell>
          <cell r="L949">
            <v>700000</v>
          </cell>
          <cell r="M949" t="str">
            <v>PORTAL LA DEHESA</v>
          </cell>
          <cell r="P949" t="str">
            <v>LO BARNECHEA</v>
          </cell>
          <cell r="Q949" t="str">
            <v>PANTALLA</v>
          </cell>
          <cell r="R949" t="str">
            <v>Mall - Santiago</v>
          </cell>
          <cell r="S949" t="str">
            <v>Inversiones las Verbenas Digital</v>
          </cell>
          <cell r="T949" t="str">
            <v>Pantallas Digitales</v>
          </cell>
          <cell r="U949">
            <v>1</v>
          </cell>
          <cell r="V949" t="str">
            <v>NA</v>
          </cell>
        </row>
        <row r="950">
          <cell r="A950" t="str">
            <v>POLD0001I</v>
          </cell>
          <cell r="B950" t="str">
            <v>Mall</v>
          </cell>
          <cell r="D950" t="str">
            <v>Pantallas Digitales</v>
          </cell>
          <cell r="E950" t="str">
            <v>Pantallas</v>
          </cell>
          <cell r="F950" t="str">
            <v>NA</v>
          </cell>
          <cell r="G950" t="str">
            <v>NA</v>
          </cell>
          <cell r="I950" t="str">
            <v>Lote de 8 TV</v>
          </cell>
          <cell r="J950">
            <v>0</v>
          </cell>
          <cell r="K950">
            <v>0</v>
          </cell>
          <cell r="L950">
            <v>700000</v>
          </cell>
          <cell r="M950" t="str">
            <v>PORTAL LA DEHESA</v>
          </cell>
          <cell r="P950" t="str">
            <v>LO BARNECHEA</v>
          </cell>
          <cell r="Q950" t="str">
            <v>PANTALLA</v>
          </cell>
          <cell r="R950" t="str">
            <v>Mall - Santiago</v>
          </cell>
          <cell r="S950" t="str">
            <v>Inversiones las Verbenas Digital</v>
          </cell>
          <cell r="T950" t="str">
            <v>Pantallas Digitales</v>
          </cell>
          <cell r="U950">
            <v>1</v>
          </cell>
          <cell r="V950" t="str">
            <v>NA</v>
          </cell>
        </row>
        <row r="951">
          <cell r="A951" t="str">
            <v>POLD0001J</v>
          </cell>
          <cell r="B951" t="str">
            <v>Mall</v>
          </cell>
          <cell r="D951" t="str">
            <v>Pantallas Digitales</v>
          </cell>
          <cell r="E951" t="str">
            <v>Pantallas</v>
          </cell>
          <cell r="F951" t="str">
            <v>NA</v>
          </cell>
          <cell r="G951" t="str">
            <v>NA</v>
          </cell>
          <cell r="I951" t="str">
            <v>Lote de 8 TV</v>
          </cell>
          <cell r="J951">
            <v>0</v>
          </cell>
          <cell r="K951">
            <v>0</v>
          </cell>
          <cell r="L951">
            <v>700000</v>
          </cell>
          <cell r="M951" t="str">
            <v>PORTAL LA DEHESA</v>
          </cell>
          <cell r="P951" t="str">
            <v>LO BARNECHEA</v>
          </cell>
          <cell r="Q951" t="str">
            <v>PANTALLA</v>
          </cell>
          <cell r="R951" t="str">
            <v>Mall - Santiago</v>
          </cell>
          <cell r="S951" t="str">
            <v>Inversiones las Verbenas Digital</v>
          </cell>
          <cell r="T951" t="str">
            <v>Pantallas Digitales</v>
          </cell>
          <cell r="U951">
            <v>1</v>
          </cell>
          <cell r="V951" t="str">
            <v>NA</v>
          </cell>
        </row>
        <row r="952">
          <cell r="A952" t="str">
            <v>POLD0001K</v>
          </cell>
          <cell r="B952" t="str">
            <v>Mall</v>
          </cell>
          <cell r="D952" t="str">
            <v>Pantallas Digitales</v>
          </cell>
          <cell r="E952" t="str">
            <v>Pantallas</v>
          </cell>
          <cell r="F952" t="str">
            <v>NA</v>
          </cell>
          <cell r="G952" t="str">
            <v>NA</v>
          </cell>
          <cell r="I952" t="str">
            <v>Lote de 8 TV</v>
          </cell>
          <cell r="J952">
            <v>0</v>
          </cell>
          <cell r="K952">
            <v>0</v>
          </cell>
          <cell r="L952">
            <v>700000</v>
          </cell>
          <cell r="M952" t="str">
            <v>PORTAL LA DEHESA</v>
          </cell>
          <cell r="P952" t="str">
            <v>LO BARNECHEA</v>
          </cell>
          <cell r="Q952" t="str">
            <v>PANTALLA</v>
          </cell>
          <cell r="R952" t="str">
            <v>Mall - Santiago</v>
          </cell>
          <cell r="S952" t="str">
            <v>Inversiones las Verbenas Digital</v>
          </cell>
          <cell r="T952" t="str">
            <v>Pantallas Digitales</v>
          </cell>
          <cell r="U952">
            <v>1</v>
          </cell>
          <cell r="V952" t="str">
            <v>NA</v>
          </cell>
        </row>
        <row r="953">
          <cell r="A953" t="str">
            <v>POLD0001L</v>
          </cell>
          <cell r="B953" t="str">
            <v>Mall</v>
          </cell>
          <cell r="D953" t="str">
            <v>Pantallas Digitales</v>
          </cell>
          <cell r="E953" t="str">
            <v>Pantallas</v>
          </cell>
          <cell r="F953" t="str">
            <v>NA</v>
          </cell>
          <cell r="G953" t="str">
            <v>NA</v>
          </cell>
          <cell r="I953" t="str">
            <v>Lote de 8 TV</v>
          </cell>
          <cell r="J953">
            <v>0</v>
          </cell>
          <cell r="K953">
            <v>0</v>
          </cell>
          <cell r="L953">
            <v>700000</v>
          </cell>
          <cell r="M953" t="str">
            <v>PORTAL LA DEHESA</v>
          </cell>
          <cell r="P953" t="str">
            <v>LO BARNECHEA</v>
          </cell>
          <cell r="Q953" t="str">
            <v>PANTALLA</v>
          </cell>
          <cell r="R953" t="str">
            <v>Mall - Santiago</v>
          </cell>
          <cell r="S953" t="str">
            <v>Inversiones las Verbenas Digital</v>
          </cell>
          <cell r="T953" t="str">
            <v>Pantallas Digitales</v>
          </cell>
          <cell r="U953">
            <v>1</v>
          </cell>
          <cell r="V953" t="str">
            <v>NA</v>
          </cell>
        </row>
        <row r="954">
          <cell r="A954" t="str">
            <v>POLD0001M</v>
          </cell>
          <cell r="B954" t="str">
            <v>Mall</v>
          </cell>
          <cell r="D954" t="str">
            <v>Pantallas Digitales</v>
          </cell>
          <cell r="E954" t="str">
            <v>Pantallas</v>
          </cell>
          <cell r="F954" t="str">
            <v>NA</v>
          </cell>
          <cell r="G954" t="str">
            <v>NA</v>
          </cell>
          <cell r="I954" t="str">
            <v>Lote de 8 TV</v>
          </cell>
          <cell r="J954">
            <v>0</v>
          </cell>
          <cell r="K954">
            <v>0</v>
          </cell>
          <cell r="L954">
            <v>700000</v>
          </cell>
          <cell r="M954" t="str">
            <v>PORTAL LA DEHESA</v>
          </cell>
          <cell r="P954" t="str">
            <v>LO BARNECHEA</v>
          </cell>
          <cell r="Q954" t="str">
            <v>PANTALLA</v>
          </cell>
          <cell r="R954" t="str">
            <v>Mall - Santiago</v>
          </cell>
          <cell r="S954" t="str">
            <v>Inversiones las Verbenas Digital</v>
          </cell>
          <cell r="T954" t="str">
            <v>Pantallas Digitales</v>
          </cell>
          <cell r="U954">
            <v>1</v>
          </cell>
          <cell r="V954" t="str">
            <v>NA</v>
          </cell>
        </row>
        <row r="955">
          <cell r="A955" t="str">
            <v>POLD0001N</v>
          </cell>
          <cell r="B955" t="str">
            <v>Mall</v>
          </cell>
          <cell r="D955" t="str">
            <v>Pantallas Digitales</v>
          </cell>
          <cell r="E955" t="str">
            <v>Pantallas</v>
          </cell>
          <cell r="F955" t="str">
            <v>NA</v>
          </cell>
          <cell r="G955" t="str">
            <v>NA</v>
          </cell>
          <cell r="J955">
            <v>0</v>
          </cell>
          <cell r="K955">
            <v>0</v>
          </cell>
          <cell r="L955">
            <v>700000</v>
          </cell>
          <cell r="M955" t="str">
            <v>PORTAL LA DEHESA</v>
          </cell>
          <cell r="P955" t="str">
            <v>LO BARNECHEA</v>
          </cell>
          <cell r="Q955" t="str">
            <v>PANTALLA</v>
          </cell>
          <cell r="R955" t="str">
            <v>Mall - Santiago</v>
          </cell>
          <cell r="S955" t="str">
            <v>Inversiones las Verbenas Digital</v>
          </cell>
          <cell r="T955" t="str">
            <v>Pantallas Digitales</v>
          </cell>
          <cell r="U955">
            <v>1</v>
          </cell>
          <cell r="V955" t="str">
            <v>NA</v>
          </cell>
        </row>
        <row r="956">
          <cell r="A956" t="str">
            <v>POLD0001Ñ</v>
          </cell>
          <cell r="B956" t="str">
            <v>Mall</v>
          </cell>
          <cell r="D956" t="str">
            <v>Pantallas Digitales</v>
          </cell>
          <cell r="E956" t="str">
            <v>Pantallas</v>
          </cell>
          <cell r="F956" t="str">
            <v>NA</v>
          </cell>
          <cell r="G956" t="str">
            <v>NA</v>
          </cell>
          <cell r="I956" t="str">
            <v>Lote de 8 TV</v>
          </cell>
          <cell r="J956">
            <v>0</v>
          </cell>
          <cell r="K956">
            <v>0</v>
          </cell>
          <cell r="L956">
            <v>700000</v>
          </cell>
          <cell r="M956" t="str">
            <v>PORTAL LA DEHESA</v>
          </cell>
          <cell r="P956" t="str">
            <v>LO BARNECHEA</v>
          </cell>
          <cell r="Q956" t="str">
            <v>PANTALLA</v>
          </cell>
          <cell r="R956" t="str">
            <v>Mall - Santiago</v>
          </cell>
          <cell r="S956" t="str">
            <v>Inversiones las Verbenas Digital</v>
          </cell>
          <cell r="T956" t="str">
            <v>Pantallas Digitales</v>
          </cell>
          <cell r="U956">
            <v>1</v>
          </cell>
          <cell r="V956" t="str">
            <v>NA</v>
          </cell>
        </row>
        <row r="957">
          <cell r="A957" t="str">
            <v>POLD0002A</v>
          </cell>
          <cell r="B957" t="str">
            <v>Mall</v>
          </cell>
          <cell r="D957" t="str">
            <v>Cajas de luz</v>
          </cell>
          <cell r="E957" t="str">
            <v>Cajas de luz</v>
          </cell>
          <cell r="F957" t="str">
            <v>6.00 * 1.86</v>
          </cell>
          <cell r="G957" t="str">
            <v>6,20 * 2,06</v>
          </cell>
          <cell r="H957" t="str">
            <v>A</v>
          </cell>
          <cell r="I957" t="str">
            <v>ACCESO ESTACIONA</v>
          </cell>
          <cell r="J957">
            <v>0</v>
          </cell>
          <cell r="K957">
            <v>0</v>
          </cell>
          <cell r="L957">
            <v>650000</v>
          </cell>
          <cell r="M957" t="str">
            <v>PORTAL LA DEHESA</v>
          </cell>
          <cell r="P957" t="str">
            <v>LO BARNECHEA</v>
          </cell>
          <cell r="Q957" t="str">
            <v>TRADICIONAL</v>
          </cell>
          <cell r="R957" t="str">
            <v>Mall - Santiago</v>
          </cell>
          <cell r="S957" t="str">
            <v>Inversiones Las Verbenas</v>
          </cell>
          <cell r="T957" t="str">
            <v>Cajas de luz</v>
          </cell>
          <cell r="U957">
            <v>1</v>
          </cell>
          <cell r="V957" t="str">
            <v>6.00 * 1.86</v>
          </cell>
        </row>
        <row r="958">
          <cell r="A958" t="str">
            <v>POLD0003A</v>
          </cell>
          <cell r="B958" t="str">
            <v>Mall</v>
          </cell>
          <cell r="D958" t="str">
            <v>Cajas de luz</v>
          </cell>
          <cell r="E958" t="str">
            <v>Cajas de luz</v>
          </cell>
          <cell r="F958" t="str">
            <v>3.92 * 1.92</v>
          </cell>
          <cell r="G958" t="str">
            <v>4,20* 2,20</v>
          </cell>
          <cell r="H958" t="str">
            <v>V</v>
          </cell>
          <cell r="I958" t="str">
            <v>ACCESO SALA</v>
          </cell>
          <cell r="J958">
            <v>0</v>
          </cell>
          <cell r="K958">
            <v>0</v>
          </cell>
          <cell r="L958">
            <v>520000</v>
          </cell>
          <cell r="M958" t="str">
            <v>PORTAL LA DEHESA</v>
          </cell>
          <cell r="P958" t="str">
            <v>LO BARNECHEA</v>
          </cell>
          <cell r="Q958" t="str">
            <v>TRADICIONAL</v>
          </cell>
          <cell r="R958" t="str">
            <v>Mall - Santiago</v>
          </cell>
          <cell r="S958" t="str">
            <v>Inversiones Las Verbenas</v>
          </cell>
          <cell r="T958" t="str">
            <v>Cajas de luz</v>
          </cell>
          <cell r="U958">
            <v>1</v>
          </cell>
          <cell r="V958" t="str">
            <v>3.92 * 1.92</v>
          </cell>
        </row>
        <row r="959">
          <cell r="A959" t="str">
            <v>MAPO0002B</v>
          </cell>
          <cell r="B959" t="str">
            <v>Mall</v>
          </cell>
          <cell r="C959" t="str">
            <v>Mall Plaza</v>
          </cell>
          <cell r="D959" t="str">
            <v>Paletas</v>
          </cell>
          <cell r="E959" t="str">
            <v>PALETA SUPER SCREEN</v>
          </cell>
          <cell r="F959" t="str">
            <v>1.20 * 1.70</v>
          </cell>
          <cell r="G959" t="str">
            <v>1.23 * 1.75</v>
          </cell>
          <cell r="H959" t="str">
            <v>E</v>
          </cell>
          <cell r="I959" t="str">
            <v>ESTACIONAMIENTOS</v>
          </cell>
          <cell r="J959">
            <v>0</v>
          </cell>
          <cell r="K959">
            <v>15000</v>
          </cell>
          <cell r="L959">
            <v>300000</v>
          </cell>
          <cell r="M959" t="str">
            <v>MALL PLAZA OESTE</v>
          </cell>
          <cell r="P959" t="str">
            <v>CERRILLOS</v>
          </cell>
          <cell r="Q959" t="str">
            <v>TRADICIONAL</v>
          </cell>
          <cell r="R959" t="str">
            <v>Mall - Santiago</v>
          </cell>
          <cell r="S959" t="str">
            <v>Mall Plaza</v>
          </cell>
          <cell r="T959" t="str">
            <v>Paletas</v>
          </cell>
          <cell r="U959">
            <v>1</v>
          </cell>
          <cell r="V959" t="str">
            <v>1.20 * 1.70</v>
          </cell>
        </row>
        <row r="960">
          <cell r="A960" t="str">
            <v>MAPO0012A</v>
          </cell>
          <cell r="B960" t="str">
            <v>Mall</v>
          </cell>
          <cell r="C960" t="str">
            <v>Mall Plaza</v>
          </cell>
          <cell r="D960" t="str">
            <v>NO VENDIBLE</v>
          </cell>
          <cell r="E960" t="str">
            <v>PALETA SUPER SCREEN</v>
          </cell>
          <cell r="F960" t="str">
            <v>1.20 * 1.70</v>
          </cell>
          <cell r="G960" t="str">
            <v>1.23 * 1.75</v>
          </cell>
          <cell r="H960" t="str">
            <v>E</v>
          </cell>
          <cell r="I960" t="str">
            <v>ESTACIONAMIENTOS</v>
          </cell>
          <cell r="J960">
            <v>0</v>
          </cell>
          <cell r="K960">
            <v>50000</v>
          </cell>
          <cell r="L960">
            <v>300000</v>
          </cell>
          <cell r="M960" t="str">
            <v>MALL PLAZA OESTE</v>
          </cell>
          <cell r="O960" t="str">
            <v>Sí</v>
          </cell>
          <cell r="P960" t="str">
            <v>CERRILLOS</v>
          </cell>
          <cell r="Q960" t="str">
            <v>TRADICIONAL</v>
          </cell>
          <cell r="R960" t="str">
            <v>Mall - Santiago</v>
          </cell>
          <cell r="S960" t="str">
            <v>Mall Plaza</v>
          </cell>
          <cell r="T960" t="str">
            <v>Paletas</v>
          </cell>
          <cell r="U960">
            <v>1</v>
          </cell>
          <cell r="V960" t="str">
            <v>1.20 * 1.70</v>
          </cell>
        </row>
        <row r="961">
          <cell r="A961" t="str">
            <v>MAPV0022B</v>
          </cell>
          <cell r="B961" t="str">
            <v>Mall</v>
          </cell>
          <cell r="C961" t="str">
            <v>Mall Plaza</v>
          </cell>
          <cell r="D961" t="str">
            <v>Minipoles</v>
          </cell>
          <cell r="E961" t="str">
            <v>Minipoles</v>
          </cell>
          <cell r="F961" t="str">
            <v>2.80 * 1.30</v>
          </cell>
          <cell r="G961" t="str">
            <v>3.00 * 1.50</v>
          </cell>
          <cell r="H961" t="str">
            <v>E</v>
          </cell>
          <cell r="I961" t="str">
            <v>ESTACIONAMIENTOS</v>
          </cell>
          <cell r="J961">
            <v>0</v>
          </cell>
          <cell r="K961">
            <v>10000</v>
          </cell>
          <cell r="L961">
            <v>620000</v>
          </cell>
          <cell r="M961" t="str">
            <v>MALL PLAZA VESPUCIO</v>
          </cell>
          <cell r="P961" t="str">
            <v>LA FLORIDA</v>
          </cell>
          <cell r="Q961" t="str">
            <v>TRADICIONAL</v>
          </cell>
          <cell r="R961" t="str">
            <v>Mall - Santiago</v>
          </cell>
          <cell r="S961" t="str">
            <v>Mall Plaza</v>
          </cell>
          <cell r="T961" t="str">
            <v>Minipoles</v>
          </cell>
          <cell r="U961">
            <v>1</v>
          </cell>
          <cell r="V961" t="str">
            <v>2.80 * 1.30</v>
          </cell>
        </row>
        <row r="962">
          <cell r="A962" t="str">
            <v>MAPV0025B</v>
          </cell>
          <cell r="B962" t="str">
            <v>Mall</v>
          </cell>
          <cell r="C962" t="str">
            <v>Mall Plaza</v>
          </cell>
          <cell r="D962" t="str">
            <v>Minipoles</v>
          </cell>
          <cell r="E962" t="str">
            <v>Minipoles</v>
          </cell>
          <cell r="F962" t="str">
            <v>2.80 * 1.30</v>
          </cell>
          <cell r="G962" t="str">
            <v>3.00 * 1.50</v>
          </cell>
          <cell r="H962" t="str">
            <v>E</v>
          </cell>
          <cell r="I962" t="str">
            <v>ESTACIONAMIENTOS</v>
          </cell>
          <cell r="J962">
            <v>0</v>
          </cell>
          <cell r="K962">
            <v>10000</v>
          </cell>
          <cell r="L962">
            <v>620000</v>
          </cell>
          <cell r="M962" t="str">
            <v>MALL PLAZA VESPUCIO</v>
          </cell>
          <cell r="P962" t="str">
            <v>LA FLORIDA</v>
          </cell>
          <cell r="Q962" t="str">
            <v>TRADICIONAL</v>
          </cell>
          <cell r="R962" t="str">
            <v>Mall - Santiago</v>
          </cell>
          <cell r="S962" t="str">
            <v>Mall Plaza</v>
          </cell>
          <cell r="T962" t="str">
            <v>Minipoles</v>
          </cell>
          <cell r="U962">
            <v>1</v>
          </cell>
          <cell r="V962" t="str">
            <v>2.80 * 1.30</v>
          </cell>
        </row>
        <row r="963">
          <cell r="A963" t="str">
            <v>MAPV0026B</v>
          </cell>
          <cell r="B963" t="str">
            <v>Mall</v>
          </cell>
          <cell r="C963" t="str">
            <v>Mall Plaza</v>
          </cell>
          <cell r="D963" t="str">
            <v>Minipoles</v>
          </cell>
          <cell r="E963" t="str">
            <v>Minipoles</v>
          </cell>
          <cell r="F963" t="str">
            <v>2.80 * 1.30</v>
          </cell>
          <cell r="G963" t="str">
            <v>3.00 * 1.50</v>
          </cell>
          <cell r="H963" t="str">
            <v>E</v>
          </cell>
          <cell r="I963" t="str">
            <v>ESTACIONAMIENTOS</v>
          </cell>
          <cell r="J963">
            <v>0</v>
          </cell>
          <cell r="K963">
            <v>10000</v>
          </cell>
          <cell r="L963">
            <v>620000</v>
          </cell>
          <cell r="M963" t="str">
            <v>MALL PLAZA VESPUCIO</v>
          </cell>
          <cell r="P963" t="str">
            <v>LA FLORIDA</v>
          </cell>
          <cell r="Q963" t="str">
            <v>TRADICIONAL</v>
          </cell>
          <cell r="R963" t="str">
            <v>Mall - Santiago</v>
          </cell>
          <cell r="S963" t="str">
            <v>Mall Plaza</v>
          </cell>
          <cell r="T963" t="str">
            <v>Minipoles</v>
          </cell>
          <cell r="U963">
            <v>1</v>
          </cell>
          <cell r="V963" t="str">
            <v>2.80 * 1.30</v>
          </cell>
        </row>
        <row r="964">
          <cell r="A964" t="str">
            <v>MAPV0001A</v>
          </cell>
          <cell r="B964" t="str">
            <v>Mall</v>
          </cell>
          <cell r="C964" t="str">
            <v>Mall Plaza</v>
          </cell>
          <cell r="D964" t="str">
            <v>Paletas</v>
          </cell>
          <cell r="E964" t="str">
            <v>PALETA SUPER SCREEN</v>
          </cell>
          <cell r="F964" t="str">
            <v>1.20 * 1.70</v>
          </cell>
          <cell r="G964" t="str">
            <v>1.23 * 1.75</v>
          </cell>
          <cell r="H964" t="str">
            <v>E</v>
          </cell>
          <cell r="I964" t="str">
            <v>ESTACIONAMIENTOS</v>
          </cell>
          <cell r="J964">
            <v>0</v>
          </cell>
          <cell r="K964">
            <v>12000</v>
          </cell>
          <cell r="L964">
            <v>340000</v>
          </cell>
          <cell r="M964" t="str">
            <v>MALL PLAZA VESPUCIO</v>
          </cell>
          <cell r="P964" t="str">
            <v>LA FLORIDA</v>
          </cell>
          <cell r="Q964" t="str">
            <v>TRADICIONAL</v>
          </cell>
          <cell r="R964" t="str">
            <v>Mall - Santiago</v>
          </cell>
          <cell r="S964" t="str">
            <v>Mall Plaza</v>
          </cell>
          <cell r="T964" t="str">
            <v>Paletas</v>
          </cell>
          <cell r="U964">
            <v>1</v>
          </cell>
          <cell r="V964" t="str">
            <v>1.20 * 1.70</v>
          </cell>
        </row>
        <row r="965">
          <cell r="A965" t="str">
            <v>MAPV0004A</v>
          </cell>
          <cell r="B965" t="str">
            <v>Mall</v>
          </cell>
          <cell r="C965" t="str">
            <v>Mall Plaza</v>
          </cell>
          <cell r="D965" t="str">
            <v>Paletas</v>
          </cell>
          <cell r="E965" t="str">
            <v>PALETA SUPER SCREEN</v>
          </cell>
          <cell r="F965" t="str">
            <v>1.20 * 1.70</v>
          </cell>
          <cell r="G965" t="str">
            <v>1.23 * 1.75</v>
          </cell>
          <cell r="H965" t="str">
            <v>E</v>
          </cell>
          <cell r="I965" t="str">
            <v>ESTACIONAMIENTOS</v>
          </cell>
          <cell r="J965">
            <v>0</v>
          </cell>
          <cell r="K965">
            <v>12000</v>
          </cell>
          <cell r="L965">
            <v>340000</v>
          </cell>
          <cell r="M965" t="str">
            <v>MALL PLAZA VESPUCIO</v>
          </cell>
          <cell r="P965" t="str">
            <v>LA FLORIDA</v>
          </cell>
          <cell r="Q965" t="str">
            <v>TRADICIONAL</v>
          </cell>
          <cell r="R965" t="str">
            <v>Mall - Santiago</v>
          </cell>
          <cell r="S965" t="str">
            <v>Mall Plaza</v>
          </cell>
          <cell r="T965" t="str">
            <v>Paletas</v>
          </cell>
          <cell r="U965">
            <v>1</v>
          </cell>
          <cell r="V965" t="str">
            <v>1.20 * 1.70</v>
          </cell>
        </row>
        <row r="966">
          <cell r="A966" t="str">
            <v>MAPV0005A</v>
          </cell>
          <cell r="B966" t="str">
            <v>Mall</v>
          </cell>
          <cell r="C966" t="str">
            <v>Mall Plaza</v>
          </cell>
          <cell r="D966" t="str">
            <v>Paletas</v>
          </cell>
          <cell r="E966" t="str">
            <v>PALETA SUPER SCREEN</v>
          </cell>
          <cell r="F966" t="str">
            <v>1.20 * 1.70</v>
          </cell>
          <cell r="G966" t="str">
            <v>1.23 * 1.75</v>
          </cell>
          <cell r="H966" t="str">
            <v>E</v>
          </cell>
          <cell r="I966" t="str">
            <v>ESTACIONAMIENTOS</v>
          </cell>
          <cell r="J966">
            <v>0</v>
          </cell>
          <cell r="K966">
            <v>12000</v>
          </cell>
          <cell r="L966">
            <v>340000</v>
          </cell>
          <cell r="M966" t="str">
            <v>MALL PLAZA VESPUCIO</v>
          </cell>
          <cell r="P966" t="str">
            <v>LA FLORIDA</v>
          </cell>
          <cell r="Q966" t="str">
            <v>TRADICIONAL</v>
          </cell>
          <cell r="R966" t="str">
            <v>Mall - Santiago</v>
          </cell>
          <cell r="S966" t="str">
            <v>Mall Plaza</v>
          </cell>
          <cell r="T966" t="str">
            <v>Paletas</v>
          </cell>
          <cell r="U966">
            <v>1</v>
          </cell>
          <cell r="V966" t="str">
            <v>1.20 * 1.70</v>
          </cell>
        </row>
        <row r="967">
          <cell r="A967" t="str">
            <v>MAPV0005B</v>
          </cell>
          <cell r="B967" t="str">
            <v>Mall</v>
          </cell>
          <cell r="C967" t="str">
            <v>Mall Plaza</v>
          </cell>
          <cell r="D967" t="str">
            <v>Paletas</v>
          </cell>
          <cell r="E967" t="str">
            <v>PALETA SUPER SCREEN</v>
          </cell>
          <cell r="F967" t="str">
            <v>1.20 * 1.70</v>
          </cell>
          <cell r="G967" t="str">
            <v>1.23 * 1.75</v>
          </cell>
          <cell r="H967" t="str">
            <v>E</v>
          </cell>
          <cell r="I967" t="str">
            <v>ESTACIONAMIENTOS</v>
          </cell>
          <cell r="J967">
            <v>0</v>
          </cell>
          <cell r="K967">
            <v>12000</v>
          </cell>
          <cell r="L967">
            <v>340000</v>
          </cell>
          <cell r="M967" t="str">
            <v>MALL PLAZA VESPUCIO</v>
          </cell>
          <cell r="P967" t="str">
            <v>LA FLORIDA</v>
          </cell>
          <cell r="Q967" t="str">
            <v>TRADICIONAL</v>
          </cell>
          <cell r="R967" t="str">
            <v>Mall - Santiago</v>
          </cell>
          <cell r="S967" t="str">
            <v>Mall Plaza</v>
          </cell>
          <cell r="T967" t="str">
            <v>Paletas</v>
          </cell>
          <cell r="U967">
            <v>1</v>
          </cell>
          <cell r="V967" t="str">
            <v>1.20 * 1.70</v>
          </cell>
        </row>
        <row r="968">
          <cell r="A968" t="str">
            <v>MAPV0006A</v>
          </cell>
          <cell r="B968" t="str">
            <v>Mall</v>
          </cell>
          <cell r="C968" t="str">
            <v>Mall Plaza</v>
          </cell>
          <cell r="D968" t="str">
            <v>Paletas</v>
          </cell>
          <cell r="E968" t="str">
            <v>PALETA SUPER SCREEN</v>
          </cell>
          <cell r="F968" t="str">
            <v>1.20 * 1.70</v>
          </cell>
          <cell r="G968" t="str">
            <v>1.23 * 1.75</v>
          </cell>
          <cell r="H968" t="str">
            <v>E</v>
          </cell>
          <cell r="I968" t="str">
            <v>ESTACIONAMIENTOS</v>
          </cell>
          <cell r="J968">
            <v>0</v>
          </cell>
          <cell r="K968">
            <v>12000</v>
          </cell>
          <cell r="L968">
            <v>340000</v>
          </cell>
          <cell r="M968" t="str">
            <v>MALL PLAZA VESPUCIO</v>
          </cell>
          <cell r="P968" t="str">
            <v>LA FLORIDA</v>
          </cell>
          <cell r="Q968" t="str">
            <v>TRADICIONAL</v>
          </cell>
          <cell r="R968" t="str">
            <v>Mall - Santiago</v>
          </cell>
          <cell r="S968" t="str">
            <v>Mall Plaza</v>
          </cell>
          <cell r="T968" t="str">
            <v>Paletas</v>
          </cell>
          <cell r="U968">
            <v>1</v>
          </cell>
          <cell r="V968" t="str">
            <v>1.20 * 1.70</v>
          </cell>
        </row>
        <row r="969">
          <cell r="A969" t="str">
            <v>MAPV0011A</v>
          </cell>
          <cell r="B969" t="str">
            <v>Mall</v>
          </cell>
          <cell r="C969" t="str">
            <v>Mall Plaza</v>
          </cell>
          <cell r="D969" t="str">
            <v>Paletas</v>
          </cell>
          <cell r="E969" t="str">
            <v>PALETA SUPER SCREEN</v>
          </cell>
          <cell r="F969" t="str">
            <v>1.20 * 1.70</v>
          </cell>
          <cell r="G969" t="str">
            <v>1.23 * 1.75</v>
          </cell>
          <cell r="H969" t="str">
            <v>E</v>
          </cell>
          <cell r="I969" t="str">
            <v>ESTACIONAMIENTOS</v>
          </cell>
          <cell r="J969">
            <v>0</v>
          </cell>
          <cell r="K969">
            <v>12000</v>
          </cell>
          <cell r="L969">
            <v>340000</v>
          </cell>
          <cell r="M969" t="str">
            <v>MALL PLAZA VESPUCIO</v>
          </cell>
          <cell r="P969" t="str">
            <v>LA FLORIDA</v>
          </cell>
          <cell r="Q969" t="str">
            <v>TRADICIONAL</v>
          </cell>
          <cell r="R969" t="str">
            <v>Mall - Santiago</v>
          </cell>
          <cell r="S969" t="str">
            <v>Mall Plaza</v>
          </cell>
          <cell r="T969" t="str">
            <v>Paletas</v>
          </cell>
          <cell r="U969">
            <v>1</v>
          </cell>
          <cell r="V969" t="str">
            <v>1.20 * 1.70</v>
          </cell>
        </row>
        <row r="970">
          <cell r="A970" t="str">
            <v>MAPV0058A</v>
          </cell>
          <cell r="B970" t="str">
            <v>Mall</v>
          </cell>
          <cell r="C970" t="str">
            <v>Mall Plaza</v>
          </cell>
          <cell r="D970" t="str">
            <v>Paletas</v>
          </cell>
          <cell r="E970" t="str">
            <v>PALETA SUPER SCREEN</v>
          </cell>
          <cell r="F970" t="str">
            <v>1.20 * 1.70</v>
          </cell>
          <cell r="G970" t="str">
            <v>1.23 * 1.75</v>
          </cell>
          <cell r="H970" t="str">
            <v>E</v>
          </cell>
          <cell r="I970" t="str">
            <v>ENTRADA ESTACION</v>
          </cell>
          <cell r="J970">
            <v>0</v>
          </cell>
          <cell r="K970">
            <v>12000</v>
          </cell>
          <cell r="L970">
            <v>340000</v>
          </cell>
          <cell r="M970" t="str">
            <v>MALL PLAZA VESPUCIO</v>
          </cell>
          <cell r="P970" t="str">
            <v>LA FLORIDA</v>
          </cell>
          <cell r="Q970" t="str">
            <v>TRADICIONAL</v>
          </cell>
          <cell r="R970" t="str">
            <v>Mall - Santiago</v>
          </cell>
          <cell r="S970" t="str">
            <v>Mall Plaza</v>
          </cell>
          <cell r="T970" t="str">
            <v>Paletas</v>
          </cell>
          <cell r="U970">
            <v>1</v>
          </cell>
          <cell r="V970" t="str">
            <v>1.20 * 1.70</v>
          </cell>
        </row>
        <row r="971">
          <cell r="A971" t="str">
            <v>MAPV0067A</v>
          </cell>
          <cell r="B971" t="str">
            <v>Mall</v>
          </cell>
          <cell r="C971" t="str">
            <v>Mall Plaza</v>
          </cell>
          <cell r="D971" t="str">
            <v>P.E.: PENDONES SUPERIORES METRO</v>
          </cell>
          <cell r="E971" t="str">
            <v>PENDONES SUPERIORES METRO</v>
          </cell>
          <cell r="F971" t="str">
            <v>VER FICHA</v>
          </cell>
          <cell r="G971" t="str">
            <v>VER FICHA</v>
          </cell>
          <cell r="H971" t="str">
            <v>X</v>
          </cell>
          <cell r="I971" t="str">
            <v>METRO PLAZA</v>
          </cell>
          <cell r="J971">
            <v>412000</v>
          </cell>
          <cell r="K971">
            <v>130000</v>
          </cell>
          <cell r="L971">
            <v>4400000</v>
          </cell>
          <cell r="M971" t="str">
            <v>MALL PLAZA VESPUCIO</v>
          </cell>
          <cell r="P971" t="str">
            <v>LA FLORIDA</v>
          </cell>
          <cell r="Q971" t="str">
            <v>ESPECIAL</v>
          </cell>
          <cell r="R971" t="str">
            <v>Mall - Santiago</v>
          </cell>
          <cell r="S971" t="str">
            <v>Mall Plaza</v>
          </cell>
          <cell r="T971" t="str">
            <v>Productos Especiales</v>
          </cell>
          <cell r="U971">
            <v>1</v>
          </cell>
          <cell r="V971" t="str">
            <v>NA</v>
          </cell>
        </row>
        <row r="972">
          <cell r="A972" t="str">
            <v>MAPO0003B</v>
          </cell>
          <cell r="B972" t="str">
            <v>Mall</v>
          </cell>
          <cell r="C972" t="str">
            <v>Mall Plaza</v>
          </cell>
          <cell r="D972" t="str">
            <v>Paletas</v>
          </cell>
          <cell r="E972" t="str">
            <v>PALETA SUPER SCREEN</v>
          </cell>
          <cell r="F972" t="str">
            <v>1.20 * 1.70</v>
          </cell>
          <cell r="G972" t="str">
            <v>1.23 * 1.75</v>
          </cell>
          <cell r="H972" t="str">
            <v>E</v>
          </cell>
          <cell r="I972" t="str">
            <v>ESTACIONAMIENTOS</v>
          </cell>
          <cell r="J972">
            <v>0</v>
          </cell>
          <cell r="K972">
            <v>15000</v>
          </cell>
          <cell r="L972">
            <v>300000</v>
          </cell>
          <cell r="M972" t="str">
            <v>MALL PLAZA OESTE</v>
          </cell>
          <cell r="P972" t="str">
            <v>CERRILLOS</v>
          </cell>
          <cell r="Q972" t="str">
            <v>TRADICIONAL</v>
          </cell>
          <cell r="R972" t="str">
            <v>Mall - Santiago</v>
          </cell>
          <cell r="S972" t="str">
            <v>Mall Plaza</v>
          </cell>
          <cell r="T972" t="str">
            <v>Paletas</v>
          </cell>
          <cell r="U972">
            <v>1</v>
          </cell>
          <cell r="V972" t="str">
            <v>1.20 * 1.70</v>
          </cell>
        </row>
        <row r="973">
          <cell r="A973" t="str">
            <v>MAPO0008A</v>
          </cell>
          <cell r="B973" t="str">
            <v>Mall</v>
          </cell>
          <cell r="C973" t="str">
            <v>Mall Plaza</v>
          </cell>
          <cell r="D973" t="str">
            <v>Paletas</v>
          </cell>
          <cell r="E973" t="str">
            <v>PALETA SUPER SCREEN</v>
          </cell>
          <cell r="F973" t="str">
            <v>1.20 * 1.70</v>
          </cell>
          <cell r="G973" t="str">
            <v>1.23 * 1.75</v>
          </cell>
          <cell r="H973" t="str">
            <v>E</v>
          </cell>
          <cell r="I973" t="str">
            <v>ESTACIONAMIENTOS</v>
          </cell>
          <cell r="J973">
            <v>0</v>
          </cell>
          <cell r="K973">
            <v>15000</v>
          </cell>
          <cell r="L973">
            <v>150000</v>
          </cell>
          <cell r="M973" t="str">
            <v>MALL PLAZA OESTE</v>
          </cell>
          <cell r="P973" t="str">
            <v>CERRILLOS</v>
          </cell>
          <cell r="Q973" t="str">
            <v>TRADICIONAL</v>
          </cell>
          <cell r="R973" t="str">
            <v>Mall - Santiago</v>
          </cell>
          <cell r="S973" t="str">
            <v>Mall Plaza</v>
          </cell>
          <cell r="T973" t="str">
            <v>Paletas</v>
          </cell>
          <cell r="U973">
            <v>1</v>
          </cell>
          <cell r="V973" t="str">
            <v>1.20 * 1.70</v>
          </cell>
        </row>
        <row r="974">
          <cell r="A974" t="str">
            <v>MAPO0010A</v>
          </cell>
          <cell r="B974" t="str">
            <v>Mall</v>
          </cell>
          <cell r="C974" t="str">
            <v>Mall Plaza</v>
          </cell>
          <cell r="D974" t="str">
            <v>Paletas</v>
          </cell>
          <cell r="E974" t="str">
            <v>PALETA SUPER SCREEN</v>
          </cell>
          <cell r="F974" t="str">
            <v>1.20 * 1.70</v>
          </cell>
          <cell r="G974" t="str">
            <v>1.23 * 1.75</v>
          </cell>
          <cell r="H974" t="str">
            <v>E</v>
          </cell>
          <cell r="I974" t="str">
            <v>ESTACIONAMIENTOS</v>
          </cell>
          <cell r="J974">
            <v>0</v>
          </cell>
          <cell r="K974">
            <v>15000</v>
          </cell>
          <cell r="L974">
            <v>300000</v>
          </cell>
          <cell r="M974" t="str">
            <v>MALL PLAZA OESTE</v>
          </cell>
          <cell r="P974" t="str">
            <v>CERRILLOS</v>
          </cell>
          <cell r="Q974" t="str">
            <v>TRADICIONAL</v>
          </cell>
          <cell r="R974" t="str">
            <v>Mall - Santiago</v>
          </cell>
          <cell r="S974" t="str">
            <v>Mall Plaza</v>
          </cell>
          <cell r="T974" t="str">
            <v>Paletas</v>
          </cell>
          <cell r="U974">
            <v>1</v>
          </cell>
          <cell r="V974" t="str">
            <v>1.20 * 1.70</v>
          </cell>
        </row>
        <row r="975">
          <cell r="A975" t="str">
            <v>MAPO0010B</v>
          </cell>
          <cell r="B975" t="str">
            <v>Mall</v>
          </cell>
          <cell r="C975" t="str">
            <v>Mall Plaza</v>
          </cell>
          <cell r="D975" t="str">
            <v>Paletas</v>
          </cell>
          <cell r="E975" t="str">
            <v>PALETA SUPER SCREEN</v>
          </cell>
          <cell r="F975" t="str">
            <v>1.20 * 1.70</v>
          </cell>
          <cell r="G975" t="str">
            <v>1.23 * 1.75</v>
          </cell>
          <cell r="H975" t="str">
            <v>E</v>
          </cell>
          <cell r="I975" t="str">
            <v>ESTACIONAMIENTOS</v>
          </cell>
          <cell r="J975">
            <v>0</v>
          </cell>
          <cell r="K975">
            <v>15000</v>
          </cell>
          <cell r="L975">
            <v>300000</v>
          </cell>
          <cell r="M975" t="str">
            <v>MALL PLAZA OESTE</v>
          </cell>
          <cell r="P975" t="str">
            <v>CERRILLOS</v>
          </cell>
          <cell r="Q975" t="str">
            <v>TRADICIONAL</v>
          </cell>
          <cell r="R975" t="str">
            <v>Mall - Santiago</v>
          </cell>
          <cell r="S975" t="str">
            <v>Mall Plaza</v>
          </cell>
          <cell r="T975" t="str">
            <v>Paletas</v>
          </cell>
          <cell r="U975">
            <v>1</v>
          </cell>
          <cell r="V975" t="str">
            <v>1.20 * 1.70</v>
          </cell>
        </row>
        <row r="976">
          <cell r="A976" t="str">
            <v>MAPO0011A</v>
          </cell>
          <cell r="B976" t="str">
            <v>Mall</v>
          </cell>
          <cell r="C976" t="str">
            <v>Mall Plaza</v>
          </cell>
          <cell r="D976" t="str">
            <v>Paletas</v>
          </cell>
          <cell r="E976" t="str">
            <v>PALETA SUPER SCREEN</v>
          </cell>
          <cell r="F976" t="str">
            <v>1.20 * 1.70</v>
          </cell>
          <cell r="G976" t="str">
            <v>1.23 * 1.75</v>
          </cell>
          <cell r="H976" t="str">
            <v>E</v>
          </cell>
          <cell r="I976" t="str">
            <v>ESTACIONAMIENTOS</v>
          </cell>
          <cell r="J976">
            <v>0</v>
          </cell>
          <cell r="K976">
            <v>15000</v>
          </cell>
          <cell r="L976">
            <v>300000</v>
          </cell>
          <cell r="M976" t="str">
            <v>MALL PLAZA OESTE</v>
          </cell>
          <cell r="P976" t="str">
            <v>CERRILLOS</v>
          </cell>
          <cell r="Q976" t="str">
            <v>TRADICIONAL</v>
          </cell>
          <cell r="R976" t="str">
            <v>Mall - Santiago</v>
          </cell>
          <cell r="S976" t="str">
            <v>Mall Plaza</v>
          </cell>
          <cell r="T976" t="str">
            <v>Paletas</v>
          </cell>
          <cell r="U976">
            <v>1</v>
          </cell>
          <cell r="V976" t="str">
            <v>1.20 * 1.70</v>
          </cell>
        </row>
        <row r="977">
          <cell r="A977" t="str">
            <v>MAPO0017B</v>
          </cell>
          <cell r="B977" t="str">
            <v>Mall</v>
          </cell>
          <cell r="C977" t="str">
            <v>Mall Plaza</v>
          </cell>
          <cell r="D977" t="str">
            <v>Minipoles</v>
          </cell>
          <cell r="E977" t="str">
            <v>Minipoles</v>
          </cell>
          <cell r="F977" t="str">
            <v>2.80 * 1.30</v>
          </cell>
          <cell r="G977" t="str">
            <v>3.00 * 1.50</v>
          </cell>
          <cell r="H977" t="str">
            <v>E</v>
          </cell>
          <cell r="I977" t="str">
            <v>ESTACIONAMIENTOS</v>
          </cell>
          <cell r="J977">
            <v>0</v>
          </cell>
          <cell r="K977">
            <v>15000</v>
          </cell>
          <cell r="L977">
            <v>270000</v>
          </cell>
          <cell r="M977" t="str">
            <v>MALL PLAZA OESTE</v>
          </cell>
          <cell r="P977" t="str">
            <v>CERRILLOS</v>
          </cell>
          <cell r="Q977" t="str">
            <v>TRADICIONAL</v>
          </cell>
          <cell r="R977" t="str">
            <v>Mall - Santiago</v>
          </cell>
          <cell r="S977" t="str">
            <v>Mall Plaza</v>
          </cell>
          <cell r="T977" t="str">
            <v>Minipoles</v>
          </cell>
          <cell r="U977">
            <v>1</v>
          </cell>
          <cell r="V977" t="str">
            <v>2.80 * 1.30</v>
          </cell>
        </row>
        <row r="978">
          <cell r="A978" t="str">
            <v>MAPO0040B</v>
          </cell>
          <cell r="B978" t="str">
            <v>Mall</v>
          </cell>
          <cell r="C978" t="str">
            <v>Mall Plaza</v>
          </cell>
          <cell r="D978" t="str">
            <v>Minipoles</v>
          </cell>
          <cell r="E978" t="str">
            <v>Minipoles</v>
          </cell>
          <cell r="F978" t="str">
            <v>2.80 * 1.30</v>
          </cell>
          <cell r="G978" t="str">
            <v>3.00 * 1.50</v>
          </cell>
          <cell r="H978" t="str">
            <v>E</v>
          </cell>
          <cell r="I978" t="str">
            <v>ESTACIONAMIENTOS</v>
          </cell>
          <cell r="J978">
            <v>0</v>
          </cell>
          <cell r="K978">
            <v>15000</v>
          </cell>
          <cell r="L978">
            <v>540000</v>
          </cell>
          <cell r="M978" t="str">
            <v>MALL PLAZA OESTE</v>
          </cell>
          <cell r="P978" t="str">
            <v>CERRILLOS</v>
          </cell>
          <cell r="Q978" t="str">
            <v>TRADICIONAL</v>
          </cell>
          <cell r="R978" t="str">
            <v>Mall - Santiago</v>
          </cell>
          <cell r="S978" t="str">
            <v>Mall Plaza</v>
          </cell>
          <cell r="T978" t="str">
            <v>Minipoles</v>
          </cell>
          <cell r="U978">
            <v>1</v>
          </cell>
          <cell r="V978" t="str">
            <v>2.80 * 1.30</v>
          </cell>
        </row>
        <row r="979">
          <cell r="A979" t="str">
            <v>MASE0001A</v>
          </cell>
          <cell r="B979" t="str">
            <v>Mall</v>
          </cell>
          <cell r="C979" t="str">
            <v>Mall Plaza</v>
          </cell>
          <cell r="D979" t="str">
            <v>Paletas</v>
          </cell>
          <cell r="E979" t="str">
            <v>PALETA SUPER SCREEN</v>
          </cell>
          <cell r="F979" t="str">
            <v>1.20 * 1.70</v>
          </cell>
          <cell r="G979" t="str">
            <v>1.23 * 1.75</v>
          </cell>
          <cell r="H979" t="str">
            <v>E</v>
          </cell>
          <cell r="I979" t="str">
            <v>ESTACIONAMIENTOS</v>
          </cell>
          <cell r="J979">
            <v>0</v>
          </cell>
          <cell r="K979">
            <v>15000</v>
          </cell>
          <cell r="L979">
            <v>280000</v>
          </cell>
          <cell r="M979" t="str">
            <v>MALL PLAZA LA SERENA</v>
          </cell>
          <cell r="P979" t="str">
            <v>LA SERENA</v>
          </cell>
          <cell r="Q979" t="str">
            <v>TRADICIONAL</v>
          </cell>
          <cell r="R979" t="str">
            <v>Mall - Norte</v>
          </cell>
          <cell r="S979" t="str">
            <v>Mall Plaza</v>
          </cell>
          <cell r="T979" t="str">
            <v>Paletas</v>
          </cell>
          <cell r="U979">
            <v>1</v>
          </cell>
          <cell r="V979" t="str">
            <v>1.20 * 1.70</v>
          </cell>
        </row>
        <row r="980">
          <cell r="A980" t="str">
            <v>MASE0001B</v>
          </cell>
          <cell r="B980" t="str">
            <v>Mall</v>
          </cell>
          <cell r="C980" t="str">
            <v>Mall Plaza</v>
          </cell>
          <cell r="D980" t="str">
            <v>Paletas</v>
          </cell>
          <cell r="E980" t="str">
            <v>PALETA SUPER SCREEN</v>
          </cell>
          <cell r="F980" t="str">
            <v>1.20 * 1.70</v>
          </cell>
          <cell r="G980" t="str">
            <v>1.23 * 1.75</v>
          </cell>
          <cell r="H980" t="str">
            <v>E</v>
          </cell>
          <cell r="I980" t="str">
            <v>ESTACIONAMIENTOS</v>
          </cell>
          <cell r="J980">
            <v>0</v>
          </cell>
          <cell r="K980">
            <v>15000</v>
          </cell>
          <cell r="L980">
            <v>280000</v>
          </cell>
          <cell r="M980" t="str">
            <v>MALL PLAZA LA SERENA</v>
          </cell>
          <cell r="P980" t="str">
            <v>LA SERENA</v>
          </cell>
          <cell r="Q980" t="str">
            <v>TRADICIONAL</v>
          </cell>
          <cell r="R980" t="str">
            <v>Mall - Norte</v>
          </cell>
          <cell r="S980" t="str">
            <v>Mall Plaza</v>
          </cell>
          <cell r="T980" t="str">
            <v>Paletas</v>
          </cell>
          <cell r="U980">
            <v>1</v>
          </cell>
          <cell r="V980" t="str">
            <v>1.20 * 1.70</v>
          </cell>
        </row>
        <row r="981">
          <cell r="A981" t="str">
            <v>MASE0002A</v>
          </cell>
          <cell r="B981" t="str">
            <v>Mall</v>
          </cell>
          <cell r="C981" t="str">
            <v>Mall Plaza</v>
          </cell>
          <cell r="D981" t="str">
            <v>Paletas</v>
          </cell>
          <cell r="E981" t="str">
            <v>PALETA SUPER SCREEN</v>
          </cell>
          <cell r="F981" t="str">
            <v>1.20 * 1.70</v>
          </cell>
          <cell r="G981" t="str">
            <v>1.23 * 1.75</v>
          </cell>
          <cell r="H981" t="str">
            <v>E</v>
          </cell>
          <cell r="I981" t="str">
            <v>ESTACIONAMIENTOS</v>
          </cell>
          <cell r="J981">
            <v>0</v>
          </cell>
          <cell r="K981">
            <v>15000</v>
          </cell>
          <cell r="L981">
            <v>280000</v>
          </cell>
          <cell r="M981" t="str">
            <v>MALL PLAZA LA SERENA</v>
          </cell>
          <cell r="P981" t="str">
            <v>LA SERENA</v>
          </cell>
          <cell r="Q981" t="str">
            <v>TRADICIONAL</v>
          </cell>
          <cell r="R981" t="str">
            <v>Mall - Norte</v>
          </cell>
          <cell r="S981" t="str">
            <v>Mall Plaza</v>
          </cell>
          <cell r="T981" t="str">
            <v>Paletas</v>
          </cell>
          <cell r="U981">
            <v>1</v>
          </cell>
          <cell r="V981" t="str">
            <v>1.20 * 1.70</v>
          </cell>
        </row>
        <row r="982">
          <cell r="A982" t="str">
            <v>MASE0002B</v>
          </cell>
          <cell r="B982" t="str">
            <v>Mall</v>
          </cell>
          <cell r="C982" t="str">
            <v>Mall Plaza</v>
          </cell>
          <cell r="D982" t="str">
            <v>Paletas</v>
          </cell>
          <cell r="E982" t="str">
            <v>PALETA SUPER SCREEN</v>
          </cell>
          <cell r="F982" t="str">
            <v>1.20 * 1.70</v>
          </cell>
          <cell r="G982" t="str">
            <v>1.23 * 1.75</v>
          </cell>
          <cell r="H982" t="str">
            <v>E</v>
          </cell>
          <cell r="I982" t="str">
            <v>ESTACIONAMIENTOS</v>
          </cell>
          <cell r="J982">
            <v>0</v>
          </cell>
          <cell r="K982">
            <v>15000</v>
          </cell>
          <cell r="L982">
            <v>280000</v>
          </cell>
          <cell r="M982" t="str">
            <v>MALL PLAZA LA SERENA</v>
          </cell>
          <cell r="P982" t="str">
            <v>LA SERENA</v>
          </cell>
          <cell r="Q982" t="str">
            <v>TRADICIONAL</v>
          </cell>
          <cell r="R982" t="str">
            <v>Mall - Norte</v>
          </cell>
          <cell r="S982" t="str">
            <v>Mall Plaza</v>
          </cell>
          <cell r="T982" t="str">
            <v>Paletas</v>
          </cell>
          <cell r="U982">
            <v>1</v>
          </cell>
          <cell r="V982" t="str">
            <v>1.20 * 1.70</v>
          </cell>
        </row>
        <row r="983">
          <cell r="A983" t="str">
            <v>MASE0003B</v>
          </cell>
          <cell r="B983" t="str">
            <v>Mall</v>
          </cell>
          <cell r="C983" t="str">
            <v>Mall Plaza</v>
          </cell>
          <cell r="D983" t="str">
            <v>Paletas</v>
          </cell>
          <cell r="E983" t="str">
            <v>PALETA SUPER SCREEN</v>
          </cell>
          <cell r="F983" t="str">
            <v>1.20 * 1.70</v>
          </cell>
          <cell r="G983" t="str">
            <v>1.23 * 1.75</v>
          </cell>
          <cell r="H983" t="str">
            <v>E</v>
          </cell>
          <cell r="I983" t="str">
            <v>ESTACIONAMIENTOS</v>
          </cell>
          <cell r="J983">
            <v>0</v>
          </cell>
          <cell r="K983">
            <v>15000</v>
          </cell>
          <cell r="L983">
            <v>280000</v>
          </cell>
          <cell r="M983" t="str">
            <v>MALL PLAZA LA SERENA</v>
          </cell>
          <cell r="P983" t="str">
            <v>LA SERENA</v>
          </cell>
          <cell r="Q983" t="str">
            <v>TRADICIONAL</v>
          </cell>
          <cell r="R983" t="str">
            <v>Mall - Norte</v>
          </cell>
          <cell r="S983" t="str">
            <v>Mall Plaza</v>
          </cell>
          <cell r="T983" t="str">
            <v>Paletas</v>
          </cell>
          <cell r="U983">
            <v>1</v>
          </cell>
          <cell r="V983" t="str">
            <v>1.20 * 1.70</v>
          </cell>
        </row>
        <row r="984">
          <cell r="A984" t="str">
            <v>MASE0004A</v>
          </cell>
          <cell r="B984" t="str">
            <v>Mall</v>
          </cell>
          <cell r="C984" t="str">
            <v>Mall Plaza</v>
          </cell>
          <cell r="D984" t="str">
            <v>Paletas</v>
          </cell>
          <cell r="E984" t="str">
            <v>PALETA SUPER SCREEN</v>
          </cell>
          <cell r="F984" t="str">
            <v>1.20 * 1.70</v>
          </cell>
          <cell r="G984" t="str">
            <v>1.23 * 1.75</v>
          </cell>
          <cell r="H984" t="str">
            <v>E</v>
          </cell>
          <cell r="I984" t="str">
            <v>ESTACIONAMIENTOS</v>
          </cell>
          <cell r="J984">
            <v>0</v>
          </cell>
          <cell r="K984">
            <v>15000</v>
          </cell>
          <cell r="L984">
            <v>280000</v>
          </cell>
          <cell r="M984" t="str">
            <v>MALL PLAZA LA SERENA</v>
          </cell>
          <cell r="P984" t="str">
            <v>LA SERENA</v>
          </cell>
          <cell r="Q984" t="str">
            <v>TRADICIONAL</v>
          </cell>
          <cell r="R984" t="str">
            <v>Mall - Norte</v>
          </cell>
          <cell r="S984" t="str">
            <v>Mall Plaza</v>
          </cell>
          <cell r="T984" t="str">
            <v>Paletas</v>
          </cell>
          <cell r="U984">
            <v>1</v>
          </cell>
          <cell r="V984" t="str">
            <v>1.20 * 1.70</v>
          </cell>
        </row>
        <row r="985">
          <cell r="A985" t="str">
            <v>MASE0005A</v>
          </cell>
          <cell r="B985" t="str">
            <v>Mall</v>
          </cell>
          <cell r="C985" t="str">
            <v>Mall Plaza</v>
          </cell>
          <cell r="D985" t="str">
            <v>Paletas</v>
          </cell>
          <cell r="E985" t="str">
            <v>PALETA SUPER SCREEN</v>
          </cell>
          <cell r="F985" t="str">
            <v>1.20 * 1.70</v>
          </cell>
          <cell r="G985" t="str">
            <v>1.23 * 1.75</v>
          </cell>
          <cell r="H985" t="str">
            <v>E</v>
          </cell>
          <cell r="I985" t="str">
            <v>ESTACIONAMIENTOS</v>
          </cell>
          <cell r="J985">
            <v>0</v>
          </cell>
          <cell r="K985">
            <v>15000</v>
          </cell>
          <cell r="L985">
            <v>280000</v>
          </cell>
          <cell r="M985" t="str">
            <v>MALL PLAZA LA SERENA</v>
          </cell>
          <cell r="P985" t="str">
            <v>LA SERENA</v>
          </cell>
          <cell r="Q985" t="str">
            <v>TRADICIONAL</v>
          </cell>
          <cell r="R985" t="str">
            <v>Mall - Norte</v>
          </cell>
          <cell r="S985" t="str">
            <v>Mall Plaza</v>
          </cell>
          <cell r="T985" t="str">
            <v>Paletas</v>
          </cell>
          <cell r="U985">
            <v>1</v>
          </cell>
          <cell r="V985" t="str">
            <v>1.20 * 1.70</v>
          </cell>
        </row>
        <row r="986">
          <cell r="A986" t="str">
            <v>MASE0009A</v>
          </cell>
          <cell r="B986" t="str">
            <v>Mall</v>
          </cell>
          <cell r="C986" t="str">
            <v>Mall Plaza</v>
          </cell>
          <cell r="D986" t="str">
            <v>Paletas</v>
          </cell>
          <cell r="E986" t="str">
            <v>PALETA SUPER SCREEN</v>
          </cell>
          <cell r="F986" t="str">
            <v>1.20 * 1.70</v>
          </cell>
          <cell r="G986" t="str">
            <v>1.23 * 1.75</v>
          </cell>
          <cell r="H986" t="str">
            <v>E</v>
          </cell>
          <cell r="I986" t="str">
            <v>ESTACIONAMIENTOS</v>
          </cell>
          <cell r="J986">
            <v>0</v>
          </cell>
          <cell r="K986">
            <v>15000</v>
          </cell>
          <cell r="L986">
            <v>280000</v>
          </cell>
          <cell r="M986" t="str">
            <v>MALL PLAZA LA SERENA</v>
          </cell>
          <cell r="P986" t="str">
            <v>LA SERENA</v>
          </cell>
          <cell r="Q986" t="str">
            <v>TRADICIONAL</v>
          </cell>
          <cell r="R986" t="str">
            <v>Mall - Norte</v>
          </cell>
          <cell r="S986" t="str">
            <v>Mall Plaza</v>
          </cell>
          <cell r="T986" t="str">
            <v>Paletas</v>
          </cell>
          <cell r="U986">
            <v>1</v>
          </cell>
          <cell r="V986" t="str">
            <v>1.20 * 1.70</v>
          </cell>
        </row>
        <row r="987">
          <cell r="A987" t="str">
            <v>MASE0010B</v>
          </cell>
          <cell r="B987" t="str">
            <v>Mall</v>
          </cell>
          <cell r="C987" t="str">
            <v>Mall Plaza</v>
          </cell>
          <cell r="D987" t="str">
            <v>Paletas</v>
          </cell>
          <cell r="E987" t="str">
            <v>PALETA SUPER SCREEN</v>
          </cell>
          <cell r="F987" t="str">
            <v>1.20 * 1.70</v>
          </cell>
          <cell r="G987" t="str">
            <v>1.23 * 1.75</v>
          </cell>
          <cell r="H987" t="str">
            <v>E</v>
          </cell>
          <cell r="I987" t="str">
            <v>ESTACIONAMIENTOS</v>
          </cell>
          <cell r="J987">
            <v>0</v>
          </cell>
          <cell r="K987">
            <v>15000</v>
          </cell>
          <cell r="L987">
            <v>280000</v>
          </cell>
          <cell r="M987" t="str">
            <v>MALL PLAZA LA SERENA</v>
          </cell>
          <cell r="P987" t="str">
            <v>LA SERENA</v>
          </cell>
          <cell r="Q987" t="str">
            <v>TRADICIONAL</v>
          </cell>
          <cell r="R987" t="str">
            <v>Mall - Norte</v>
          </cell>
          <cell r="S987" t="str">
            <v>Mall Plaza</v>
          </cell>
          <cell r="T987" t="str">
            <v>Paletas</v>
          </cell>
          <cell r="U987">
            <v>1</v>
          </cell>
          <cell r="V987" t="str">
            <v>1.20 * 1.70</v>
          </cell>
        </row>
        <row r="988">
          <cell r="A988" t="str">
            <v>MAPV0021A</v>
          </cell>
          <cell r="B988" t="str">
            <v>Mall</v>
          </cell>
          <cell r="C988" t="str">
            <v>Mall Plaza</v>
          </cell>
          <cell r="D988" t="str">
            <v>Unipoles</v>
          </cell>
          <cell r="E988" t="str">
            <v>DOBLE FAZ</v>
          </cell>
          <cell r="F988" t="str">
            <v>9.00 * 3.00</v>
          </cell>
          <cell r="G988" t="str">
            <v>9.30 * 3.30</v>
          </cell>
          <cell r="H988" t="str">
            <v>E</v>
          </cell>
          <cell r="I988" t="str">
            <v>ESTACIONAMIENTOS</v>
          </cell>
          <cell r="J988">
            <v>0</v>
          </cell>
          <cell r="K988">
            <v>150000</v>
          </cell>
          <cell r="L988">
            <v>980000</v>
          </cell>
          <cell r="M988" t="str">
            <v>MALL PLAZA VESPUCIO</v>
          </cell>
          <cell r="P988" t="str">
            <v>LA FLORIDA</v>
          </cell>
          <cell r="Q988" t="str">
            <v>TRADICIONAL</v>
          </cell>
          <cell r="R988" t="str">
            <v>Mall - Santiago</v>
          </cell>
          <cell r="S988" t="str">
            <v>Mall Plaza</v>
          </cell>
          <cell r="T988" t="str">
            <v>Unipoles</v>
          </cell>
          <cell r="U988">
            <v>1</v>
          </cell>
          <cell r="V988" t="str">
            <v>9.00 * 3.00</v>
          </cell>
        </row>
        <row r="989">
          <cell r="A989" t="str">
            <v>MAPV0021B</v>
          </cell>
          <cell r="B989" t="str">
            <v>Mall</v>
          </cell>
          <cell r="C989" t="str">
            <v>Mall Plaza</v>
          </cell>
          <cell r="D989" t="str">
            <v>Unipoles</v>
          </cell>
          <cell r="E989" t="str">
            <v>DOBLE FAZ</v>
          </cell>
          <cell r="F989" t="str">
            <v>9.00 * 3.00</v>
          </cell>
          <cell r="G989" t="str">
            <v>9.30 * 3.30</v>
          </cell>
          <cell r="H989" t="str">
            <v>E</v>
          </cell>
          <cell r="I989" t="str">
            <v>ESTACIONAMIENTOS</v>
          </cell>
          <cell r="J989">
            <v>0</v>
          </cell>
          <cell r="K989">
            <v>150000</v>
          </cell>
          <cell r="L989">
            <v>980000</v>
          </cell>
          <cell r="M989" t="str">
            <v>MALL PLAZA VESPUCIO</v>
          </cell>
          <cell r="P989" t="str">
            <v>LA FLORIDA</v>
          </cell>
          <cell r="Q989" t="str">
            <v>TRADICIONAL</v>
          </cell>
          <cell r="R989" t="str">
            <v>Mall - Santiago</v>
          </cell>
          <cell r="S989" t="str">
            <v>Mall Plaza</v>
          </cell>
          <cell r="T989" t="str">
            <v>Unipoles</v>
          </cell>
          <cell r="U989">
            <v>1</v>
          </cell>
          <cell r="V989" t="str">
            <v>9.00 * 3.00</v>
          </cell>
        </row>
        <row r="990">
          <cell r="A990" t="str">
            <v>MASE0029A</v>
          </cell>
          <cell r="B990" t="str">
            <v>Mall</v>
          </cell>
          <cell r="C990" t="str">
            <v>Mall Plaza</v>
          </cell>
          <cell r="D990" t="str">
            <v>P.E.: MAMPARA</v>
          </cell>
          <cell r="E990" t="str">
            <v>MAMPARA</v>
          </cell>
          <cell r="F990" t="str">
            <v>Ver Ficha</v>
          </cell>
          <cell r="G990" t="str">
            <v>Ver Ficha</v>
          </cell>
          <cell r="H990" t="str">
            <v>V</v>
          </cell>
          <cell r="I990" t="str">
            <v>ACCESO SALA DE V</v>
          </cell>
          <cell r="J990">
            <v>69000</v>
          </cell>
          <cell r="K990">
            <v>167000</v>
          </cell>
          <cell r="L990">
            <v>2600000</v>
          </cell>
          <cell r="M990" t="str">
            <v>MALL PLAZA LA SERENA</v>
          </cell>
          <cell r="P990" t="str">
            <v>LA SERENA</v>
          </cell>
          <cell r="Q990" t="str">
            <v>ESPECIAL</v>
          </cell>
          <cell r="R990" t="str">
            <v>Mall - Norte</v>
          </cell>
          <cell r="S990" t="str">
            <v>Mall Plaza</v>
          </cell>
          <cell r="T990" t="str">
            <v>Productos Especiales</v>
          </cell>
          <cell r="U990">
            <v>1</v>
          </cell>
          <cell r="V990" t="str">
            <v>NA</v>
          </cell>
        </row>
        <row r="991">
          <cell r="A991" t="str">
            <v>MAAR0042A</v>
          </cell>
          <cell r="B991" t="str">
            <v>Mall</v>
          </cell>
          <cell r="D991" t="str">
            <v>Minipoles</v>
          </cell>
          <cell r="E991" t="str">
            <v>Minipoles</v>
          </cell>
          <cell r="F991" t="str">
            <v>2.80 * 1.30</v>
          </cell>
          <cell r="G991" t="str">
            <v>3.00 * 1.50</v>
          </cell>
          <cell r="I991" t="str">
            <v>EXTERIORES</v>
          </cell>
          <cell r="K991">
            <v>17000</v>
          </cell>
          <cell r="L991">
            <v>620000</v>
          </cell>
          <cell r="M991" t="str">
            <v>MALL MARINA ARAUCO</v>
          </cell>
          <cell r="P991" t="str">
            <v>VINA DEL MAR</v>
          </cell>
          <cell r="Q991" t="str">
            <v>TRADICIONAL</v>
          </cell>
          <cell r="R991" t="str">
            <v>Mall - V Region</v>
          </cell>
          <cell r="S991" t="str">
            <v>Inversiones Calama</v>
          </cell>
          <cell r="T991" t="str">
            <v>Minipoles</v>
          </cell>
          <cell r="U991">
            <v>1</v>
          </cell>
          <cell r="V991" t="str">
            <v>2.80 * 1.30</v>
          </cell>
        </row>
        <row r="992">
          <cell r="A992" t="str">
            <v>MAAR0043A</v>
          </cell>
          <cell r="B992" t="str">
            <v>Mall</v>
          </cell>
          <cell r="D992" t="str">
            <v>Minipoles</v>
          </cell>
          <cell r="E992" t="str">
            <v>Minipoles</v>
          </cell>
          <cell r="F992" t="str">
            <v>2.80 * 1.30</v>
          </cell>
          <cell r="G992" t="str">
            <v>3.00 * 1.50</v>
          </cell>
          <cell r="I992" t="str">
            <v>EXTERIORES</v>
          </cell>
          <cell r="K992">
            <v>17000</v>
          </cell>
          <cell r="L992">
            <v>620000</v>
          </cell>
          <cell r="M992" t="str">
            <v>MALL MARINA ARAUCO</v>
          </cell>
          <cell r="P992" t="str">
            <v>VINA DEL MAR</v>
          </cell>
          <cell r="Q992" t="str">
            <v>TRADICIONAL</v>
          </cell>
          <cell r="R992" t="str">
            <v>Mall - V Region</v>
          </cell>
          <cell r="S992" t="str">
            <v>Inversiones Calama</v>
          </cell>
          <cell r="T992" t="str">
            <v>Minipoles</v>
          </cell>
          <cell r="U992">
            <v>1</v>
          </cell>
          <cell r="V992" t="str">
            <v>2.80 * 1.30</v>
          </cell>
        </row>
        <row r="993">
          <cell r="A993" t="str">
            <v>MAAR0043B</v>
          </cell>
          <cell r="B993" t="str">
            <v>Mall</v>
          </cell>
          <cell r="D993" t="str">
            <v>Minipoles</v>
          </cell>
          <cell r="E993" t="str">
            <v>Minipoles</v>
          </cell>
          <cell r="F993" t="str">
            <v>2.80 * 1.30</v>
          </cell>
          <cell r="G993" t="str">
            <v>3.00 * 1.50</v>
          </cell>
          <cell r="I993" t="str">
            <v>EXTERIOR</v>
          </cell>
          <cell r="K993">
            <v>17000</v>
          </cell>
          <cell r="L993">
            <v>620000</v>
          </cell>
          <cell r="M993" t="str">
            <v>MALL MARINA ARAUCO</v>
          </cell>
          <cell r="P993" t="str">
            <v>VINA DEL MAR</v>
          </cell>
          <cell r="Q993" t="str">
            <v>TRADICIONAL</v>
          </cell>
          <cell r="R993" t="str">
            <v>Mall - V Region</v>
          </cell>
          <cell r="S993" t="str">
            <v>Inversiones Calama</v>
          </cell>
          <cell r="T993" t="str">
            <v>Minipoles</v>
          </cell>
          <cell r="U993">
            <v>1</v>
          </cell>
          <cell r="V993" t="str">
            <v>2.80 * 1.30</v>
          </cell>
        </row>
        <row r="994">
          <cell r="A994" t="str">
            <v>MCCU0004A</v>
          </cell>
          <cell r="B994" t="str">
            <v>Mall</v>
          </cell>
          <cell r="D994" t="str">
            <v>Supersite</v>
          </cell>
          <cell r="E994" t="str">
            <v>Topsite</v>
          </cell>
          <cell r="F994" t="str">
            <v>3.36 * 5.00</v>
          </cell>
          <cell r="G994" t="str">
            <v>3.66 * 5.30</v>
          </cell>
          <cell r="H994" t="str">
            <v>X</v>
          </cell>
          <cell r="I994" t="str">
            <v>EXTERIORES</v>
          </cell>
          <cell r="K994">
            <v>18100</v>
          </cell>
          <cell r="L994">
            <v>1500000</v>
          </cell>
          <cell r="M994" t="str">
            <v>MALL CENTER CURICO</v>
          </cell>
          <cell r="P994" t="str">
            <v>CURICO</v>
          </cell>
          <cell r="Q994" t="str">
            <v>TRADICIONAL</v>
          </cell>
          <cell r="R994" t="str">
            <v>Mall - Sur</v>
          </cell>
          <cell r="S994" t="str">
            <v>Inversiones Calama</v>
          </cell>
          <cell r="T994" t="str">
            <v>Supersite</v>
          </cell>
          <cell r="U994">
            <v>1</v>
          </cell>
          <cell r="V994" t="str">
            <v>3.36  * 5.00</v>
          </cell>
        </row>
        <row r="995">
          <cell r="A995" t="str">
            <v>MAAR0046A</v>
          </cell>
          <cell r="B995" t="str">
            <v>Mall</v>
          </cell>
          <cell r="D995" t="str">
            <v>P.E.: PENDONES</v>
          </cell>
          <cell r="E995" t="str">
            <v>PENDONES</v>
          </cell>
          <cell r="F995" t="str">
            <v>VER FICHA</v>
          </cell>
          <cell r="G995" t="str">
            <v>VER FICHA</v>
          </cell>
          <cell r="I995" t="str">
            <v>EXT AV. LIBERTAD</v>
          </cell>
          <cell r="J995">
            <v>233000</v>
          </cell>
          <cell r="K995">
            <v>190000</v>
          </cell>
          <cell r="L995">
            <v>2100000</v>
          </cell>
          <cell r="M995" t="str">
            <v>MALL MARINA ARAUCO</v>
          </cell>
          <cell r="P995" t="str">
            <v>VINA DEL MAR</v>
          </cell>
          <cell r="Q995" t="str">
            <v>ESPECIAL</v>
          </cell>
          <cell r="R995" t="str">
            <v>Mall - V Region</v>
          </cell>
          <cell r="S995" t="str">
            <v>Inversiones Calama</v>
          </cell>
          <cell r="T995" t="str">
            <v>Productos Especiales</v>
          </cell>
          <cell r="U995">
            <v>1</v>
          </cell>
          <cell r="V995" t="str">
            <v>NA</v>
          </cell>
        </row>
        <row r="996">
          <cell r="A996" t="str">
            <v>MAAR0047A</v>
          </cell>
          <cell r="B996" t="str">
            <v>Mall</v>
          </cell>
          <cell r="D996" t="str">
            <v>P.E.: PENDONES</v>
          </cell>
          <cell r="E996" t="str">
            <v>PENDONES</v>
          </cell>
          <cell r="F996" t="str">
            <v>VER FICHA</v>
          </cell>
          <cell r="G996" t="str">
            <v>VER FICHA</v>
          </cell>
          <cell r="H996" t="str">
            <v>X</v>
          </cell>
          <cell r="I996" t="str">
            <v>EXT. 15 NORTE</v>
          </cell>
          <cell r="J996">
            <v>233000</v>
          </cell>
          <cell r="K996">
            <v>190000</v>
          </cell>
          <cell r="L996">
            <v>2100000</v>
          </cell>
          <cell r="M996" t="str">
            <v>MALL MARINA ARAUCO</v>
          </cell>
          <cell r="P996" t="str">
            <v>VINA DEL MAR</v>
          </cell>
          <cell r="Q996" t="str">
            <v>ESPECIAL</v>
          </cell>
          <cell r="R996" t="str">
            <v>Mall - V Region</v>
          </cell>
          <cell r="S996" t="str">
            <v>Inversiones Calama</v>
          </cell>
          <cell r="T996" t="str">
            <v>Productos Especiales</v>
          </cell>
          <cell r="U996">
            <v>1</v>
          </cell>
          <cell r="V996" t="str">
            <v>NA</v>
          </cell>
        </row>
        <row r="997">
          <cell r="A997" t="str">
            <v>MACA0010A</v>
          </cell>
          <cell r="B997" t="str">
            <v>Mall</v>
          </cell>
          <cell r="D997" t="str">
            <v>Unipoles</v>
          </cell>
          <cell r="E997" t="str">
            <v>DOBLE FAZ</v>
          </cell>
          <cell r="F997" t="str">
            <v>9.00 * 3.00</v>
          </cell>
          <cell r="G997" t="str">
            <v>9.30 * 3.30</v>
          </cell>
          <cell r="H997" t="str">
            <v>E</v>
          </cell>
          <cell r="I997" t="str">
            <v>ESTACIONAMIENTOS</v>
          </cell>
          <cell r="J997">
            <v>0</v>
          </cell>
          <cell r="K997">
            <v>68000</v>
          </cell>
          <cell r="L997">
            <v>780000</v>
          </cell>
          <cell r="M997" t="str">
            <v>MALL CALAMA</v>
          </cell>
          <cell r="P997" t="str">
            <v>CALAMA</v>
          </cell>
          <cell r="Q997" t="str">
            <v>TRADICIONAL</v>
          </cell>
          <cell r="R997" t="str">
            <v>Mall - Norte</v>
          </cell>
          <cell r="S997" t="str">
            <v>Inversiones Calama</v>
          </cell>
          <cell r="T997" t="str">
            <v>Unipoles</v>
          </cell>
          <cell r="U997">
            <v>1</v>
          </cell>
          <cell r="V997" t="str">
            <v>9.00 * 3.00</v>
          </cell>
        </row>
        <row r="998">
          <cell r="A998" t="str">
            <v>MACA0010B</v>
          </cell>
          <cell r="B998" t="str">
            <v>Mall</v>
          </cell>
          <cell r="D998" t="str">
            <v>Unipoles</v>
          </cell>
          <cell r="E998" t="str">
            <v>DOBLE FAZ</v>
          </cell>
          <cell r="F998" t="str">
            <v>9.00 * 3.00</v>
          </cell>
          <cell r="G998" t="str">
            <v>9.30 * 3.30</v>
          </cell>
          <cell r="H998" t="str">
            <v>E</v>
          </cell>
          <cell r="I998" t="str">
            <v>ESTACIONAMIENTOS</v>
          </cell>
          <cell r="J998">
            <v>0</v>
          </cell>
          <cell r="K998">
            <v>68000</v>
          </cell>
          <cell r="L998">
            <v>780000</v>
          </cell>
          <cell r="M998" t="str">
            <v>MALL CALAMA</v>
          </cell>
          <cell r="P998" t="str">
            <v>CALAMA</v>
          </cell>
          <cell r="Q998" t="str">
            <v>TRADICIONAL</v>
          </cell>
          <cell r="R998" t="str">
            <v>Mall - Norte</v>
          </cell>
          <cell r="S998" t="str">
            <v>Inversiones Calama</v>
          </cell>
          <cell r="T998" t="str">
            <v>Unipoles</v>
          </cell>
          <cell r="U998">
            <v>1</v>
          </cell>
          <cell r="V998" t="str">
            <v>9.00 * 3.00</v>
          </cell>
        </row>
        <row r="999">
          <cell r="A999" t="str">
            <v>MCCU0001AB</v>
          </cell>
          <cell r="B999" t="str">
            <v>Mall</v>
          </cell>
          <cell r="D999" t="str">
            <v>Paletas</v>
          </cell>
          <cell r="E999" t="str">
            <v>Paleta</v>
          </cell>
          <cell r="F999" t="str">
            <v>1.20 * 1.70</v>
          </cell>
          <cell r="G999" t="str">
            <v>1.23 * 1.75</v>
          </cell>
          <cell r="H999" t="str">
            <v>X</v>
          </cell>
          <cell r="I999" t="str">
            <v>EXTERIORES</v>
          </cell>
          <cell r="K999">
            <v>2800</v>
          </cell>
          <cell r="L999">
            <v>450000</v>
          </cell>
          <cell r="M999" t="str">
            <v>MALL CENTER CURICO</v>
          </cell>
          <cell r="P999" t="str">
            <v>CURICO</v>
          </cell>
          <cell r="Q999" t="str">
            <v>TRADICIONAL</v>
          </cell>
          <cell r="R999" t="str">
            <v>Mall - Sur</v>
          </cell>
          <cell r="S999" t="str">
            <v>Inversiones Calama</v>
          </cell>
          <cell r="T999" t="str">
            <v>Paletas</v>
          </cell>
          <cell r="U999">
            <v>2</v>
          </cell>
          <cell r="V999" t="str">
            <v>1.20 * 1.70</v>
          </cell>
        </row>
        <row r="1000">
          <cell r="A1000" t="str">
            <v>MCCU0002AB</v>
          </cell>
          <cell r="B1000" t="str">
            <v>Mall</v>
          </cell>
          <cell r="D1000" t="str">
            <v>NO VENDIBLE</v>
          </cell>
          <cell r="E1000" t="str">
            <v>Paleta</v>
          </cell>
          <cell r="F1000" t="str">
            <v>1.20 * 1.70</v>
          </cell>
          <cell r="G1000" t="str">
            <v>1.23 * 1.75</v>
          </cell>
          <cell r="H1000" t="str">
            <v>X</v>
          </cell>
          <cell r="I1000" t="str">
            <v>EXTERIORES</v>
          </cell>
          <cell r="K1000">
            <v>2800</v>
          </cell>
          <cell r="L1000">
            <v>450000</v>
          </cell>
          <cell r="M1000" t="str">
            <v>MALL CENTER CURICO</v>
          </cell>
          <cell r="O1000" t="str">
            <v>Sí</v>
          </cell>
          <cell r="P1000" t="str">
            <v>CURICO</v>
          </cell>
          <cell r="Q1000" t="str">
            <v>TRADICIONAL</v>
          </cell>
          <cell r="R1000" t="str">
            <v>Mall - Sur</v>
          </cell>
          <cell r="S1000" t="str">
            <v>Inversiones Calama</v>
          </cell>
          <cell r="T1000" t="str">
            <v>Paletas</v>
          </cell>
          <cell r="U1000">
            <v>2</v>
          </cell>
          <cell r="V1000" t="str">
            <v>1.20 * 1.70</v>
          </cell>
        </row>
        <row r="1001">
          <cell r="A1001" t="str">
            <v>MCCU0003AB</v>
          </cell>
          <cell r="B1001" t="str">
            <v>Mall</v>
          </cell>
          <cell r="D1001" t="str">
            <v>Paletas</v>
          </cell>
          <cell r="E1001" t="str">
            <v>Paleta</v>
          </cell>
          <cell r="F1001" t="str">
            <v>1.20 * 1.70</v>
          </cell>
          <cell r="G1001" t="str">
            <v>1.23 * 1.75</v>
          </cell>
          <cell r="H1001" t="str">
            <v>X</v>
          </cell>
          <cell r="I1001" t="str">
            <v>EXTERIORES</v>
          </cell>
          <cell r="K1001">
            <v>2800</v>
          </cell>
          <cell r="L1001">
            <v>450000</v>
          </cell>
          <cell r="M1001" t="str">
            <v>MALL CENTER CURICO</v>
          </cell>
          <cell r="P1001" t="str">
            <v>CURICO</v>
          </cell>
          <cell r="Q1001" t="str">
            <v>TRADICIONAL</v>
          </cell>
          <cell r="R1001" t="str">
            <v>Mall - Sur</v>
          </cell>
          <cell r="S1001" t="str">
            <v>Inversiones Calama</v>
          </cell>
          <cell r="T1001" t="str">
            <v>Paletas</v>
          </cell>
          <cell r="U1001">
            <v>2</v>
          </cell>
          <cell r="V1001" t="str">
            <v>1.20 * 1.70</v>
          </cell>
        </row>
        <row r="1002">
          <cell r="A1002" t="str">
            <v>MAPO0031AB</v>
          </cell>
          <cell r="B1002" t="str">
            <v>Mall</v>
          </cell>
          <cell r="C1002" t="str">
            <v>Mall Plaza</v>
          </cell>
          <cell r="D1002" t="str">
            <v>Paletas</v>
          </cell>
          <cell r="E1002" t="str">
            <v>Paraderos (2 Caras)</v>
          </cell>
          <cell r="F1002" t="str">
            <v>0.93 * 1.43</v>
          </cell>
          <cell r="G1002" t="str">
            <v>1.01 * 1.51</v>
          </cell>
          <cell r="H1002" t="str">
            <v>E</v>
          </cell>
          <cell r="J1002">
            <v>0</v>
          </cell>
          <cell r="K1002">
            <v>20000</v>
          </cell>
          <cell r="L1002">
            <v>320000</v>
          </cell>
          <cell r="M1002" t="str">
            <v>MALL PLAZA OESTE</v>
          </cell>
          <cell r="P1002" t="str">
            <v>CERRILLOS</v>
          </cell>
          <cell r="Q1002" t="str">
            <v>TRADICIONAL</v>
          </cell>
          <cell r="R1002" t="str">
            <v>Mall - Santiago</v>
          </cell>
          <cell r="S1002" t="str">
            <v>Mall Plaza</v>
          </cell>
          <cell r="T1002" t="str">
            <v>Paletas</v>
          </cell>
          <cell r="U1002">
            <v>2</v>
          </cell>
          <cell r="V1002" t="str">
            <v>0.93 * 1.43</v>
          </cell>
        </row>
        <row r="1003">
          <cell r="A1003" t="str">
            <v>MAPO0032AB</v>
          </cell>
          <cell r="B1003" t="str">
            <v>Mall</v>
          </cell>
          <cell r="C1003" t="str">
            <v>Mall Plaza</v>
          </cell>
          <cell r="D1003" t="str">
            <v>Paletas</v>
          </cell>
          <cell r="E1003" t="str">
            <v>Paraderos (2 Caras)</v>
          </cell>
          <cell r="F1003" t="str">
            <v>0.93 * 1.43</v>
          </cell>
          <cell r="G1003" t="str">
            <v>1.01 * 1.51</v>
          </cell>
          <cell r="H1003" t="str">
            <v>E</v>
          </cell>
          <cell r="J1003">
            <v>0</v>
          </cell>
          <cell r="K1003">
            <v>20000</v>
          </cell>
          <cell r="L1003">
            <v>320000</v>
          </cell>
          <cell r="M1003" t="str">
            <v>MALL PLAZA OESTE</v>
          </cell>
          <cell r="P1003" t="str">
            <v>CERRILLOS</v>
          </cell>
          <cell r="Q1003" t="str">
            <v>TRADICIONAL</v>
          </cell>
          <cell r="R1003" t="str">
            <v>Mall - Santiago</v>
          </cell>
          <cell r="S1003" t="str">
            <v>Mall Plaza</v>
          </cell>
          <cell r="T1003" t="str">
            <v>Paletas</v>
          </cell>
          <cell r="U1003">
            <v>2</v>
          </cell>
          <cell r="V1003" t="str">
            <v>0.93 * 1.43</v>
          </cell>
        </row>
        <row r="1004">
          <cell r="A1004" t="str">
            <v>MAPO0033AB</v>
          </cell>
          <cell r="B1004" t="str">
            <v>Mall</v>
          </cell>
          <cell r="C1004" t="str">
            <v>Mall Plaza</v>
          </cell>
          <cell r="D1004" t="str">
            <v>Paletas</v>
          </cell>
          <cell r="E1004" t="str">
            <v>Paraderos (2 Caras)</v>
          </cell>
          <cell r="F1004" t="str">
            <v>0.93 * 1.43</v>
          </cell>
          <cell r="G1004" t="str">
            <v>1.01 * 1.51</v>
          </cell>
          <cell r="H1004" t="str">
            <v>E</v>
          </cell>
          <cell r="J1004">
            <v>0</v>
          </cell>
          <cell r="K1004">
            <v>20000</v>
          </cell>
          <cell r="L1004">
            <v>320000</v>
          </cell>
          <cell r="M1004" t="str">
            <v>MALL PLAZA OESTE</v>
          </cell>
          <cell r="P1004" t="str">
            <v>CERRILLOS</v>
          </cell>
          <cell r="Q1004" t="str">
            <v>TRADICIONAL</v>
          </cell>
          <cell r="R1004" t="str">
            <v>Mall - Santiago</v>
          </cell>
          <cell r="S1004" t="str">
            <v>Mall Plaza</v>
          </cell>
          <cell r="T1004" t="str">
            <v>Paletas</v>
          </cell>
          <cell r="U1004">
            <v>2</v>
          </cell>
          <cell r="V1004" t="str">
            <v>0.93 * 1.43</v>
          </cell>
        </row>
        <row r="1005">
          <cell r="A1005" t="str">
            <v>MAPO0034AB</v>
          </cell>
          <cell r="B1005" t="str">
            <v>Mall</v>
          </cell>
          <cell r="C1005" t="str">
            <v>Mall Plaza</v>
          </cell>
          <cell r="D1005" t="str">
            <v>Paletas</v>
          </cell>
          <cell r="E1005" t="str">
            <v>Paraderos (2 Caras)</v>
          </cell>
          <cell r="F1005" t="str">
            <v>0.93 * 1.43</v>
          </cell>
          <cell r="G1005" t="str">
            <v>1.01 * 1.51</v>
          </cell>
          <cell r="H1005" t="str">
            <v>E</v>
          </cell>
          <cell r="J1005">
            <v>0</v>
          </cell>
          <cell r="K1005">
            <v>20000</v>
          </cell>
          <cell r="L1005">
            <v>320000</v>
          </cell>
          <cell r="M1005" t="str">
            <v>MALL PLAZA OESTE</v>
          </cell>
          <cell r="P1005" t="str">
            <v>CERRILLOS</v>
          </cell>
          <cell r="Q1005" t="str">
            <v>TRADICIONAL</v>
          </cell>
          <cell r="R1005" t="str">
            <v>Mall - Santiago</v>
          </cell>
          <cell r="S1005" t="str">
            <v>Mall Plaza</v>
          </cell>
          <cell r="T1005" t="str">
            <v>Paletas</v>
          </cell>
          <cell r="U1005">
            <v>2</v>
          </cell>
          <cell r="V1005" t="str">
            <v>0.93 * 1.43</v>
          </cell>
        </row>
        <row r="1006">
          <cell r="A1006" t="str">
            <v>MAPV0022A</v>
          </cell>
          <cell r="B1006" t="str">
            <v>Mall</v>
          </cell>
          <cell r="C1006" t="str">
            <v>Mall Plaza</v>
          </cell>
          <cell r="D1006" t="str">
            <v>Minipoles</v>
          </cell>
          <cell r="E1006" t="str">
            <v>Minipoles</v>
          </cell>
          <cell r="F1006" t="str">
            <v>2.80 * 1.30</v>
          </cell>
          <cell r="G1006" t="str">
            <v>3.00 * 1.50</v>
          </cell>
          <cell r="H1006" t="str">
            <v>E</v>
          </cell>
          <cell r="I1006" t="str">
            <v>ESTACIONAMIENTOS</v>
          </cell>
          <cell r="J1006">
            <v>0</v>
          </cell>
          <cell r="K1006">
            <v>20000</v>
          </cell>
          <cell r="L1006">
            <v>620000</v>
          </cell>
          <cell r="M1006" t="str">
            <v>MALL PLAZA VESPUCIO</v>
          </cell>
          <cell r="P1006" t="str">
            <v>LA FLORIDA</v>
          </cell>
          <cell r="Q1006" t="str">
            <v>TRADICIONAL</v>
          </cell>
          <cell r="R1006" t="str">
            <v>Mall - Santiago</v>
          </cell>
          <cell r="S1006" t="str">
            <v>Mall Plaza</v>
          </cell>
          <cell r="T1006" t="str">
            <v>Minipoles</v>
          </cell>
          <cell r="U1006">
            <v>1</v>
          </cell>
          <cell r="V1006" t="str">
            <v>2.80 * 1.30</v>
          </cell>
        </row>
        <row r="1007">
          <cell r="A1007" t="str">
            <v>MAPV0025A</v>
          </cell>
          <cell r="B1007" t="str">
            <v>Mall</v>
          </cell>
          <cell r="C1007" t="str">
            <v>Mall Plaza</v>
          </cell>
          <cell r="D1007" t="str">
            <v>Minipoles</v>
          </cell>
          <cell r="E1007" t="str">
            <v>Minipoles</v>
          </cell>
          <cell r="F1007" t="str">
            <v>2.80 * 1.30</v>
          </cell>
          <cell r="G1007" t="str">
            <v>3.00 * 1.50</v>
          </cell>
          <cell r="H1007" t="str">
            <v>E</v>
          </cell>
          <cell r="I1007" t="str">
            <v>ESTACIONAMIENTOS</v>
          </cell>
          <cell r="J1007">
            <v>0</v>
          </cell>
          <cell r="K1007">
            <v>20000</v>
          </cell>
          <cell r="L1007">
            <v>620000</v>
          </cell>
          <cell r="M1007" t="str">
            <v>MALL PLAZA VESPUCIO</v>
          </cell>
          <cell r="P1007" t="str">
            <v>LA FLORIDA</v>
          </cell>
          <cell r="Q1007" t="str">
            <v>TRADICIONAL</v>
          </cell>
          <cell r="R1007" t="str">
            <v>Mall - Santiago</v>
          </cell>
          <cell r="S1007" t="str">
            <v>Mall Plaza</v>
          </cell>
          <cell r="T1007" t="str">
            <v>Minipoles</v>
          </cell>
          <cell r="U1007">
            <v>1</v>
          </cell>
          <cell r="V1007" t="str">
            <v>2.80 * 1.30</v>
          </cell>
        </row>
        <row r="1008">
          <cell r="A1008" t="str">
            <v>MAPV0026A</v>
          </cell>
          <cell r="B1008" t="str">
            <v>Mall</v>
          </cell>
          <cell r="C1008" t="str">
            <v>Mall Plaza</v>
          </cell>
          <cell r="D1008" t="str">
            <v>Minipoles</v>
          </cell>
          <cell r="E1008" t="str">
            <v>Minipoles</v>
          </cell>
          <cell r="F1008" t="str">
            <v>2.80 * 1.30</v>
          </cell>
          <cell r="G1008" t="str">
            <v>3.00 * 1.50</v>
          </cell>
          <cell r="H1008" t="str">
            <v>E</v>
          </cell>
          <cell r="I1008" t="str">
            <v>ESTACIONAMIENTOS</v>
          </cell>
          <cell r="J1008">
            <v>0</v>
          </cell>
          <cell r="K1008">
            <v>20000</v>
          </cell>
          <cell r="L1008">
            <v>620000</v>
          </cell>
          <cell r="M1008" t="str">
            <v>MALL PLAZA VESPUCIO</v>
          </cell>
          <cell r="P1008" t="str">
            <v>LA FLORIDA</v>
          </cell>
          <cell r="Q1008" t="str">
            <v>TRADICIONAL</v>
          </cell>
          <cell r="R1008" t="str">
            <v>Mall - Santiago</v>
          </cell>
          <cell r="S1008" t="str">
            <v>Mall Plaza</v>
          </cell>
          <cell r="T1008" t="str">
            <v>Minipoles</v>
          </cell>
          <cell r="U1008">
            <v>1</v>
          </cell>
          <cell r="V1008" t="str">
            <v>2.80 * 1.30</v>
          </cell>
        </row>
        <row r="1009">
          <cell r="A1009" t="str">
            <v>MASE0021A</v>
          </cell>
          <cell r="B1009" t="str">
            <v>Mall</v>
          </cell>
          <cell r="C1009" t="str">
            <v>Mall Plaza</v>
          </cell>
          <cell r="D1009" t="str">
            <v>Minipoles</v>
          </cell>
          <cell r="E1009" t="str">
            <v>Minipoles</v>
          </cell>
          <cell r="F1009" t="str">
            <v>2.80 * 1.30</v>
          </cell>
          <cell r="G1009" t="str">
            <v>3.00 * 1.50</v>
          </cell>
          <cell r="H1009" t="str">
            <v>E</v>
          </cell>
          <cell r="I1009" t="str">
            <v>ESTACIONAMIENTOS</v>
          </cell>
          <cell r="J1009">
            <v>0</v>
          </cell>
          <cell r="K1009">
            <v>20000</v>
          </cell>
          <cell r="L1009">
            <v>480000</v>
          </cell>
          <cell r="M1009" t="str">
            <v>MALL PLAZA LA SERENA</v>
          </cell>
          <cell r="P1009" t="str">
            <v>LA SERENA</v>
          </cell>
          <cell r="Q1009" t="str">
            <v>TRADICIONAL</v>
          </cell>
          <cell r="R1009" t="str">
            <v>Mall - Norte</v>
          </cell>
          <cell r="S1009" t="str">
            <v>Mall Plaza</v>
          </cell>
          <cell r="T1009" t="str">
            <v>Minipoles</v>
          </cell>
          <cell r="U1009">
            <v>1</v>
          </cell>
          <cell r="V1009" t="str">
            <v>2.80 * 1.30</v>
          </cell>
        </row>
        <row r="1010">
          <cell r="A1010" t="str">
            <v>MASE0021B</v>
          </cell>
          <cell r="B1010" t="str">
            <v>Mall</v>
          </cell>
          <cell r="C1010" t="str">
            <v>Mall Plaza</v>
          </cell>
          <cell r="D1010" t="str">
            <v>Minipoles</v>
          </cell>
          <cell r="E1010" t="str">
            <v>Minipoles</v>
          </cell>
          <cell r="F1010" t="str">
            <v>2.80 * 1.30</v>
          </cell>
          <cell r="G1010" t="str">
            <v>3.00 * 1.50</v>
          </cell>
          <cell r="H1010" t="str">
            <v>E</v>
          </cell>
          <cell r="I1010" t="str">
            <v>ESTACIONAMIENTOS</v>
          </cell>
          <cell r="J1010">
            <v>0</v>
          </cell>
          <cell r="K1010">
            <v>20000</v>
          </cell>
          <cell r="L1010">
            <v>480000</v>
          </cell>
          <cell r="M1010" t="str">
            <v>MALL PLAZA LA SERENA</v>
          </cell>
          <cell r="P1010" t="str">
            <v>LA SERENA</v>
          </cell>
          <cell r="Q1010" t="str">
            <v>TRADICIONAL</v>
          </cell>
          <cell r="R1010" t="str">
            <v>Mall - Norte</v>
          </cell>
          <cell r="S1010" t="str">
            <v>Mall Plaza</v>
          </cell>
          <cell r="T1010" t="str">
            <v>Minipoles</v>
          </cell>
          <cell r="U1010">
            <v>1</v>
          </cell>
          <cell r="V1010" t="str">
            <v>2.80 * 1.30</v>
          </cell>
        </row>
        <row r="1011">
          <cell r="A1011" t="str">
            <v>MASE0022A</v>
          </cell>
          <cell r="B1011" t="str">
            <v>Mall</v>
          </cell>
          <cell r="C1011" t="str">
            <v>Mall Plaza</v>
          </cell>
          <cell r="D1011" t="str">
            <v>Minipoles</v>
          </cell>
          <cell r="E1011" t="str">
            <v>Minipoles</v>
          </cell>
          <cell r="F1011" t="str">
            <v>2.80 * 1.30</v>
          </cell>
          <cell r="G1011" t="str">
            <v>3.00 * 1.50</v>
          </cell>
          <cell r="H1011" t="str">
            <v>E</v>
          </cell>
          <cell r="I1011" t="str">
            <v>ESTACIONAMIENTOS</v>
          </cell>
          <cell r="J1011">
            <v>0</v>
          </cell>
          <cell r="K1011">
            <v>20000</v>
          </cell>
          <cell r="L1011">
            <v>480000</v>
          </cell>
          <cell r="M1011" t="str">
            <v>MALL PLAZA LA SERENA</v>
          </cell>
          <cell r="P1011" t="str">
            <v>LA SERENA</v>
          </cell>
          <cell r="Q1011" t="str">
            <v>TRADICIONAL</v>
          </cell>
          <cell r="R1011" t="str">
            <v>Mall - Norte</v>
          </cell>
          <cell r="S1011" t="str">
            <v>Mall Plaza</v>
          </cell>
          <cell r="T1011" t="str">
            <v>Minipoles</v>
          </cell>
          <cell r="U1011">
            <v>1</v>
          </cell>
          <cell r="V1011" t="str">
            <v>2.80 * 1.30</v>
          </cell>
        </row>
        <row r="1012">
          <cell r="A1012" t="str">
            <v>MASE0022B</v>
          </cell>
          <cell r="B1012" t="str">
            <v>Mall</v>
          </cell>
          <cell r="C1012" t="str">
            <v>Mall Plaza</v>
          </cell>
          <cell r="D1012" t="str">
            <v>Minipoles</v>
          </cell>
          <cell r="E1012" t="str">
            <v>Minipoles</v>
          </cell>
          <cell r="F1012" t="str">
            <v>2.80 * 1.30</v>
          </cell>
          <cell r="G1012" t="str">
            <v>3.00 * 1.50</v>
          </cell>
          <cell r="H1012" t="str">
            <v>E</v>
          </cell>
          <cell r="I1012" t="str">
            <v>ESTACIONAMIENTOS</v>
          </cell>
          <cell r="J1012">
            <v>0</v>
          </cell>
          <cell r="K1012">
            <v>20000</v>
          </cell>
          <cell r="L1012">
            <v>480000</v>
          </cell>
          <cell r="M1012" t="str">
            <v>MALL PLAZA LA SERENA</v>
          </cell>
          <cell r="P1012" t="str">
            <v>LA SERENA</v>
          </cell>
          <cell r="Q1012" t="str">
            <v>TRADICIONAL</v>
          </cell>
          <cell r="R1012" t="str">
            <v>Mall - Norte</v>
          </cell>
          <cell r="S1012" t="str">
            <v>Mall Plaza</v>
          </cell>
          <cell r="T1012" t="str">
            <v>Minipoles</v>
          </cell>
          <cell r="U1012">
            <v>1</v>
          </cell>
          <cell r="V1012" t="str">
            <v>2.80 * 1.30</v>
          </cell>
        </row>
        <row r="1013">
          <cell r="A1013" t="str">
            <v>MASE0023A</v>
          </cell>
          <cell r="B1013" t="str">
            <v>Mall</v>
          </cell>
          <cell r="C1013" t="str">
            <v>Mall Plaza</v>
          </cell>
          <cell r="D1013" t="str">
            <v>Minipoles</v>
          </cell>
          <cell r="E1013" t="str">
            <v>Minipoles</v>
          </cell>
          <cell r="F1013" t="str">
            <v>2.80 * 1.30</v>
          </cell>
          <cell r="G1013" t="str">
            <v>3.00 * 1.50</v>
          </cell>
          <cell r="H1013" t="str">
            <v>E</v>
          </cell>
          <cell r="I1013" t="str">
            <v>ESTACIONAMIENTOS</v>
          </cell>
          <cell r="J1013">
            <v>0</v>
          </cell>
          <cell r="K1013">
            <v>20000</v>
          </cell>
          <cell r="L1013">
            <v>480000</v>
          </cell>
          <cell r="M1013" t="str">
            <v>MALL PLAZA LA SERENA</v>
          </cell>
          <cell r="P1013" t="str">
            <v>LA SERENA</v>
          </cell>
          <cell r="Q1013" t="str">
            <v>TRADICIONAL</v>
          </cell>
          <cell r="R1013" t="str">
            <v>Mall - Norte</v>
          </cell>
          <cell r="S1013" t="str">
            <v>Mall Plaza</v>
          </cell>
          <cell r="T1013" t="str">
            <v>Minipoles</v>
          </cell>
          <cell r="U1013">
            <v>1</v>
          </cell>
          <cell r="V1013" t="str">
            <v>2.80 * 1.30</v>
          </cell>
        </row>
        <row r="1014">
          <cell r="A1014" t="str">
            <v>MASE0023B</v>
          </cell>
          <cell r="B1014" t="str">
            <v>Mall</v>
          </cell>
          <cell r="C1014" t="str">
            <v>Mall Plaza</v>
          </cell>
          <cell r="D1014" t="str">
            <v>Minipoles</v>
          </cell>
          <cell r="E1014" t="str">
            <v>Minipoles</v>
          </cell>
          <cell r="F1014" t="str">
            <v>2.80 * 1.30</v>
          </cell>
          <cell r="G1014" t="str">
            <v>3.00 * 1.50</v>
          </cell>
          <cell r="H1014" t="str">
            <v>E</v>
          </cell>
          <cell r="I1014" t="str">
            <v>ESTACIONAMIENTOS</v>
          </cell>
          <cell r="J1014">
            <v>0</v>
          </cell>
          <cell r="K1014">
            <v>20000</v>
          </cell>
          <cell r="L1014">
            <v>480000</v>
          </cell>
          <cell r="M1014" t="str">
            <v>MALL PLAZA LA SERENA</v>
          </cell>
          <cell r="P1014" t="str">
            <v>LA SERENA</v>
          </cell>
          <cell r="Q1014" t="str">
            <v>TRADICIONAL</v>
          </cell>
          <cell r="R1014" t="str">
            <v>Mall - Norte</v>
          </cell>
          <cell r="S1014" t="str">
            <v>Mall Plaza</v>
          </cell>
          <cell r="T1014" t="str">
            <v>Minipoles</v>
          </cell>
          <cell r="U1014">
            <v>1</v>
          </cell>
          <cell r="V1014" t="str">
            <v>2.80 * 1.30</v>
          </cell>
        </row>
        <row r="1015">
          <cell r="A1015" t="str">
            <v>MAPN0024A</v>
          </cell>
          <cell r="B1015" t="str">
            <v>Mall</v>
          </cell>
          <cell r="C1015" t="str">
            <v>Mall Plaza</v>
          </cell>
          <cell r="D1015" t="str">
            <v>Unipoles</v>
          </cell>
          <cell r="E1015" t="str">
            <v>Unipoles</v>
          </cell>
          <cell r="F1015" t="str">
            <v>12.00 * 6.00</v>
          </cell>
          <cell r="G1015" t="str">
            <v>12.30 * 6.30</v>
          </cell>
          <cell r="H1015" t="str">
            <v>X</v>
          </cell>
          <cell r="I1015" t="str">
            <v>EXTERIORES</v>
          </cell>
          <cell r="J1015">
            <v>0</v>
          </cell>
          <cell r="K1015">
            <v>200000</v>
          </cell>
          <cell r="L1015">
            <v>1400000</v>
          </cell>
          <cell r="M1015" t="str">
            <v>MALL PLAZA NORTE</v>
          </cell>
          <cell r="P1015" t="str">
            <v>HUECHURABA</v>
          </cell>
          <cell r="Q1015" t="str">
            <v>TRADICIONAL</v>
          </cell>
          <cell r="R1015" t="str">
            <v>Mall - Santiago</v>
          </cell>
          <cell r="S1015" t="str">
            <v>Mall Plaza</v>
          </cell>
          <cell r="T1015" t="str">
            <v>Unipoles</v>
          </cell>
          <cell r="U1015">
            <v>1</v>
          </cell>
          <cell r="V1015" t="str">
            <v>12.00 * 6.00</v>
          </cell>
        </row>
        <row r="1016">
          <cell r="A1016" t="str">
            <v>MAAR0035A</v>
          </cell>
          <cell r="B1016" t="str">
            <v>Mall</v>
          </cell>
          <cell r="D1016" t="str">
            <v>P.E.: CENEFA ACCESO</v>
          </cell>
          <cell r="E1016" t="str">
            <v>CENEFA ACCESO</v>
          </cell>
          <cell r="F1016" t="str">
            <v>VER FICHA</v>
          </cell>
          <cell r="G1016" t="str">
            <v>VER FICHA</v>
          </cell>
          <cell r="I1016" t="str">
            <v>INTERIOR</v>
          </cell>
          <cell r="J1016">
            <v>219000</v>
          </cell>
          <cell r="K1016">
            <v>330000</v>
          </cell>
          <cell r="L1016">
            <v>3200000</v>
          </cell>
          <cell r="M1016" t="str">
            <v>MALL MARINA ARAUCO</v>
          </cell>
          <cell r="P1016" t="str">
            <v>VINA DEL MAR</v>
          </cell>
          <cell r="Q1016" t="str">
            <v>ESPECIAL</v>
          </cell>
          <cell r="R1016" t="str">
            <v>Mall - V Region</v>
          </cell>
          <cell r="S1016" t="str">
            <v>Inversiones Calama</v>
          </cell>
          <cell r="T1016" t="str">
            <v>Productos Especiales</v>
          </cell>
          <cell r="U1016">
            <v>1</v>
          </cell>
          <cell r="V1016" t="str">
            <v>NA</v>
          </cell>
        </row>
        <row r="1017">
          <cell r="A1017" t="str">
            <v>MAAR0040A</v>
          </cell>
          <cell r="B1017" t="str">
            <v>Mall</v>
          </cell>
          <cell r="D1017" t="str">
            <v>Cajas de luz</v>
          </cell>
          <cell r="E1017" t="str">
            <v>Cajas de luz</v>
          </cell>
          <cell r="F1017" t="str">
            <v>3.92 * 1.92</v>
          </cell>
          <cell r="G1017" t="str">
            <v>4.20 * 2.20</v>
          </cell>
          <cell r="I1017" t="str">
            <v>ACCESO MALL</v>
          </cell>
          <cell r="K1017">
            <v>36000</v>
          </cell>
          <cell r="L1017">
            <v>600000</v>
          </cell>
          <cell r="M1017" t="str">
            <v>MALL MARINA ARAUCO</v>
          </cell>
          <cell r="P1017" t="str">
            <v>VINA DEL MAR</v>
          </cell>
          <cell r="Q1017" t="str">
            <v>TRADICIONAL</v>
          </cell>
          <cell r="R1017" t="str">
            <v>Mall - V Region</v>
          </cell>
          <cell r="S1017" t="str">
            <v>Inversiones Calama</v>
          </cell>
          <cell r="T1017" t="str">
            <v>Cajas de luz</v>
          </cell>
          <cell r="U1017">
            <v>1</v>
          </cell>
          <cell r="V1017" t="str">
            <v>3.92 * 1.92</v>
          </cell>
        </row>
        <row r="1018">
          <cell r="A1018" t="str">
            <v>MAAR0041A</v>
          </cell>
          <cell r="B1018" t="str">
            <v>Mall</v>
          </cell>
          <cell r="D1018" t="str">
            <v>Cajas de luz</v>
          </cell>
          <cell r="E1018" t="str">
            <v>Cajas de luz</v>
          </cell>
          <cell r="F1018" t="str">
            <v>3.92 * 1.92</v>
          </cell>
          <cell r="G1018" t="str">
            <v>4.20 * 2.20</v>
          </cell>
          <cell r="I1018" t="str">
            <v>ACCESO MALL</v>
          </cell>
          <cell r="K1018">
            <v>36000</v>
          </cell>
          <cell r="L1018">
            <v>600000</v>
          </cell>
          <cell r="M1018" t="str">
            <v>MALL MARINA ARAUCO</v>
          </cell>
          <cell r="P1018" t="str">
            <v>VINA DEL MAR</v>
          </cell>
          <cell r="Q1018" t="str">
            <v>TRADICIONAL</v>
          </cell>
          <cell r="R1018" t="str">
            <v>Mall - V Region</v>
          </cell>
          <cell r="S1018" t="str">
            <v>Inversiones Calama</v>
          </cell>
          <cell r="T1018" t="str">
            <v>Cajas de luz</v>
          </cell>
          <cell r="U1018">
            <v>1</v>
          </cell>
          <cell r="V1018" t="str">
            <v>3.92 * 1.92</v>
          </cell>
        </row>
        <row r="1019">
          <cell r="A1019" t="str">
            <v>MASE0003A</v>
          </cell>
          <cell r="B1019" t="str">
            <v>Mall</v>
          </cell>
          <cell r="C1019" t="str">
            <v>Mall Plaza</v>
          </cell>
          <cell r="D1019" t="str">
            <v>Paletas</v>
          </cell>
          <cell r="E1019" t="str">
            <v>PALETA SUPER SCREEN</v>
          </cell>
          <cell r="F1019" t="str">
            <v>1.20 * 1.70</v>
          </cell>
          <cell r="G1019" t="str">
            <v>1.23 * 1.75</v>
          </cell>
          <cell r="H1019" t="str">
            <v>E</v>
          </cell>
          <cell r="I1019" t="str">
            <v>ESTACIONAMIENTOS</v>
          </cell>
          <cell r="J1019">
            <v>0</v>
          </cell>
          <cell r="K1019">
            <v>5000</v>
          </cell>
          <cell r="L1019">
            <v>280000</v>
          </cell>
          <cell r="M1019" t="str">
            <v>MALL PLAZA LA SERENA</v>
          </cell>
          <cell r="P1019" t="str">
            <v>LA SERENA</v>
          </cell>
          <cell r="Q1019" t="str">
            <v>TRADICIONAL</v>
          </cell>
          <cell r="R1019" t="str">
            <v>Mall - Norte</v>
          </cell>
          <cell r="S1019" t="str">
            <v>Mall Plaza</v>
          </cell>
          <cell r="T1019" t="str">
            <v>Paletas</v>
          </cell>
          <cell r="U1019">
            <v>1</v>
          </cell>
          <cell r="V1019" t="str">
            <v>1.20 * 1.70</v>
          </cell>
        </row>
        <row r="1020">
          <cell r="A1020" t="str">
            <v>MASE0004B</v>
          </cell>
          <cell r="B1020" t="str">
            <v>Mall</v>
          </cell>
          <cell r="C1020" t="str">
            <v>Mall Plaza</v>
          </cell>
          <cell r="D1020" t="str">
            <v>Paletas</v>
          </cell>
          <cell r="E1020" t="str">
            <v>PALETA SUPER SCREEN</v>
          </cell>
          <cell r="F1020" t="str">
            <v>1.20 * 1.70</v>
          </cell>
          <cell r="G1020" t="str">
            <v>1.23 * 1.75</v>
          </cell>
          <cell r="H1020" t="str">
            <v>E</v>
          </cell>
          <cell r="I1020" t="str">
            <v>ESTACIONAMIENTOS</v>
          </cell>
          <cell r="J1020">
            <v>0</v>
          </cell>
          <cell r="K1020">
            <v>5000</v>
          </cell>
          <cell r="L1020">
            <v>280000</v>
          </cell>
          <cell r="M1020" t="str">
            <v>MALL PLAZA LA SERENA</v>
          </cell>
          <cell r="P1020" t="str">
            <v>LA SERENA</v>
          </cell>
          <cell r="Q1020" t="str">
            <v>TRADICIONAL</v>
          </cell>
          <cell r="R1020" t="str">
            <v>Mall - Norte</v>
          </cell>
          <cell r="S1020" t="str">
            <v>Mall Plaza</v>
          </cell>
          <cell r="T1020" t="str">
            <v>Paletas</v>
          </cell>
          <cell r="U1020">
            <v>1</v>
          </cell>
          <cell r="V1020" t="str">
            <v>1.20 * 1.70</v>
          </cell>
        </row>
        <row r="1021">
          <cell r="A1021" t="str">
            <v>MASE0005B</v>
          </cell>
          <cell r="B1021" t="str">
            <v>Mall</v>
          </cell>
          <cell r="C1021" t="str">
            <v>Mall Plaza</v>
          </cell>
          <cell r="D1021" t="str">
            <v>Paletas</v>
          </cell>
          <cell r="E1021" t="str">
            <v>PALETA SUPER SCREEN</v>
          </cell>
          <cell r="F1021" t="str">
            <v>1.20 * 1.70</v>
          </cell>
          <cell r="G1021" t="str">
            <v>1.23 * 1.75</v>
          </cell>
          <cell r="H1021" t="str">
            <v>E</v>
          </cell>
          <cell r="I1021" t="str">
            <v>ESTACIONAMIENTOS</v>
          </cell>
          <cell r="J1021">
            <v>0</v>
          </cell>
          <cell r="K1021">
            <v>5000</v>
          </cell>
          <cell r="L1021">
            <v>280000</v>
          </cell>
          <cell r="M1021" t="str">
            <v>MALL PLAZA LA SERENA</v>
          </cell>
          <cell r="P1021" t="str">
            <v>LA SERENA</v>
          </cell>
          <cell r="Q1021" t="str">
            <v>TRADICIONAL</v>
          </cell>
          <cell r="R1021" t="str">
            <v>Mall - Norte</v>
          </cell>
          <cell r="S1021" t="str">
            <v>Mall Plaza</v>
          </cell>
          <cell r="T1021" t="str">
            <v>Paletas</v>
          </cell>
          <cell r="U1021">
            <v>1</v>
          </cell>
          <cell r="V1021" t="str">
            <v>1.20 * 1.70</v>
          </cell>
        </row>
        <row r="1022">
          <cell r="A1022" t="str">
            <v>MASE0006A</v>
          </cell>
          <cell r="B1022" t="str">
            <v>Mall</v>
          </cell>
          <cell r="C1022" t="str">
            <v>Mall Plaza</v>
          </cell>
          <cell r="D1022" t="str">
            <v>Paletas</v>
          </cell>
          <cell r="E1022" t="str">
            <v>PALETA SUPER SCREEN</v>
          </cell>
          <cell r="F1022" t="str">
            <v>1.20 * 1.70</v>
          </cell>
          <cell r="G1022" t="str">
            <v>1.23 * 1.75</v>
          </cell>
          <cell r="H1022" t="str">
            <v>E</v>
          </cell>
          <cell r="I1022" t="str">
            <v>ESTACIONAMIENTOS</v>
          </cell>
          <cell r="J1022">
            <v>0</v>
          </cell>
          <cell r="K1022">
            <v>5000</v>
          </cell>
          <cell r="L1022">
            <v>280000</v>
          </cell>
          <cell r="M1022" t="str">
            <v>MALL PLAZA LA SERENA</v>
          </cell>
          <cell r="P1022" t="str">
            <v>LA SERENA</v>
          </cell>
          <cell r="Q1022" t="str">
            <v>TRADICIONAL</v>
          </cell>
          <cell r="R1022" t="str">
            <v>Mall - Norte</v>
          </cell>
          <cell r="S1022" t="str">
            <v>Mall Plaza</v>
          </cell>
          <cell r="T1022" t="str">
            <v>Paletas</v>
          </cell>
          <cell r="U1022">
            <v>1</v>
          </cell>
          <cell r="V1022" t="str">
            <v>1.20 * 1.70</v>
          </cell>
        </row>
        <row r="1023">
          <cell r="A1023" t="str">
            <v>MASE0008A</v>
          </cell>
          <cell r="B1023" t="str">
            <v>Mall</v>
          </cell>
          <cell r="C1023" t="str">
            <v>Mall Plaza</v>
          </cell>
          <cell r="D1023" t="str">
            <v>Paletas</v>
          </cell>
          <cell r="E1023" t="str">
            <v>PALETA SUPER SCREEN</v>
          </cell>
          <cell r="F1023" t="str">
            <v>1.20 * 1.70</v>
          </cell>
          <cell r="G1023" t="str">
            <v>1.23 * 1.75</v>
          </cell>
          <cell r="H1023" t="str">
            <v>E</v>
          </cell>
          <cell r="I1023" t="str">
            <v>ESTACIONAMIENTOS</v>
          </cell>
          <cell r="J1023">
            <v>0</v>
          </cell>
          <cell r="K1023">
            <v>5000</v>
          </cell>
          <cell r="L1023">
            <v>280000</v>
          </cell>
          <cell r="M1023" t="str">
            <v>MALL PLAZA LA SERENA</v>
          </cell>
          <cell r="P1023" t="str">
            <v>LA SERENA</v>
          </cell>
          <cell r="Q1023" t="str">
            <v>TRADICIONAL</v>
          </cell>
          <cell r="R1023" t="str">
            <v>Mall - Norte</v>
          </cell>
          <cell r="S1023" t="str">
            <v>Mall Plaza</v>
          </cell>
          <cell r="T1023" t="str">
            <v>Paletas</v>
          </cell>
          <cell r="U1023">
            <v>1</v>
          </cell>
          <cell r="V1023" t="str">
            <v>1.20 * 1.70</v>
          </cell>
        </row>
        <row r="1024">
          <cell r="A1024" t="str">
            <v>MASE0008B</v>
          </cell>
          <cell r="B1024" t="str">
            <v>Mall</v>
          </cell>
          <cell r="C1024" t="str">
            <v>Mall Plaza</v>
          </cell>
          <cell r="D1024" t="str">
            <v>Paletas</v>
          </cell>
          <cell r="E1024" t="str">
            <v>PALETA SUPER SCREEN</v>
          </cell>
          <cell r="F1024" t="str">
            <v>1.20 * 1.70</v>
          </cell>
          <cell r="G1024" t="str">
            <v>1.23 * 1.75</v>
          </cell>
          <cell r="H1024" t="str">
            <v>E</v>
          </cell>
          <cell r="I1024" t="str">
            <v>ESTACIONAMIENTOS</v>
          </cell>
          <cell r="J1024">
            <v>0</v>
          </cell>
          <cell r="K1024">
            <v>5000</v>
          </cell>
          <cell r="L1024">
            <v>280000</v>
          </cell>
          <cell r="M1024" t="str">
            <v>MALL PLAZA LA SERENA</v>
          </cell>
          <cell r="P1024" t="str">
            <v>LA SERENA</v>
          </cell>
          <cell r="Q1024" t="str">
            <v>TRADICIONAL</v>
          </cell>
          <cell r="R1024" t="str">
            <v>Mall - Norte</v>
          </cell>
          <cell r="S1024" t="str">
            <v>Mall Plaza</v>
          </cell>
          <cell r="T1024" t="str">
            <v>Paletas</v>
          </cell>
          <cell r="U1024">
            <v>1</v>
          </cell>
          <cell r="V1024" t="str">
            <v>1.20 * 1.70</v>
          </cell>
        </row>
        <row r="1025">
          <cell r="A1025" t="str">
            <v>MASE0009B</v>
          </cell>
          <cell r="B1025" t="str">
            <v>Mall</v>
          </cell>
          <cell r="C1025" t="str">
            <v>Mall Plaza</v>
          </cell>
          <cell r="D1025" t="str">
            <v>Paletas</v>
          </cell>
          <cell r="E1025" t="str">
            <v>PALETA SUPER SCREEN</v>
          </cell>
          <cell r="F1025" t="str">
            <v>1.20 * 1.70</v>
          </cell>
          <cell r="G1025" t="str">
            <v>1.23 * 1.75</v>
          </cell>
          <cell r="H1025" t="str">
            <v>E</v>
          </cell>
          <cell r="I1025" t="str">
            <v>ESTACIONAMIENTOS</v>
          </cell>
          <cell r="J1025">
            <v>0</v>
          </cell>
          <cell r="K1025">
            <v>5000</v>
          </cell>
          <cell r="L1025">
            <v>280000</v>
          </cell>
          <cell r="M1025" t="str">
            <v>MALL PLAZA LA SERENA</v>
          </cell>
          <cell r="P1025" t="str">
            <v>LA SERENA</v>
          </cell>
          <cell r="Q1025" t="str">
            <v>TRADICIONAL</v>
          </cell>
          <cell r="R1025" t="str">
            <v>Mall - Norte</v>
          </cell>
          <cell r="S1025" t="str">
            <v>Mall Plaza</v>
          </cell>
          <cell r="T1025" t="str">
            <v>Paletas</v>
          </cell>
          <cell r="U1025">
            <v>1</v>
          </cell>
          <cell r="V1025" t="str">
            <v>1.20 * 1.70</v>
          </cell>
        </row>
        <row r="1026">
          <cell r="A1026" t="str">
            <v>MASE0010A</v>
          </cell>
          <cell r="B1026" t="str">
            <v>Mall</v>
          </cell>
          <cell r="C1026" t="str">
            <v>Mall Plaza</v>
          </cell>
          <cell r="D1026" t="str">
            <v>Paletas</v>
          </cell>
          <cell r="E1026" t="str">
            <v>PALETA SUPER SCREEN</v>
          </cell>
          <cell r="F1026" t="str">
            <v>1.20 * 1.70</v>
          </cell>
          <cell r="G1026" t="str">
            <v>1.23 * 1.75</v>
          </cell>
          <cell r="H1026" t="str">
            <v>E</v>
          </cell>
          <cell r="I1026" t="str">
            <v>ESTACIONAMIENTOS</v>
          </cell>
          <cell r="J1026">
            <v>0</v>
          </cell>
          <cell r="K1026">
            <v>5000</v>
          </cell>
          <cell r="L1026">
            <v>280000</v>
          </cell>
          <cell r="M1026" t="str">
            <v>MALL PLAZA LA SERENA</v>
          </cell>
          <cell r="P1026" t="str">
            <v>LA SERENA</v>
          </cell>
          <cell r="Q1026" t="str">
            <v>TRADICIONAL</v>
          </cell>
          <cell r="R1026" t="str">
            <v>Mall - Norte</v>
          </cell>
          <cell r="S1026" t="str">
            <v>Mall Plaza</v>
          </cell>
          <cell r="T1026" t="str">
            <v>Paletas</v>
          </cell>
          <cell r="U1026">
            <v>1</v>
          </cell>
          <cell r="V1026" t="str">
            <v>1.20 * 1.70</v>
          </cell>
        </row>
        <row r="1027">
          <cell r="A1027" t="str">
            <v>MAPO0001A</v>
          </cell>
          <cell r="B1027" t="str">
            <v>Mall</v>
          </cell>
          <cell r="C1027" t="str">
            <v>Mall Plaza</v>
          </cell>
          <cell r="D1027" t="str">
            <v>Paletas</v>
          </cell>
          <cell r="E1027" t="str">
            <v>PALETA SUPER SCREEN</v>
          </cell>
          <cell r="F1027" t="str">
            <v>1.20 * 1.70</v>
          </cell>
          <cell r="G1027" t="str">
            <v>1.23 * 1.75</v>
          </cell>
          <cell r="H1027" t="str">
            <v>E</v>
          </cell>
          <cell r="I1027" t="str">
            <v>ESTACIONAMIENTOS</v>
          </cell>
          <cell r="J1027">
            <v>0</v>
          </cell>
          <cell r="K1027">
            <v>50000</v>
          </cell>
          <cell r="L1027">
            <v>300000</v>
          </cell>
          <cell r="M1027" t="str">
            <v>MALL PLAZA OESTE</v>
          </cell>
          <cell r="P1027" t="str">
            <v>CERRILLOS</v>
          </cell>
          <cell r="Q1027" t="str">
            <v>TRADICIONAL</v>
          </cell>
          <cell r="R1027" t="str">
            <v>Mall - Santiago</v>
          </cell>
          <cell r="S1027" t="str">
            <v>Mall Plaza</v>
          </cell>
          <cell r="T1027" t="str">
            <v>Paletas</v>
          </cell>
          <cell r="U1027">
            <v>1</v>
          </cell>
          <cell r="V1027" t="str">
            <v>1.20 * 1.70</v>
          </cell>
        </row>
        <row r="1028">
          <cell r="A1028" t="str">
            <v>MAPO0002A</v>
          </cell>
          <cell r="B1028" t="str">
            <v>Mall</v>
          </cell>
          <cell r="C1028" t="str">
            <v>Mall Plaza</v>
          </cell>
          <cell r="D1028" t="str">
            <v>Paletas</v>
          </cell>
          <cell r="E1028" t="str">
            <v>PALETA SUPER SCREEN</v>
          </cell>
          <cell r="F1028" t="str">
            <v>1.20 * 1.70</v>
          </cell>
          <cell r="G1028" t="str">
            <v>1.23 * 1.75</v>
          </cell>
          <cell r="H1028" t="str">
            <v>E</v>
          </cell>
          <cell r="I1028" t="str">
            <v>ESTACIONAMIENTOS</v>
          </cell>
          <cell r="J1028">
            <v>0</v>
          </cell>
          <cell r="K1028">
            <v>35000</v>
          </cell>
          <cell r="L1028">
            <v>300000</v>
          </cell>
          <cell r="M1028" t="str">
            <v>MALL PLAZA OESTE</v>
          </cell>
          <cell r="P1028" t="str">
            <v>CERRILLOS</v>
          </cell>
          <cell r="Q1028" t="str">
            <v>TRADICIONAL</v>
          </cell>
          <cell r="R1028" t="str">
            <v>Mall - Santiago</v>
          </cell>
          <cell r="S1028" t="str">
            <v>Mall Plaza</v>
          </cell>
          <cell r="T1028" t="str">
            <v>Paletas</v>
          </cell>
          <cell r="U1028">
            <v>1</v>
          </cell>
          <cell r="V1028" t="str">
            <v>1.20 * 1.70</v>
          </cell>
        </row>
        <row r="1029">
          <cell r="A1029" t="str">
            <v>MAPO0003A</v>
          </cell>
          <cell r="B1029" t="str">
            <v>Mall</v>
          </cell>
          <cell r="C1029" t="str">
            <v>Mall Plaza</v>
          </cell>
          <cell r="D1029" t="str">
            <v>Paletas</v>
          </cell>
          <cell r="E1029" t="str">
            <v>PALETA SUPER SCREEN</v>
          </cell>
          <cell r="F1029" t="str">
            <v>1.20 * 1.70</v>
          </cell>
          <cell r="G1029" t="str">
            <v>1.23 * 1.75</v>
          </cell>
          <cell r="H1029" t="str">
            <v>E</v>
          </cell>
          <cell r="I1029" t="str">
            <v>ESTACIONAMIENTOS</v>
          </cell>
          <cell r="J1029">
            <v>0</v>
          </cell>
          <cell r="K1029">
            <v>50000</v>
          </cell>
          <cell r="L1029">
            <v>300000</v>
          </cell>
          <cell r="M1029" t="str">
            <v>MALL PLAZA OESTE</v>
          </cell>
          <cell r="P1029" t="str">
            <v>CERRILLOS</v>
          </cell>
          <cell r="Q1029" t="str">
            <v>TRADICIONAL</v>
          </cell>
          <cell r="R1029" t="str">
            <v>Mall - Santiago</v>
          </cell>
          <cell r="S1029" t="str">
            <v>Mall Plaza</v>
          </cell>
          <cell r="T1029" t="str">
            <v>Paletas</v>
          </cell>
          <cell r="U1029">
            <v>1</v>
          </cell>
          <cell r="V1029" t="str">
            <v>1.20 * 1.70</v>
          </cell>
        </row>
        <row r="1030">
          <cell r="A1030" t="str">
            <v>MAPO0004A</v>
          </cell>
          <cell r="B1030" t="str">
            <v>Mall</v>
          </cell>
          <cell r="C1030" t="str">
            <v>Mall Plaza</v>
          </cell>
          <cell r="D1030" t="str">
            <v>Paletas</v>
          </cell>
          <cell r="E1030" t="str">
            <v>PALETA SUPER SCREEN</v>
          </cell>
          <cell r="F1030" t="str">
            <v>1.20 * 1.70</v>
          </cell>
          <cell r="G1030" t="str">
            <v>1.23 * 1.75</v>
          </cell>
          <cell r="H1030" t="str">
            <v>E</v>
          </cell>
          <cell r="I1030" t="str">
            <v>ESTACIONAMIENTOS</v>
          </cell>
          <cell r="J1030">
            <v>0</v>
          </cell>
          <cell r="K1030">
            <v>50000</v>
          </cell>
          <cell r="L1030">
            <v>300000</v>
          </cell>
          <cell r="M1030" t="str">
            <v>MALL PLAZA OESTE</v>
          </cell>
          <cell r="P1030" t="str">
            <v>CERRILLOS</v>
          </cell>
          <cell r="Q1030" t="str">
            <v>TRADICIONAL</v>
          </cell>
          <cell r="R1030" t="str">
            <v>Mall - Santiago</v>
          </cell>
          <cell r="S1030" t="str">
            <v>Mall Plaza</v>
          </cell>
          <cell r="T1030" t="str">
            <v>Paletas</v>
          </cell>
          <cell r="U1030">
            <v>1</v>
          </cell>
          <cell r="V1030" t="str">
            <v>1.20 * 1.70</v>
          </cell>
        </row>
        <row r="1031">
          <cell r="A1031" t="str">
            <v>MAPO0005A</v>
          </cell>
          <cell r="B1031" t="str">
            <v>Mall</v>
          </cell>
          <cell r="C1031" t="str">
            <v>Mall Plaza</v>
          </cell>
          <cell r="D1031" t="str">
            <v>Paletas</v>
          </cell>
          <cell r="E1031" t="str">
            <v>PALETA SUPER SCREEN</v>
          </cell>
          <cell r="F1031" t="str">
            <v>1.20 * 1.70</v>
          </cell>
          <cell r="G1031" t="str">
            <v>1.23 * 1.75</v>
          </cell>
          <cell r="H1031" t="str">
            <v>E</v>
          </cell>
          <cell r="I1031" t="str">
            <v>ESTACIONAMIENTOS</v>
          </cell>
          <cell r="J1031">
            <v>0</v>
          </cell>
          <cell r="K1031">
            <v>50000</v>
          </cell>
          <cell r="L1031">
            <v>300000</v>
          </cell>
          <cell r="M1031" t="str">
            <v>MALL PLAZA OESTE</v>
          </cell>
          <cell r="P1031" t="str">
            <v>CERRILLOS</v>
          </cell>
          <cell r="Q1031" t="str">
            <v>TRADICIONAL</v>
          </cell>
          <cell r="R1031" t="str">
            <v>Mall - Santiago</v>
          </cell>
          <cell r="S1031" t="str">
            <v>Mall Plaza</v>
          </cell>
          <cell r="T1031" t="str">
            <v>Paletas</v>
          </cell>
          <cell r="U1031">
            <v>1</v>
          </cell>
          <cell r="V1031" t="str">
            <v>1.20 * 1.70</v>
          </cell>
        </row>
        <row r="1032">
          <cell r="A1032" t="str">
            <v>MAPO0008B</v>
          </cell>
          <cell r="B1032" t="str">
            <v>Mall</v>
          </cell>
          <cell r="C1032" t="str">
            <v>Mall Plaza</v>
          </cell>
          <cell r="D1032" t="str">
            <v>Paletas</v>
          </cell>
          <cell r="E1032" t="str">
            <v>PALETA SUPER SCREEN</v>
          </cell>
          <cell r="F1032" t="str">
            <v>1.20 * 1.70</v>
          </cell>
          <cell r="G1032" t="str">
            <v>1.23 * 1.75</v>
          </cell>
          <cell r="H1032" t="str">
            <v>E</v>
          </cell>
          <cell r="I1032" t="str">
            <v>ESTACIONAMIENTOS</v>
          </cell>
          <cell r="J1032">
            <v>0</v>
          </cell>
          <cell r="K1032">
            <v>50000</v>
          </cell>
          <cell r="L1032">
            <v>300000</v>
          </cell>
          <cell r="M1032" t="str">
            <v>MALL PLAZA OESTE</v>
          </cell>
          <cell r="P1032" t="str">
            <v>CERRILLOS</v>
          </cell>
          <cell r="Q1032" t="str">
            <v>TRADICIONAL</v>
          </cell>
          <cell r="R1032" t="str">
            <v>Mall - Santiago</v>
          </cell>
          <cell r="S1032" t="str">
            <v>Mall Plaza</v>
          </cell>
          <cell r="T1032" t="str">
            <v>Paletas</v>
          </cell>
          <cell r="U1032">
            <v>1</v>
          </cell>
          <cell r="V1032" t="str">
            <v>1.20 * 1.70</v>
          </cell>
        </row>
        <row r="1033">
          <cell r="A1033" t="str">
            <v>MAPO0011B</v>
          </cell>
          <cell r="B1033" t="str">
            <v>Mall</v>
          </cell>
          <cell r="C1033" t="str">
            <v>Mall Plaza</v>
          </cell>
          <cell r="D1033" t="str">
            <v>Paletas</v>
          </cell>
          <cell r="E1033" t="str">
            <v>PALETA SUPER SCREEN</v>
          </cell>
          <cell r="F1033" t="str">
            <v>1.20 * 1.70</v>
          </cell>
          <cell r="G1033" t="str">
            <v>1.23 * 1.75</v>
          </cell>
          <cell r="H1033" t="str">
            <v>E</v>
          </cell>
          <cell r="I1033" t="str">
            <v>ESTACIONAMIENTOS</v>
          </cell>
          <cell r="J1033">
            <v>0</v>
          </cell>
          <cell r="K1033">
            <v>50000</v>
          </cell>
          <cell r="L1033">
            <v>300000</v>
          </cell>
          <cell r="M1033" t="str">
            <v>MALL PLAZA OESTE</v>
          </cell>
          <cell r="P1033" t="str">
            <v>CERRILLOS</v>
          </cell>
          <cell r="Q1033" t="str">
            <v>TRADICIONAL</v>
          </cell>
          <cell r="R1033" t="str">
            <v>Mall - Santiago</v>
          </cell>
          <cell r="S1033" t="str">
            <v>Mall Plaza</v>
          </cell>
          <cell r="T1033" t="str">
            <v>Paletas</v>
          </cell>
          <cell r="U1033">
            <v>1</v>
          </cell>
          <cell r="V1033" t="str">
            <v>1.20 * 1.70</v>
          </cell>
        </row>
        <row r="1034">
          <cell r="A1034" t="str">
            <v>MAPV0001B</v>
          </cell>
          <cell r="B1034" t="str">
            <v>Mall</v>
          </cell>
          <cell r="C1034" t="str">
            <v>Mall Plaza</v>
          </cell>
          <cell r="D1034" t="str">
            <v>Paletas</v>
          </cell>
          <cell r="E1034" t="str">
            <v>PALETA SUPER SCREEN</v>
          </cell>
          <cell r="F1034" t="str">
            <v>1.20 * 1.70</v>
          </cell>
          <cell r="G1034" t="str">
            <v>1.23 * 1.75</v>
          </cell>
          <cell r="H1034" t="str">
            <v>E</v>
          </cell>
          <cell r="I1034" t="str">
            <v>ESTACIONAMIENTOS</v>
          </cell>
          <cell r="J1034">
            <v>0</v>
          </cell>
          <cell r="K1034">
            <v>6000</v>
          </cell>
          <cell r="L1034">
            <v>340000</v>
          </cell>
          <cell r="M1034" t="str">
            <v>MALL PLAZA VESPUCIO</v>
          </cell>
          <cell r="P1034" t="str">
            <v>LA FLORIDA</v>
          </cell>
          <cell r="Q1034" t="str">
            <v>TRADICIONAL</v>
          </cell>
          <cell r="R1034" t="str">
            <v>Mall - Santiago</v>
          </cell>
          <cell r="S1034" t="str">
            <v>Mall Plaza</v>
          </cell>
          <cell r="T1034" t="str">
            <v>Paletas</v>
          </cell>
          <cell r="U1034">
            <v>1</v>
          </cell>
          <cell r="V1034" t="str">
            <v>1.20 * 1.70</v>
          </cell>
        </row>
        <row r="1035">
          <cell r="A1035" t="str">
            <v>MAPV0002A</v>
          </cell>
          <cell r="B1035" t="str">
            <v>Mall</v>
          </cell>
          <cell r="C1035" t="str">
            <v>Mall Plaza</v>
          </cell>
          <cell r="D1035" t="str">
            <v>Paletas</v>
          </cell>
          <cell r="E1035" t="str">
            <v>PALETA SUPER SCREEN</v>
          </cell>
          <cell r="F1035" t="str">
            <v>1.20 * 1.70</v>
          </cell>
          <cell r="G1035" t="str">
            <v>1.23 * 1.75</v>
          </cell>
          <cell r="H1035" t="str">
            <v>E</v>
          </cell>
          <cell r="I1035" t="str">
            <v>ESTACIONAMIENTOS</v>
          </cell>
          <cell r="J1035">
            <v>0</v>
          </cell>
          <cell r="K1035">
            <v>6000</v>
          </cell>
          <cell r="L1035">
            <v>170000</v>
          </cell>
          <cell r="M1035" t="str">
            <v>MALL PLAZA VESPUCIO</v>
          </cell>
          <cell r="P1035" t="str">
            <v>LA FLORIDA</v>
          </cell>
          <cell r="Q1035" t="str">
            <v>TRADICIONAL</v>
          </cell>
          <cell r="R1035" t="str">
            <v>Mall - Santiago</v>
          </cell>
          <cell r="S1035" t="str">
            <v>Mall Plaza</v>
          </cell>
          <cell r="T1035" t="str">
            <v>Paletas</v>
          </cell>
          <cell r="U1035">
            <v>1</v>
          </cell>
          <cell r="V1035" t="str">
            <v>1.20 * 1.70</v>
          </cell>
        </row>
        <row r="1036">
          <cell r="A1036" t="str">
            <v>MAPV0002B</v>
          </cell>
          <cell r="B1036" t="str">
            <v>Mall</v>
          </cell>
          <cell r="C1036" t="str">
            <v>Mall Plaza</v>
          </cell>
          <cell r="D1036" t="str">
            <v>Paletas</v>
          </cell>
          <cell r="E1036" t="str">
            <v>PALETA SUPER SCREEN</v>
          </cell>
          <cell r="F1036" t="str">
            <v>1.20 * 1.70</v>
          </cell>
          <cell r="G1036" t="str">
            <v>1.23 * 1.75</v>
          </cell>
          <cell r="H1036" t="str">
            <v>E</v>
          </cell>
          <cell r="I1036" t="str">
            <v>ESTACIONAMIENTOS</v>
          </cell>
          <cell r="J1036">
            <v>0</v>
          </cell>
          <cell r="K1036">
            <v>6000</v>
          </cell>
          <cell r="L1036">
            <v>340000</v>
          </cell>
          <cell r="M1036" t="str">
            <v>MALL PLAZA VESPUCIO</v>
          </cell>
          <cell r="P1036" t="str">
            <v>LA FLORIDA</v>
          </cell>
          <cell r="Q1036" t="str">
            <v>TRADICIONAL</v>
          </cell>
          <cell r="R1036" t="str">
            <v>Mall - Santiago</v>
          </cell>
          <cell r="S1036" t="str">
            <v>Mall Plaza</v>
          </cell>
          <cell r="T1036" t="str">
            <v>Paletas</v>
          </cell>
          <cell r="U1036">
            <v>1</v>
          </cell>
          <cell r="V1036" t="str">
            <v>1.20 * 1.70</v>
          </cell>
        </row>
        <row r="1037">
          <cell r="A1037" t="str">
            <v>MAPV0003A</v>
          </cell>
          <cell r="B1037" t="str">
            <v>Mall</v>
          </cell>
          <cell r="C1037" t="str">
            <v>Mall Plaza</v>
          </cell>
          <cell r="D1037" t="str">
            <v>Paletas</v>
          </cell>
          <cell r="E1037" t="str">
            <v>PALETA SUPER SCREEN</v>
          </cell>
          <cell r="F1037" t="str">
            <v>1.20 * 1.70</v>
          </cell>
          <cell r="G1037" t="str">
            <v>1.23 * 1.75</v>
          </cell>
          <cell r="H1037" t="str">
            <v>E</v>
          </cell>
          <cell r="I1037" t="str">
            <v>ESTACIONAMIENTOS</v>
          </cell>
          <cell r="J1037">
            <v>0</v>
          </cell>
          <cell r="K1037">
            <v>6000</v>
          </cell>
          <cell r="L1037">
            <v>340000</v>
          </cell>
          <cell r="M1037" t="str">
            <v>MALL PLAZA VESPUCIO</v>
          </cell>
          <cell r="P1037" t="str">
            <v>LA FLORIDA</v>
          </cell>
          <cell r="Q1037" t="str">
            <v>TRADICIONAL</v>
          </cell>
          <cell r="R1037" t="str">
            <v>Mall - Santiago</v>
          </cell>
          <cell r="S1037" t="str">
            <v>Mall Plaza</v>
          </cell>
          <cell r="T1037" t="str">
            <v>Paletas</v>
          </cell>
          <cell r="U1037">
            <v>1</v>
          </cell>
          <cell r="V1037" t="str">
            <v>1.20 * 1.70</v>
          </cell>
        </row>
        <row r="1038">
          <cell r="A1038" t="str">
            <v>MAPV0003B</v>
          </cell>
          <cell r="B1038" t="str">
            <v>Mall</v>
          </cell>
          <cell r="C1038" t="str">
            <v>Mall Plaza</v>
          </cell>
          <cell r="D1038" t="str">
            <v>Paletas</v>
          </cell>
          <cell r="E1038" t="str">
            <v>PALETA SUPER SCREEN</v>
          </cell>
          <cell r="F1038" t="str">
            <v>1.20 * 1.70</v>
          </cell>
          <cell r="G1038" t="str">
            <v>1.23 * 1.75</v>
          </cell>
          <cell r="H1038" t="str">
            <v>E</v>
          </cell>
          <cell r="I1038" t="str">
            <v>ESTACIONAMIENTOS</v>
          </cell>
          <cell r="J1038">
            <v>0</v>
          </cell>
          <cell r="K1038">
            <v>6000</v>
          </cell>
          <cell r="L1038">
            <v>340000</v>
          </cell>
          <cell r="M1038" t="str">
            <v>MALL PLAZA VESPUCIO</v>
          </cell>
          <cell r="P1038" t="str">
            <v>LA FLORIDA</v>
          </cell>
          <cell r="Q1038" t="str">
            <v>TRADICIONAL</v>
          </cell>
          <cell r="R1038" t="str">
            <v>Mall - Santiago</v>
          </cell>
          <cell r="S1038" t="str">
            <v>Mall Plaza</v>
          </cell>
          <cell r="T1038" t="str">
            <v>Paletas</v>
          </cell>
          <cell r="U1038">
            <v>1</v>
          </cell>
          <cell r="V1038" t="str">
            <v>1.20 * 1.70</v>
          </cell>
        </row>
        <row r="1039">
          <cell r="A1039" t="str">
            <v>MAPV0004B</v>
          </cell>
          <cell r="B1039" t="str">
            <v>Mall</v>
          </cell>
          <cell r="C1039" t="str">
            <v>Mall Plaza</v>
          </cell>
          <cell r="D1039" t="str">
            <v>Paletas</v>
          </cell>
          <cell r="E1039" t="str">
            <v>PALETA SUPER SCREEN</v>
          </cell>
          <cell r="F1039" t="str">
            <v>1.20 * 1.70</v>
          </cell>
          <cell r="G1039" t="str">
            <v>1.23 * 1.75</v>
          </cell>
          <cell r="H1039" t="str">
            <v>E</v>
          </cell>
          <cell r="I1039" t="str">
            <v>ESTACIONAMIENTOS</v>
          </cell>
          <cell r="J1039">
            <v>0</v>
          </cell>
          <cell r="K1039">
            <v>6000</v>
          </cell>
          <cell r="L1039">
            <v>340000</v>
          </cell>
          <cell r="M1039" t="str">
            <v>MALL PLAZA VESPUCIO</v>
          </cell>
          <cell r="P1039" t="str">
            <v>LA FLORIDA</v>
          </cell>
          <cell r="Q1039" t="str">
            <v>TRADICIONAL</v>
          </cell>
          <cell r="R1039" t="str">
            <v>Mall - Santiago</v>
          </cell>
          <cell r="S1039" t="str">
            <v>Mall Plaza</v>
          </cell>
          <cell r="T1039" t="str">
            <v>Paletas</v>
          </cell>
          <cell r="U1039">
            <v>1</v>
          </cell>
          <cell r="V1039" t="str">
            <v>1.20 * 1.70</v>
          </cell>
        </row>
        <row r="1040">
          <cell r="A1040" t="str">
            <v>MAPV0006B</v>
          </cell>
          <cell r="B1040" t="str">
            <v>Mall</v>
          </cell>
          <cell r="C1040" t="str">
            <v>Mall Plaza</v>
          </cell>
          <cell r="D1040" t="str">
            <v>Paletas</v>
          </cell>
          <cell r="E1040" t="str">
            <v>PALETA SUPER SCREEN</v>
          </cell>
          <cell r="F1040" t="str">
            <v>1.20 * 1.70</v>
          </cell>
          <cell r="G1040" t="str">
            <v>1.23 * 1.75</v>
          </cell>
          <cell r="H1040" t="str">
            <v>E</v>
          </cell>
          <cell r="I1040" t="str">
            <v>ESTACIONAMIENTOS</v>
          </cell>
          <cell r="J1040">
            <v>0</v>
          </cell>
          <cell r="K1040">
            <v>6000</v>
          </cell>
          <cell r="L1040">
            <v>340000</v>
          </cell>
          <cell r="M1040" t="str">
            <v>MALL PLAZA VESPUCIO</v>
          </cell>
          <cell r="P1040" t="str">
            <v>LA FLORIDA</v>
          </cell>
          <cell r="Q1040" t="str">
            <v>TRADICIONAL</v>
          </cell>
          <cell r="R1040" t="str">
            <v>Mall - Santiago</v>
          </cell>
          <cell r="S1040" t="str">
            <v>Mall Plaza</v>
          </cell>
          <cell r="T1040" t="str">
            <v>Paletas</v>
          </cell>
          <cell r="U1040">
            <v>1</v>
          </cell>
          <cell r="V1040" t="str">
            <v>1.20 * 1.70</v>
          </cell>
        </row>
        <row r="1041">
          <cell r="A1041" t="str">
            <v>MAPV0007A</v>
          </cell>
          <cell r="B1041" t="str">
            <v>Mall</v>
          </cell>
          <cell r="C1041" t="str">
            <v>Mall Plaza</v>
          </cell>
          <cell r="D1041" t="str">
            <v>Paletas</v>
          </cell>
          <cell r="E1041" t="str">
            <v>PALETA SUPER SCREEN</v>
          </cell>
          <cell r="F1041" t="str">
            <v>1.20 * 1.70</v>
          </cell>
          <cell r="G1041" t="str">
            <v>1.23 * 1.75</v>
          </cell>
          <cell r="H1041" t="str">
            <v>E</v>
          </cell>
          <cell r="I1041" t="str">
            <v>ESTACIONAMIENTOS</v>
          </cell>
          <cell r="J1041">
            <v>0</v>
          </cell>
          <cell r="K1041">
            <v>6000</v>
          </cell>
          <cell r="L1041">
            <v>340000</v>
          </cell>
          <cell r="M1041" t="str">
            <v>MALL PLAZA VESPUCIO</v>
          </cell>
          <cell r="P1041" t="str">
            <v>LA FLORIDA</v>
          </cell>
          <cell r="Q1041" t="str">
            <v>TRADICIONAL</v>
          </cell>
          <cell r="R1041" t="str">
            <v>Mall - Santiago</v>
          </cell>
          <cell r="S1041" t="str">
            <v>Mall Plaza</v>
          </cell>
          <cell r="T1041" t="str">
            <v>Paletas</v>
          </cell>
          <cell r="U1041">
            <v>1</v>
          </cell>
          <cell r="V1041" t="str">
            <v>1.20 * 1.70</v>
          </cell>
        </row>
        <row r="1042">
          <cell r="A1042" t="str">
            <v>MAPV0007B</v>
          </cell>
          <cell r="B1042" t="str">
            <v>Mall</v>
          </cell>
          <cell r="C1042" t="str">
            <v>Mall Plaza</v>
          </cell>
          <cell r="D1042" t="str">
            <v>Paletas</v>
          </cell>
          <cell r="E1042" t="str">
            <v>PALETA SUPER SCREEN</v>
          </cell>
          <cell r="F1042" t="str">
            <v>1.20 * 1.70</v>
          </cell>
          <cell r="G1042" t="str">
            <v>1.23 * 1.75</v>
          </cell>
          <cell r="H1042" t="str">
            <v>E</v>
          </cell>
          <cell r="I1042" t="str">
            <v>ESTACIONAMIENTOS</v>
          </cell>
          <cell r="J1042">
            <v>0</v>
          </cell>
          <cell r="K1042">
            <v>6000</v>
          </cell>
          <cell r="L1042">
            <v>340000</v>
          </cell>
          <cell r="M1042" t="str">
            <v>MALL PLAZA VESPUCIO</v>
          </cell>
          <cell r="P1042" t="str">
            <v>LA FLORIDA</v>
          </cell>
          <cell r="Q1042" t="str">
            <v>TRADICIONAL</v>
          </cell>
          <cell r="R1042" t="str">
            <v>Mall - Santiago</v>
          </cell>
          <cell r="S1042" t="str">
            <v>Mall Plaza</v>
          </cell>
          <cell r="T1042" t="str">
            <v>Paletas</v>
          </cell>
          <cell r="U1042">
            <v>1</v>
          </cell>
          <cell r="V1042" t="str">
            <v>1.20 * 1.70</v>
          </cell>
        </row>
        <row r="1043">
          <cell r="A1043" t="str">
            <v>MAPV0008A</v>
          </cell>
          <cell r="B1043" t="str">
            <v>Mall</v>
          </cell>
          <cell r="C1043" t="str">
            <v>Mall Plaza</v>
          </cell>
          <cell r="D1043" t="str">
            <v>Paletas</v>
          </cell>
          <cell r="E1043" t="str">
            <v>PALETA SUPER SCREEN</v>
          </cell>
          <cell r="F1043" t="str">
            <v>1.20 * 1.70</v>
          </cell>
          <cell r="G1043" t="str">
            <v>1.23 * 1.75</v>
          </cell>
          <cell r="H1043" t="str">
            <v>E</v>
          </cell>
          <cell r="I1043" t="str">
            <v>ESTACIONAMIENTOS</v>
          </cell>
          <cell r="J1043">
            <v>0</v>
          </cell>
          <cell r="K1043">
            <v>6000</v>
          </cell>
          <cell r="L1043">
            <v>340000</v>
          </cell>
          <cell r="M1043" t="str">
            <v>MALL PLAZA VESPUCIO</v>
          </cell>
          <cell r="P1043" t="str">
            <v>LA FLORIDA</v>
          </cell>
          <cell r="Q1043" t="str">
            <v>TRADICIONAL</v>
          </cell>
          <cell r="R1043" t="str">
            <v>Mall - Santiago</v>
          </cell>
          <cell r="S1043" t="str">
            <v>Mall Plaza</v>
          </cell>
          <cell r="T1043" t="str">
            <v>Paletas</v>
          </cell>
          <cell r="U1043">
            <v>1</v>
          </cell>
          <cell r="V1043" t="str">
            <v>1.20 * 1.70</v>
          </cell>
        </row>
        <row r="1044">
          <cell r="A1044" t="str">
            <v>MAPV0011B</v>
          </cell>
          <cell r="B1044" t="str">
            <v>Mall</v>
          </cell>
          <cell r="C1044" t="str">
            <v>Mall Plaza</v>
          </cell>
          <cell r="D1044" t="str">
            <v>Paletas</v>
          </cell>
          <cell r="E1044" t="str">
            <v>PALETA SUPER SCREEN</v>
          </cell>
          <cell r="F1044" t="str">
            <v>1.20 * 1.70</v>
          </cell>
          <cell r="G1044" t="str">
            <v>1.23 * 1.75</v>
          </cell>
          <cell r="H1044" t="str">
            <v>E</v>
          </cell>
          <cell r="I1044" t="str">
            <v>ESTACIONAMIENTOS</v>
          </cell>
          <cell r="J1044">
            <v>0</v>
          </cell>
          <cell r="K1044">
            <v>6000</v>
          </cell>
          <cell r="L1044">
            <v>170000</v>
          </cell>
          <cell r="M1044" t="str">
            <v>MALL PLAZA VESPUCIO</v>
          </cell>
          <cell r="P1044" t="str">
            <v>LA FLORIDA</v>
          </cell>
          <cell r="Q1044" t="str">
            <v>TRADICIONAL</v>
          </cell>
          <cell r="R1044" t="str">
            <v>Mall - Santiago</v>
          </cell>
          <cell r="S1044" t="str">
            <v>Mall Plaza</v>
          </cell>
          <cell r="T1044" t="str">
            <v>Paletas</v>
          </cell>
          <cell r="U1044">
            <v>1</v>
          </cell>
          <cell r="V1044" t="str">
            <v>1.20 * 1.70</v>
          </cell>
        </row>
        <row r="1045">
          <cell r="A1045" t="str">
            <v>MAPV0046A</v>
          </cell>
          <cell r="B1045" t="str">
            <v>Mall</v>
          </cell>
          <cell r="C1045" t="str">
            <v>Mall Plaza</v>
          </cell>
          <cell r="D1045" t="str">
            <v>Paletas</v>
          </cell>
          <cell r="E1045" t="str">
            <v>PALETA SUPER SCREEN</v>
          </cell>
          <cell r="F1045" t="str">
            <v>1.20 * 1.70</v>
          </cell>
          <cell r="G1045" t="str">
            <v>1.23 * 1.75</v>
          </cell>
          <cell r="H1045" t="str">
            <v>E</v>
          </cell>
          <cell r="I1045" t="str">
            <v>ESTACIONAMIENTOS</v>
          </cell>
          <cell r="J1045">
            <v>0</v>
          </cell>
          <cell r="K1045">
            <v>6000</v>
          </cell>
          <cell r="L1045">
            <v>340000</v>
          </cell>
          <cell r="M1045" t="str">
            <v>MALL PLAZA VESPUCIO</v>
          </cell>
          <cell r="P1045" t="str">
            <v>LA FLORIDA</v>
          </cell>
          <cell r="Q1045" t="str">
            <v>TRADICIONAL</v>
          </cell>
          <cell r="R1045" t="str">
            <v>Mall - Santiago</v>
          </cell>
          <cell r="S1045" t="str">
            <v>Mall Plaza</v>
          </cell>
          <cell r="T1045" t="str">
            <v>Paletas</v>
          </cell>
          <cell r="U1045">
            <v>1</v>
          </cell>
          <cell r="V1045" t="str">
            <v>1.20 * 1.70</v>
          </cell>
        </row>
        <row r="1046">
          <cell r="A1046" t="str">
            <v>MAPV0046B</v>
          </cell>
          <cell r="B1046" t="str">
            <v>Mall</v>
          </cell>
          <cell r="C1046" t="str">
            <v>Mall Plaza</v>
          </cell>
          <cell r="D1046" t="str">
            <v>Paletas</v>
          </cell>
          <cell r="E1046" t="str">
            <v>PALETA SUPER SCREEN</v>
          </cell>
          <cell r="F1046" t="str">
            <v>1.20 * 1.70</v>
          </cell>
          <cell r="G1046" t="str">
            <v>1.23 * 1.75</v>
          </cell>
          <cell r="H1046" t="str">
            <v>E</v>
          </cell>
          <cell r="I1046" t="str">
            <v>ESTACIONAMIENTOS</v>
          </cell>
          <cell r="J1046">
            <v>0</v>
          </cell>
          <cell r="K1046">
            <v>6000</v>
          </cell>
          <cell r="L1046">
            <v>170000</v>
          </cell>
          <cell r="M1046" t="str">
            <v>MALL PLAZA VESPUCIO</v>
          </cell>
          <cell r="P1046" t="str">
            <v>LA FLORIDA</v>
          </cell>
          <cell r="Q1046" t="str">
            <v>TRADICIONAL</v>
          </cell>
          <cell r="R1046" t="str">
            <v>Mall - Santiago</v>
          </cell>
          <cell r="S1046" t="str">
            <v>Mall Plaza</v>
          </cell>
          <cell r="T1046" t="str">
            <v>Paletas</v>
          </cell>
          <cell r="U1046">
            <v>1</v>
          </cell>
          <cell r="V1046" t="str">
            <v>1.20 * 1.70</v>
          </cell>
        </row>
        <row r="1047">
          <cell r="A1047" t="str">
            <v>MAPV0058B</v>
          </cell>
          <cell r="B1047" t="str">
            <v>Mall</v>
          </cell>
          <cell r="C1047" t="str">
            <v>Mall Plaza</v>
          </cell>
          <cell r="D1047" t="str">
            <v>Paletas</v>
          </cell>
          <cell r="E1047" t="str">
            <v>PALETA SUPER SCREEN</v>
          </cell>
          <cell r="F1047" t="str">
            <v>1.20 * 1.70</v>
          </cell>
          <cell r="G1047" t="str">
            <v>1.23 * 1.75</v>
          </cell>
          <cell r="H1047" t="str">
            <v>E</v>
          </cell>
          <cell r="I1047" t="str">
            <v>ENTRADA ESTACION</v>
          </cell>
          <cell r="J1047">
            <v>0</v>
          </cell>
          <cell r="K1047">
            <v>6000</v>
          </cell>
          <cell r="L1047">
            <v>170000</v>
          </cell>
          <cell r="M1047" t="str">
            <v>MALL PLAZA VESPUCIO</v>
          </cell>
          <cell r="P1047" t="str">
            <v>LA FLORIDA</v>
          </cell>
          <cell r="Q1047" t="str">
            <v>TRADICIONAL</v>
          </cell>
          <cell r="R1047" t="str">
            <v>Mall - Santiago</v>
          </cell>
          <cell r="S1047" t="str">
            <v>Mall Plaza</v>
          </cell>
          <cell r="T1047" t="str">
            <v>Paletas</v>
          </cell>
          <cell r="U1047">
            <v>1</v>
          </cell>
          <cell r="V1047" t="str">
            <v>1.20 * 1.70</v>
          </cell>
        </row>
        <row r="1048">
          <cell r="A1048" t="str">
            <v>MAPO0017A</v>
          </cell>
          <cell r="B1048" t="str">
            <v>Mall</v>
          </cell>
          <cell r="C1048" t="str">
            <v>Mall Plaza</v>
          </cell>
          <cell r="D1048" t="str">
            <v>Minipoles</v>
          </cell>
          <cell r="E1048" t="str">
            <v>Minipoles</v>
          </cell>
          <cell r="F1048" t="str">
            <v>2.80 * 1.30</v>
          </cell>
          <cell r="G1048" t="str">
            <v>3.00 * 1.50</v>
          </cell>
          <cell r="H1048" t="str">
            <v>E</v>
          </cell>
          <cell r="I1048" t="str">
            <v>ESTACIONAMIENTOS</v>
          </cell>
          <cell r="J1048">
            <v>0</v>
          </cell>
          <cell r="K1048">
            <v>60000</v>
          </cell>
          <cell r="L1048">
            <v>540000</v>
          </cell>
          <cell r="M1048" t="str">
            <v>MALL PLAZA OESTE</v>
          </cell>
          <cell r="P1048" t="str">
            <v>CERRILLOS</v>
          </cell>
          <cell r="Q1048" t="str">
            <v>TRADICIONAL</v>
          </cell>
          <cell r="R1048" t="str">
            <v>Mall - Santiago</v>
          </cell>
          <cell r="S1048" t="str">
            <v>Mall Plaza</v>
          </cell>
          <cell r="T1048" t="str">
            <v>Minipoles</v>
          </cell>
          <cell r="U1048">
            <v>1</v>
          </cell>
          <cell r="V1048" t="str">
            <v>2.80 * 1.30</v>
          </cell>
        </row>
        <row r="1049">
          <cell r="A1049" t="str">
            <v>MAPO0040A</v>
          </cell>
          <cell r="B1049" t="str">
            <v>Mall</v>
          </cell>
          <cell r="C1049" t="str">
            <v>Mall Plaza</v>
          </cell>
          <cell r="D1049" t="str">
            <v>Minipoles</v>
          </cell>
          <cell r="E1049" t="str">
            <v>Minipoles</v>
          </cell>
          <cell r="F1049" t="str">
            <v>2.80 * 1.30</v>
          </cell>
          <cell r="G1049" t="str">
            <v>3.00 * 1.50</v>
          </cell>
          <cell r="H1049" t="str">
            <v>E</v>
          </cell>
          <cell r="I1049" t="str">
            <v>Estacionamientos</v>
          </cell>
          <cell r="J1049">
            <v>0</v>
          </cell>
          <cell r="K1049">
            <v>60000</v>
          </cell>
          <cell r="L1049">
            <v>540000</v>
          </cell>
          <cell r="M1049" t="str">
            <v>MALL PLAZA OESTE</v>
          </cell>
          <cell r="P1049" t="str">
            <v>CERRILLOS</v>
          </cell>
          <cell r="Q1049" t="str">
            <v>TRADICIONAL</v>
          </cell>
          <cell r="R1049" t="str">
            <v>Mall - Santiago</v>
          </cell>
          <cell r="S1049" t="str">
            <v>Mall Plaza</v>
          </cell>
          <cell r="T1049" t="str">
            <v>Minipoles</v>
          </cell>
          <cell r="U1049">
            <v>1</v>
          </cell>
          <cell r="V1049" t="str">
            <v>2.80 * 1.30</v>
          </cell>
        </row>
        <row r="1050">
          <cell r="A1050" t="str">
            <v>MAAR0042B</v>
          </cell>
          <cell r="B1050" t="str">
            <v>Mall</v>
          </cell>
          <cell r="D1050" t="str">
            <v>Minipoles</v>
          </cell>
          <cell r="E1050" t="str">
            <v>Minipoles</v>
          </cell>
          <cell r="F1050" t="str">
            <v>2.80 * 1.30</v>
          </cell>
          <cell r="G1050" t="str">
            <v>3.00 * 1.50</v>
          </cell>
          <cell r="I1050" t="str">
            <v>EXTERIORES</v>
          </cell>
          <cell r="K1050">
            <v>17000</v>
          </cell>
          <cell r="L1050">
            <v>620000</v>
          </cell>
          <cell r="M1050" t="str">
            <v>MALL MARINA ARAUCO</v>
          </cell>
          <cell r="P1050" t="str">
            <v>VINA DEL MAR</v>
          </cell>
          <cell r="Q1050" t="str">
            <v>TRADICIONAL</v>
          </cell>
          <cell r="R1050" t="str">
            <v>Mall - V Region</v>
          </cell>
          <cell r="S1050" t="str">
            <v>Inversiones Calama</v>
          </cell>
          <cell r="T1050" t="str">
            <v>Minipoles</v>
          </cell>
          <cell r="U1050">
            <v>1</v>
          </cell>
          <cell r="V1050" t="str">
            <v>2.80 * 1.30</v>
          </cell>
        </row>
        <row r="1051">
          <cell r="A1051" t="str">
            <v>MAAR0001A</v>
          </cell>
          <cell r="B1051" t="str">
            <v>Mall</v>
          </cell>
          <cell r="D1051" t="str">
            <v>Paletas</v>
          </cell>
          <cell r="E1051" t="str">
            <v>Paletas</v>
          </cell>
          <cell r="F1051" t="str">
            <v>1.20 * 1.70</v>
          </cell>
          <cell r="G1051" t="str">
            <v>1.23 * 1.75</v>
          </cell>
          <cell r="H1051" t="str">
            <v>X</v>
          </cell>
          <cell r="I1051" t="str">
            <v>EXTERIORES</v>
          </cell>
          <cell r="J1051">
            <v>0</v>
          </cell>
          <cell r="K1051">
            <v>8600</v>
          </cell>
          <cell r="L1051">
            <v>340000</v>
          </cell>
          <cell r="M1051" t="str">
            <v>MALL MARINA ARAUCO</v>
          </cell>
          <cell r="P1051" t="str">
            <v>VINA DEL MAR</v>
          </cell>
          <cell r="Q1051" t="str">
            <v>TRADICIONAL</v>
          </cell>
          <cell r="R1051" t="str">
            <v>Mall - V Region</v>
          </cell>
          <cell r="S1051" t="str">
            <v>Inversiones Calama</v>
          </cell>
          <cell r="T1051" t="str">
            <v>Paletas</v>
          </cell>
          <cell r="U1051">
            <v>1</v>
          </cell>
          <cell r="V1051" t="str">
            <v>1.20 * 1.70</v>
          </cell>
        </row>
        <row r="1052">
          <cell r="A1052" t="str">
            <v>MAAR0001B</v>
          </cell>
          <cell r="B1052" t="str">
            <v>Mall</v>
          </cell>
          <cell r="D1052" t="str">
            <v>Paletas</v>
          </cell>
          <cell r="E1052" t="str">
            <v>Paletas</v>
          </cell>
          <cell r="F1052" t="str">
            <v>1.20 * 1.70</v>
          </cell>
          <cell r="G1052" t="str">
            <v>1.23 * 1.75</v>
          </cell>
          <cell r="H1052" t="str">
            <v>X</v>
          </cell>
          <cell r="I1052" t="str">
            <v>EXTERIORES</v>
          </cell>
          <cell r="J1052">
            <v>0</v>
          </cell>
          <cell r="K1052">
            <v>8600</v>
          </cell>
          <cell r="L1052">
            <v>340000</v>
          </cell>
          <cell r="M1052" t="str">
            <v>MALL MARINA ARAUCO</v>
          </cell>
          <cell r="P1052" t="str">
            <v>VINA DEL MAR</v>
          </cell>
          <cell r="Q1052" t="str">
            <v>TRADICIONAL</v>
          </cell>
          <cell r="R1052" t="str">
            <v>Mall - V Region</v>
          </cell>
          <cell r="S1052" t="str">
            <v>Inversiones Calama</v>
          </cell>
          <cell r="T1052" t="str">
            <v>Paletas</v>
          </cell>
          <cell r="U1052">
            <v>1</v>
          </cell>
          <cell r="V1052" t="str">
            <v>1.20 * 1.70</v>
          </cell>
        </row>
        <row r="1053">
          <cell r="A1053" t="str">
            <v>MAAR0002A</v>
          </cell>
          <cell r="B1053" t="str">
            <v>Mall</v>
          </cell>
          <cell r="D1053" t="str">
            <v>Paletas</v>
          </cell>
          <cell r="E1053" t="str">
            <v>Paletas</v>
          </cell>
          <cell r="F1053" t="str">
            <v>1.20 * 1.70</v>
          </cell>
          <cell r="G1053" t="str">
            <v>1.23 * 1.75</v>
          </cell>
          <cell r="H1053" t="str">
            <v>X</v>
          </cell>
          <cell r="I1053" t="str">
            <v>EXTERIORES</v>
          </cell>
          <cell r="J1053">
            <v>0</v>
          </cell>
          <cell r="K1053">
            <v>8600</v>
          </cell>
          <cell r="L1053">
            <v>340000</v>
          </cell>
          <cell r="M1053" t="str">
            <v>MALL MARINA ARAUCO</v>
          </cell>
          <cell r="P1053" t="str">
            <v>VINA DEL MAR</v>
          </cell>
          <cell r="Q1053" t="str">
            <v>TRADICIONAL</v>
          </cell>
          <cell r="R1053" t="str">
            <v>Mall - V Region</v>
          </cell>
          <cell r="S1053" t="str">
            <v>Inversiones Calama</v>
          </cell>
          <cell r="T1053" t="str">
            <v>Paletas</v>
          </cell>
          <cell r="U1053">
            <v>1</v>
          </cell>
          <cell r="V1053" t="str">
            <v>1.20 * 1.70</v>
          </cell>
        </row>
        <row r="1054">
          <cell r="A1054" t="str">
            <v>MAAR0005A</v>
          </cell>
          <cell r="B1054" t="str">
            <v>Mall</v>
          </cell>
          <cell r="D1054" t="str">
            <v>Paletas</v>
          </cell>
          <cell r="E1054" t="str">
            <v>Paletas</v>
          </cell>
          <cell r="F1054" t="str">
            <v>1.20 * 1.70</v>
          </cell>
          <cell r="G1054" t="str">
            <v>1.23 * 1.75</v>
          </cell>
          <cell r="H1054" t="str">
            <v>X</v>
          </cell>
          <cell r="I1054" t="str">
            <v>EXTERIORES</v>
          </cell>
          <cell r="J1054">
            <v>0</v>
          </cell>
          <cell r="K1054">
            <v>8600</v>
          </cell>
          <cell r="L1054">
            <v>340000</v>
          </cell>
          <cell r="M1054" t="str">
            <v>MALL MARINA ARAUCO</v>
          </cell>
          <cell r="P1054" t="str">
            <v>VINA DEL MAR</v>
          </cell>
          <cell r="Q1054" t="str">
            <v>TRADICIONAL</v>
          </cell>
          <cell r="R1054" t="str">
            <v>Mall - V Region</v>
          </cell>
          <cell r="S1054" t="str">
            <v>Inversiones Calama</v>
          </cell>
          <cell r="T1054" t="str">
            <v>Paletas</v>
          </cell>
          <cell r="U1054">
            <v>1</v>
          </cell>
          <cell r="V1054" t="str">
            <v>1.20 * 1.70</v>
          </cell>
        </row>
        <row r="1055">
          <cell r="A1055" t="str">
            <v>MAAR0006A</v>
          </cell>
          <cell r="B1055" t="str">
            <v>Mall</v>
          </cell>
          <cell r="D1055" t="str">
            <v>Paletas</v>
          </cell>
          <cell r="E1055" t="str">
            <v>Paletas</v>
          </cell>
          <cell r="F1055" t="str">
            <v>1.20 * 1.70</v>
          </cell>
          <cell r="G1055" t="str">
            <v>1.23 * 1.75</v>
          </cell>
          <cell r="H1055" t="str">
            <v>X</v>
          </cell>
          <cell r="I1055" t="str">
            <v>EXTERIORES</v>
          </cell>
          <cell r="J1055">
            <v>0</v>
          </cell>
          <cell r="K1055">
            <v>8600</v>
          </cell>
          <cell r="L1055">
            <v>340000</v>
          </cell>
          <cell r="M1055" t="str">
            <v>MALL MARINA ARAUCO</v>
          </cell>
          <cell r="P1055" t="str">
            <v>VINA DEL MAR</v>
          </cell>
          <cell r="Q1055" t="str">
            <v>TRADICIONAL</v>
          </cell>
          <cell r="R1055" t="str">
            <v>Mall - V Region</v>
          </cell>
          <cell r="S1055" t="str">
            <v>Inversiones Calama</v>
          </cell>
          <cell r="T1055" t="str">
            <v>Paletas</v>
          </cell>
          <cell r="U1055">
            <v>1</v>
          </cell>
          <cell r="V1055" t="str">
            <v>1.20 * 1.70</v>
          </cell>
        </row>
        <row r="1056">
          <cell r="A1056" t="str">
            <v>MAAR0007A</v>
          </cell>
          <cell r="B1056" t="str">
            <v>Mall</v>
          </cell>
          <cell r="D1056" t="str">
            <v>Paletas</v>
          </cell>
          <cell r="E1056" t="str">
            <v>Paletas</v>
          </cell>
          <cell r="F1056" t="str">
            <v>1.20 * 1.70</v>
          </cell>
          <cell r="G1056" t="str">
            <v>1.23 * 1.75</v>
          </cell>
          <cell r="H1056" t="str">
            <v>X</v>
          </cell>
          <cell r="I1056" t="str">
            <v>EXTERIORES</v>
          </cell>
          <cell r="J1056">
            <v>0</v>
          </cell>
          <cell r="K1056">
            <v>8600</v>
          </cell>
          <cell r="L1056">
            <v>340000</v>
          </cell>
          <cell r="M1056" t="str">
            <v>MALL MARINA ARAUCO</v>
          </cell>
          <cell r="P1056" t="str">
            <v>VINA DEL MAR</v>
          </cell>
          <cell r="Q1056" t="str">
            <v>TRADICIONAL</v>
          </cell>
          <cell r="R1056" t="str">
            <v>Mall - V Region</v>
          </cell>
          <cell r="S1056" t="str">
            <v>Inversiones Calama</v>
          </cell>
          <cell r="T1056" t="str">
            <v>Paletas</v>
          </cell>
          <cell r="U1056">
            <v>1</v>
          </cell>
          <cell r="V1056" t="str">
            <v>1.20 * 1.70</v>
          </cell>
        </row>
        <row r="1057">
          <cell r="A1057" t="str">
            <v>MAPO0015A</v>
          </cell>
          <cell r="B1057" t="str">
            <v>Mall</v>
          </cell>
          <cell r="C1057" t="str">
            <v>Mall Plaza</v>
          </cell>
          <cell r="D1057" t="str">
            <v>Unipoles</v>
          </cell>
          <cell r="E1057" t="str">
            <v>DOBLE FAZ</v>
          </cell>
          <cell r="F1057" t="str">
            <v>9.00 * 3.00</v>
          </cell>
          <cell r="G1057" t="str">
            <v>9.30 * 3.30</v>
          </cell>
          <cell r="H1057" t="str">
            <v>E</v>
          </cell>
          <cell r="I1057" t="str">
            <v>ESTACIONAMIENTOS</v>
          </cell>
          <cell r="J1057">
            <v>0</v>
          </cell>
          <cell r="K1057">
            <v>80000</v>
          </cell>
          <cell r="L1057">
            <v>890000</v>
          </cell>
          <cell r="M1057" t="str">
            <v>MALL PLAZA OESTE</v>
          </cell>
          <cell r="P1057" t="str">
            <v>CERRILLOS</v>
          </cell>
          <cell r="Q1057" t="str">
            <v>TRADICIONAL</v>
          </cell>
          <cell r="R1057" t="str">
            <v>Mall - Santiago</v>
          </cell>
          <cell r="S1057" t="str">
            <v>Mall Plaza</v>
          </cell>
          <cell r="T1057" t="str">
            <v>Unipoles</v>
          </cell>
          <cell r="U1057">
            <v>1</v>
          </cell>
          <cell r="V1057" t="str">
            <v>9.00 * 3.00</v>
          </cell>
        </row>
        <row r="1058">
          <cell r="A1058" t="str">
            <v>MAPO0015B</v>
          </cell>
          <cell r="B1058" t="str">
            <v>Mall</v>
          </cell>
          <cell r="C1058" t="str">
            <v>Mall Plaza</v>
          </cell>
          <cell r="D1058" t="str">
            <v>Unipoles</v>
          </cell>
          <cell r="E1058" t="str">
            <v>DOBLE FAZ</v>
          </cell>
          <cell r="F1058" t="str">
            <v>9.00 * 3.00</v>
          </cell>
          <cell r="G1058" t="str">
            <v>9.30 * 3.30</v>
          </cell>
          <cell r="H1058" t="str">
            <v>E</v>
          </cell>
          <cell r="I1058" t="str">
            <v>ESTACIONAMIENTOS</v>
          </cell>
          <cell r="J1058">
            <v>0</v>
          </cell>
          <cell r="K1058">
            <v>80000</v>
          </cell>
          <cell r="L1058">
            <v>890000</v>
          </cell>
          <cell r="M1058" t="str">
            <v>MALL PLAZA OESTE</v>
          </cell>
          <cell r="P1058" t="str">
            <v>CERRILLOS</v>
          </cell>
          <cell r="Q1058" t="str">
            <v>TRADICIONAL</v>
          </cell>
          <cell r="R1058" t="str">
            <v>Mall - Santiago</v>
          </cell>
          <cell r="S1058" t="str">
            <v>Mall Plaza</v>
          </cell>
          <cell r="T1058" t="str">
            <v>Unipoles</v>
          </cell>
          <cell r="U1058">
            <v>1</v>
          </cell>
          <cell r="V1058" t="str">
            <v>9.00 * 3.00</v>
          </cell>
        </row>
        <row r="1059">
          <cell r="A1059" t="str">
            <v>MAPO0016A</v>
          </cell>
          <cell r="B1059" t="str">
            <v>Mall</v>
          </cell>
          <cell r="C1059" t="str">
            <v>Mall Plaza</v>
          </cell>
          <cell r="D1059" t="str">
            <v>Unipoles</v>
          </cell>
          <cell r="E1059" t="str">
            <v>DOBLE FAZ</v>
          </cell>
          <cell r="F1059" t="str">
            <v>9.00 * 3.00</v>
          </cell>
          <cell r="G1059" t="str">
            <v>9.30 * 3.30</v>
          </cell>
          <cell r="H1059" t="str">
            <v>E</v>
          </cell>
          <cell r="I1059" t="str">
            <v>ESTACIONAMIENTOS</v>
          </cell>
          <cell r="J1059">
            <v>0</v>
          </cell>
          <cell r="K1059">
            <v>80000</v>
          </cell>
          <cell r="L1059">
            <v>890000</v>
          </cell>
          <cell r="M1059" t="str">
            <v>MALL PLAZA OESTE</v>
          </cell>
          <cell r="P1059" t="str">
            <v>CERRILLOS</v>
          </cell>
          <cell r="Q1059" t="str">
            <v>TRADICIONAL</v>
          </cell>
          <cell r="R1059" t="str">
            <v>Mall - Santiago</v>
          </cell>
          <cell r="S1059" t="str">
            <v>Mall Plaza</v>
          </cell>
          <cell r="T1059" t="str">
            <v>Unipoles</v>
          </cell>
          <cell r="U1059">
            <v>1</v>
          </cell>
          <cell r="V1059" t="str">
            <v>9.00 * 3.00</v>
          </cell>
        </row>
        <row r="1060">
          <cell r="A1060" t="str">
            <v>MAPO0016B</v>
          </cell>
          <cell r="B1060" t="str">
            <v>Mall</v>
          </cell>
          <cell r="C1060" t="str">
            <v>Mall Plaza</v>
          </cell>
          <cell r="D1060" t="str">
            <v>Unipoles</v>
          </cell>
          <cell r="E1060" t="str">
            <v>DOBLE FAZ</v>
          </cell>
          <cell r="F1060" t="str">
            <v>9.00 * 3.00</v>
          </cell>
          <cell r="G1060" t="str">
            <v>9.30 * 3.30</v>
          </cell>
          <cell r="H1060" t="str">
            <v>E</v>
          </cell>
          <cell r="I1060" t="str">
            <v>ESTACIONAMIENTOS</v>
          </cell>
          <cell r="J1060">
            <v>0</v>
          </cell>
          <cell r="K1060">
            <v>80000</v>
          </cell>
          <cell r="L1060">
            <v>540000</v>
          </cell>
          <cell r="M1060" t="str">
            <v>MALL PLAZA OESTE</v>
          </cell>
          <cell r="P1060" t="str">
            <v>CERRILLOS</v>
          </cell>
          <cell r="Q1060" t="str">
            <v>TRADICIONAL</v>
          </cell>
          <cell r="R1060" t="str">
            <v>Mall - Santiago</v>
          </cell>
          <cell r="S1060" t="str">
            <v>Mall Plaza</v>
          </cell>
          <cell r="T1060" t="str">
            <v>Unipoles</v>
          </cell>
          <cell r="U1060">
            <v>1</v>
          </cell>
          <cell r="V1060" t="str">
            <v>9.00 * 3.00</v>
          </cell>
        </row>
        <row r="1061">
          <cell r="A1061" t="str">
            <v>PAAR0073A</v>
          </cell>
          <cell r="B1061" t="str">
            <v>Mall</v>
          </cell>
          <cell r="D1061" t="str">
            <v>Pantallas Digitales</v>
          </cell>
          <cell r="E1061" t="str">
            <v>Pantallas</v>
          </cell>
          <cell r="I1061" t="str">
            <v>INTERIOR MALL</v>
          </cell>
          <cell r="L1061">
            <v>1800000</v>
          </cell>
          <cell r="M1061" t="str">
            <v>MALL PARQUE ARAUCO</v>
          </cell>
          <cell r="P1061" t="str">
            <v>LAS CONDES</v>
          </cell>
          <cell r="Q1061" t="str">
            <v>PANTALLA</v>
          </cell>
          <cell r="R1061" t="str">
            <v>Mall - Santiago</v>
          </cell>
          <cell r="S1061" t="str">
            <v>Parque Arauco</v>
          </cell>
          <cell r="T1061" t="str">
            <v>Pantallas Digitales</v>
          </cell>
          <cell r="U1061">
            <v>1</v>
          </cell>
          <cell r="V1061" t="str">
            <v>NA</v>
          </cell>
        </row>
        <row r="1062">
          <cell r="A1062" t="str">
            <v>POLD0004A</v>
          </cell>
          <cell r="B1062" t="str">
            <v>Mall</v>
          </cell>
          <cell r="D1062" t="str">
            <v>Supersite</v>
          </cell>
          <cell r="E1062" t="str">
            <v>Supersite</v>
          </cell>
          <cell r="F1062" t="str">
            <v>3.36 * 5.00</v>
          </cell>
          <cell r="G1062" t="str">
            <v>3.36 * 5.00</v>
          </cell>
          <cell r="I1062" t="str">
            <v>ACCESO EXTERIOR</v>
          </cell>
          <cell r="K1062">
            <v>350000</v>
          </cell>
          <cell r="L1062">
            <v>1200000</v>
          </cell>
          <cell r="M1062" t="str">
            <v>PORTAL LA DEHESA</v>
          </cell>
          <cell r="P1062" t="str">
            <v>LO BARNECHEA</v>
          </cell>
          <cell r="Q1062" t="str">
            <v>TRADICIONAL</v>
          </cell>
          <cell r="R1062" t="str">
            <v>Mall - Santiago</v>
          </cell>
          <cell r="S1062" t="str">
            <v>Inversiones Las Verbenas</v>
          </cell>
          <cell r="T1062" t="str">
            <v>Supersite</v>
          </cell>
          <cell r="U1062">
            <v>1</v>
          </cell>
          <cell r="V1062" t="str">
            <v>3.36 * 5.00</v>
          </cell>
        </row>
        <row r="1063">
          <cell r="A1063" t="str">
            <v>POLD0004B</v>
          </cell>
          <cell r="B1063" t="str">
            <v>Mall</v>
          </cell>
          <cell r="D1063" t="str">
            <v>Supersite</v>
          </cell>
          <cell r="E1063" t="str">
            <v>Supersite</v>
          </cell>
          <cell r="F1063" t="str">
            <v>3.36 * 5.00</v>
          </cell>
          <cell r="G1063" t="str">
            <v>3.36 * 5.00</v>
          </cell>
          <cell r="K1063">
            <v>350000</v>
          </cell>
          <cell r="L1063">
            <v>1200000</v>
          </cell>
          <cell r="M1063" t="str">
            <v>PORTAL LA DEHESA</v>
          </cell>
          <cell r="P1063" t="str">
            <v>LO BARNECHEA</v>
          </cell>
          <cell r="Q1063" t="str">
            <v>TRADICIONAL</v>
          </cell>
          <cell r="R1063" t="str">
            <v>Mall - Santiago</v>
          </cell>
          <cell r="S1063" t="str">
            <v>Inversiones Las Verbenas</v>
          </cell>
          <cell r="T1063" t="str">
            <v>Supersite</v>
          </cell>
          <cell r="U1063">
            <v>1</v>
          </cell>
          <cell r="V1063" t="str">
            <v>3.36 * 5.00</v>
          </cell>
        </row>
        <row r="1064">
          <cell r="A1064" t="str">
            <v>POLD0004C</v>
          </cell>
          <cell r="B1064" t="str">
            <v>Mall</v>
          </cell>
          <cell r="D1064" t="str">
            <v>Supersite</v>
          </cell>
          <cell r="E1064" t="str">
            <v>Supersite</v>
          </cell>
          <cell r="F1064" t="str">
            <v>3.36 * 5.00</v>
          </cell>
          <cell r="G1064" t="str">
            <v>3.36 * 5.00</v>
          </cell>
          <cell r="K1064">
            <v>350000</v>
          </cell>
          <cell r="L1064">
            <v>1200000</v>
          </cell>
          <cell r="M1064" t="str">
            <v>PORTAL LA DEHESA</v>
          </cell>
          <cell r="P1064" t="str">
            <v>LO BARNECHEA</v>
          </cell>
          <cell r="Q1064" t="str">
            <v>TRADICIONAL</v>
          </cell>
          <cell r="R1064" t="str">
            <v>Mall - Santiago</v>
          </cell>
          <cell r="S1064" t="str">
            <v>Inversiones Las Verbenas</v>
          </cell>
          <cell r="T1064" t="str">
            <v>Supersite</v>
          </cell>
          <cell r="U1064">
            <v>1</v>
          </cell>
          <cell r="V1064" t="str">
            <v>3.36 * 5.00</v>
          </cell>
        </row>
        <row r="1065">
          <cell r="A1065" t="str">
            <v>POLD0005A</v>
          </cell>
          <cell r="B1065" t="str">
            <v>Mall</v>
          </cell>
          <cell r="D1065" t="str">
            <v>Supersite</v>
          </cell>
          <cell r="E1065" t="str">
            <v>Supersite</v>
          </cell>
          <cell r="F1065" t="str">
            <v>3.36 * 5.00</v>
          </cell>
          <cell r="G1065" t="str">
            <v>3.36 * 5.00</v>
          </cell>
          <cell r="I1065" t="str">
            <v>ACCESO EXTERIOR</v>
          </cell>
          <cell r="K1065">
            <v>350000</v>
          </cell>
          <cell r="L1065">
            <v>1200000</v>
          </cell>
          <cell r="M1065" t="str">
            <v>PORTAL LA DEHESA</v>
          </cell>
          <cell r="P1065" t="str">
            <v>LO BARNECHEA</v>
          </cell>
          <cell r="Q1065" t="str">
            <v>TRADICIONAL</v>
          </cell>
          <cell r="R1065" t="str">
            <v>Mall - Santiago</v>
          </cell>
          <cell r="S1065" t="str">
            <v>Inversiones Las Verbenas</v>
          </cell>
          <cell r="T1065" t="str">
            <v>Supersite</v>
          </cell>
          <cell r="U1065">
            <v>1</v>
          </cell>
          <cell r="V1065" t="str">
            <v>3.36 * 5.00</v>
          </cell>
        </row>
        <row r="1066">
          <cell r="A1066" t="str">
            <v>POLD0005B</v>
          </cell>
          <cell r="B1066" t="str">
            <v>Mall</v>
          </cell>
          <cell r="D1066" t="str">
            <v>Supersite</v>
          </cell>
          <cell r="E1066" t="str">
            <v>Supersite</v>
          </cell>
          <cell r="F1066" t="str">
            <v>3.36 * 5.00</v>
          </cell>
          <cell r="G1066" t="str">
            <v>3.36 * 5.00</v>
          </cell>
          <cell r="I1066" t="str">
            <v>ACCESO EXTERIOR</v>
          </cell>
          <cell r="K1066">
            <v>350000</v>
          </cell>
          <cell r="L1066">
            <v>1200000</v>
          </cell>
          <cell r="M1066" t="str">
            <v>PORTAL LA DEHESA</v>
          </cell>
          <cell r="P1066" t="str">
            <v>LO BARNECHEA</v>
          </cell>
          <cell r="Q1066" t="str">
            <v>TRADICIONAL</v>
          </cell>
          <cell r="R1066" t="str">
            <v>Mall - Santiago</v>
          </cell>
          <cell r="S1066" t="str">
            <v>Inversiones Las Verbenas</v>
          </cell>
          <cell r="T1066" t="str">
            <v>Supersite</v>
          </cell>
          <cell r="U1066">
            <v>1</v>
          </cell>
          <cell r="V1066" t="str">
            <v>3.36 * 5.00</v>
          </cell>
        </row>
        <row r="1067">
          <cell r="A1067" t="str">
            <v>POLD0005C</v>
          </cell>
          <cell r="B1067" t="str">
            <v>Mall</v>
          </cell>
          <cell r="D1067" t="str">
            <v>Supersite</v>
          </cell>
          <cell r="E1067" t="str">
            <v>Supersite</v>
          </cell>
          <cell r="F1067" t="str">
            <v>3.36 * 5.00</v>
          </cell>
          <cell r="G1067" t="str">
            <v>3.36 * 5.00</v>
          </cell>
          <cell r="I1067" t="str">
            <v>ACCESO EXTERIOR</v>
          </cell>
          <cell r="K1067">
            <v>350000</v>
          </cell>
          <cell r="L1067">
            <v>1200000</v>
          </cell>
          <cell r="M1067" t="str">
            <v>PORTAL LA DEHESA</v>
          </cell>
          <cell r="P1067" t="str">
            <v>LO BARNECHEA</v>
          </cell>
          <cell r="Q1067" t="str">
            <v>TRADICIONAL</v>
          </cell>
          <cell r="R1067" t="str">
            <v>Mall - Santiago</v>
          </cell>
          <cell r="S1067" t="str">
            <v>Inversiones Las Verbenas</v>
          </cell>
          <cell r="T1067" t="str">
            <v>Supersite</v>
          </cell>
          <cell r="U1067">
            <v>1</v>
          </cell>
          <cell r="V1067" t="str">
            <v>3.36 * 5.00</v>
          </cell>
        </row>
        <row r="1068">
          <cell r="A1068" t="str">
            <v>JUBI0018A</v>
          </cell>
          <cell r="B1068" t="str">
            <v>Supermercado</v>
          </cell>
          <cell r="D1068" t="str">
            <v>P.E.: PAQ. LATERALES 1 ESCALERA</v>
          </cell>
          <cell r="E1068" t="str">
            <v>PAQ. LATERALES 1 ESCALERA</v>
          </cell>
          <cell r="F1068" t="str">
            <v>Ver Ficha</v>
          </cell>
          <cell r="G1068" t="str">
            <v>Ver Ficha</v>
          </cell>
          <cell r="I1068" t="str">
            <v>ESTACIONAMIENTOS</v>
          </cell>
          <cell r="J1068">
            <v>635000</v>
          </cell>
          <cell r="L1068">
            <v>4800000</v>
          </cell>
          <cell r="M1068" t="str">
            <v>JUMBO BILBAO</v>
          </cell>
          <cell r="P1068" t="str">
            <v>LAS CONDES</v>
          </cell>
          <cell r="Q1068" t="str">
            <v>ESPECIAL</v>
          </cell>
          <cell r="R1068" t="str">
            <v>Supermercado - Santiago</v>
          </cell>
          <cell r="S1068" t="str">
            <v>Jumbo</v>
          </cell>
          <cell r="T1068" t="str">
            <v>Productos Especiales</v>
          </cell>
          <cell r="U1068">
            <v>1</v>
          </cell>
          <cell r="V1068" t="str">
            <v>NA</v>
          </cell>
        </row>
        <row r="1069">
          <cell r="A1069" t="str">
            <v>JUBI0019A</v>
          </cell>
          <cell r="B1069" t="str">
            <v>Supermercado</v>
          </cell>
          <cell r="D1069" t="str">
            <v>P.E.: CORPOREO</v>
          </cell>
          <cell r="E1069" t="str">
            <v>CORPOREO</v>
          </cell>
          <cell r="F1069" t="str">
            <v>Ver Ficha</v>
          </cell>
          <cell r="G1069" t="str">
            <v>Ver Ficha</v>
          </cell>
          <cell r="I1069" t="str">
            <v>EXTERIORES</v>
          </cell>
          <cell r="J1069" t="str">
            <v>Según Corporeo</v>
          </cell>
          <cell r="L1069">
            <v>2000000</v>
          </cell>
          <cell r="M1069" t="str">
            <v>JUMBO BILBAO</v>
          </cell>
          <cell r="P1069" t="str">
            <v>LAS CONDES</v>
          </cell>
          <cell r="Q1069" t="str">
            <v>ESPECIAL</v>
          </cell>
          <cell r="R1069" t="str">
            <v>Supermercado - Santiago</v>
          </cell>
          <cell r="S1069" t="str">
            <v>Jumbo</v>
          </cell>
          <cell r="T1069" t="str">
            <v>Productos Especiales</v>
          </cell>
          <cell r="U1069">
            <v>1</v>
          </cell>
          <cell r="V1069" t="str">
            <v>NA</v>
          </cell>
        </row>
        <row r="1070">
          <cell r="A1070" t="str">
            <v>JUBI0020A</v>
          </cell>
          <cell r="B1070" t="str">
            <v>Supermercado</v>
          </cell>
          <cell r="D1070" t="str">
            <v>Cajas de luz</v>
          </cell>
          <cell r="E1070" t="str">
            <v>Cajas de luz</v>
          </cell>
          <cell r="F1070" t="str">
            <v>1.96 * 0.96</v>
          </cell>
          <cell r="G1070" t="str">
            <v>2.16 * 1.16</v>
          </cell>
          <cell r="K1070">
            <v>0</v>
          </cell>
          <cell r="L1070">
            <v>580000</v>
          </cell>
          <cell r="M1070" t="str">
            <v>JUMBO BILBAO</v>
          </cell>
          <cell r="P1070" t="str">
            <v>LAS CONDES</v>
          </cell>
          <cell r="Q1070" t="str">
            <v>TRADICIONAL</v>
          </cell>
          <cell r="R1070" t="str">
            <v>Supermercado - Santiago</v>
          </cell>
          <cell r="S1070" t="str">
            <v>Inversiones Las Verbenas</v>
          </cell>
          <cell r="T1070" t="str">
            <v>Cajas de luz</v>
          </cell>
          <cell r="U1070">
            <v>1</v>
          </cell>
          <cell r="V1070" t="str">
            <v>1.96 * 0.96</v>
          </cell>
        </row>
        <row r="1071">
          <cell r="A1071" t="str">
            <v>JUBI0021A</v>
          </cell>
          <cell r="B1071" t="str">
            <v>Supermercado</v>
          </cell>
          <cell r="D1071" t="str">
            <v>Cajas de luz</v>
          </cell>
          <cell r="E1071" t="str">
            <v>Cajas de luz</v>
          </cell>
          <cell r="F1071" t="str">
            <v>1.96 * 0.96</v>
          </cell>
          <cell r="G1071" t="str">
            <v>2.16 * 1.16</v>
          </cell>
          <cell r="K1071">
            <v>0</v>
          </cell>
          <cell r="L1071">
            <v>580000</v>
          </cell>
          <cell r="M1071" t="str">
            <v>JUMBO BILBAO</v>
          </cell>
          <cell r="P1071" t="str">
            <v>LAS CONDES</v>
          </cell>
          <cell r="Q1071" t="str">
            <v>TRADICIONAL</v>
          </cell>
          <cell r="R1071" t="str">
            <v>Supermercado - Santiago</v>
          </cell>
          <cell r="S1071" t="str">
            <v>Inversiones Las Verbenas</v>
          </cell>
          <cell r="T1071" t="str">
            <v>Cajas de luz</v>
          </cell>
          <cell r="U1071">
            <v>1</v>
          </cell>
          <cell r="V1071" t="str">
            <v>1.96 * 0.96</v>
          </cell>
        </row>
        <row r="1072">
          <cell r="A1072" t="str">
            <v>JUBI0022A</v>
          </cell>
          <cell r="B1072" t="str">
            <v>Supermercado</v>
          </cell>
          <cell r="D1072" t="str">
            <v>P.E.: SET PILARES Y CENEFAS</v>
          </cell>
          <cell r="E1072" t="str">
            <v>SET PILARES Y CENEFAS</v>
          </cell>
          <cell r="F1072" t="str">
            <v>Ver ficha</v>
          </cell>
          <cell r="G1072" t="str">
            <v>Ver ficha</v>
          </cell>
          <cell r="J1072">
            <v>60000</v>
          </cell>
          <cell r="L1072">
            <v>4200000</v>
          </cell>
          <cell r="M1072" t="str">
            <v>JUMBO BILBAO</v>
          </cell>
          <cell r="P1072" t="str">
            <v>LAS CONDES</v>
          </cell>
          <cell r="Q1072" t="str">
            <v>ESPECIAL</v>
          </cell>
          <cell r="R1072" t="str">
            <v>Supermercado - Santiago</v>
          </cell>
          <cell r="S1072" t="str">
            <v>Inversiones Las Verbenas</v>
          </cell>
          <cell r="T1072" t="str">
            <v>Productos Especiales</v>
          </cell>
          <cell r="U1072">
            <v>1</v>
          </cell>
          <cell r="V1072" t="str">
            <v>NA</v>
          </cell>
        </row>
        <row r="1073">
          <cell r="A1073" t="str">
            <v>JUFC0014A</v>
          </cell>
          <cell r="B1073" t="str">
            <v>Supermercado</v>
          </cell>
          <cell r="D1073" t="str">
            <v>P.E.: PILARES ACCESO SALA</v>
          </cell>
          <cell r="E1073" t="str">
            <v>PILARES ACCESO SALA</v>
          </cell>
          <cell r="F1073" t="str">
            <v>Ver Ficha</v>
          </cell>
          <cell r="G1073" t="str">
            <v>Ver Ficha</v>
          </cell>
          <cell r="H1073" t="str">
            <v>S</v>
          </cell>
          <cell r="I1073" t="str">
            <v>ESTACIONAMIENTOS</v>
          </cell>
          <cell r="J1073">
            <v>191000</v>
          </cell>
          <cell r="L1073">
            <v>1700000</v>
          </cell>
          <cell r="M1073" t="str">
            <v>JUMBO FLORIDA</v>
          </cell>
          <cell r="P1073" t="str">
            <v>LA FLORIDA</v>
          </cell>
          <cell r="Q1073" t="str">
            <v>ESPECIAL</v>
          </cell>
          <cell r="R1073" t="str">
            <v>Supermercado - Santiago</v>
          </cell>
          <cell r="S1073" t="str">
            <v>Jumbo</v>
          </cell>
          <cell r="T1073" t="str">
            <v>Productos Especiales</v>
          </cell>
          <cell r="U1073">
            <v>1</v>
          </cell>
          <cell r="V1073" t="str">
            <v>NA</v>
          </cell>
        </row>
        <row r="1074">
          <cell r="A1074" t="str">
            <v>JUFC0015A</v>
          </cell>
          <cell r="B1074" t="str">
            <v>Supermercado</v>
          </cell>
          <cell r="D1074" t="str">
            <v>P.E.: PAQ. LATERALES 1 ESCALERA</v>
          </cell>
          <cell r="E1074" t="str">
            <v>PAQ. LATERALES 1 ESCALERA</v>
          </cell>
          <cell r="F1074" t="str">
            <v>Ver ficha</v>
          </cell>
          <cell r="G1074" t="str">
            <v>Ver ficha</v>
          </cell>
          <cell r="I1074" t="str">
            <v>ACCESO SALA</v>
          </cell>
          <cell r="J1074">
            <v>562000</v>
          </cell>
          <cell r="K1074">
            <v>0</v>
          </cell>
          <cell r="L1074">
            <v>4500000</v>
          </cell>
          <cell r="M1074" t="str">
            <v>JUMBO FLORIDA</v>
          </cell>
          <cell r="P1074" t="str">
            <v>LA FLORIDA</v>
          </cell>
          <cell r="Q1074" t="str">
            <v>ESPECIAL</v>
          </cell>
          <cell r="R1074" t="str">
            <v>Supermercado - Santiago</v>
          </cell>
          <cell r="S1074" t="str">
            <v>Jumbo</v>
          </cell>
          <cell r="T1074" t="str">
            <v>Productos Especiales</v>
          </cell>
          <cell r="U1074">
            <v>1</v>
          </cell>
          <cell r="V1074" t="str">
            <v>NA</v>
          </cell>
        </row>
        <row r="1075">
          <cell r="A1075" t="str">
            <v>JUKE0021A</v>
          </cell>
          <cell r="B1075" t="str">
            <v>Supermercado</v>
          </cell>
          <cell r="D1075" t="str">
            <v>P.E.: PAQ. LATERALES 1 ESCALERA</v>
          </cell>
          <cell r="E1075" t="str">
            <v>PAQ. LATERALES 1 ESCALERA</v>
          </cell>
          <cell r="F1075" t="str">
            <v>Ver Ficha</v>
          </cell>
          <cell r="G1075" t="str">
            <v>Ver Ficha</v>
          </cell>
          <cell r="H1075" t="str">
            <v>V</v>
          </cell>
          <cell r="I1075" t="str">
            <v>ACCESO SALA DE V</v>
          </cell>
          <cell r="J1075">
            <v>598000</v>
          </cell>
          <cell r="K1075">
            <v>0</v>
          </cell>
          <cell r="L1075">
            <v>4800000</v>
          </cell>
          <cell r="M1075" t="str">
            <v>JUMBO KENNEDY</v>
          </cell>
          <cell r="P1075" t="str">
            <v>LAS CONDES</v>
          </cell>
          <cell r="Q1075" t="str">
            <v>ESPECIAL</v>
          </cell>
          <cell r="R1075" t="str">
            <v>Supermercado - Santiago</v>
          </cell>
          <cell r="S1075" t="str">
            <v>Jumbo</v>
          </cell>
          <cell r="T1075" t="str">
            <v>Productos Especiales</v>
          </cell>
          <cell r="U1075">
            <v>1</v>
          </cell>
          <cell r="V1075" t="str">
            <v>NA</v>
          </cell>
        </row>
        <row r="1076">
          <cell r="A1076" t="str">
            <v>JULL0001A</v>
          </cell>
          <cell r="B1076" t="str">
            <v>Supermercado</v>
          </cell>
          <cell r="D1076" t="str">
            <v>Paletas</v>
          </cell>
          <cell r="E1076" t="str">
            <v>Paletas</v>
          </cell>
          <cell r="F1076" t="str">
            <v>1.20 * 1.70</v>
          </cell>
          <cell r="G1076" t="str">
            <v>1.23 * 1.75</v>
          </cell>
          <cell r="L1076">
            <v>300000</v>
          </cell>
          <cell r="M1076" t="str">
            <v>JUMBO EL LLANO</v>
          </cell>
          <cell r="P1076" t="str">
            <v>SAN MIGUEL</v>
          </cell>
          <cell r="Q1076" t="str">
            <v>TRADICIONAL</v>
          </cell>
          <cell r="R1076" t="str">
            <v>Supermercado - Santiago</v>
          </cell>
          <cell r="S1076" t="str">
            <v>Jumbo</v>
          </cell>
          <cell r="T1076" t="str">
            <v>Paletas</v>
          </cell>
          <cell r="U1076">
            <v>1</v>
          </cell>
          <cell r="V1076" t="str">
            <v>1.20 * 1.70</v>
          </cell>
        </row>
        <row r="1077">
          <cell r="A1077" t="str">
            <v>JULL0002A</v>
          </cell>
          <cell r="B1077" t="str">
            <v>Supermercado</v>
          </cell>
          <cell r="D1077" t="str">
            <v>Cajas de luz</v>
          </cell>
          <cell r="E1077" t="str">
            <v>Cajas de luz</v>
          </cell>
          <cell r="F1077" t="str">
            <v>3.80 * 1.80</v>
          </cell>
          <cell r="G1077" t="str">
            <v>4.00 * 2.00</v>
          </cell>
          <cell r="L1077">
            <v>520000</v>
          </cell>
          <cell r="M1077" t="str">
            <v>JUMBO EL LLANO</v>
          </cell>
          <cell r="P1077" t="str">
            <v>SAN MIGUEL</v>
          </cell>
          <cell r="Q1077" t="str">
            <v>TRADICIONAL</v>
          </cell>
          <cell r="R1077" t="str">
            <v>Supermercado - Santiago</v>
          </cell>
          <cell r="S1077" t="str">
            <v>Jumbo</v>
          </cell>
          <cell r="T1077" t="str">
            <v>Cajas de luz</v>
          </cell>
          <cell r="U1077">
            <v>1</v>
          </cell>
          <cell r="V1077" t="str">
            <v>3.80 * 1.80</v>
          </cell>
        </row>
        <row r="1078">
          <cell r="A1078" t="str">
            <v>JULL0003A</v>
          </cell>
          <cell r="B1078" t="str">
            <v>Supermercado</v>
          </cell>
          <cell r="D1078" t="str">
            <v>Cajas de luz</v>
          </cell>
          <cell r="E1078" t="str">
            <v>Cajas de luz</v>
          </cell>
          <cell r="F1078" t="str">
            <v>3.80 * 1.80</v>
          </cell>
          <cell r="G1078" t="str">
            <v>4.00 * 2.00</v>
          </cell>
          <cell r="L1078">
            <v>520000</v>
          </cell>
          <cell r="M1078" t="str">
            <v>JUMBO EL LLANO</v>
          </cell>
          <cell r="P1078" t="str">
            <v>SAN MIGUEL</v>
          </cell>
          <cell r="Q1078" t="str">
            <v>TRADICIONAL</v>
          </cell>
          <cell r="R1078" t="str">
            <v>Supermercado - Santiago</v>
          </cell>
          <cell r="S1078" t="str">
            <v>Jumbo</v>
          </cell>
          <cell r="T1078" t="str">
            <v>Cajas de luz</v>
          </cell>
          <cell r="U1078">
            <v>1</v>
          </cell>
          <cell r="V1078" t="str">
            <v>3.80 * 1.80</v>
          </cell>
        </row>
        <row r="1079">
          <cell r="A1079" t="str">
            <v>JULL0004A</v>
          </cell>
          <cell r="B1079" t="str">
            <v>Supermercado</v>
          </cell>
          <cell r="D1079" t="str">
            <v>P.E.: PAQ. LATERALES 1 ESCALERA</v>
          </cell>
          <cell r="E1079" t="str">
            <v>PAQ. LATERALES 1 ESCALERA</v>
          </cell>
          <cell r="F1079" t="str">
            <v>Ver ficha</v>
          </cell>
          <cell r="J1079">
            <v>1587000</v>
          </cell>
          <cell r="L1079">
            <v>4500000</v>
          </cell>
          <cell r="M1079" t="str">
            <v>JUMBO EL LLANO</v>
          </cell>
          <cell r="P1079" t="str">
            <v>SAN MIGUEL</v>
          </cell>
          <cell r="Q1079" t="str">
            <v>ESPECIAL</v>
          </cell>
          <cell r="R1079" t="str">
            <v>Supermercado - Sur</v>
          </cell>
          <cell r="S1079" t="str">
            <v>Jumbo</v>
          </cell>
          <cell r="T1079" t="str">
            <v>Productos Especiales</v>
          </cell>
          <cell r="U1079">
            <v>1</v>
          </cell>
          <cell r="V1079" t="str">
            <v>NA</v>
          </cell>
        </row>
        <row r="1080">
          <cell r="A1080" t="str">
            <v>JUPE0002A</v>
          </cell>
          <cell r="B1080" t="str">
            <v>Supermercado</v>
          </cell>
          <cell r="D1080" t="str">
            <v>Paletas</v>
          </cell>
          <cell r="E1080" t="str">
            <v>Paletas</v>
          </cell>
          <cell r="F1080" t="str">
            <v>1.20 * 1.70</v>
          </cell>
          <cell r="G1080" t="str">
            <v>1.23 * 1.75</v>
          </cell>
          <cell r="H1080" t="str">
            <v>E</v>
          </cell>
          <cell r="I1080" t="str">
            <v>ESTACIONAM</v>
          </cell>
          <cell r="J1080">
            <v>0</v>
          </cell>
          <cell r="K1080">
            <v>0</v>
          </cell>
          <cell r="L1080">
            <v>300000</v>
          </cell>
          <cell r="M1080" t="str">
            <v>JUMBO PEÑALOLEN</v>
          </cell>
          <cell r="P1080" t="str">
            <v>PENALOLEN</v>
          </cell>
          <cell r="Q1080" t="str">
            <v>TRADICIONAL</v>
          </cell>
          <cell r="R1080" t="str">
            <v>Supermercado - Santiago</v>
          </cell>
          <cell r="S1080" t="str">
            <v>Jumbo</v>
          </cell>
          <cell r="T1080" t="str">
            <v>Paletas</v>
          </cell>
          <cell r="U1080">
            <v>1</v>
          </cell>
          <cell r="V1080" t="str">
            <v>1.20 * 1.70</v>
          </cell>
        </row>
        <row r="1081">
          <cell r="A1081" t="str">
            <v>JUPE0002B</v>
          </cell>
          <cell r="B1081" t="str">
            <v>Supermercado</v>
          </cell>
          <cell r="D1081" t="str">
            <v>NO VENDIBLE</v>
          </cell>
          <cell r="E1081" t="str">
            <v>Paletas</v>
          </cell>
          <cell r="F1081" t="str">
            <v>1.20 * 1.70</v>
          </cell>
          <cell r="G1081" t="str">
            <v>1.23 * 1.75</v>
          </cell>
          <cell r="H1081" t="str">
            <v>E</v>
          </cell>
          <cell r="I1081" t="str">
            <v>ESTACIONAMIENTOS</v>
          </cell>
          <cell r="M1081" t="str">
            <v>JUMBO PEÑALOLEN</v>
          </cell>
          <cell r="O1081" t="str">
            <v>Sí</v>
          </cell>
          <cell r="P1081" t="str">
            <v>PENALOLEN</v>
          </cell>
          <cell r="Q1081" t="str">
            <v>TRADICIONAL</v>
          </cell>
          <cell r="R1081" t="str">
            <v>Supermercado - Santiago</v>
          </cell>
          <cell r="S1081" t="str">
            <v>Jumbo</v>
          </cell>
          <cell r="T1081" t="str">
            <v>Paletas</v>
          </cell>
          <cell r="U1081">
            <v>1</v>
          </cell>
          <cell r="V1081" t="str">
            <v>1.20 * 1.70</v>
          </cell>
        </row>
        <row r="1082">
          <cell r="A1082" t="str">
            <v>JUPE0003A</v>
          </cell>
          <cell r="B1082" t="str">
            <v>Supermercado</v>
          </cell>
          <cell r="D1082" t="str">
            <v>Paletas</v>
          </cell>
          <cell r="E1082" t="str">
            <v>Paletas</v>
          </cell>
          <cell r="F1082" t="str">
            <v>1.20 * 1.70</v>
          </cell>
          <cell r="G1082" t="str">
            <v>1.23 * 1.75</v>
          </cell>
          <cell r="H1082" t="str">
            <v>E</v>
          </cell>
          <cell r="I1082" t="str">
            <v>ESTACIONAMIENTOS</v>
          </cell>
          <cell r="J1082">
            <v>0</v>
          </cell>
          <cell r="K1082">
            <v>0</v>
          </cell>
          <cell r="L1082">
            <v>300000</v>
          </cell>
          <cell r="M1082" t="str">
            <v>JUMBO PEÑALOLEN</v>
          </cell>
          <cell r="P1082" t="str">
            <v>PENALOLEN</v>
          </cell>
          <cell r="Q1082" t="str">
            <v>TRADICIONAL</v>
          </cell>
          <cell r="R1082" t="str">
            <v>Supermercado - Santiago</v>
          </cell>
          <cell r="S1082" t="str">
            <v>Jumbo</v>
          </cell>
          <cell r="T1082" t="str">
            <v>Paletas</v>
          </cell>
          <cell r="U1082">
            <v>1</v>
          </cell>
          <cell r="V1082" t="str">
            <v>1.20 * 1.70</v>
          </cell>
        </row>
        <row r="1083">
          <cell r="A1083" t="str">
            <v>JUPE0003B</v>
          </cell>
          <cell r="B1083" t="str">
            <v>Supermercado</v>
          </cell>
          <cell r="D1083" t="str">
            <v>Paletas</v>
          </cell>
          <cell r="E1083" t="str">
            <v>Paletas</v>
          </cell>
          <cell r="F1083" t="str">
            <v>1.20 * 1.70</v>
          </cell>
          <cell r="G1083" t="str">
            <v>1.23 * 1.75</v>
          </cell>
          <cell r="H1083" t="str">
            <v>E</v>
          </cell>
          <cell r="I1083" t="str">
            <v>ESTACIONAMIENTO</v>
          </cell>
          <cell r="J1083">
            <v>0</v>
          </cell>
          <cell r="K1083">
            <v>0</v>
          </cell>
          <cell r="L1083">
            <v>300000</v>
          </cell>
          <cell r="M1083" t="str">
            <v>JUMBO PEÑALOLEN</v>
          </cell>
          <cell r="P1083" t="str">
            <v>PENALOLEN</v>
          </cell>
          <cell r="Q1083" t="str">
            <v>TRADICIONAL</v>
          </cell>
          <cell r="R1083" t="str">
            <v>Supermercado - Santiago</v>
          </cell>
          <cell r="S1083" t="str">
            <v>Jumbo</v>
          </cell>
          <cell r="T1083" t="str">
            <v>Paletas</v>
          </cell>
          <cell r="U1083">
            <v>1</v>
          </cell>
          <cell r="V1083" t="str">
            <v>1.20 * 1.70</v>
          </cell>
        </row>
        <row r="1084">
          <cell r="A1084" t="str">
            <v>JUPE0004A</v>
          </cell>
          <cell r="B1084" t="str">
            <v>Supermercado</v>
          </cell>
          <cell r="D1084" t="str">
            <v>Paletas</v>
          </cell>
          <cell r="E1084" t="str">
            <v>Paletas</v>
          </cell>
          <cell r="F1084" t="str">
            <v>1.20 * 1.70</v>
          </cell>
          <cell r="G1084" t="str">
            <v>1.23 * 1.75</v>
          </cell>
          <cell r="H1084" t="str">
            <v>E</v>
          </cell>
          <cell r="I1084" t="str">
            <v>ESTACIONAMIENTO</v>
          </cell>
          <cell r="J1084">
            <v>0</v>
          </cell>
          <cell r="K1084">
            <v>0</v>
          </cell>
          <cell r="L1084">
            <v>300000</v>
          </cell>
          <cell r="M1084" t="str">
            <v>JUMBO PEÑALOLEN</v>
          </cell>
          <cell r="P1084" t="str">
            <v>PENALOLEN</v>
          </cell>
          <cell r="Q1084" t="str">
            <v>TRADICIONAL</v>
          </cell>
          <cell r="R1084" t="str">
            <v>Supermercado - Santiago</v>
          </cell>
          <cell r="S1084" t="str">
            <v>Jumbo</v>
          </cell>
          <cell r="T1084" t="str">
            <v>Paletas</v>
          </cell>
          <cell r="U1084">
            <v>1</v>
          </cell>
          <cell r="V1084" t="str">
            <v>1.20 * 1.70</v>
          </cell>
        </row>
        <row r="1085">
          <cell r="A1085" t="str">
            <v>JUPE0005A</v>
          </cell>
          <cell r="B1085" t="str">
            <v>Supermercado</v>
          </cell>
          <cell r="D1085" t="str">
            <v>Paletas</v>
          </cell>
          <cell r="E1085" t="str">
            <v>Paletas</v>
          </cell>
          <cell r="F1085" t="str">
            <v>1.20 * 1.70</v>
          </cell>
          <cell r="G1085" t="str">
            <v>1.23 * 1.75</v>
          </cell>
          <cell r="H1085" t="str">
            <v>E</v>
          </cell>
          <cell r="I1085" t="str">
            <v>ESTACIONAMIENTO</v>
          </cell>
          <cell r="J1085">
            <v>0</v>
          </cell>
          <cell r="K1085">
            <v>0</v>
          </cell>
          <cell r="L1085">
            <v>300000</v>
          </cell>
          <cell r="M1085" t="str">
            <v>JUMBO PEÑALOLEN</v>
          </cell>
          <cell r="P1085" t="str">
            <v>PENALOLEN</v>
          </cell>
          <cell r="Q1085" t="str">
            <v>TRADICIONAL</v>
          </cell>
          <cell r="R1085" t="str">
            <v>Supermercado - Santiago</v>
          </cell>
          <cell r="S1085" t="str">
            <v>Jumbo</v>
          </cell>
          <cell r="T1085" t="str">
            <v>Paletas</v>
          </cell>
          <cell r="U1085">
            <v>1</v>
          </cell>
          <cell r="V1085" t="str">
            <v>1.20 * 1.70</v>
          </cell>
        </row>
        <row r="1086">
          <cell r="A1086" t="str">
            <v>JUPE0005B</v>
          </cell>
          <cell r="B1086" t="str">
            <v>Supermercado</v>
          </cell>
          <cell r="D1086" t="str">
            <v>NO VENDIBLE</v>
          </cell>
          <cell r="E1086" t="str">
            <v>Paletas</v>
          </cell>
          <cell r="F1086" t="str">
            <v>1.20 * 1.70</v>
          </cell>
          <cell r="G1086" t="str">
            <v>1.23 * 1.75</v>
          </cell>
          <cell r="H1086" t="str">
            <v>E</v>
          </cell>
          <cell r="I1086" t="str">
            <v>ESTACIONAMIENTOS</v>
          </cell>
          <cell r="J1086">
            <v>0</v>
          </cell>
          <cell r="K1086">
            <v>0</v>
          </cell>
          <cell r="L1086">
            <v>300000</v>
          </cell>
          <cell r="M1086" t="str">
            <v>JUMBO PEÑALOLEN</v>
          </cell>
          <cell r="O1086" t="str">
            <v>Sí</v>
          </cell>
          <cell r="P1086" t="str">
            <v>PENALOLEN</v>
          </cell>
          <cell r="Q1086" t="str">
            <v>TRADICIONAL</v>
          </cell>
          <cell r="R1086" t="str">
            <v>Supermercado - Santiago</v>
          </cell>
          <cell r="S1086" t="str">
            <v>Jumbo</v>
          </cell>
          <cell r="T1086" t="str">
            <v>Paletas</v>
          </cell>
          <cell r="U1086">
            <v>1</v>
          </cell>
          <cell r="V1086" t="str">
            <v>1.20 * 1.70</v>
          </cell>
        </row>
        <row r="1087">
          <cell r="A1087" t="str">
            <v>JUPE0006A</v>
          </cell>
          <cell r="B1087" t="str">
            <v>Supermercado</v>
          </cell>
          <cell r="D1087" t="str">
            <v>P.E.: LOCKERS</v>
          </cell>
          <cell r="E1087" t="str">
            <v>LOCKERS</v>
          </cell>
          <cell r="F1087" t="str">
            <v>Ver ficha</v>
          </cell>
          <cell r="G1087" t="str">
            <v>Ver ficha</v>
          </cell>
          <cell r="J1087">
            <v>34000</v>
          </cell>
          <cell r="L1087">
            <v>850000</v>
          </cell>
          <cell r="M1087" t="str">
            <v>JUMBO PEÑALOLEN</v>
          </cell>
          <cell r="P1087" t="str">
            <v>PENALOLEN</v>
          </cell>
          <cell r="Q1087" t="str">
            <v>ESPECIAL</v>
          </cell>
          <cell r="R1087" t="str">
            <v>Supermercado - Santiago</v>
          </cell>
          <cell r="T1087" t="str">
            <v>Productos Especiales</v>
          </cell>
          <cell r="U1087">
            <v>1</v>
          </cell>
          <cell r="V1087" t="str">
            <v>NA</v>
          </cell>
        </row>
        <row r="1088">
          <cell r="A1088" t="str">
            <v>JUPE0006B</v>
          </cell>
          <cell r="B1088" t="str">
            <v>Supermercado</v>
          </cell>
          <cell r="D1088" t="str">
            <v>P.E.: LOCKERS</v>
          </cell>
          <cell r="E1088" t="str">
            <v>LOCKERS</v>
          </cell>
          <cell r="F1088" t="str">
            <v>Ver ficha</v>
          </cell>
          <cell r="G1088" t="str">
            <v>Ver ficha</v>
          </cell>
          <cell r="J1088">
            <v>38000</v>
          </cell>
          <cell r="L1088">
            <v>850000</v>
          </cell>
          <cell r="M1088" t="str">
            <v>JUMBO PEÑALOLEN</v>
          </cell>
          <cell r="P1088" t="str">
            <v>PENALOLEN</v>
          </cell>
          <cell r="Q1088" t="str">
            <v>ESPECIAL</v>
          </cell>
          <cell r="R1088" t="str">
            <v>Supermercado - Santiago</v>
          </cell>
          <cell r="T1088" t="str">
            <v>Productos Especiales</v>
          </cell>
          <cell r="U1088">
            <v>1</v>
          </cell>
          <cell r="V1088" t="str">
            <v>NA</v>
          </cell>
        </row>
        <row r="1089">
          <cell r="A1089" t="str">
            <v>JUPE004B</v>
          </cell>
          <cell r="B1089" t="str">
            <v>Supermercado</v>
          </cell>
          <cell r="D1089" t="str">
            <v>NO VENDIBLE</v>
          </cell>
          <cell r="E1089" t="str">
            <v>Paletas</v>
          </cell>
          <cell r="F1089" t="str">
            <v>1.20 * 1.70</v>
          </cell>
          <cell r="G1089" t="str">
            <v>1.23 * 1.75</v>
          </cell>
          <cell r="H1089" t="str">
            <v>E</v>
          </cell>
          <cell r="J1089">
            <v>0</v>
          </cell>
          <cell r="K1089">
            <v>0</v>
          </cell>
          <cell r="L1089">
            <v>300000</v>
          </cell>
          <cell r="M1089" t="str">
            <v>JUMBO PEÑALOLEN</v>
          </cell>
          <cell r="O1089" t="str">
            <v>Sí</v>
          </cell>
          <cell r="P1089" t="str">
            <v>PENALOLEN</v>
          </cell>
          <cell r="Q1089" t="str">
            <v>TRADICIONAL</v>
          </cell>
          <cell r="R1089" t="str">
            <v>Supermercado - Santiago</v>
          </cell>
          <cell r="S1089" t="str">
            <v>Jumbo</v>
          </cell>
          <cell r="T1089" t="str">
            <v>Paletas</v>
          </cell>
          <cell r="U1089">
            <v>1</v>
          </cell>
          <cell r="V1089" t="str">
            <v>1.20 * 1.70</v>
          </cell>
        </row>
        <row r="1090">
          <cell r="A1090" t="str">
            <v>LIDE0012A</v>
          </cell>
          <cell r="B1090" t="str">
            <v>Supermercado</v>
          </cell>
          <cell r="D1090" t="str">
            <v>P.E.: CORPOREO</v>
          </cell>
          <cell r="E1090" t="str">
            <v>CORPOREO</v>
          </cell>
          <cell r="F1090" t="str">
            <v>Ver Ficha</v>
          </cell>
          <cell r="G1090" t="str">
            <v>Ver Ficha</v>
          </cell>
          <cell r="H1090" t="str">
            <v>X</v>
          </cell>
          <cell r="I1090" t="str">
            <v>EXTERIORES</v>
          </cell>
          <cell r="J1090">
            <v>2000000</v>
          </cell>
          <cell r="L1090">
            <v>2000000</v>
          </cell>
          <cell r="M1090" t="str">
            <v>LIDER DEPARTAMENTAL</v>
          </cell>
          <cell r="P1090" t="str">
            <v>LA FLORIDA</v>
          </cell>
          <cell r="Q1090" t="str">
            <v>ESPECIAL</v>
          </cell>
          <cell r="R1090" t="str">
            <v>Supermercado - Santiago</v>
          </cell>
          <cell r="S1090" t="str">
            <v>Lider</v>
          </cell>
          <cell r="T1090" t="str">
            <v>Productos Especiales</v>
          </cell>
          <cell r="U1090">
            <v>1</v>
          </cell>
          <cell r="V1090" t="str">
            <v>Ver Ficha</v>
          </cell>
        </row>
        <row r="1091">
          <cell r="A1091" t="str">
            <v>LIGA0014A</v>
          </cell>
          <cell r="B1091" t="str">
            <v>Supermercado</v>
          </cell>
          <cell r="D1091" t="str">
            <v>P.E.: CORPOREO</v>
          </cell>
          <cell r="E1091" t="str">
            <v>CORPOREO</v>
          </cell>
          <cell r="F1091" t="str">
            <v>Ver Ficha</v>
          </cell>
          <cell r="G1091" t="str">
            <v>Ver Ficha</v>
          </cell>
          <cell r="H1091" t="str">
            <v>X</v>
          </cell>
          <cell r="I1091" t="str">
            <v>EXTERIORES</v>
          </cell>
          <cell r="J1091" t="str">
            <v>SEGÚN CORPOREO</v>
          </cell>
          <cell r="L1091">
            <v>1500000</v>
          </cell>
          <cell r="M1091" t="str">
            <v>LIDER GRAN AVENIDA</v>
          </cell>
          <cell r="P1091" t="str">
            <v>SAN MIGUEL</v>
          </cell>
          <cell r="Q1091" t="str">
            <v>ESPECIAL</v>
          </cell>
          <cell r="R1091" t="str">
            <v>Supermercado - Santiago</v>
          </cell>
          <cell r="S1091" t="str">
            <v>Lider</v>
          </cell>
          <cell r="T1091" t="str">
            <v>Productos Especiales</v>
          </cell>
          <cell r="U1091">
            <v>1</v>
          </cell>
          <cell r="V1091" t="str">
            <v>Ver Ficha</v>
          </cell>
        </row>
        <row r="1092">
          <cell r="A1092" t="str">
            <v>LIOE0023</v>
          </cell>
          <cell r="B1092" t="str">
            <v>Supermercado</v>
          </cell>
          <cell r="D1092" t="str">
            <v>P.E.: CORPOREO</v>
          </cell>
          <cell r="E1092" t="str">
            <v>CORPOREO</v>
          </cell>
          <cell r="F1092" t="str">
            <v>Ver Ficha</v>
          </cell>
          <cell r="G1092" t="str">
            <v>Ver Ficha</v>
          </cell>
          <cell r="J1092" t="str">
            <v>Según Corporeo</v>
          </cell>
          <cell r="L1092">
            <v>1500000</v>
          </cell>
          <cell r="M1092" t="str">
            <v>LIDER OESTE</v>
          </cell>
          <cell r="P1092" t="str">
            <v>CERRILLOS</v>
          </cell>
          <cell r="Q1092" t="str">
            <v>ESPECIAL</v>
          </cell>
          <cell r="R1092" t="str">
            <v>Supermercado - Santiago</v>
          </cell>
          <cell r="S1092" t="str">
            <v>Lider</v>
          </cell>
          <cell r="T1092" t="str">
            <v>Productos Especiales</v>
          </cell>
          <cell r="U1092">
            <v>1</v>
          </cell>
          <cell r="V1092" t="str">
            <v>NA</v>
          </cell>
        </row>
        <row r="1093">
          <cell r="A1093" t="str">
            <v>LIOE0025A</v>
          </cell>
          <cell r="B1093" t="str">
            <v>Supermercado</v>
          </cell>
          <cell r="D1093" t="str">
            <v>P.E.: PANEL ACCESO</v>
          </cell>
          <cell r="E1093" t="str">
            <v>PANEL ACCESO</v>
          </cell>
          <cell r="F1093" t="str">
            <v>Ver Ficha</v>
          </cell>
          <cell r="G1093" t="str">
            <v>Ver Ficha</v>
          </cell>
          <cell r="J1093">
            <v>170000</v>
          </cell>
          <cell r="L1093">
            <v>1675000</v>
          </cell>
          <cell r="M1093" t="str">
            <v>LIDER OESTE</v>
          </cell>
          <cell r="P1093" t="str">
            <v>CERRILLOS</v>
          </cell>
          <cell r="Q1093" t="str">
            <v>ESPECIAL</v>
          </cell>
          <cell r="R1093" t="str">
            <v>Supermercado - Santiago</v>
          </cell>
          <cell r="S1093" t="str">
            <v>Lider</v>
          </cell>
          <cell r="T1093" t="str">
            <v>Productos Especiales</v>
          </cell>
          <cell r="U1093">
            <v>1</v>
          </cell>
          <cell r="V1093" t="str">
            <v>NA</v>
          </cell>
        </row>
        <row r="1094">
          <cell r="A1094" t="str">
            <v>JUBI0001A</v>
          </cell>
          <cell r="B1094" t="str">
            <v>Supermercado</v>
          </cell>
          <cell r="D1094" t="str">
            <v>Paletas</v>
          </cell>
          <cell r="E1094" t="str">
            <v>PALETAS SCREEN NUEVAS</v>
          </cell>
          <cell r="F1094" t="str">
            <v>1.20 * 1.70</v>
          </cell>
          <cell r="G1094" t="str">
            <v>1.23 * 1.75</v>
          </cell>
          <cell r="H1094" t="str">
            <v>E</v>
          </cell>
          <cell r="I1094" t="str">
            <v>ESTACIONAMIENTOS</v>
          </cell>
          <cell r="J1094">
            <v>0</v>
          </cell>
          <cell r="K1094">
            <v>0</v>
          </cell>
          <cell r="L1094">
            <v>320000</v>
          </cell>
          <cell r="M1094" t="str">
            <v>JUMBO BILBAO</v>
          </cell>
          <cell r="P1094" t="str">
            <v>LAS CONDES</v>
          </cell>
          <cell r="Q1094" t="str">
            <v>TRADICIONAL</v>
          </cell>
          <cell r="R1094" t="str">
            <v>Supermercado - Santiago</v>
          </cell>
          <cell r="S1094" t="str">
            <v>Jumbo</v>
          </cell>
          <cell r="T1094" t="str">
            <v>Paletas</v>
          </cell>
          <cell r="U1094">
            <v>1</v>
          </cell>
          <cell r="V1094" t="str">
            <v>1.20 * 1.70</v>
          </cell>
        </row>
        <row r="1095">
          <cell r="A1095" t="str">
            <v>JUBI0001B</v>
          </cell>
          <cell r="B1095" t="str">
            <v>Supermercado</v>
          </cell>
          <cell r="D1095" t="str">
            <v>Paletas</v>
          </cell>
          <cell r="E1095" t="str">
            <v>PALETAS SCREEN NUEVAS</v>
          </cell>
          <cell r="F1095" t="str">
            <v>1.20 * 1.70</v>
          </cell>
          <cell r="G1095" t="str">
            <v>1.23 * 1.75</v>
          </cell>
          <cell r="H1095" t="str">
            <v>E</v>
          </cell>
          <cell r="I1095" t="str">
            <v>ESTACIONAMIENTOS</v>
          </cell>
          <cell r="J1095">
            <v>0</v>
          </cell>
          <cell r="K1095">
            <v>0</v>
          </cell>
          <cell r="L1095">
            <v>320000</v>
          </cell>
          <cell r="M1095" t="str">
            <v>JUMBO BILBAO</v>
          </cell>
          <cell r="P1095" t="str">
            <v>LAS CONDES</v>
          </cell>
          <cell r="Q1095" t="str">
            <v>TRADICIONAL</v>
          </cell>
          <cell r="R1095" t="str">
            <v>Supermercado - Santiago</v>
          </cell>
          <cell r="S1095" t="str">
            <v>Jumbo</v>
          </cell>
          <cell r="T1095" t="str">
            <v>Paletas</v>
          </cell>
          <cell r="U1095">
            <v>1</v>
          </cell>
          <cell r="V1095" t="str">
            <v>1.20 * 1.70</v>
          </cell>
        </row>
        <row r="1096">
          <cell r="A1096" t="str">
            <v>JUBI0002A</v>
          </cell>
          <cell r="B1096" t="str">
            <v>Supermercado</v>
          </cell>
          <cell r="D1096" t="str">
            <v>Paletas</v>
          </cell>
          <cell r="E1096" t="str">
            <v>PALETAS SCREEN NUEVAS</v>
          </cell>
          <cell r="F1096" t="str">
            <v>1.20 * 1.70</v>
          </cell>
          <cell r="G1096" t="str">
            <v>1.23 * 1.75</v>
          </cell>
          <cell r="H1096" t="str">
            <v>E</v>
          </cell>
          <cell r="I1096" t="str">
            <v>ESTACIONAMIENTOS</v>
          </cell>
          <cell r="J1096">
            <v>0</v>
          </cell>
          <cell r="K1096">
            <v>0</v>
          </cell>
          <cell r="L1096">
            <v>320000</v>
          </cell>
          <cell r="M1096" t="str">
            <v>JUMBO BILBAO</v>
          </cell>
          <cell r="P1096" t="str">
            <v>LAS CONDES</v>
          </cell>
          <cell r="Q1096" t="str">
            <v>TRADICIONAL</v>
          </cell>
          <cell r="R1096" t="str">
            <v>Supermercado - Santiago</v>
          </cell>
          <cell r="S1096" t="str">
            <v>Jumbo</v>
          </cell>
          <cell r="T1096" t="str">
            <v>Paletas</v>
          </cell>
          <cell r="U1096">
            <v>1</v>
          </cell>
          <cell r="V1096" t="str">
            <v>1.20 * 1.70</v>
          </cell>
        </row>
        <row r="1097">
          <cell r="A1097" t="str">
            <v>JUBI0002B</v>
          </cell>
          <cell r="B1097" t="str">
            <v>Supermercado</v>
          </cell>
          <cell r="D1097" t="str">
            <v>Paletas</v>
          </cell>
          <cell r="E1097" t="str">
            <v>PALETAS SCREEN NUEVAS</v>
          </cell>
          <cell r="F1097" t="str">
            <v>1.20 * 1.70</v>
          </cell>
          <cell r="G1097" t="str">
            <v>1.23 * 1.75</v>
          </cell>
          <cell r="H1097" t="str">
            <v>E</v>
          </cell>
          <cell r="I1097" t="str">
            <v>ESTACIONAMIENTOS</v>
          </cell>
          <cell r="J1097">
            <v>0</v>
          </cell>
          <cell r="K1097">
            <v>0</v>
          </cell>
          <cell r="L1097">
            <v>320000</v>
          </cell>
          <cell r="M1097" t="str">
            <v>JUMBO BILBAO</v>
          </cell>
          <cell r="P1097" t="str">
            <v>LAS CONDES</v>
          </cell>
          <cell r="Q1097" t="str">
            <v>TRADICIONAL</v>
          </cell>
          <cell r="R1097" t="str">
            <v>Supermercado - Santiago</v>
          </cell>
          <cell r="S1097" t="str">
            <v>Jumbo</v>
          </cell>
          <cell r="T1097" t="str">
            <v>Paletas</v>
          </cell>
          <cell r="U1097">
            <v>1</v>
          </cell>
          <cell r="V1097" t="str">
            <v>1.20 * 1.70</v>
          </cell>
        </row>
        <row r="1098">
          <cell r="A1098" t="str">
            <v>JUBI0003A</v>
          </cell>
          <cell r="B1098" t="str">
            <v>Supermercado</v>
          </cell>
          <cell r="D1098" t="str">
            <v>Paletas</v>
          </cell>
          <cell r="E1098" t="str">
            <v>PALETAS SCREEN NUEVAS</v>
          </cell>
          <cell r="F1098" t="str">
            <v>1.20 * 1.70</v>
          </cell>
          <cell r="G1098" t="str">
            <v>1.23 * 1.75</v>
          </cell>
          <cell r="H1098" t="str">
            <v>E</v>
          </cell>
          <cell r="I1098" t="str">
            <v>ESTACIONAMIENTOS</v>
          </cell>
          <cell r="J1098">
            <v>0</v>
          </cell>
          <cell r="K1098">
            <v>0</v>
          </cell>
          <cell r="L1098">
            <v>320000</v>
          </cell>
          <cell r="M1098" t="str">
            <v>JUMBO BILBAO</v>
          </cell>
          <cell r="P1098" t="str">
            <v>LAS CONDES</v>
          </cell>
          <cell r="Q1098" t="str">
            <v>TRADICIONAL</v>
          </cell>
          <cell r="R1098" t="str">
            <v>Supermercado - Santiago</v>
          </cell>
          <cell r="S1098" t="str">
            <v>Jumbo</v>
          </cell>
          <cell r="T1098" t="str">
            <v>Paletas</v>
          </cell>
          <cell r="U1098">
            <v>1</v>
          </cell>
          <cell r="V1098" t="str">
            <v>1.20 * 1.70</v>
          </cell>
        </row>
        <row r="1099">
          <cell r="A1099" t="str">
            <v>JUBI0003B</v>
          </cell>
          <cell r="B1099" t="str">
            <v>Supermercado</v>
          </cell>
          <cell r="D1099" t="str">
            <v>Paletas</v>
          </cell>
          <cell r="E1099" t="str">
            <v>PALETAS SCREEN NUEVAS</v>
          </cell>
          <cell r="F1099" t="str">
            <v>1.20 * 1.70</v>
          </cell>
          <cell r="G1099" t="str">
            <v>1.23 * 1.75</v>
          </cell>
          <cell r="H1099" t="str">
            <v>E</v>
          </cell>
          <cell r="I1099" t="str">
            <v>ESTACIONAMIENTOS</v>
          </cell>
          <cell r="J1099">
            <v>0</v>
          </cell>
          <cell r="K1099">
            <v>0</v>
          </cell>
          <cell r="L1099">
            <v>320000</v>
          </cell>
          <cell r="M1099" t="str">
            <v>JUMBO BILBAO</v>
          </cell>
          <cell r="P1099" t="str">
            <v>LAS CONDES</v>
          </cell>
          <cell r="Q1099" t="str">
            <v>TRADICIONAL</v>
          </cell>
          <cell r="R1099" t="str">
            <v>Supermercado - Santiago</v>
          </cell>
          <cell r="S1099" t="str">
            <v>Jumbo</v>
          </cell>
          <cell r="T1099" t="str">
            <v>Paletas</v>
          </cell>
          <cell r="U1099">
            <v>1</v>
          </cell>
          <cell r="V1099" t="str">
            <v>1.20 * 1.70</v>
          </cell>
        </row>
        <row r="1100">
          <cell r="A1100" t="str">
            <v>JUBI0004A</v>
          </cell>
          <cell r="B1100" t="str">
            <v>Supermercado</v>
          </cell>
          <cell r="D1100" t="str">
            <v>Paletas</v>
          </cell>
          <cell r="E1100" t="str">
            <v>PALETAS SCREEN NUEVAS</v>
          </cell>
          <cell r="F1100" t="str">
            <v>1.20 * 1.70</v>
          </cell>
          <cell r="G1100" t="str">
            <v>1.23 * 1.75</v>
          </cell>
          <cell r="H1100" t="str">
            <v>E</v>
          </cell>
          <cell r="I1100" t="str">
            <v>ESTACIONAMIENTOS</v>
          </cell>
          <cell r="J1100">
            <v>0</v>
          </cell>
          <cell r="K1100">
            <v>0</v>
          </cell>
          <cell r="L1100">
            <v>320000</v>
          </cell>
          <cell r="M1100" t="str">
            <v>JUMBO BILBAO</v>
          </cell>
          <cell r="P1100" t="str">
            <v>LAS CONDES</v>
          </cell>
          <cell r="Q1100" t="str">
            <v>TRADICIONAL</v>
          </cell>
          <cell r="R1100" t="str">
            <v>Supermercado - Santiago</v>
          </cell>
          <cell r="S1100" t="str">
            <v>Jumbo</v>
          </cell>
          <cell r="T1100" t="str">
            <v>Paletas</v>
          </cell>
          <cell r="U1100">
            <v>1</v>
          </cell>
          <cell r="V1100" t="str">
            <v>1.20 * 1.70</v>
          </cell>
        </row>
        <row r="1101">
          <cell r="A1101" t="str">
            <v>JUBI0004B</v>
          </cell>
          <cell r="B1101" t="str">
            <v>Supermercado</v>
          </cell>
          <cell r="D1101" t="str">
            <v>Paletas</v>
          </cell>
          <cell r="E1101" t="str">
            <v>PALETAS SCREEN NUEVAS</v>
          </cell>
          <cell r="F1101" t="str">
            <v>1.20 * 1.70</v>
          </cell>
          <cell r="G1101" t="str">
            <v>1.23 * 1.75</v>
          </cell>
          <cell r="H1101" t="str">
            <v>E</v>
          </cell>
          <cell r="I1101" t="str">
            <v>ESTACIONAMIENTOS</v>
          </cell>
          <cell r="J1101">
            <v>0</v>
          </cell>
          <cell r="K1101">
            <v>0</v>
          </cell>
          <cell r="L1101">
            <v>320000</v>
          </cell>
          <cell r="M1101" t="str">
            <v>JUMBO BILBAO</v>
          </cell>
          <cell r="P1101" t="str">
            <v>LAS CONDES</v>
          </cell>
          <cell r="Q1101" t="str">
            <v>TRADICIONAL</v>
          </cell>
          <cell r="R1101" t="str">
            <v>Supermercado - Santiago</v>
          </cell>
          <cell r="S1101" t="str">
            <v>Jumbo</v>
          </cell>
          <cell r="T1101" t="str">
            <v>Paletas</v>
          </cell>
          <cell r="U1101">
            <v>1</v>
          </cell>
          <cell r="V1101" t="str">
            <v>1.20 * 1.70</v>
          </cell>
        </row>
        <row r="1102">
          <cell r="A1102" t="str">
            <v>JUBI0005A</v>
          </cell>
          <cell r="B1102" t="str">
            <v>Supermercado</v>
          </cell>
          <cell r="D1102" t="str">
            <v>Paletas</v>
          </cell>
          <cell r="E1102" t="str">
            <v>PALETAS SCREEN NUEVAS</v>
          </cell>
          <cell r="F1102" t="str">
            <v>1.20 * 1.70</v>
          </cell>
          <cell r="G1102" t="str">
            <v>1.23 * 1.75</v>
          </cell>
          <cell r="H1102" t="str">
            <v>E</v>
          </cell>
          <cell r="I1102" t="str">
            <v>ESTACIONAMIENTOS</v>
          </cell>
          <cell r="J1102">
            <v>0</v>
          </cell>
          <cell r="K1102">
            <v>0</v>
          </cell>
          <cell r="L1102">
            <v>320000</v>
          </cell>
          <cell r="M1102" t="str">
            <v>JUMBO BILBAO</v>
          </cell>
          <cell r="P1102" t="str">
            <v>LAS CONDES</v>
          </cell>
          <cell r="Q1102" t="str">
            <v>TRADICIONAL</v>
          </cell>
          <cell r="R1102" t="str">
            <v>Supermercado - Santiago</v>
          </cell>
          <cell r="S1102" t="str">
            <v>Jumbo</v>
          </cell>
          <cell r="T1102" t="str">
            <v>Paletas</v>
          </cell>
          <cell r="U1102">
            <v>1</v>
          </cell>
          <cell r="V1102" t="str">
            <v>1.20 * 1.70</v>
          </cell>
        </row>
        <row r="1103">
          <cell r="A1103" t="str">
            <v>JUBI0005B</v>
          </cell>
          <cell r="B1103" t="str">
            <v>Supermercado</v>
          </cell>
          <cell r="D1103" t="str">
            <v>Paletas</v>
          </cell>
          <cell r="E1103" t="str">
            <v>PALETAS SCREEN NUEVAS</v>
          </cell>
          <cell r="F1103" t="str">
            <v>1.20 * 1.70</v>
          </cell>
          <cell r="G1103" t="str">
            <v>1.23 * 1.75</v>
          </cell>
          <cell r="H1103" t="str">
            <v>E</v>
          </cell>
          <cell r="I1103" t="str">
            <v>ESTACIONAMIENTOS</v>
          </cell>
          <cell r="J1103">
            <v>0</v>
          </cell>
          <cell r="K1103">
            <v>0</v>
          </cell>
          <cell r="L1103">
            <v>320000</v>
          </cell>
          <cell r="M1103" t="str">
            <v>JUMBO BILBAO</v>
          </cell>
          <cell r="P1103" t="str">
            <v>LAS CONDES</v>
          </cell>
          <cell r="Q1103" t="str">
            <v>TRADICIONAL</v>
          </cell>
          <cell r="R1103" t="str">
            <v>Supermercado - Santiago</v>
          </cell>
          <cell r="S1103" t="str">
            <v>Jumbo</v>
          </cell>
          <cell r="T1103" t="str">
            <v>Paletas</v>
          </cell>
          <cell r="U1103">
            <v>1</v>
          </cell>
          <cell r="V1103" t="str">
            <v>1.20 * 1.70</v>
          </cell>
        </row>
        <row r="1104">
          <cell r="A1104" t="str">
            <v>JUBI0006A</v>
          </cell>
          <cell r="B1104" t="str">
            <v>Supermercado</v>
          </cell>
          <cell r="D1104" t="str">
            <v>Paletas</v>
          </cell>
          <cell r="E1104" t="str">
            <v>PALETAS SCREEN NUEVAS</v>
          </cell>
          <cell r="F1104" t="str">
            <v>1.20 * 1.70</v>
          </cell>
          <cell r="G1104" t="str">
            <v>1.23 * 1.75</v>
          </cell>
          <cell r="H1104" t="str">
            <v>E</v>
          </cell>
          <cell r="I1104" t="str">
            <v>ESTACIONAMIENTOS</v>
          </cell>
          <cell r="J1104">
            <v>0</v>
          </cell>
          <cell r="K1104">
            <v>0</v>
          </cell>
          <cell r="L1104">
            <v>320000</v>
          </cell>
          <cell r="M1104" t="str">
            <v>JUMBO BILBAO</v>
          </cell>
          <cell r="P1104" t="str">
            <v>LAS CONDES</v>
          </cell>
          <cell r="Q1104" t="str">
            <v>TRADICIONAL</v>
          </cell>
          <cell r="R1104" t="str">
            <v>Supermercado - Santiago</v>
          </cell>
          <cell r="S1104" t="str">
            <v>Jumbo</v>
          </cell>
          <cell r="T1104" t="str">
            <v>Paletas</v>
          </cell>
          <cell r="U1104">
            <v>1</v>
          </cell>
          <cell r="V1104" t="str">
            <v>1.20 * 1.70</v>
          </cell>
        </row>
        <row r="1105">
          <cell r="A1105" t="str">
            <v>JUBI0006B</v>
          </cell>
          <cell r="B1105" t="str">
            <v>Supermercado</v>
          </cell>
          <cell r="D1105" t="str">
            <v>Paletas</v>
          </cell>
          <cell r="E1105" t="str">
            <v>PALETAS SCREEN NUEVAS</v>
          </cell>
          <cell r="F1105" t="str">
            <v>1.20 * 1.70</v>
          </cell>
          <cell r="G1105" t="str">
            <v>1.23 * 1.75</v>
          </cell>
          <cell r="H1105" t="str">
            <v>E</v>
          </cell>
          <cell r="I1105" t="str">
            <v>ESTACIONAMIENTOS</v>
          </cell>
          <cell r="J1105">
            <v>0</v>
          </cell>
          <cell r="K1105">
            <v>0</v>
          </cell>
          <cell r="L1105">
            <v>320000</v>
          </cell>
          <cell r="M1105" t="str">
            <v>JUMBO BILBAO</v>
          </cell>
          <cell r="P1105" t="str">
            <v>LAS CONDES</v>
          </cell>
          <cell r="Q1105" t="str">
            <v>TRADICIONAL</v>
          </cell>
          <cell r="R1105" t="str">
            <v>Supermercado - Santiago</v>
          </cell>
          <cell r="S1105" t="str">
            <v>Jumbo</v>
          </cell>
          <cell r="T1105" t="str">
            <v>Paletas</v>
          </cell>
          <cell r="U1105">
            <v>1</v>
          </cell>
          <cell r="V1105" t="str">
            <v>1.20 * 1.70</v>
          </cell>
        </row>
        <row r="1106">
          <cell r="A1106" t="str">
            <v>JUBI0007A</v>
          </cell>
          <cell r="B1106" t="str">
            <v>Supermercado</v>
          </cell>
          <cell r="D1106" t="str">
            <v>Paletas</v>
          </cell>
          <cell r="E1106" t="str">
            <v>PALETAS SCREEN NUEVAS</v>
          </cell>
          <cell r="F1106" t="str">
            <v>1.20 * 1.70</v>
          </cell>
          <cell r="G1106" t="str">
            <v>1.23 * 1.75</v>
          </cell>
          <cell r="H1106" t="str">
            <v>E</v>
          </cell>
          <cell r="I1106" t="str">
            <v>ESTACIONAMIENTOS</v>
          </cell>
          <cell r="J1106">
            <v>0</v>
          </cell>
          <cell r="K1106">
            <v>0</v>
          </cell>
          <cell r="L1106">
            <v>320000</v>
          </cell>
          <cell r="M1106" t="str">
            <v>JUMBO BILBAO</v>
          </cell>
          <cell r="P1106" t="str">
            <v>LAS CONDES</v>
          </cell>
          <cell r="Q1106" t="str">
            <v>TRADICIONAL</v>
          </cell>
          <cell r="R1106" t="str">
            <v>Supermercado - Santiago</v>
          </cell>
          <cell r="S1106" t="str">
            <v>Jumbo</v>
          </cell>
          <cell r="T1106" t="str">
            <v>Paletas</v>
          </cell>
          <cell r="U1106">
            <v>1</v>
          </cell>
          <cell r="V1106" t="str">
            <v>1.20 * 1.70</v>
          </cell>
        </row>
        <row r="1107">
          <cell r="A1107" t="str">
            <v>JUBI0007B</v>
          </cell>
          <cell r="B1107" t="str">
            <v>Supermercado</v>
          </cell>
          <cell r="D1107" t="str">
            <v>Paletas</v>
          </cell>
          <cell r="E1107" t="str">
            <v>PALETAS SCREEN NUEVAS</v>
          </cell>
          <cell r="F1107" t="str">
            <v>1.20 * 1.70</v>
          </cell>
          <cell r="G1107" t="str">
            <v>1.23 * 1.75</v>
          </cell>
          <cell r="H1107" t="str">
            <v>E</v>
          </cell>
          <cell r="I1107" t="str">
            <v>ESTACIONAMIENTOS</v>
          </cell>
          <cell r="J1107">
            <v>0</v>
          </cell>
          <cell r="K1107">
            <v>0</v>
          </cell>
          <cell r="L1107">
            <v>320000</v>
          </cell>
          <cell r="M1107" t="str">
            <v>JUMBO BILBAO</v>
          </cell>
          <cell r="P1107" t="str">
            <v>LAS CONDES</v>
          </cell>
          <cell r="Q1107" t="str">
            <v>TRADICIONAL</v>
          </cell>
          <cell r="R1107" t="str">
            <v>Supermercado - Santiago</v>
          </cell>
          <cell r="S1107" t="str">
            <v>Jumbo</v>
          </cell>
          <cell r="T1107" t="str">
            <v>Paletas</v>
          </cell>
          <cell r="U1107">
            <v>1</v>
          </cell>
          <cell r="V1107" t="str">
            <v>1.20 * 1.70</v>
          </cell>
        </row>
        <row r="1108">
          <cell r="A1108" t="str">
            <v>JUBI0008A</v>
          </cell>
          <cell r="B1108" t="str">
            <v>Supermercado</v>
          </cell>
          <cell r="D1108" t="str">
            <v>Paletas</v>
          </cell>
          <cell r="E1108" t="str">
            <v>PALETAS SCREEN NUEVAS</v>
          </cell>
          <cell r="F1108" t="str">
            <v>1.20 * 1.70</v>
          </cell>
          <cell r="G1108" t="str">
            <v>1.23 * 1.75</v>
          </cell>
          <cell r="H1108" t="str">
            <v>E</v>
          </cell>
          <cell r="I1108" t="str">
            <v>ESTACIONAMIENTOS</v>
          </cell>
          <cell r="J1108">
            <v>0</v>
          </cell>
          <cell r="K1108">
            <v>0</v>
          </cell>
          <cell r="L1108">
            <v>320000</v>
          </cell>
          <cell r="M1108" t="str">
            <v>JUMBO BILBAO</v>
          </cell>
          <cell r="P1108" t="str">
            <v>LAS CONDES</v>
          </cell>
          <cell r="Q1108" t="str">
            <v>TRADICIONAL</v>
          </cell>
          <cell r="R1108" t="str">
            <v>Supermercado - Santiago</v>
          </cell>
          <cell r="S1108" t="str">
            <v>Jumbo</v>
          </cell>
          <cell r="T1108" t="str">
            <v>Paletas</v>
          </cell>
          <cell r="U1108">
            <v>1</v>
          </cell>
          <cell r="V1108" t="str">
            <v>1.20 * 1.70</v>
          </cell>
        </row>
        <row r="1109">
          <cell r="A1109" t="str">
            <v>JUBI0008B</v>
          </cell>
          <cell r="B1109" t="str">
            <v>Supermercado</v>
          </cell>
          <cell r="D1109" t="str">
            <v>NO VENDIBLE</v>
          </cell>
          <cell r="E1109" t="str">
            <v>PALETAS SCREEN NUEVAS</v>
          </cell>
          <cell r="F1109" t="str">
            <v>1.20 * 1.70</v>
          </cell>
          <cell r="G1109" t="str">
            <v>1.23 * 1.75</v>
          </cell>
          <cell r="H1109" t="str">
            <v>E</v>
          </cell>
          <cell r="I1109" t="str">
            <v>ESTACIONAMIENTOS</v>
          </cell>
          <cell r="J1109">
            <v>0</v>
          </cell>
          <cell r="K1109">
            <v>0</v>
          </cell>
          <cell r="L1109">
            <v>250000</v>
          </cell>
          <cell r="M1109" t="str">
            <v>JUMBO BILBAO</v>
          </cell>
          <cell r="O1109" t="str">
            <v>Sí</v>
          </cell>
          <cell r="P1109" t="str">
            <v>LAS CONDES</v>
          </cell>
          <cell r="Q1109" t="str">
            <v>TRADICIONAL</v>
          </cell>
          <cell r="R1109" t="str">
            <v>Supermercado - Santiago</v>
          </cell>
          <cell r="S1109" t="str">
            <v>Jumbo</v>
          </cell>
          <cell r="T1109" t="str">
            <v>Paletas</v>
          </cell>
          <cell r="U1109">
            <v>1</v>
          </cell>
          <cell r="V1109" t="str">
            <v>1.20 * 1.70</v>
          </cell>
        </row>
        <row r="1110">
          <cell r="A1110" t="str">
            <v>JUBI0009A</v>
          </cell>
          <cell r="B1110" t="str">
            <v>Supermercado</v>
          </cell>
          <cell r="D1110" t="str">
            <v>Paletas</v>
          </cell>
          <cell r="E1110" t="str">
            <v>PALETAS SCREEN NUEVAS</v>
          </cell>
          <cell r="F1110" t="str">
            <v>1.20 * 1.70</v>
          </cell>
          <cell r="G1110" t="str">
            <v>1.23 * 1.75</v>
          </cell>
          <cell r="H1110" t="str">
            <v>E</v>
          </cell>
          <cell r="I1110" t="str">
            <v>ESTACIONAMIENTOS</v>
          </cell>
          <cell r="J1110">
            <v>0</v>
          </cell>
          <cell r="K1110">
            <v>0</v>
          </cell>
          <cell r="L1110">
            <v>320000</v>
          </cell>
          <cell r="M1110" t="str">
            <v>JUMBO BILBAO</v>
          </cell>
          <cell r="P1110" t="str">
            <v>LAS CONDES</v>
          </cell>
          <cell r="Q1110" t="str">
            <v>TRADICIONAL</v>
          </cell>
          <cell r="R1110" t="str">
            <v>Supermercado - Santiago</v>
          </cell>
          <cell r="S1110" t="str">
            <v>Jumbo</v>
          </cell>
          <cell r="T1110" t="str">
            <v>Paletas</v>
          </cell>
          <cell r="U1110">
            <v>1</v>
          </cell>
          <cell r="V1110" t="str">
            <v>1.20 * 1.70</v>
          </cell>
        </row>
        <row r="1111">
          <cell r="A1111" t="str">
            <v>JUBI0009B</v>
          </cell>
          <cell r="B1111" t="str">
            <v>Supermercado</v>
          </cell>
          <cell r="D1111" t="str">
            <v>Paletas</v>
          </cell>
          <cell r="E1111" t="str">
            <v>PALETAS SCREEN NUEVAS</v>
          </cell>
          <cell r="F1111" t="str">
            <v>1.20 * 1.70</v>
          </cell>
          <cell r="G1111" t="str">
            <v>1.23 * 1.75</v>
          </cell>
          <cell r="H1111" t="str">
            <v>E</v>
          </cell>
          <cell r="I1111" t="str">
            <v>ESTACIONAMIENTOS</v>
          </cell>
          <cell r="J1111">
            <v>0</v>
          </cell>
          <cell r="K1111">
            <v>0</v>
          </cell>
          <cell r="L1111">
            <v>320000</v>
          </cell>
          <cell r="M1111" t="str">
            <v>JUMBO BILBAO</v>
          </cell>
          <cell r="P1111" t="str">
            <v>LAS CONDES</v>
          </cell>
          <cell r="Q1111" t="str">
            <v>TRADICIONAL</v>
          </cell>
          <cell r="R1111" t="str">
            <v>Supermercado - Santiago</v>
          </cell>
          <cell r="S1111" t="str">
            <v>Jumbo</v>
          </cell>
          <cell r="T1111" t="str">
            <v>Paletas</v>
          </cell>
          <cell r="U1111">
            <v>1</v>
          </cell>
          <cell r="V1111" t="str">
            <v>1.20 * 1.70</v>
          </cell>
        </row>
        <row r="1112">
          <cell r="A1112" t="str">
            <v>JUBI0010A</v>
          </cell>
          <cell r="B1112" t="str">
            <v>Supermercado</v>
          </cell>
          <cell r="D1112" t="str">
            <v>Paletas</v>
          </cell>
          <cell r="E1112" t="str">
            <v>PALETAS SCREEN NUEVAS</v>
          </cell>
          <cell r="F1112" t="str">
            <v>1.20 * 1.70</v>
          </cell>
          <cell r="G1112" t="str">
            <v>1.23 * 1.75</v>
          </cell>
          <cell r="H1112" t="str">
            <v>E</v>
          </cell>
          <cell r="I1112" t="str">
            <v>ESTACIONAMIENTOS</v>
          </cell>
          <cell r="J1112">
            <v>0</v>
          </cell>
          <cell r="K1112">
            <v>0</v>
          </cell>
          <cell r="L1112">
            <v>320000</v>
          </cell>
          <cell r="M1112" t="str">
            <v>JUMBO BILBAO</v>
          </cell>
          <cell r="P1112" t="str">
            <v>LAS CONDES</v>
          </cell>
          <cell r="Q1112" t="str">
            <v>TRADICIONAL</v>
          </cell>
          <cell r="R1112" t="str">
            <v>Supermercado - Santiago</v>
          </cell>
          <cell r="S1112" t="str">
            <v>Jumbo</v>
          </cell>
          <cell r="T1112" t="str">
            <v>Paletas</v>
          </cell>
          <cell r="U1112">
            <v>1</v>
          </cell>
          <cell r="V1112" t="str">
            <v>1.20 * 1.70</v>
          </cell>
        </row>
        <row r="1113">
          <cell r="A1113" t="str">
            <v>JUBI0010B</v>
          </cell>
          <cell r="B1113" t="str">
            <v>Supermercado</v>
          </cell>
          <cell r="D1113" t="str">
            <v>Paletas</v>
          </cell>
          <cell r="E1113" t="str">
            <v>PALETAS SCREEN NUEVAS</v>
          </cell>
          <cell r="F1113" t="str">
            <v>1.20 * 1.70</v>
          </cell>
          <cell r="G1113" t="str">
            <v>1.23 * 1.75</v>
          </cell>
          <cell r="H1113" t="str">
            <v>E</v>
          </cell>
          <cell r="I1113" t="str">
            <v>ESTACIONAMIENTOS</v>
          </cell>
          <cell r="J1113">
            <v>0</v>
          </cell>
          <cell r="K1113">
            <v>0</v>
          </cell>
          <cell r="L1113">
            <v>320000</v>
          </cell>
          <cell r="M1113" t="str">
            <v>JUMBO BILBAO</v>
          </cell>
          <cell r="P1113" t="str">
            <v>LAS CONDES</v>
          </cell>
          <cell r="Q1113" t="str">
            <v>TRADICIONAL</v>
          </cell>
          <cell r="R1113" t="str">
            <v>Supermercado - Santiago</v>
          </cell>
          <cell r="S1113" t="str">
            <v>Jumbo</v>
          </cell>
          <cell r="T1113" t="str">
            <v>Paletas</v>
          </cell>
          <cell r="U1113">
            <v>1</v>
          </cell>
          <cell r="V1113" t="str">
            <v>1.20 * 1.70</v>
          </cell>
        </row>
        <row r="1114">
          <cell r="A1114" t="str">
            <v>JUBI0011A</v>
          </cell>
          <cell r="B1114" t="str">
            <v>Supermercado</v>
          </cell>
          <cell r="D1114" t="str">
            <v>P.E.: LOTE COLUMNAS ESTACIONAMIENTO</v>
          </cell>
          <cell r="E1114" t="str">
            <v>LOTE COLUMNAS ESTACIONAMIENTO</v>
          </cell>
          <cell r="F1114" t="str">
            <v>Ver Ficha</v>
          </cell>
          <cell r="G1114" t="str">
            <v>Ver Ficha</v>
          </cell>
          <cell r="H1114" t="str">
            <v>S</v>
          </cell>
          <cell r="I1114" t="str">
            <v>ESTACIONAMIENTOS</v>
          </cell>
          <cell r="J1114">
            <v>1300000</v>
          </cell>
          <cell r="K1114">
            <v>0</v>
          </cell>
          <cell r="L1114">
            <v>7000000</v>
          </cell>
          <cell r="M1114" t="str">
            <v>JUMBO BILBAO</v>
          </cell>
          <cell r="P1114" t="str">
            <v>LAS CONDES</v>
          </cell>
          <cell r="Q1114" t="str">
            <v>ESPECIAL</v>
          </cell>
          <cell r="R1114" t="str">
            <v>Supermercado - Santiago</v>
          </cell>
          <cell r="S1114" t="str">
            <v>Jumbo</v>
          </cell>
          <cell r="T1114" t="str">
            <v>Productos Especiales</v>
          </cell>
          <cell r="U1114">
            <v>1</v>
          </cell>
          <cell r="V1114" t="str">
            <v>NA</v>
          </cell>
        </row>
        <row r="1115">
          <cell r="A1115" t="str">
            <v>JUBI0013A</v>
          </cell>
          <cell r="B1115" t="str">
            <v>Supermercado</v>
          </cell>
          <cell r="D1115" t="str">
            <v>P.E.: 2 LOCKERS</v>
          </cell>
          <cell r="E1115" t="str">
            <v>2 LOCKERS</v>
          </cell>
          <cell r="F1115" t="str">
            <v>Ver Ficha</v>
          </cell>
          <cell r="G1115" t="str">
            <v>Ver Ficha</v>
          </cell>
          <cell r="H1115" t="str">
            <v>S</v>
          </cell>
          <cell r="I1115" t="str">
            <v>ESTACIONAMIENTOS</v>
          </cell>
          <cell r="J1115">
            <v>30000</v>
          </cell>
          <cell r="K1115">
            <v>0</v>
          </cell>
          <cell r="L1115">
            <v>1800000</v>
          </cell>
          <cell r="M1115" t="str">
            <v>JUMBO BILBAO</v>
          </cell>
          <cell r="P1115" t="str">
            <v>LAS CONDES</v>
          </cell>
          <cell r="Q1115" t="str">
            <v>ESPECIAL</v>
          </cell>
          <cell r="R1115" t="str">
            <v>Supermercado - Santiago</v>
          </cell>
          <cell r="S1115" t="str">
            <v>Jumbo</v>
          </cell>
          <cell r="T1115" t="str">
            <v>Productos Especiales</v>
          </cell>
          <cell r="U1115">
            <v>1</v>
          </cell>
          <cell r="V1115" t="str">
            <v>NA</v>
          </cell>
        </row>
        <row r="1116">
          <cell r="A1116" t="str">
            <v>JUBI0015A</v>
          </cell>
          <cell r="B1116" t="str">
            <v>Supermercado</v>
          </cell>
          <cell r="D1116" t="str">
            <v>Paletas</v>
          </cell>
          <cell r="E1116" t="str">
            <v>PALETAS SCREEN NUEVAS</v>
          </cell>
          <cell r="F1116" t="str">
            <v>1.20 * 1.70</v>
          </cell>
          <cell r="G1116" t="str">
            <v>1.23 * 1.75</v>
          </cell>
          <cell r="H1116" t="str">
            <v>E</v>
          </cell>
          <cell r="I1116" t="str">
            <v>ESTACIONAMIENTOS</v>
          </cell>
          <cell r="J1116">
            <v>0</v>
          </cell>
          <cell r="K1116">
            <v>0</v>
          </cell>
          <cell r="L1116">
            <v>320000</v>
          </cell>
          <cell r="M1116" t="str">
            <v>JUMBO BILBAO</v>
          </cell>
          <cell r="P1116" t="str">
            <v>LAS CONDES</v>
          </cell>
          <cell r="Q1116" t="str">
            <v>TRADICIONAL</v>
          </cell>
          <cell r="R1116" t="str">
            <v>Supermercado - Santiago</v>
          </cell>
          <cell r="S1116" t="str">
            <v>Jumbo</v>
          </cell>
          <cell r="T1116" t="str">
            <v>Paletas</v>
          </cell>
          <cell r="U1116">
            <v>1</v>
          </cell>
          <cell r="V1116" t="str">
            <v>1.20 * 1.70</v>
          </cell>
        </row>
        <row r="1117">
          <cell r="A1117" t="str">
            <v>JUBI0015B</v>
          </cell>
          <cell r="B1117" t="str">
            <v>Supermercado</v>
          </cell>
          <cell r="D1117" t="str">
            <v>Paletas</v>
          </cell>
          <cell r="E1117" t="str">
            <v>PALETAS SCREEN NUEVAS</v>
          </cell>
          <cell r="F1117" t="str">
            <v>1.20 * 1.70</v>
          </cell>
          <cell r="G1117" t="str">
            <v>1.23 * 1.75</v>
          </cell>
          <cell r="H1117" t="str">
            <v>E</v>
          </cell>
          <cell r="I1117" t="str">
            <v>ESTACIONAMIENTOS</v>
          </cell>
          <cell r="J1117">
            <v>0</v>
          </cell>
          <cell r="K1117">
            <v>0</v>
          </cell>
          <cell r="L1117">
            <v>320000</v>
          </cell>
          <cell r="M1117" t="str">
            <v>JUMBO BILBAO</v>
          </cell>
          <cell r="P1117" t="str">
            <v>LAS CONDES</v>
          </cell>
          <cell r="Q1117" t="str">
            <v>TRADICIONAL</v>
          </cell>
          <cell r="R1117" t="str">
            <v>Supermercado - Santiago</v>
          </cell>
          <cell r="S1117" t="str">
            <v>Jumbo</v>
          </cell>
          <cell r="T1117" t="str">
            <v>Paletas</v>
          </cell>
          <cell r="U1117">
            <v>1</v>
          </cell>
          <cell r="V1117" t="str">
            <v>1.20 * 1.70</v>
          </cell>
        </row>
        <row r="1118">
          <cell r="A1118" t="str">
            <v>JUBI0016A</v>
          </cell>
          <cell r="B1118" t="str">
            <v>Supermercado</v>
          </cell>
          <cell r="D1118" t="str">
            <v>Cajas de luz</v>
          </cell>
          <cell r="E1118" t="str">
            <v>Cajas de luz</v>
          </cell>
          <cell r="F1118" t="str">
            <v>6.80 * 1.50</v>
          </cell>
          <cell r="G1118" t="str">
            <v>7.00 * 1.70</v>
          </cell>
          <cell r="H1118" t="str">
            <v>E</v>
          </cell>
          <cell r="I1118" t="str">
            <v>ESTACIONAMIENTOS</v>
          </cell>
          <cell r="J1118">
            <v>0</v>
          </cell>
          <cell r="K1118">
            <v>0</v>
          </cell>
          <cell r="L1118">
            <v>720000</v>
          </cell>
          <cell r="M1118" t="str">
            <v>JUMBO BILBAO</v>
          </cell>
          <cell r="P1118" t="str">
            <v>LAS CONDES</v>
          </cell>
          <cell r="Q1118" t="str">
            <v>TRADICIONAL</v>
          </cell>
          <cell r="R1118" t="str">
            <v>Supermercado - Santiago</v>
          </cell>
          <cell r="S1118" t="str">
            <v>Jumbo</v>
          </cell>
          <cell r="T1118" t="str">
            <v>Cajas de luz</v>
          </cell>
          <cell r="U1118">
            <v>1</v>
          </cell>
          <cell r="V1118" t="str">
            <v>6.80 * 1.50</v>
          </cell>
        </row>
        <row r="1119">
          <cell r="A1119" t="str">
            <v>JUBI0017A</v>
          </cell>
          <cell r="B1119" t="str">
            <v>Supermercado</v>
          </cell>
          <cell r="D1119" t="str">
            <v>Cajas de luz</v>
          </cell>
          <cell r="E1119" t="str">
            <v>Cajas de luz</v>
          </cell>
          <cell r="F1119" t="str">
            <v>2.92 * 1.42</v>
          </cell>
          <cell r="G1119" t="str">
            <v>3.20 x 1.70</v>
          </cell>
          <cell r="H1119" t="str">
            <v>E</v>
          </cell>
          <cell r="I1119" t="str">
            <v>ESTACIONAMIENTOS</v>
          </cell>
          <cell r="J1119">
            <v>0</v>
          </cell>
          <cell r="K1119">
            <v>0</v>
          </cell>
          <cell r="L1119">
            <v>600000</v>
          </cell>
          <cell r="M1119" t="str">
            <v>JUMBO BILBAO</v>
          </cell>
          <cell r="N1119" t="str">
            <v>Sur</v>
          </cell>
          <cell r="P1119" t="str">
            <v>LAS CONDES</v>
          </cell>
          <cell r="Q1119" t="str">
            <v>TRADICIONAL</v>
          </cell>
          <cell r="R1119" t="str">
            <v>Supermercado - Santiago</v>
          </cell>
          <cell r="S1119" t="str">
            <v>Jumbo</v>
          </cell>
          <cell r="T1119" t="str">
            <v>Cajas de luz</v>
          </cell>
          <cell r="U1119">
            <v>1</v>
          </cell>
          <cell r="V1119" t="str">
            <v>2.92 * 1.42</v>
          </cell>
        </row>
        <row r="1120">
          <cell r="A1120" t="str">
            <v>JUFC0001A</v>
          </cell>
          <cell r="B1120" t="str">
            <v>Supermercado</v>
          </cell>
          <cell r="D1120" t="str">
            <v>Cajas de luz</v>
          </cell>
          <cell r="E1120" t="str">
            <v>Cajas de luz</v>
          </cell>
          <cell r="F1120" t="str">
            <v>3.80 * 1.80</v>
          </cell>
          <cell r="G1120" t="str">
            <v>4.00 * 2.00</v>
          </cell>
          <cell r="H1120" t="str">
            <v>E</v>
          </cell>
          <cell r="I1120" t="str">
            <v>ESTACIONAMIENTOS</v>
          </cell>
          <cell r="J1120">
            <v>0</v>
          </cell>
          <cell r="K1120">
            <v>0</v>
          </cell>
          <cell r="L1120">
            <v>520000</v>
          </cell>
          <cell r="M1120" t="str">
            <v>JUMBO FLORIDA</v>
          </cell>
          <cell r="P1120" t="str">
            <v>LA FLORIDA</v>
          </cell>
          <cell r="Q1120" t="str">
            <v>TRADICIONAL</v>
          </cell>
          <cell r="R1120" t="str">
            <v>Supermercado - Santiago</v>
          </cell>
          <cell r="S1120" t="str">
            <v>Jumbo</v>
          </cell>
          <cell r="T1120" t="str">
            <v>Cajas de luz</v>
          </cell>
          <cell r="U1120">
            <v>1</v>
          </cell>
          <cell r="V1120" t="str">
            <v>3.80 * 1.80</v>
          </cell>
        </row>
        <row r="1121">
          <cell r="A1121" t="str">
            <v>JUFC0002A</v>
          </cell>
          <cell r="B1121" t="str">
            <v>Supermercado</v>
          </cell>
          <cell r="D1121" t="str">
            <v>Paletas</v>
          </cell>
          <cell r="E1121" t="str">
            <v>Paletas</v>
          </cell>
          <cell r="F1121" t="str">
            <v>1.20 * 1.70</v>
          </cell>
          <cell r="G1121" t="str">
            <v>1.23 * 1.75</v>
          </cell>
          <cell r="H1121" t="str">
            <v>E</v>
          </cell>
          <cell r="I1121" t="str">
            <v>ESTACIONAMIENTOS</v>
          </cell>
          <cell r="J1121">
            <v>0</v>
          </cell>
          <cell r="K1121">
            <v>0</v>
          </cell>
          <cell r="L1121">
            <v>320000</v>
          </cell>
          <cell r="M1121" t="str">
            <v>JUMBO FLORIDA</v>
          </cell>
          <cell r="P1121" t="str">
            <v>LA FLORIDA</v>
          </cell>
          <cell r="Q1121" t="str">
            <v>TRADICIONAL</v>
          </cell>
          <cell r="R1121" t="str">
            <v>Supermercado - Santiago</v>
          </cell>
          <cell r="S1121" t="str">
            <v>Jumbo</v>
          </cell>
          <cell r="T1121" t="str">
            <v>Paletas</v>
          </cell>
          <cell r="U1121">
            <v>1</v>
          </cell>
          <cell r="V1121" t="str">
            <v>1.20 * 1.70</v>
          </cell>
        </row>
        <row r="1122">
          <cell r="A1122" t="str">
            <v>JUFC0002B</v>
          </cell>
          <cell r="B1122" t="str">
            <v>Supermercado</v>
          </cell>
          <cell r="D1122" t="str">
            <v>Paletas</v>
          </cell>
          <cell r="E1122" t="str">
            <v>Paletas</v>
          </cell>
          <cell r="F1122" t="str">
            <v>1.20 * 1.70</v>
          </cell>
          <cell r="G1122" t="str">
            <v>1.23 * 1.75</v>
          </cell>
          <cell r="H1122" t="str">
            <v>E</v>
          </cell>
          <cell r="I1122" t="str">
            <v>ESTACIONAMIENTOS</v>
          </cell>
          <cell r="J1122">
            <v>0</v>
          </cell>
          <cell r="K1122">
            <v>0</v>
          </cell>
          <cell r="L1122">
            <v>320000</v>
          </cell>
          <cell r="M1122" t="str">
            <v>JUMBO FLORIDA</v>
          </cell>
          <cell r="P1122" t="str">
            <v>LA FLORIDA</v>
          </cell>
          <cell r="Q1122" t="str">
            <v>TRADICIONAL</v>
          </cell>
          <cell r="R1122" t="str">
            <v>Supermercado - Santiago</v>
          </cell>
          <cell r="S1122" t="str">
            <v>Jumbo</v>
          </cell>
          <cell r="T1122" t="str">
            <v>Paletas</v>
          </cell>
          <cell r="U1122">
            <v>1</v>
          </cell>
          <cell r="V1122" t="str">
            <v>1.20 * 1.70</v>
          </cell>
        </row>
        <row r="1123">
          <cell r="A1123" t="str">
            <v>JUFC0003A</v>
          </cell>
          <cell r="B1123" t="str">
            <v>Supermercado</v>
          </cell>
          <cell r="D1123" t="str">
            <v>Paletas</v>
          </cell>
          <cell r="E1123" t="str">
            <v>Paletas</v>
          </cell>
          <cell r="F1123" t="str">
            <v>1.20 * 1.70</v>
          </cell>
          <cell r="G1123" t="str">
            <v>1.23 * 1.75</v>
          </cell>
          <cell r="H1123" t="str">
            <v>E</v>
          </cell>
          <cell r="I1123" t="str">
            <v>ESTACIONAMIENTOS</v>
          </cell>
          <cell r="J1123">
            <v>0</v>
          </cell>
          <cell r="K1123">
            <v>0</v>
          </cell>
          <cell r="L1123">
            <v>320000</v>
          </cell>
          <cell r="M1123" t="str">
            <v>JUMBO FLORIDA</v>
          </cell>
          <cell r="P1123" t="str">
            <v>LA FLORIDA</v>
          </cell>
          <cell r="Q1123" t="str">
            <v>TRADICIONAL</v>
          </cell>
          <cell r="R1123" t="str">
            <v>Supermercado - Santiago</v>
          </cell>
          <cell r="S1123" t="str">
            <v>Jumbo</v>
          </cell>
          <cell r="T1123" t="str">
            <v>Paletas</v>
          </cell>
          <cell r="U1123">
            <v>1</v>
          </cell>
          <cell r="V1123" t="str">
            <v>1.20 * 1.70</v>
          </cell>
        </row>
        <row r="1124">
          <cell r="A1124" t="str">
            <v>JUFC0003B</v>
          </cell>
          <cell r="B1124" t="str">
            <v>Supermercado</v>
          </cell>
          <cell r="D1124" t="str">
            <v>Paletas</v>
          </cell>
          <cell r="E1124" t="str">
            <v>Paletas</v>
          </cell>
          <cell r="F1124" t="str">
            <v>1.20 * 1.70</v>
          </cell>
          <cell r="G1124" t="str">
            <v>1.23 * 1.75</v>
          </cell>
          <cell r="H1124" t="str">
            <v>E</v>
          </cell>
          <cell r="I1124" t="str">
            <v>ESTACIONAMIENTOS</v>
          </cell>
          <cell r="J1124">
            <v>0</v>
          </cell>
          <cell r="K1124">
            <v>0</v>
          </cell>
          <cell r="L1124">
            <v>320000</v>
          </cell>
          <cell r="M1124" t="str">
            <v>JUMBO FLORIDA</v>
          </cell>
          <cell r="P1124" t="str">
            <v>LA FLORIDA</v>
          </cell>
          <cell r="Q1124" t="str">
            <v>TRADICIONAL</v>
          </cell>
          <cell r="R1124" t="str">
            <v>Supermercado - Santiago</v>
          </cell>
          <cell r="S1124" t="str">
            <v>Jumbo</v>
          </cell>
          <cell r="T1124" t="str">
            <v>Paletas</v>
          </cell>
          <cell r="U1124">
            <v>1</v>
          </cell>
          <cell r="V1124" t="str">
            <v>1.20 * 1.70</v>
          </cell>
        </row>
        <row r="1125">
          <cell r="A1125" t="str">
            <v>JUFC0004A</v>
          </cell>
          <cell r="B1125" t="str">
            <v>Supermercado</v>
          </cell>
          <cell r="D1125" t="str">
            <v>Paletas</v>
          </cell>
          <cell r="E1125" t="str">
            <v>Paletas</v>
          </cell>
          <cell r="F1125" t="str">
            <v>1.20 * 1.70</v>
          </cell>
          <cell r="G1125" t="str">
            <v>1.23 * 1.75</v>
          </cell>
          <cell r="H1125" t="str">
            <v>E</v>
          </cell>
          <cell r="I1125" t="str">
            <v>ESTACIONAMIENTOS</v>
          </cell>
          <cell r="J1125">
            <v>0</v>
          </cell>
          <cell r="K1125">
            <v>0</v>
          </cell>
          <cell r="L1125">
            <v>320000</v>
          </cell>
          <cell r="M1125" t="str">
            <v>JUMBO FLORIDA</v>
          </cell>
          <cell r="P1125" t="str">
            <v>LA FLORIDA</v>
          </cell>
          <cell r="Q1125" t="str">
            <v>TRADICIONAL</v>
          </cell>
          <cell r="R1125" t="str">
            <v>Supermercado - Santiago</v>
          </cell>
          <cell r="S1125" t="str">
            <v>Jumbo</v>
          </cell>
          <cell r="T1125" t="str">
            <v>Paletas</v>
          </cell>
          <cell r="U1125">
            <v>1</v>
          </cell>
          <cell r="V1125" t="str">
            <v>1.20 * 1.70</v>
          </cell>
        </row>
        <row r="1126">
          <cell r="A1126" t="str">
            <v>JUFC0004B</v>
          </cell>
          <cell r="B1126" t="str">
            <v>Supermercado</v>
          </cell>
          <cell r="D1126" t="str">
            <v>NO VENDIBLE</v>
          </cell>
          <cell r="E1126" t="str">
            <v>Paletas</v>
          </cell>
          <cell r="F1126" t="str">
            <v>1.20 * 1.70</v>
          </cell>
          <cell r="G1126" t="str">
            <v>1.23 * 1.75</v>
          </cell>
          <cell r="H1126" t="str">
            <v>E</v>
          </cell>
          <cell r="I1126" t="str">
            <v>ESTACIONAMIENTOS</v>
          </cell>
          <cell r="J1126">
            <v>0</v>
          </cell>
          <cell r="K1126">
            <v>0</v>
          </cell>
          <cell r="L1126">
            <v>320000</v>
          </cell>
          <cell r="M1126" t="str">
            <v>JUMBO FLORIDA</v>
          </cell>
          <cell r="O1126" t="str">
            <v>Sí</v>
          </cell>
          <cell r="P1126" t="str">
            <v>LA FLORIDA</v>
          </cell>
          <cell r="Q1126" t="str">
            <v>TRADICIONAL</v>
          </cell>
          <cell r="R1126" t="str">
            <v>Supermercado - Santiago</v>
          </cell>
          <cell r="S1126" t="str">
            <v>Jumbo</v>
          </cell>
          <cell r="T1126" t="str">
            <v>Paletas</v>
          </cell>
          <cell r="U1126">
            <v>1</v>
          </cell>
          <cell r="V1126" t="str">
            <v>1.20 * 1.70</v>
          </cell>
        </row>
        <row r="1127">
          <cell r="A1127" t="str">
            <v>JUFC0005A</v>
          </cell>
          <cell r="B1127" t="str">
            <v>Supermercado</v>
          </cell>
          <cell r="D1127" t="str">
            <v>Cajas de luz</v>
          </cell>
          <cell r="E1127" t="str">
            <v>Cajas de luz</v>
          </cell>
          <cell r="F1127" t="str">
            <v>3.92 * 1.92</v>
          </cell>
          <cell r="G1127" t="str">
            <v>4.20 * 2.20</v>
          </cell>
          <cell r="H1127" t="str">
            <v>V</v>
          </cell>
          <cell r="I1127" t="str">
            <v>ACCESO SALA DE V</v>
          </cell>
          <cell r="J1127">
            <v>0</v>
          </cell>
          <cell r="K1127">
            <v>0</v>
          </cell>
          <cell r="L1127">
            <v>600000</v>
          </cell>
          <cell r="M1127" t="str">
            <v>JUMBO FLORIDA</v>
          </cell>
          <cell r="P1127" t="str">
            <v>LA FLORIDA</v>
          </cell>
          <cell r="Q1127" t="str">
            <v>TRADICIONAL</v>
          </cell>
          <cell r="R1127" t="str">
            <v>Supermercado - Santiago</v>
          </cell>
          <cell r="S1127" t="str">
            <v>Jumbo</v>
          </cell>
          <cell r="T1127" t="str">
            <v>Cajas de luz</v>
          </cell>
          <cell r="U1127">
            <v>1</v>
          </cell>
          <cell r="V1127" t="str">
            <v>3.92 * 1.92</v>
          </cell>
        </row>
        <row r="1128">
          <cell r="A1128" t="str">
            <v>JUFC0006A</v>
          </cell>
          <cell r="B1128" t="str">
            <v>Supermercado</v>
          </cell>
          <cell r="D1128" t="str">
            <v>Cajas de luz</v>
          </cell>
          <cell r="E1128" t="str">
            <v>Cajas de luz</v>
          </cell>
          <cell r="F1128" t="str">
            <v>3.92 * 1.92</v>
          </cell>
          <cell r="G1128" t="str">
            <v>4.20 * 2.20</v>
          </cell>
          <cell r="H1128" t="str">
            <v>V</v>
          </cell>
          <cell r="I1128" t="str">
            <v>ACCESO SALA DE V</v>
          </cell>
          <cell r="J1128">
            <v>0</v>
          </cell>
          <cell r="K1128">
            <v>0</v>
          </cell>
          <cell r="L1128">
            <v>600000</v>
          </cell>
          <cell r="M1128" t="str">
            <v>JUMBO FLORIDA</v>
          </cell>
          <cell r="P1128" t="str">
            <v>LA FLORIDA</v>
          </cell>
          <cell r="Q1128" t="str">
            <v>TRADICIONAL</v>
          </cell>
          <cell r="R1128" t="str">
            <v>Supermercado - Santiago</v>
          </cell>
          <cell r="S1128" t="str">
            <v>Jumbo</v>
          </cell>
          <cell r="T1128" t="str">
            <v>Cajas de luz</v>
          </cell>
          <cell r="U1128">
            <v>1</v>
          </cell>
          <cell r="V1128" t="str">
            <v>3.92 * 1.92</v>
          </cell>
        </row>
        <row r="1129">
          <cell r="A1129" t="str">
            <v>JUFC0007A</v>
          </cell>
          <cell r="B1129" t="str">
            <v>Supermercado</v>
          </cell>
          <cell r="D1129" t="str">
            <v>Cajas de luz</v>
          </cell>
          <cell r="E1129" t="str">
            <v>Cajas de luz</v>
          </cell>
          <cell r="F1129" t="str">
            <v>2.92 * 1.42</v>
          </cell>
          <cell r="G1129" t="str">
            <v>3.20 * 1.70</v>
          </cell>
          <cell r="H1129" t="str">
            <v>V</v>
          </cell>
          <cell r="I1129" t="str">
            <v>ACCESO SALA DE V</v>
          </cell>
          <cell r="J1129">
            <v>0</v>
          </cell>
          <cell r="K1129">
            <v>0</v>
          </cell>
          <cell r="L1129">
            <v>600000</v>
          </cell>
          <cell r="M1129" t="str">
            <v>JUMBO FLORIDA</v>
          </cell>
          <cell r="P1129" t="str">
            <v>LA FLORIDA</v>
          </cell>
          <cell r="Q1129" t="str">
            <v>TRADICIONAL</v>
          </cell>
          <cell r="R1129" t="str">
            <v>Supermercado - Santiago</v>
          </cell>
          <cell r="S1129" t="str">
            <v>Jumbo</v>
          </cell>
          <cell r="T1129" t="str">
            <v>Cajas de luz</v>
          </cell>
          <cell r="U1129">
            <v>1</v>
          </cell>
          <cell r="V1129" t="str">
            <v>2.92 * 1.42</v>
          </cell>
        </row>
        <row r="1130">
          <cell r="A1130" t="str">
            <v>JUFC0008A</v>
          </cell>
          <cell r="B1130" t="str">
            <v>Supermercado</v>
          </cell>
          <cell r="D1130" t="str">
            <v>Cajas de luz</v>
          </cell>
          <cell r="E1130" t="str">
            <v>Cajas de luz</v>
          </cell>
          <cell r="F1130" t="str">
            <v>2.92 * 1.42</v>
          </cell>
          <cell r="G1130" t="str">
            <v>3.20 * 1.70</v>
          </cell>
          <cell r="H1130" t="str">
            <v>V</v>
          </cell>
          <cell r="I1130" t="str">
            <v>ACCESO SALA DE V</v>
          </cell>
          <cell r="J1130">
            <v>0</v>
          </cell>
          <cell r="K1130">
            <v>0</v>
          </cell>
          <cell r="L1130">
            <v>520000</v>
          </cell>
          <cell r="M1130" t="str">
            <v>JUMBO FLORIDA</v>
          </cell>
          <cell r="P1130" t="str">
            <v>LA FLORIDA</v>
          </cell>
          <cell r="Q1130" t="str">
            <v>TRADICIONAL</v>
          </cell>
          <cell r="R1130" t="str">
            <v>Supermercado - Santiago</v>
          </cell>
          <cell r="S1130" t="str">
            <v>Jumbo</v>
          </cell>
          <cell r="T1130" t="str">
            <v>Cajas de luz</v>
          </cell>
          <cell r="U1130">
            <v>1</v>
          </cell>
          <cell r="V1130" t="str">
            <v>2.92 * 1.42</v>
          </cell>
        </row>
        <row r="1131">
          <cell r="A1131" t="str">
            <v>JUFC0009A</v>
          </cell>
          <cell r="B1131" t="str">
            <v>Supermercado</v>
          </cell>
          <cell r="D1131" t="str">
            <v>P.E.: PILAR ACCESO SALA</v>
          </cell>
          <cell r="E1131" t="str">
            <v>PILAR ACCESO SALA</v>
          </cell>
          <cell r="F1131" t="str">
            <v>Ver Ficha</v>
          </cell>
          <cell r="G1131" t="str">
            <v>Ver Ficha</v>
          </cell>
          <cell r="H1131" t="str">
            <v>S</v>
          </cell>
          <cell r="I1131" t="str">
            <v>ESTACIONAMIENTOS</v>
          </cell>
          <cell r="J1131">
            <v>217000</v>
          </cell>
          <cell r="K1131">
            <v>0</v>
          </cell>
          <cell r="L1131">
            <v>1700000</v>
          </cell>
          <cell r="M1131" t="str">
            <v>JUMBO FLORIDA</v>
          </cell>
          <cell r="P1131" t="str">
            <v>LA FLORIDA</v>
          </cell>
          <cell r="Q1131" t="str">
            <v>ESPECIAL</v>
          </cell>
          <cell r="R1131" t="str">
            <v>Supermercado - Santiago</v>
          </cell>
          <cell r="S1131" t="str">
            <v>Jumbo</v>
          </cell>
          <cell r="T1131" t="str">
            <v>Productos Especiales</v>
          </cell>
          <cell r="U1131">
            <v>1</v>
          </cell>
          <cell r="V1131" t="str">
            <v>NA</v>
          </cell>
        </row>
        <row r="1132">
          <cell r="A1132" t="str">
            <v>JUFC0011A</v>
          </cell>
          <cell r="B1132" t="str">
            <v>Supermercado</v>
          </cell>
          <cell r="D1132" t="str">
            <v>Cajas de luz</v>
          </cell>
          <cell r="E1132" t="str">
            <v>Cajas de luz</v>
          </cell>
          <cell r="F1132" t="str">
            <v>3.92 * 1.92</v>
          </cell>
          <cell r="G1132" t="str">
            <v>4.20 * 2.20</v>
          </cell>
          <cell r="H1132" t="str">
            <v>V</v>
          </cell>
          <cell r="I1132" t="str">
            <v>ACCESO SALA DE V</v>
          </cell>
          <cell r="J1132">
            <v>0</v>
          </cell>
          <cell r="K1132">
            <v>0</v>
          </cell>
          <cell r="L1132">
            <v>600000</v>
          </cell>
          <cell r="M1132" t="str">
            <v>JUMBO FLORIDA</v>
          </cell>
          <cell r="P1132" t="str">
            <v>LA FLORIDA</v>
          </cell>
          <cell r="Q1132" t="str">
            <v>TRADICIONAL</v>
          </cell>
          <cell r="R1132" t="str">
            <v>Supermercado - Santiago</v>
          </cell>
          <cell r="S1132" t="str">
            <v>Jumbo</v>
          </cell>
          <cell r="T1132" t="str">
            <v>Cajas de luz</v>
          </cell>
          <cell r="U1132">
            <v>1</v>
          </cell>
          <cell r="V1132" t="str">
            <v>3.92 * 1.92</v>
          </cell>
        </row>
        <row r="1133">
          <cell r="A1133" t="str">
            <v>JUFC0012A</v>
          </cell>
          <cell r="B1133" t="str">
            <v>Supermercado</v>
          </cell>
          <cell r="D1133" t="str">
            <v>P.E.: PAQ. LATERALES 1 ESCALERA</v>
          </cell>
          <cell r="E1133" t="str">
            <v>PAQ. LATERALES 1 ESCALERA</v>
          </cell>
          <cell r="F1133" t="str">
            <v>Ver Ficha</v>
          </cell>
          <cell r="G1133" t="str">
            <v>Ver Ficha</v>
          </cell>
          <cell r="I1133" t="str">
            <v>ESTACIONAMIENTOS</v>
          </cell>
          <cell r="J1133">
            <v>514000</v>
          </cell>
          <cell r="L1133">
            <v>4500000</v>
          </cell>
          <cell r="M1133" t="str">
            <v>JUMBO FLORIDA</v>
          </cell>
          <cell r="P1133" t="str">
            <v>LA FLORIDA</v>
          </cell>
          <cell r="Q1133" t="str">
            <v>ESPECIAL</v>
          </cell>
          <cell r="R1133" t="str">
            <v>Supermercado - Santiago</v>
          </cell>
          <cell r="S1133" t="str">
            <v>Jumbo</v>
          </cell>
          <cell r="T1133" t="str">
            <v>Productos Especiales</v>
          </cell>
          <cell r="U1133">
            <v>1</v>
          </cell>
          <cell r="V1133" t="str">
            <v>NA</v>
          </cell>
        </row>
        <row r="1134">
          <cell r="A1134" t="str">
            <v>JUFC0013A</v>
          </cell>
          <cell r="B1134" t="str">
            <v>Supermercado</v>
          </cell>
          <cell r="D1134" t="str">
            <v>P.E.: PANEL ACCESO</v>
          </cell>
          <cell r="E1134" t="str">
            <v>PANEL ACCESO</v>
          </cell>
          <cell r="F1134" t="str">
            <v>Ver Ficha</v>
          </cell>
          <cell r="G1134" t="str">
            <v>Ver Ficha</v>
          </cell>
          <cell r="I1134" t="str">
            <v>ACCESO ESTACIONA</v>
          </cell>
          <cell r="J1134">
            <v>500000</v>
          </cell>
          <cell r="L1134">
            <v>3000000</v>
          </cell>
          <cell r="M1134" t="str">
            <v>JUMBO FLORIDA</v>
          </cell>
          <cell r="P1134" t="str">
            <v>LA FLORIDA</v>
          </cell>
          <cell r="Q1134" t="str">
            <v>ESPECIAL</v>
          </cell>
          <cell r="R1134" t="str">
            <v>Supermercado - Santiago</v>
          </cell>
          <cell r="S1134" t="str">
            <v>Jumbo</v>
          </cell>
          <cell r="T1134" t="str">
            <v>Productos Especiales</v>
          </cell>
          <cell r="U1134">
            <v>1</v>
          </cell>
          <cell r="V1134" t="str">
            <v>5.80 * 7.80</v>
          </cell>
        </row>
        <row r="1135">
          <cell r="A1135" t="str">
            <v>JUKE0001A</v>
          </cell>
          <cell r="B1135" t="str">
            <v>Supermercado</v>
          </cell>
          <cell r="D1135" t="str">
            <v>Paletas</v>
          </cell>
          <cell r="E1135" t="str">
            <v>PALETA SUPER SCREEN</v>
          </cell>
          <cell r="F1135" t="str">
            <v>1.20 * 1.70</v>
          </cell>
          <cell r="G1135" t="str">
            <v>1.23 * 1.75</v>
          </cell>
          <cell r="H1135" t="str">
            <v>E</v>
          </cell>
          <cell r="I1135" t="str">
            <v>ESTACIONAMIENTOS</v>
          </cell>
          <cell r="J1135">
            <v>0</v>
          </cell>
          <cell r="K1135">
            <v>0</v>
          </cell>
          <cell r="L1135">
            <v>380000</v>
          </cell>
          <cell r="M1135" t="str">
            <v>JUMBO KENNEDY</v>
          </cell>
          <cell r="P1135" t="str">
            <v>LAS CONDES</v>
          </cell>
          <cell r="Q1135" t="str">
            <v>TRADICIONAL</v>
          </cell>
          <cell r="R1135" t="str">
            <v>Supermercado - Santiago</v>
          </cell>
          <cell r="S1135" t="str">
            <v>Jumbo</v>
          </cell>
          <cell r="T1135" t="str">
            <v>Paletas</v>
          </cell>
          <cell r="U1135">
            <v>1</v>
          </cell>
          <cell r="V1135" t="str">
            <v>1.20 * 1.70</v>
          </cell>
        </row>
        <row r="1136">
          <cell r="A1136" t="str">
            <v>JUKE0002A</v>
          </cell>
          <cell r="B1136" t="str">
            <v>Supermercado</v>
          </cell>
          <cell r="D1136" t="str">
            <v>Paletas</v>
          </cell>
          <cell r="E1136" t="str">
            <v>PALETAS SCREEN NUEVAS</v>
          </cell>
          <cell r="F1136" t="str">
            <v>1.20 * 1.70</v>
          </cell>
          <cell r="G1136" t="str">
            <v>1.23 * 1.75</v>
          </cell>
          <cell r="H1136" t="str">
            <v>E</v>
          </cell>
          <cell r="I1136" t="str">
            <v>ESTACIONAMIENTOS</v>
          </cell>
          <cell r="J1136">
            <v>0</v>
          </cell>
          <cell r="K1136">
            <v>0</v>
          </cell>
          <cell r="L1136">
            <v>380000</v>
          </cell>
          <cell r="M1136" t="str">
            <v>JUMBO KENNEDY</v>
          </cell>
          <cell r="P1136" t="str">
            <v>LAS CONDES</v>
          </cell>
          <cell r="Q1136" t="str">
            <v>TRADICIONAL</v>
          </cell>
          <cell r="R1136" t="str">
            <v>Supermercado - Santiago</v>
          </cell>
          <cell r="S1136" t="str">
            <v>Jumbo</v>
          </cell>
          <cell r="T1136" t="str">
            <v>Paletas</v>
          </cell>
          <cell r="U1136">
            <v>1</v>
          </cell>
          <cell r="V1136" t="str">
            <v>1.20 * 1.70</v>
          </cell>
        </row>
        <row r="1137">
          <cell r="A1137" t="str">
            <v>JUKE0002B</v>
          </cell>
          <cell r="B1137" t="str">
            <v>Supermercado</v>
          </cell>
          <cell r="D1137" t="str">
            <v>Paletas</v>
          </cell>
          <cell r="E1137" t="str">
            <v>PALETAS SCREEN NUEVAS</v>
          </cell>
          <cell r="F1137" t="str">
            <v>1.20 * 1.70</v>
          </cell>
          <cell r="G1137" t="str">
            <v>1.23 * 1.75</v>
          </cell>
          <cell r="H1137" t="str">
            <v>E</v>
          </cell>
          <cell r="I1137" t="str">
            <v>ESTACIONAMIENTOS</v>
          </cell>
          <cell r="J1137">
            <v>0</v>
          </cell>
          <cell r="K1137">
            <v>0</v>
          </cell>
          <cell r="L1137">
            <v>380000</v>
          </cell>
          <cell r="M1137" t="str">
            <v>JUMBO KENNEDY</v>
          </cell>
          <cell r="P1137" t="str">
            <v>LAS CONDES</v>
          </cell>
          <cell r="Q1137" t="str">
            <v>TRADICIONAL</v>
          </cell>
          <cell r="R1137" t="str">
            <v>Supermercado - Santiago</v>
          </cell>
          <cell r="S1137" t="str">
            <v>Jumbo</v>
          </cell>
          <cell r="T1137" t="str">
            <v>Paletas</v>
          </cell>
          <cell r="U1137">
            <v>1</v>
          </cell>
          <cell r="V1137" t="str">
            <v>1.20 * 1.70</v>
          </cell>
        </row>
        <row r="1138">
          <cell r="A1138" t="str">
            <v>JUKE0003A</v>
          </cell>
          <cell r="B1138" t="str">
            <v>Supermercado</v>
          </cell>
          <cell r="D1138" t="str">
            <v>Cajas de luz</v>
          </cell>
          <cell r="E1138" t="str">
            <v>Cajas de luz</v>
          </cell>
          <cell r="F1138" t="str">
            <v>3.92 * 1.92</v>
          </cell>
          <cell r="G1138" t="str">
            <v>4.20 * 2.20</v>
          </cell>
          <cell r="H1138" t="str">
            <v>S</v>
          </cell>
          <cell r="I1138" t="str">
            <v>ESTACIONAMIENTOS</v>
          </cell>
          <cell r="J1138">
            <v>0</v>
          </cell>
          <cell r="K1138">
            <v>0</v>
          </cell>
          <cell r="L1138">
            <v>600000</v>
          </cell>
          <cell r="M1138" t="str">
            <v>JUMBO KENNEDY</v>
          </cell>
          <cell r="P1138" t="str">
            <v>LAS CONDES</v>
          </cell>
          <cell r="Q1138" t="str">
            <v>TRADICIONAL</v>
          </cell>
          <cell r="R1138" t="str">
            <v>Supermercado - Santiago</v>
          </cell>
          <cell r="S1138" t="str">
            <v>Jumbo</v>
          </cell>
          <cell r="T1138" t="str">
            <v>Cajas de luz</v>
          </cell>
          <cell r="U1138">
            <v>1</v>
          </cell>
          <cell r="V1138" t="str">
            <v>3.92 * 1.92</v>
          </cell>
        </row>
        <row r="1139">
          <cell r="A1139" t="str">
            <v>JUKE0004A</v>
          </cell>
          <cell r="B1139" t="str">
            <v>Supermercado</v>
          </cell>
          <cell r="D1139" t="str">
            <v>Cajas de luz</v>
          </cell>
          <cell r="E1139" t="str">
            <v>Cajas de luz</v>
          </cell>
          <cell r="F1139" t="str">
            <v>3.92 * 1.92</v>
          </cell>
          <cell r="G1139" t="str">
            <v>4.20 * 2.20</v>
          </cell>
          <cell r="H1139" t="str">
            <v>V</v>
          </cell>
          <cell r="I1139" t="str">
            <v>ACCESO SALA DE V</v>
          </cell>
          <cell r="J1139">
            <v>0</v>
          </cell>
          <cell r="K1139">
            <v>0</v>
          </cell>
          <cell r="L1139">
            <v>600000</v>
          </cell>
          <cell r="M1139" t="str">
            <v>JUMBO KENNEDY</v>
          </cell>
          <cell r="P1139" t="str">
            <v>LAS CONDES</v>
          </cell>
          <cell r="Q1139" t="str">
            <v>TRADICIONAL</v>
          </cell>
          <cell r="R1139" t="str">
            <v>Supermercado - Santiago</v>
          </cell>
          <cell r="S1139" t="str">
            <v>Jumbo</v>
          </cell>
          <cell r="T1139" t="str">
            <v>Cajas de luz</v>
          </cell>
          <cell r="U1139">
            <v>1</v>
          </cell>
          <cell r="V1139" t="str">
            <v>3.92 * 1.92</v>
          </cell>
        </row>
        <row r="1140">
          <cell r="A1140" t="str">
            <v>JUKE0005A</v>
          </cell>
          <cell r="B1140" t="str">
            <v>Supermercado</v>
          </cell>
          <cell r="D1140" t="str">
            <v>Cajas de luz</v>
          </cell>
          <cell r="E1140" t="str">
            <v>Cajas de luz</v>
          </cell>
          <cell r="F1140" t="str">
            <v>3.80 * 2.00</v>
          </cell>
          <cell r="G1140" t="str">
            <v>4.00 * 2.20</v>
          </cell>
          <cell r="H1140" t="str">
            <v>S</v>
          </cell>
          <cell r="I1140" t="str">
            <v>ESTACIONAMIENTOS</v>
          </cell>
          <cell r="J1140">
            <v>0</v>
          </cell>
          <cell r="K1140">
            <v>0</v>
          </cell>
          <cell r="L1140">
            <v>600000</v>
          </cell>
          <cell r="M1140" t="str">
            <v>JUMBO KENNEDY</v>
          </cell>
          <cell r="P1140" t="str">
            <v>LAS CONDES</v>
          </cell>
          <cell r="Q1140" t="str">
            <v>TRADICIONAL</v>
          </cell>
          <cell r="R1140" t="str">
            <v>Supermercado - Santiago</v>
          </cell>
          <cell r="S1140" t="str">
            <v>Jumbo</v>
          </cell>
          <cell r="T1140" t="str">
            <v>Cajas de luz</v>
          </cell>
          <cell r="U1140">
            <v>1</v>
          </cell>
          <cell r="V1140" t="str">
            <v>3.80 * 2.00</v>
          </cell>
        </row>
        <row r="1141">
          <cell r="A1141" t="str">
            <v>JUKE0006A</v>
          </cell>
          <cell r="B1141" t="str">
            <v>Supermercado</v>
          </cell>
          <cell r="D1141" t="str">
            <v>Cajas de luz</v>
          </cell>
          <cell r="E1141" t="str">
            <v>Cajas de luz</v>
          </cell>
          <cell r="F1141" t="str">
            <v>2.92 * 1.42</v>
          </cell>
          <cell r="G1141" t="str">
            <v>3.20 * 1.70</v>
          </cell>
          <cell r="H1141" t="str">
            <v>V</v>
          </cell>
          <cell r="I1141" t="str">
            <v>ACCESO SALA DE V</v>
          </cell>
          <cell r="J1141">
            <v>0</v>
          </cell>
          <cell r="K1141">
            <v>0</v>
          </cell>
          <cell r="L1141">
            <v>600000</v>
          </cell>
          <cell r="M1141" t="str">
            <v>JUMBO KENNEDY</v>
          </cell>
          <cell r="P1141" t="str">
            <v>LAS CONDES</v>
          </cell>
          <cell r="Q1141" t="str">
            <v>TRADICIONAL</v>
          </cell>
          <cell r="R1141" t="str">
            <v>Supermercado - Santiago</v>
          </cell>
          <cell r="S1141" t="str">
            <v>Jumbo</v>
          </cell>
          <cell r="T1141" t="str">
            <v>Cajas de luz</v>
          </cell>
          <cell r="U1141">
            <v>1</v>
          </cell>
          <cell r="V1141" t="str">
            <v>2.92 * 1.42</v>
          </cell>
        </row>
        <row r="1142">
          <cell r="A1142" t="str">
            <v>JUKE0011A</v>
          </cell>
          <cell r="B1142" t="str">
            <v>Supermercado</v>
          </cell>
          <cell r="D1142" t="str">
            <v>Cajas de luz</v>
          </cell>
          <cell r="E1142" t="str">
            <v>Cajas de luz</v>
          </cell>
          <cell r="F1142" t="str">
            <v>2,85 * 3,00</v>
          </cell>
          <cell r="G1142" t="str">
            <v>3,05 * 3,20</v>
          </cell>
          <cell r="H1142" t="str">
            <v>V</v>
          </cell>
          <cell r="I1142" t="str">
            <v>ACCESO SALA DE V</v>
          </cell>
          <cell r="J1142">
            <v>0</v>
          </cell>
          <cell r="K1142">
            <v>0</v>
          </cell>
          <cell r="L1142">
            <v>600000</v>
          </cell>
          <cell r="M1142" t="str">
            <v>JUMBO KENNEDY</v>
          </cell>
          <cell r="P1142" t="str">
            <v>LAS CONDES</v>
          </cell>
          <cell r="Q1142" t="str">
            <v>TRADICIONAL</v>
          </cell>
          <cell r="R1142" t="str">
            <v>Supermercado - Santiago</v>
          </cell>
          <cell r="S1142" t="str">
            <v>Jumbo</v>
          </cell>
          <cell r="T1142" t="str">
            <v>Cajas de luz</v>
          </cell>
          <cell r="U1142">
            <v>1</v>
          </cell>
          <cell r="V1142" t="str">
            <v>2.85 * 3.00</v>
          </cell>
        </row>
        <row r="1143">
          <cell r="A1143" t="str">
            <v>JUKE0012A</v>
          </cell>
          <cell r="B1143" t="str">
            <v>Supermercado</v>
          </cell>
          <cell r="D1143" t="str">
            <v>P.E.: PAQ. LATERALES 1 ESCALERA</v>
          </cell>
          <cell r="E1143" t="str">
            <v>PAQ. LATERALES 1 ESCALERA</v>
          </cell>
          <cell r="F1143" t="str">
            <v>Ver Ficha</v>
          </cell>
          <cell r="G1143" t="str">
            <v>Ver Ficha</v>
          </cell>
          <cell r="H1143" t="str">
            <v>V</v>
          </cell>
          <cell r="I1143" t="str">
            <v>ACCESO SALA DE V</v>
          </cell>
          <cell r="J1143">
            <v>630000</v>
          </cell>
          <cell r="K1143">
            <v>0</v>
          </cell>
          <cell r="L1143">
            <v>4800000</v>
          </cell>
          <cell r="M1143" t="str">
            <v>JUMBO KENNEDY</v>
          </cell>
          <cell r="P1143" t="str">
            <v>LAS CONDES</v>
          </cell>
          <cell r="Q1143" t="str">
            <v>ESPECIAL</v>
          </cell>
          <cell r="R1143" t="str">
            <v>Supermercado - Santiago</v>
          </cell>
          <cell r="S1143" t="str">
            <v>Jumbo</v>
          </cell>
          <cell r="T1143" t="str">
            <v>Productos Especiales</v>
          </cell>
          <cell r="U1143">
            <v>1</v>
          </cell>
          <cell r="V1143" t="str">
            <v>NA</v>
          </cell>
        </row>
        <row r="1144">
          <cell r="A1144" t="str">
            <v>JUKE0013A</v>
          </cell>
          <cell r="B1144" t="str">
            <v>Supermercado</v>
          </cell>
          <cell r="D1144" t="str">
            <v>P.E.: VENTANAL  Y PILARES ACCESO SALA</v>
          </cell>
          <cell r="E1144" t="str">
            <v>VENTANAL  Y PILARES ACCESO SALA</v>
          </cell>
          <cell r="F1144" t="str">
            <v>Ver Ficha</v>
          </cell>
          <cell r="G1144" t="str">
            <v>Ver Ficha</v>
          </cell>
          <cell r="H1144" t="str">
            <v>S</v>
          </cell>
          <cell r="I1144" t="str">
            <v>ESTACIONAMIENTOS</v>
          </cell>
          <cell r="J1144">
            <v>160000</v>
          </cell>
          <cell r="K1144">
            <v>0</v>
          </cell>
          <cell r="L1144">
            <v>3400000</v>
          </cell>
          <cell r="M1144" t="str">
            <v>JUMBO KENNEDY</v>
          </cell>
          <cell r="P1144" t="str">
            <v>LAS CONDES</v>
          </cell>
          <cell r="Q1144" t="str">
            <v>ESPECIAL</v>
          </cell>
          <cell r="R1144" t="str">
            <v>Supermercado - Santiago</v>
          </cell>
          <cell r="S1144" t="str">
            <v>Jumbo</v>
          </cell>
          <cell r="T1144" t="str">
            <v>Productos Especiales</v>
          </cell>
          <cell r="U1144">
            <v>1</v>
          </cell>
          <cell r="V1144" t="str">
            <v>NA</v>
          </cell>
        </row>
        <row r="1145">
          <cell r="A1145" t="str">
            <v>JUKE0017A</v>
          </cell>
          <cell r="B1145" t="str">
            <v>Supermercado</v>
          </cell>
          <cell r="D1145" t="str">
            <v>P.E.: LOTE COLUMNAS ESTACIONAMIENTO</v>
          </cell>
          <cell r="E1145" t="str">
            <v>LOTE COLUMNAS ESTACIONAMIENTO</v>
          </cell>
          <cell r="F1145" t="str">
            <v>Ver Ficha</v>
          </cell>
          <cell r="G1145" t="str">
            <v>Ver Ficha</v>
          </cell>
          <cell r="H1145" t="str">
            <v>S</v>
          </cell>
          <cell r="I1145" t="str">
            <v>ESTACIONAMIENTOS</v>
          </cell>
          <cell r="J1145">
            <v>1300000</v>
          </cell>
          <cell r="K1145">
            <v>0</v>
          </cell>
          <cell r="L1145">
            <v>5700000</v>
          </cell>
          <cell r="M1145" t="str">
            <v>JUMBO KENNEDY</v>
          </cell>
          <cell r="P1145" t="str">
            <v>LAS CONDES</v>
          </cell>
          <cell r="Q1145" t="str">
            <v>ESPECIAL</v>
          </cell>
          <cell r="R1145" t="str">
            <v>Supermercado - Santiago</v>
          </cell>
          <cell r="S1145" t="str">
            <v>Jumbo</v>
          </cell>
          <cell r="T1145" t="str">
            <v>Productos Especiales</v>
          </cell>
          <cell r="U1145">
            <v>1</v>
          </cell>
          <cell r="V1145" t="str">
            <v>NA</v>
          </cell>
        </row>
        <row r="1146">
          <cell r="A1146" t="str">
            <v>JUKE0018A</v>
          </cell>
          <cell r="B1146" t="str">
            <v>Supermercado</v>
          </cell>
          <cell r="D1146" t="str">
            <v>Paletas</v>
          </cell>
          <cell r="E1146" t="str">
            <v>PALETAS SCREEN NUEVAS</v>
          </cell>
          <cell r="F1146" t="str">
            <v>1.20 * 1.70</v>
          </cell>
          <cell r="G1146" t="str">
            <v>1.23 * 1.75</v>
          </cell>
          <cell r="H1146" t="str">
            <v>E</v>
          </cell>
          <cell r="I1146" t="str">
            <v>ESTACIONAMIENTOS</v>
          </cell>
          <cell r="J1146">
            <v>0</v>
          </cell>
          <cell r="K1146">
            <v>0</v>
          </cell>
          <cell r="L1146">
            <v>380000</v>
          </cell>
          <cell r="M1146" t="str">
            <v>JUMBO KENNEDY</v>
          </cell>
          <cell r="P1146" t="str">
            <v>LAS CONDES</v>
          </cell>
          <cell r="Q1146" t="str">
            <v>TRADICIONAL</v>
          </cell>
          <cell r="R1146" t="str">
            <v>Supermercado - Santiago</v>
          </cell>
          <cell r="S1146" t="str">
            <v>Jumbo</v>
          </cell>
          <cell r="T1146" t="str">
            <v>Paletas</v>
          </cell>
          <cell r="U1146">
            <v>1</v>
          </cell>
          <cell r="V1146" t="str">
            <v>1.20 * 1.70</v>
          </cell>
        </row>
        <row r="1147">
          <cell r="A1147" t="str">
            <v>JUKE0018B</v>
          </cell>
          <cell r="B1147" t="str">
            <v>Supermercado</v>
          </cell>
          <cell r="D1147" t="str">
            <v>Paletas</v>
          </cell>
          <cell r="E1147" t="str">
            <v>PALETAS SCREEN NUEVAS</v>
          </cell>
          <cell r="F1147" t="str">
            <v>1.20 * 1.70</v>
          </cell>
          <cell r="G1147" t="str">
            <v>1.23 * 1.75</v>
          </cell>
          <cell r="H1147" t="str">
            <v>E</v>
          </cell>
          <cell r="I1147" t="str">
            <v>ESTACIONAMIENTOS</v>
          </cell>
          <cell r="J1147">
            <v>0</v>
          </cell>
          <cell r="K1147">
            <v>0</v>
          </cell>
          <cell r="L1147">
            <v>380000</v>
          </cell>
          <cell r="M1147" t="str">
            <v>JUMBO KENNEDY</v>
          </cell>
          <cell r="P1147" t="str">
            <v>LAS CONDES</v>
          </cell>
          <cell r="Q1147" t="str">
            <v>TRADICIONAL</v>
          </cell>
          <cell r="R1147" t="str">
            <v>Supermercado - Santiago</v>
          </cell>
          <cell r="S1147" t="str">
            <v>Jumbo</v>
          </cell>
          <cell r="T1147" t="str">
            <v>Paletas</v>
          </cell>
          <cell r="U1147">
            <v>1</v>
          </cell>
          <cell r="V1147" t="str">
            <v>1.20 * 1.70</v>
          </cell>
        </row>
        <row r="1148">
          <cell r="A1148" t="str">
            <v>JUKE0019A</v>
          </cell>
          <cell r="B1148" t="str">
            <v>Supermercado</v>
          </cell>
          <cell r="D1148" t="str">
            <v>Cajas de luz</v>
          </cell>
          <cell r="E1148" t="str">
            <v>Cajas de luz</v>
          </cell>
          <cell r="F1148" t="str">
            <v>2.50 * 2.00</v>
          </cell>
          <cell r="G1148" t="str">
            <v>2.70 * 2.20</v>
          </cell>
          <cell r="H1148" t="str">
            <v>V</v>
          </cell>
          <cell r="I1148" t="str">
            <v>ACCESAO SALA</v>
          </cell>
          <cell r="J1148">
            <v>0</v>
          </cell>
          <cell r="K1148">
            <v>0</v>
          </cell>
          <cell r="L1148">
            <v>600000</v>
          </cell>
          <cell r="M1148" t="str">
            <v>JUMBO KENNEDY</v>
          </cell>
          <cell r="N1148" t="str">
            <v>Norte</v>
          </cell>
          <cell r="P1148" t="str">
            <v>LAS CONDES</v>
          </cell>
          <cell r="Q1148" t="str">
            <v>TRADICIONAL</v>
          </cell>
          <cell r="R1148" t="str">
            <v>Supermercado - Santiago</v>
          </cell>
          <cell r="S1148" t="str">
            <v>Jumbo</v>
          </cell>
          <cell r="T1148" t="str">
            <v>Cajas de luz</v>
          </cell>
          <cell r="U1148">
            <v>1</v>
          </cell>
          <cell r="V1148" t="str">
            <v>2.50 * 2.00</v>
          </cell>
        </row>
        <row r="1149">
          <cell r="A1149" t="str">
            <v>JUKE0020A</v>
          </cell>
          <cell r="B1149" t="str">
            <v>Supermercado</v>
          </cell>
          <cell r="D1149" t="str">
            <v>P.E.: MURO</v>
          </cell>
          <cell r="E1149" t="str">
            <v>MURO</v>
          </cell>
          <cell r="F1149" t="str">
            <v>Ver Ficha</v>
          </cell>
          <cell r="G1149" t="str">
            <v>Ver Ficha</v>
          </cell>
          <cell r="I1149" t="str">
            <v>ESTACIONAMIENTOS</v>
          </cell>
          <cell r="J1149">
            <v>297000</v>
          </cell>
          <cell r="L1149">
            <v>4600000</v>
          </cell>
          <cell r="M1149" t="str">
            <v>JUMBO KENNEDY</v>
          </cell>
          <cell r="P1149" t="str">
            <v>LAS CONDES</v>
          </cell>
          <cell r="Q1149" t="str">
            <v>ESPECIAL</v>
          </cell>
          <cell r="R1149" t="str">
            <v>Supermercado - Santiago</v>
          </cell>
          <cell r="S1149" t="str">
            <v>Jumbo</v>
          </cell>
          <cell r="T1149" t="str">
            <v>Productos Especiales</v>
          </cell>
          <cell r="U1149">
            <v>1</v>
          </cell>
          <cell r="V1149" t="str">
            <v>NA</v>
          </cell>
        </row>
        <row r="1150">
          <cell r="A1150" t="str">
            <v>JULD0001A</v>
          </cell>
          <cell r="B1150" t="str">
            <v>Supermercado</v>
          </cell>
          <cell r="D1150" t="str">
            <v>Cajas de luz</v>
          </cell>
          <cell r="E1150" t="str">
            <v>Cajas de luz</v>
          </cell>
          <cell r="F1150" t="str">
            <v>2.92 * 1.42</v>
          </cell>
          <cell r="G1150" t="str">
            <v>3.20 * 1.70</v>
          </cell>
          <cell r="H1150" t="str">
            <v>V</v>
          </cell>
          <cell r="I1150" t="str">
            <v>ACCESO SALA DE V</v>
          </cell>
          <cell r="J1150">
            <v>0</v>
          </cell>
          <cell r="K1150">
            <v>0</v>
          </cell>
          <cell r="L1150">
            <v>600000</v>
          </cell>
          <cell r="M1150" t="str">
            <v>JUMBO LA DEHESA</v>
          </cell>
          <cell r="P1150" t="str">
            <v>LO BARNECHEA</v>
          </cell>
          <cell r="Q1150" t="str">
            <v>TRADICIONAL</v>
          </cell>
          <cell r="R1150" t="str">
            <v>Supermercado - Santiago</v>
          </cell>
          <cell r="S1150" t="str">
            <v>Jumbo</v>
          </cell>
          <cell r="T1150" t="str">
            <v>Cajas de luz</v>
          </cell>
          <cell r="U1150">
            <v>1</v>
          </cell>
          <cell r="V1150" t="str">
            <v>2.92 * 1.42</v>
          </cell>
        </row>
        <row r="1151">
          <cell r="A1151" t="str">
            <v>JULD0002A</v>
          </cell>
          <cell r="B1151" t="str">
            <v>Supermercado</v>
          </cell>
          <cell r="D1151" t="str">
            <v>P.E.: PAQ. LATERALES 1 ESCALERA</v>
          </cell>
          <cell r="E1151" t="str">
            <v>PAQ. LATERALES 1 ESCALERA</v>
          </cell>
          <cell r="F1151" t="str">
            <v>Ver Ficha</v>
          </cell>
          <cell r="G1151" t="str">
            <v>Ver Ficha</v>
          </cell>
          <cell r="H1151" t="str">
            <v>V</v>
          </cell>
          <cell r="I1151" t="str">
            <v>ACCESO SALA DE V</v>
          </cell>
          <cell r="J1151">
            <v>540000</v>
          </cell>
          <cell r="K1151">
            <v>0</v>
          </cell>
          <cell r="L1151">
            <v>4800000</v>
          </cell>
          <cell r="M1151" t="str">
            <v>JUMBO LA DEHESA</v>
          </cell>
          <cell r="P1151" t="str">
            <v>LO BARNECHEA</v>
          </cell>
          <cell r="Q1151" t="str">
            <v>ESPECIAL</v>
          </cell>
          <cell r="R1151" t="str">
            <v>Supermercado - Santiago</v>
          </cell>
          <cell r="S1151" t="str">
            <v>Jumbo</v>
          </cell>
          <cell r="T1151" t="str">
            <v>Productos Especiales</v>
          </cell>
          <cell r="U1151">
            <v>1</v>
          </cell>
          <cell r="V1151" t="str">
            <v>NA</v>
          </cell>
        </row>
        <row r="1152">
          <cell r="A1152" t="str">
            <v>JULD0004A</v>
          </cell>
          <cell r="B1152" t="str">
            <v>Supermercado</v>
          </cell>
          <cell r="D1152" t="str">
            <v>Cajas de luz</v>
          </cell>
          <cell r="E1152" t="str">
            <v>Cajas de luz</v>
          </cell>
          <cell r="F1152" t="str">
            <v>2.92 * 1.42</v>
          </cell>
          <cell r="G1152" t="str">
            <v>3.20 * 1.70</v>
          </cell>
          <cell r="I1152" t="str">
            <v>Acceso sala vent</v>
          </cell>
          <cell r="J1152">
            <v>0</v>
          </cell>
          <cell r="K1152">
            <v>0</v>
          </cell>
          <cell r="L1152">
            <v>600000</v>
          </cell>
          <cell r="M1152" t="str">
            <v>JUMBO LA DEHESA</v>
          </cell>
          <cell r="P1152" t="str">
            <v>LO BARNECHEA</v>
          </cell>
          <cell r="Q1152" t="str">
            <v>TRADICIONAL</v>
          </cell>
          <cell r="R1152" t="str">
            <v>Supermercado - Santiago</v>
          </cell>
          <cell r="S1152" t="str">
            <v>Jumbo</v>
          </cell>
          <cell r="T1152" t="str">
            <v>Cajas de luz</v>
          </cell>
          <cell r="U1152">
            <v>1</v>
          </cell>
          <cell r="V1152" t="str">
            <v>2.92 * 1.42</v>
          </cell>
        </row>
        <row r="1153">
          <cell r="A1153" t="str">
            <v>JULR0001A</v>
          </cell>
          <cell r="B1153" t="str">
            <v>Supermercado</v>
          </cell>
          <cell r="D1153" t="str">
            <v>Cajas de luz</v>
          </cell>
          <cell r="E1153" t="str">
            <v>Cajas de luz</v>
          </cell>
          <cell r="F1153" t="str">
            <v>3.80 * 1.80</v>
          </cell>
          <cell r="G1153" t="str">
            <v>4.00 * 2.00</v>
          </cell>
          <cell r="H1153" t="str">
            <v>V</v>
          </cell>
          <cell r="I1153" t="str">
            <v>ACCESO SALA DE V</v>
          </cell>
          <cell r="J1153">
            <v>0</v>
          </cell>
          <cell r="K1153">
            <v>0</v>
          </cell>
          <cell r="L1153">
            <v>520000</v>
          </cell>
          <cell r="M1153" t="str">
            <v>JUMBO PORTAL LA REINA</v>
          </cell>
          <cell r="P1153" t="str">
            <v>LA REINA</v>
          </cell>
          <cell r="Q1153" t="str">
            <v>TRADICIONAL</v>
          </cell>
          <cell r="R1153" t="str">
            <v>Supermercado - Santiago</v>
          </cell>
          <cell r="S1153" t="str">
            <v>Jumbo</v>
          </cell>
          <cell r="T1153" t="str">
            <v>Cajas de luz</v>
          </cell>
          <cell r="U1153">
            <v>1</v>
          </cell>
          <cell r="V1153" t="str">
            <v>3.80 * 1.80</v>
          </cell>
        </row>
        <row r="1154">
          <cell r="A1154" t="str">
            <v>JULR0002A</v>
          </cell>
          <cell r="B1154" t="str">
            <v>Supermercado</v>
          </cell>
          <cell r="D1154" t="str">
            <v>Cajas de luz</v>
          </cell>
          <cell r="E1154" t="str">
            <v>Cajas de luz</v>
          </cell>
          <cell r="F1154" t="str">
            <v>2.92 * 1.42</v>
          </cell>
          <cell r="G1154" t="str">
            <v>3.20 * 1.70</v>
          </cell>
          <cell r="H1154" t="str">
            <v>V</v>
          </cell>
          <cell r="I1154" t="str">
            <v>ACCESO SALA DE V</v>
          </cell>
          <cell r="J1154">
            <v>0</v>
          </cell>
          <cell r="K1154">
            <v>0</v>
          </cell>
          <cell r="L1154">
            <v>520000</v>
          </cell>
          <cell r="M1154" t="str">
            <v>JUMBO PORTAL LA REINA</v>
          </cell>
          <cell r="P1154" t="str">
            <v>LA REINA</v>
          </cell>
          <cell r="Q1154" t="str">
            <v>TRADICIONAL</v>
          </cell>
          <cell r="R1154" t="str">
            <v>Supermercado - Santiago</v>
          </cell>
          <cell r="S1154" t="str">
            <v>Jumbo</v>
          </cell>
          <cell r="T1154" t="str">
            <v>Cajas de luz</v>
          </cell>
          <cell r="U1154">
            <v>1</v>
          </cell>
          <cell r="V1154" t="str">
            <v>2.92 * 1.42</v>
          </cell>
        </row>
        <row r="1155">
          <cell r="A1155" t="str">
            <v>JULR0003A</v>
          </cell>
          <cell r="B1155" t="str">
            <v>Supermercado</v>
          </cell>
          <cell r="D1155" t="str">
            <v>P.E.: PANEL ACCESO</v>
          </cell>
          <cell r="E1155" t="str">
            <v>PANEL ACCESO</v>
          </cell>
          <cell r="F1155" t="str">
            <v>7.00 * 3.00</v>
          </cell>
          <cell r="G1155" t="str">
            <v>7.30 * 3.30</v>
          </cell>
          <cell r="H1155" t="str">
            <v>X</v>
          </cell>
          <cell r="I1155" t="str">
            <v>EXTERIORES</v>
          </cell>
          <cell r="J1155">
            <v>71000</v>
          </cell>
          <cell r="K1155">
            <v>383019</v>
          </cell>
          <cell r="L1155">
            <v>1900000</v>
          </cell>
          <cell r="M1155" t="str">
            <v>JUMBO PORTAL LA REINA</v>
          </cell>
          <cell r="P1155" t="str">
            <v>LA REINA</v>
          </cell>
          <cell r="Q1155" t="str">
            <v>ESPECIAL</v>
          </cell>
          <cell r="R1155" t="str">
            <v>Supermercado - Santiago</v>
          </cell>
          <cell r="S1155" t="str">
            <v>Jumbo</v>
          </cell>
          <cell r="T1155" t="str">
            <v>Productos Especiales</v>
          </cell>
          <cell r="U1155">
            <v>1</v>
          </cell>
          <cell r="V1155" t="str">
            <v>7.00 * 3.00</v>
          </cell>
        </row>
        <row r="1156">
          <cell r="A1156" t="str">
            <v>JULR0004A</v>
          </cell>
          <cell r="B1156" t="str">
            <v>Supermercado</v>
          </cell>
          <cell r="D1156" t="str">
            <v>Cajas de luz</v>
          </cell>
          <cell r="E1156" t="str">
            <v>Cajas de luz</v>
          </cell>
          <cell r="F1156" t="str">
            <v>2.92 * 1.42</v>
          </cell>
          <cell r="G1156" t="str">
            <v>3.20* 1.70</v>
          </cell>
          <cell r="H1156" t="str">
            <v>V</v>
          </cell>
          <cell r="I1156" t="str">
            <v>INTERIORES</v>
          </cell>
          <cell r="J1156">
            <v>0</v>
          </cell>
          <cell r="K1156">
            <v>0</v>
          </cell>
          <cell r="L1156">
            <v>520000</v>
          </cell>
          <cell r="M1156" t="str">
            <v>JUMBO PORTAL LA REINA</v>
          </cell>
          <cell r="P1156" t="str">
            <v>LA REINA</v>
          </cell>
          <cell r="Q1156" t="str">
            <v>TRADICIONAL</v>
          </cell>
          <cell r="R1156" t="str">
            <v>Supermercado - Santiago</v>
          </cell>
          <cell r="S1156" t="str">
            <v>Jumbo</v>
          </cell>
          <cell r="T1156" t="str">
            <v>Cajas de luz</v>
          </cell>
          <cell r="U1156">
            <v>1</v>
          </cell>
          <cell r="V1156" t="str">
            <v>2.92 * 1.42</v>
          </cell>
        </row>
        <row r="1157">
          <cell r="A1157" t="str">
            <v>JULR0005A</v>
          </cell>
          <cell r="B1157" t="str">
            <v>Supermercado</v>
          </cell>
          <cell r="D1157" t="str">
            <v>Cajas de luz</v>
          </cell>
          <cell r="E1157" t="str">
            <v>Cajas de luz</v>
          </cell>
          <cell r="F1157" t="str">
            <v>7.00 * 1.50</v>
          </cell>
          <cell r="G1157" t="str">
            <v>7.20 * 1.70</v>
          </cell>
          <cell r="H1157" t="str">
            <v>V</v>
          </cell>
          <cell r="I1157" t="str">
            <v>INTERIORES</v>
          </cell>
          <cell r="J1157">
            <v>0</v>
          </cell>
          <cell r="K1157">
            <v>0</v>
          </cell>
          <cell r="L1157">
            <v>700000</v>
          </cell>
          <cell r="M1157" t="str">
            <v>JUMBO PORTAL LA REINA</v>
          </cell>
          <cell r="P1157" t="str">
            <v>LA REINA</v>
          </cell>
          <cell r="Q1157" t="str">
            <v>TRADICIONAL</v>
          </cell>
          <cell r="R1157" t="str">
            <v>Supermercado - Santiago</v>
          </cell>
          <cell r="S1157" t="str">
            <v>Jumbo</v>
          </cell>
          <cell r="T1157" t="str">
            <v>Cajas de luz</v>
          </cell>
          <cell r="U1157">
            <v>1</v>
          </cell>
          <cell r="V1157" t="str">
            <v>7.00 * 1.50</v>
          </cell>
        </row>
        <row r="1158">
          <cell r="A1158" t="str">
            <v>JULR0006A</v>
          </cell>
          <cell r="B1158" t="str">
            <v>Supermercado</v>
          </cell>
          <cell r="D1158" t="str">
            <v>Paletas</v>
          </cell>
          <cell r="E1158" t="str">
            <v>PALETAS SCREEN NUEVAS</v>
          </cell>
          <cell r="F1158" t="str">
            <v>1.20 * 1.70</v>
          </cell>
          <cell r="G1158" t="str">
            <v>1.23 * 1.75</v>
          </cell>
          <cell r="H1158" t="str">
            <v>E</v>
          </cell>
          <cell r="I1158" t="str">
            <v>EXTERIORES</v>
          </cell>
          <cell r="J1158">
            <v>0</v>
          </cell>
          <cell r="K1158">
            <v>0</v>
          </cell>
          <cell r="L1158">
            <v>320000</v>
          </cell>
          <cell r="M1158" t="str">
            <v>JUMBO PORTAL LA REINA</v>
          </cell>
          <cell r="P1158" t="str">
            <v>LA REINA</v>
          </cell>
          <cell r="Q1158" t="str">
            <v>TRADICIONAL</v>
          </cell>
          <cell r="R1158" t="str">
            <v>Supermercado - Santiago</v>
          </cell>
          <cell r="S1158" t="str">
            <v>Jumbo</v>
          </cell>
          <cell r="T1158" t="str">
            <v>Paletas</v>
          </cell>
          <cell r="U1158">
            <v>1</v>
          </cell>
          <cell r="V1158" t="str">
            <v>1.20 * 1.70</v>
          </cell>
        </row>
        <row r="1159">
          <cell r="A1159" t="str">
            <v>JULR0006B</v>
          </cell>
          <cell r="B1159" t="str">
            <v>Supermercado</v>
          </cell>
          <cell r="D1159" t="str">
            <v>Paletas</v>
          </cell>
          <cell r="E1159" t="str">
            <v>PALETAS SCREEN NUEVAS</v>
          </cell>
          <cell r="F1159" t="str">
            <v>1.20 * 1.70</v>
          </cell>
          <cell r="G1159" t="str">
            <v>1.23 * 1.75</v>
          </cell>
          <cell r="H1159" t="str">
            <v>E</v>
          </cell>
          <cell r="I1159" t="str">
            <v>ESTAC</v>
          </cell>
          <cell r="J1159">
            <v>0</v>
          </cell>
          <cell r="K1159">
            <v>0</v>
          </cell>
          <cell r="L1159">
            <v>320000</v>
          </cell>
          <cell r="M1159" t="str">
            <v>JUMBO PORTAL LA REINA</v>
          </cell>
          <cell r="P1159" t="str">
            <v>LA REINA</v>
          </cell>
          <cell r="Q1159" t="str">
            <v>TRADICIONAL</v>
          </cell>
          <cell r="R1159" t="str">
            <v>Supermercado - Santiago</v>
          </cell>
          <cell r="S1159" t="str">
            <v>Jumbo</v>
          </cell>
          <cell r="T1159" t="str">
            <v>Paletas</v>
          </cell>
          <cell r="U1159">
            <v>1</v>
          </cell>
          <cell r="V1159" t="str">
            <v>1.20 * 1.70</v>
          </cell>
        </row>
        <row r="1160">
          <cell r="A1160" t="str">
            <v>JULR0007A</v>
          </cell>
          <cell r="B1160" t="str">
            <v>Supermercado</v>
          </cell>
          <cell r="D1160" t="str">
            <v>Paletas</v>
          </cell>
          <cell r="E1160" t="str">
            <v>PALETAS SCREEN NUEVAS</v>
          </cell>
          <cell r="F1160" t="str">
            <v>1.20 * 1.70</v>
          </cell>
          <cell r="G1160" t="str">
            <v>1.23 * 1.75</v>
          </cell>
          <cell r="H1160" t="str">
            <v>E</v>
          </cell>
          <cell r="I1160" t="str">
            <v>EXTERIORES</v>
          </cell>
          <cell r="J1160">
            <v>0</v>
          </cell>
          <cell r="K1160">
            <v>0</v>
          </cell>
          <cell r="L1160">
            <v>320000</v>
          </cell>
          <cell r="M1160" t="str">
            <v>JUMBO PORTAL LA REINA</v>
          </cell>
          <cell r="P1160" t="str">
            <v>LA REINA</v>
          </cell>
          <cell r="Q1160" t="str">
            <v>TRADICIONAL</v>
          </cell>
          <cell r="R1160" t="str">
            <v>Supermercado - Santiago</v>
          </cell>
          <cell r="S1160" t="str">
            <v>Jumbo</v>
          </cell>
          <cell r="T1160" t="str">
            <v>Paletas</v>
          </cell>
          <cell r="U1160">
            <v>1</v>
          </cell>
          <cell r="V1160" t="str">
            <v>1.20 * 1.70</v>
          </cell>
        </row>
        <row r="1161">
          <cell r="A1161" t="str">
            <v>JULR0007B</v>
          </cell>
          <cell r="B1161" t="str">
            <v>Supermercado</v>
          </cell>
          <cell r="D1161" t="str">
            <v>Paletas</v>
          </cell>
          <cell r="E1161" t="str">
            <v>PALETAS SCREEN NUEVAS</v>
          </cell>
          <cell r="F1161" t="str">
            <v>1.20 * 1.70</v>
          </cell>
          <cell r="G1161" t="str">
            <v>1.23 * 1.75</v>
          </cell>
          <cell r="H1161" t="str">
            <v>E</v>
          </cell>
          <cell r="I1161" t="str">
            <v>EXTERIORES</v>
          </cell>
          <cell r="J1161">
            <v>0</v>
          </cell>
          <cell r="K1161">
            <v>0</v>
          </cell>
          <cell r="L1161">
            <v>320000</v>
          </cell>
          <cell r="M1161" t="str">
            <v>JUMBO PORTAL LA REINA</v>
          </cell>
          <cell r="P1161" t="str">
            <v>LA REINA</v>
          </cell>
          <cell r="Q1161" t="str">
            <v>TRADICIONAL</v>
          </cell>
          <cell r="R1161" t="str">
            <v>Supermercado - Santiago</v>
          </cell>
          <cell r="S1161" t="str">
            <v>Jumbo</v>
          </cell>
          <cell r="T1161" t="str">
            <v>Paletas</v>
          </cell>
          <cell r="U1161">
            <v>1</v>
          </cell>
          <cell r="V1161" t="str">
            <v>1.20 * 1.70</v>
          </cell>
        </row>
        <row r="1162">
          <cell r="A1162" t="str">
            <v>JULR0012A</v>
          </cell>
          <cell r="B1162" t="str">
            <v>Supermercado</v>
          </cell>
          <cell r="D1162" t="str">
            <v>P.E.: PAQ. LATERALES 1 ESCALERA</v>
          </cell>
          <cell r="E1162" t="str">
            <v>PAQ. LATERALES 1 ESCALERA</v>
          </cell>
          <cell r="F1162" t="str">
            <v>ver ficha</v>
          </cell>
          <cell r="I1162" t="str">
            <v>ACCESO SALA</v>
          </cell>
          <cell r="J1162">
            <v>670000</v>
          </cell>
          <cell r="L1162">
            <v>4500000</v>
          </cell>
          <cell r="M1162" t="str">
            <v>JUMBO PORTAL LA REINA</v>
          </cell>
          <cell r="P1162" t="str">
            <v>LA REINA</v>
          </cell>
          <cell r="Q1162" t="str">
            <v>ESPECIAL</v>
          </cell>
          <cell r="R1162" t="str">
            <v>Supermercado - Santiago</v>
          </cell>
          <cell r="S1162" t="str">
            <v>Jumbo</v>
          </cell>
          <cell r="T1162" t="str">
            <v>Productos Especiales</v>
          </cell>
          <cell r="U1162">
            <v>1</v>
          </cell>
          <cell r="V1162" t="str">
            <v>NA</v>
          </cell>
        </row>
        <row r="1163">
          <cell r="A1163" t="str">
            <v>JUMA0001A</v>
          </cell>
          <cell r="B1163" t="str">
            <v>Supermercado</v>
          </cell>
          <cell r="D1163" t="str">
            <v>Paletas</v>
          </cell>
          <cell r="E1163" t="str">
            <v>Paletas</v>
          </cell>
          <cell r="F1163" t="str">
            <v>1.10 * 1.53</v>
          </cell>
          <cell r="G1163" t="str">
            <v>1.15 * 1.57</v>
          </cell>
          <cell r="H1163" t="str">
            <v>E</v>
          </cell>
          <cell r="I1163" t="str">
            <v>ESTACIONAMIENTOS</v>
          </cell>
          <cell r="J1163">
            <v>0</v>
          </cell>
          <cell r="K1163">
            <v>0</v>
          </cell>
          <cell r="L1163">
            <v>280000</v>
          </cell>
          <cell r="M1163" t="str">
            <v>JUMBO MAIPU</v>
          </cell>
          <cell r="P1163" t="str">
            <v>MAIPU</v>
          </cell>
          <cell r="Q1163" t="str">
            <v>TRADICIONAL</v>
          </cell>
          <cell r="R1163" t="str">
            <v>Supermercado - Santiago</v>
          </cell>
          <cell r="S1163" t="str">
            <v>Jumbo</v>
          </cell>
          <cell r="T1163" t="str">
            <v>Paletas</v>
          </cell>
          <cell r="U1163">
            <v>1</v>
          </cell>
          <cell r="V1163" t="str">
            <v>1.10 * 1.53</v>
          </cell>
        </row>
        <row r="1164">
          <cell r="A1164" t="str">
            <v>JUMA0002A</v>
          </cell>
          <cell r="B1164" t="str">
            <v>Supermercado</v>
          </cell>
          <cell r="D1164" t="str">
            <v>Paletas</v>
          </cell>
          <cell r="E1164" t="str">
            <v>Paletas</v>
          </cell>
          <cell r="F1164" t="str">
            <v>1.10 * 1.53</v>
          </cell>
          <cell r="G1164" t="str">
            <v>1.15 * 1.57</v>
          </cell>
          <cell r="H1164" t="str">
            <v>E</v>
          </cell>
          <cell r="I1164" t="str">
            <v>ESTACIONAMIENTOS</v>
          </cell>
          <cell r="J1164">
            <v>0</v>
          </cell>
          <cell r="K1164">
            <v>0</v>
          </cell>
          <cell r="L1164">
            <v>280000</v>
          </cell>
          <cell r="M1164" t="str">
            <v>JUMBO MAIPU</v>
          </cell>
          <cell r="P1164" t="str">
            <v>MAIPU</v>
          </cell>
          <cell r="Q1164" t="str">
            <v>TRADICIONAL</v>
          </cell>
          <cell r="R1164" t="str">
            <v>Supermercado - Santiago</v>
          </cell>
          <cell r="S1164" t="str">
            <v>Jumbo</v>
          </cell>
          <cell r="T1164" t="str">
            <v>Paletas</v>
          </cell>
          <cell r="U1164">
            <v>1</v>
          </cell>
          <cell r="V1164" t="str">
            <v>1.10 * 1.53</v>
          </cell>
        </row>
        <row r="1165">
          <cell r="A1165" t="str">
            <v>JUMA0003A</v>
          </cell>
          <cell r="B1165" t="str">
            <v>Supermercado</v>
          </cell>
          <cell r="D1165" t="str">
            <v>Paletas</v>
          </cell>
          <cell r="E1165" t="str">
            <v>Paletas</v>
          </cell>
          <cell r="F1165" t="str">
            <v>1.10 * 1.53</v>
          </cell>
          <cell r="G1165" t="str">
            <v>1.15 * 1.57</v>
          </cell>
          <cell r="H1165" t="str">
            <v>E</v>
          </cell>
          <cell r="I1165" t="str">
            <v>ESTACIONAMIENTOS</v>
          </cell>
          <cell r="J1165">
            <v>0</v>
          </cell>
          <cell r="K1165">
            <v>0</v>
          </cell>
          <cell r="L1165">
            <v>280000</v>
          </cell>
          <cell r="M1165" t="str">
            <v>JUMBO MAIPU</v>
          </cell>
          <cell r="P1165" t="str">
            <v>MAIPU</v>
          </cell>
          <cell r="Q1165" t="str">
            <v>TRADICIONAL</v>
          </cell>
          <cell r="R1165" t="str">
            <v>Supermercado - Santiago</v>
          </cell>
          <cell r="S1165" t="str">
            <v>Jumbo</v>
          </cell>
          <cell r="T1165" t="str">
            <v>Paletas</v>
          </cell>
          <cell r="U1165">
            <v>1</v>
          </cell>
          <cell r="V1165" t="str">
            <v>1.10 * 1.53</v>
          </cell>
        </row>
        <row r="1166">
          <cell r="A1166" t="str">
            <v>JUMA0004A</v>
          </cell>
          <cell r="B1166" t="str">
            <v>Supermercado</v>
          </cell>
          <cell r="D1166" t="str">
            <v>Paletas</v>
          </cell>
          <cell r="E1166" t="str">
            <v>Paletas</v>
          </cell>
          <cell r="F1166" t="str">
            <v>1.10 * 1.53</v>
          </cell>
          <cell r="G1166" t="str">
            <v>1.15 * 1.57</v>
          </cell>
          <cell r="H1166" t="str">
            <v>E</v>
          </cell>
          <cell r="I1166" t="str">
            <v>ESTACIONAMIENTOS</v>
          </cell>
          <cell r="J1166">
            <v>0</v>
          </cell>
          <cell r="K1166">
            <v>0</v>
          </cell>
          <cell r="L1166">
            <v>280000</v>
          </cell>
          <cell r="M1166" t="str">
            <v>JUMBO MAIPU</v>
          </cell>
          <cell r="P1166" t="str">
            <v>MAIPU</v>
          </cell>
          <cell r="Q1166" t="str">
            <v>TRADICIONAL</v>
          </cell>
          <cell r="R1166" t="str">
            <v>Supermercado - Santiago</v>
          </cell>
          <cell r="S1166" t="str">
            <v>Jumbo</v>
          </cell>
          <cell r="T1166" t="str">
            <v>Paletas</v>
          </cell>
          <cell r="U1166">
            <v>1</v>
          </cell>
          <cell r="V1166" t="str">
            <v>1.10 * 1.53</v>
          </cell>
        </row>
        <row r="1167">
          <cell r="A1167" t="str">
            <v>JUMA0004B</v>
          </cell>
          <cell r="B1167" t="str">
            <v>Supermercado</v>
          </cell>
          <cell r="D1167" t="str">
            <v>Paletas</v>
          </cell>
          <cell r="E1167" t="str">
            <v>Paletas</v>
          </cell>
          <cell r="F1167" t="str">
            <v>1.10 * 1.53</v>
          </cell>
          <cell r="G1167" t="str">
            <v>1.15 * 1.57</v>
          </cell>
          <cell r="H1167" t="str">
            <v>E</v>
          </cell>
          <cell r="I1167" t="str">
            <v>ESTACIONAMIENTOS</v>
          </cell>
          <cell r="J1167">
            <v>0</v>
          </cell>
          <cell r="K1167">
            <v>0</v>
          </cell>
          <cell r="L1167">
            <v>280000</v>
          </cell>
          <cell r="M1167" t="str">
            <v>JUMBO MAIPU</v>
          </cell>
          <cell r="P1167" t="str">
            <v>MAIPU</v>
          </cell>
          <cell r="Q1167" t="str">
            <v>TRADICIONAL</v>
          </cell>
          <cell r="R1167" t="str">
            <v>Supermercado - Santiago</v>
          </cell>
          <cell r="S1167" t="str">
            <v>Jumbo</v>
          </cell>
          <cell r="T1167" t="str">
            <v>Paletas</v>
          </cell>
          <cell r="U1167">
            <v>1</v>
          </cell>
          <cell r="V1167" t="str">
            <v>1.10 * 1.53</v>
          </cell>
        </row>
        <row r="1168">
          <cell r="A1168" t="str">
            <v>JUMA0005A</v>
          </cell>
          <cell r="B1168" t="str">
            <v>Supermercado</v>
          </cell>
          <cell r="D1168" t="str">
            <v>Paletas</v>
          </cell>
          <cell r="E1168" t="str">
            <v>Paletas</v>
          </cell>
          <cell r="F1168" t="str">
            <v>1.10 * 1.53</v>
          </cell>
          <cell r="G1168" t="str">
            <v>1.15 * 1.57</v>
          </cell>
          <cell r="H1168" t="str">
            <v>E</v>
          </cell>
          <cell r="I1168" t="str">
            <v>ESTACIONAMIENTOS</v>
          </cell>
          <cell r="J1168">
            <v>0</v>
          </cell>
          <cell r="K1168">
            <v>0</v>
          </cell>
          <cell r="L1168">
            <v>280000</v>
          </cell>
          <cell r="M1168" t="str">
            <v>JUMBO MAIPU</v>
          </cell>
          <cell r="P1168" t="str">
            <v>MAIPU</v>
          </cell>
          <cell r="Q1168" t="str">
            <v>TRADICIONAL</v>
          </cell>
          <cell r="R1168" t="str">
            <v>Supermercado - Santiago</v>
          </cell>
          <cell r="S1168" t="str">
            <v>Jumbo</v>
          </cell>
          <cell r="T1168" t="str">
            <v>Paletas</v>
          </cell>
          <cell r="U1168">
            <v>1</v>
          </cell>
          <cell r="V1168" t="str">
            <v>1.10 * 1.53</v>
          </cell>
        </row>
        <row r="1169">
          <cell r="A1169" t="str">
            <v>JUMA0005B</v>
          </cell>
          <cell r="B1169" t="str">
            <v>Supermercado</v>
          </cell>
          <cell r="D1169" t="str">
            <v>Paletas</v>
          </cell>
          <cell r="E1169" t="str">
            <v>Paletas</v>
          </cell>
          <cell r="F1169" t="str">
            <v>1.10 * 1.53</v>
          </cell>
          <cell r="G1169" t="str">
            <v>1.15 * 1.57</v>
          </cell>
          <cell r="H1169" t="str">
            <v>E</v>
          </cell>
          <cell r="I1169" t="str">
            <v>ESTACIONAMIENTOS</v>
          </cell>
          <cell r="J1169">
            <v>0</v>
          </cell>
          <cell r="K1169">
            <v>0</v>
          </cell>
          <cell r="L1169">
            <v>280000</v>
          </cell>
          <cell r="M1169" t="str">
            <v>JUMBO MAIPU</v>
          </cell>
          <cell r="P1169" t="str">
            <v>MAIPU</v>
          </cell>
          <cell r="Q1169" t="str">
            <v>TRADICIONAL</v>
          </cell>
          <cell r="R1169" t="str">
            <v>Supermercado - Santiago</v>
          </cell>
          <cell r="S1169" t="str">
            <v>Jumbo</v>
          </cell>
          <cell r="T1169" t="str">
            <v>Paletas</v>
          </cell>
          <cell r="U1169">
            <v>1</v>
          </cell>
          <cell r="V1169" t="str">
            <v>1.10 * 1.53</v>
          </cell>
        </row>
        <row r="1170">
          <cell r="A1170" t="str">
            <v>JUMA0006A</v>
          </cell>
          <cell r="B1170" t="str">
            <v>Supermercado</v>
          </cell>
          <cell r="D1170" t="str">
            <v>Paletas</v>
          </cell>
          <cell r="E1170" t="str">
            <v>Paletas</v>
          </cell>
          <cell r="F1170" t="str">
            <v>1.10 * 1.53</v>
          </cell>
          <cell r="G1170" t="str">
            <v>1.15 * 1.57</v>
          </cell>
          <cell r="H1170" t="str">
            <v>E</v>
          </cell>
          <cell r="I1170" t="str">
            <v>ESTACIONAMIENTOS</v>
          </cell>
          <cell r="J1170">
            <v>0</v>
          </cell>
          <cell r="K1170">
            <v>0</v>
          </cell>
          <cell r="L1170">
            <v>280000</v>
          </cell>
          <cell r="M1170" t="str">
            <v>JUMBO MAIPU</v>
          </cell>
          <cell r="P1170" t="str">
            <v>MAIPU</v>
          </cell>
          <cell r="Q1170" t="str">
            <v>TRADICIONAL</v>
          </cell>
          <cell r="R1170" t="str">
            <v>Supermercado - Santiago</v>
          </cell>
          <cell r="S1170" t="str">
            <v>Jumbo</v>
          </cell>
          <cell r="T1170" t="str">
            <v>Paletas</v>
          </cell>
          <cell r="U1170">
            <v>1</v>
          </cell>
          <cell r="V1170" t="str">
            <v>1.10 * 1.53</v>
          </cell>
        </row>
        <row r="1171">
          <cell r="A1171" t="str">
            <v>JUMA0006B</v>
          </cell>
          <cell r="B1171" t="str">
            <v>Supermercado</v>
          </cell>
          <cell r="D1171" t="str">
            <v>Paletas</v>
          </cell>
          <cell r="E1171" t="str">
            <v>Paletas</v>
          </cell>
          <cell r="F1171" t="str">
            <v>1.10 * 1.53</v>
          </cell>
          <cell r="G1171" t="str">
            <v>1.15 * 1.57</v>
          </cell>
          <cell r="H1171" t="str">
            <v>E</v>
          </cell>
          <cell r="I1171" t="str">
            <v>ESTACIONAMIENTOS</v>
          </cell>
          <cell r="J1171">
            <v>0</v>
          </cell>
          <cell r="K1171">
            <v>0</v>
          </cell>
          <cell r="L1171">
            <v>280000</v>
          </cell>
          <cell r="M1171" t="str">
            <v>JUMBO MAIPU</v>
          </cell>
          <cell r="P1171" t="str">
            <v>MAIPU</v>
          </cell>
          <cell r="Q1171" t="str">
            <v>TRADICIONAL</v>
          </cell>
          <cell r="R1171" t="str">
            <v>Supermercado - Santiago</v>
          </cell>
          <cell r="S1171" t="str">
            <v>Jumbo</v>
          </cell>
          <cell r="T1171" t="str">
            <v>Paletas</v>
          </cell>
          <cell r="U1171">
            <v>1</v>
          </cell>
          <cell r="V1171" t="str">
            <v>1.10 * 1.53</v>
          </cell>
        </row>
        <row r="1172">
          <cell r="A1172" t="str">
            <v>JUMA0007A</v>
          </cell>
          <cell r="B1172" t="str">
            <v>Supermercado</v>
          </cell>
          <cell r="D1172" t="str">
            <v>Paletas</v>
          </cell>
          <cell r="E1172" t="str">
            <v>Paletas</v>
          </cell>
          <cell r="F1172" t="str">
            <v>1.10 * 1.53</v>
          </cell>
          <cell r="G1172" t="str">
            <v>1.15 * 1.57</v>
          </cell>
          <cell r="H1172" t="str">
            <v>E</v>
          </cell>
          <cell r="I1172" t="str">
            <v>ESTACIONAMIENTOS</v>
          </cell>
          <cell r="J1172">
            <v>0</v>
          </cell>
          <cell r="K1172">
            <v>0</v>
          </cell>
          <cell r="L1172">
            <v>280000</v>
          </cell>
          <cell r="M1172" t="str">
            <v>JUMBO MAIPU</v>
          </cell>
          <cell r="P1172" t="str">
            <v>MAIPU</v>
          </cell>
          <cell r="Q1172" t="str">
            <v>TRADICIONAL</v>
          </cell>
          <cell r="R1172" t="str">
            <v>Supermercado - Santiago</v>
          </cell>
          <cell r="S1172" t="str">
            <v>Jumbo</v>
          </cell>
          <cell r="T1172" t="str">
            <v>Paletas</v>
          </cell>
          <cell r="U1172">
            <v>1</v>
          </cell>
          <cell r="V1172" t="str">
            <v>1.10 * 1.53</v>
          </cell>
        </row>
        <row r="1173">
          <cell r="A1173" t="str">
            <v>JUMA0007B</v>
          </cell>
          <cell r="B1173" t="str">
            <v>Supermercado</v>
          </cell>
          <cell r="D1173" t="str">
            <v>Paletas</v>
          </cell>
          <cell r="E1173" t="str">
            <v>Paletas</v>
          </cell>
          <cell r="F1173" t="str">
            <v>1.10 * 1.53</v>
          </cell>
          <cell r="G1173" t="str">
            <v>1.15 * 1.57</v>
          </cell>
          <cell r="H1173" t="str">
            <v>E</v>
          </cell>
          <cell r="I1173" t="str">
            <v>ESTACIONAMIENTOS</v>
          </cell>
          <cell r="J1173">
            <v>0</v>
          </cell>
          <cell r="K1173">
            <v>0</v>
          </cell>
          <cell r="L1173">
            <v>280000</v>
          </cell>
          <cell r="M1173" t="str">
            <v>JUMBO MAIPU</v>
          </cell>
          <cell r="P1173" t="str">
            <v>MAIPU</v>
          </cell>
          <cell r="Q1173" t="str">
            <v>TRADICIONAL</v>
          </cell>
          <cell r="R1173" t="str">
            <v>Supermercado - Santiago</v>
          </cell>
          <cell r="S1173" t="str">
            <v>Jumbo</v>
          </cell>
          <cell r="T1173" t="str">
            <v>Paletas</v>
          </cell>
          <cell r="U1173">
            <v>1</v>
          </cell>
          <cell r="V1173" t="str">
            <v>1.10 * 1.53</v>
          </cell>
        </row>
        <row r="1174">
          <cell r="A1174" t="str">
            <v>JUMA0008A</v>
          </cell>
          <cell r="B1174" t="str">
            <v>Supermercado</v>
          </cell>
          <cell r="D1174" t="str">
            <v>Paletas</v>
          </cell>
          <cell r="E1174" t="str">
            <v>Paletas</v>
          </cell>
          <cell r="F1174" t="str">
            <v>1.10 * 1.53</v>
          </cell>
          <cell r="G1174" t="str">
            <v>1.15 * 1.57</v>
          </cell>
          <cell r="H1174" t="str">
            <v>E</v>
          </cell>
          <cell r="I1174" t="str">
            <v>ESTACIONAMIENTOS</v>
          </cell>
          <cell r="J1174">
            <v>0</v>
          </cell>
          <cell r="K1174">
            <v>0</v>
          </cell>
          <cell r="L1174">
            <v>280000</v>
          </cell>
          <cell r="M1174" t="str">
            <v>JUMBO MAIPU</v>
          </cell>
          <cell r="P1174" t="str">
            <v>MAIPU</v>
          </cell>
          <cell r="Q1174" t="str">
            <v>TRADICIONAL</v>
          </cell>
          <cell r="R1174" t="str">
            <v>Supermercado - Santiago</v>
          </cell>
          <cell r="S1174" t="str">
            <v>Jumbo</v>
          </cell>
          <cell r="T1174" t="str">
            <v>Paletas</v>
          </cell>
          <cell r="U1174">
            <v>1</v>
          </cell>
          <cell r="V1174" t="str">
            <v>1.10 * 1.53</v>
          </cell>
        </row>
        <row r="1175">
          <cell r="A1175" t="str">
            <v>JUMA0008B</v>
          </cell>
          <cell r="B1175" t="str">
            <v>Supermercado</v>
          </cell>
          <cell r="D1175" t="str">
            <v>Paletas</v>
          </cell>
          <cell r="E1175" t="str">
            <v>Paletas</v>
          </cell>
          <cell r="F1175" t="str">
            <v>1.10 * 1.53</v>
          </cell>
          <cell r="G1175" t="str">
            <v>1.15 * 1.57</v>
          </cell>
          <cell r="H1175" t="str">
            <v>E</v>
          </cell>
          <cell r="I1175" t="str">
            <v>ESTACIONAMIENTOS</v>
          </cell>
          <cell r="J1175">
            <v>0</v>
          </cell>
          <cell r="K1175">
            <v>0</v>
          </cell>
          <cell r="L1175">
            <v>280000</v>
          </cell>
          <cell r="M1175" t="str">
            <v>JUMBO MAIPU</v>
          </cell>
          <cell r="P1175" t="str">
            <v>MAIPU</v>
          </cell>
          <cell r="Q1175" t="str">
            <v>TRADICIONAL</v>
          </cell>
          <cell r="R1175" t="str">
            <v>Supermercado - Santiago</v>
          </cell>
          <cell r="S1175" t="str">
            <v>Jumbo</v>
          </cell>
          <cell r="T1175" t="str">
            <v>Paletas</v>
          </cell>
          <cell r="U1175">
            <v>1</v>
          </cell>
          <cell r="V1175" t="str">
            <v>1.10 * 1.53</v>
          </cell>
        </row>
        <row r="1176">
          <cell r="A1176" t="str">
            <v>JUMA0009A</v>
          </cell>
          <cell r="B1176" t="str">
            <v>Supermercado</v>
          </cell>
          <cell r="D1176" t="str">
            <v>Paletas</v>
          </cell>
          <cell r="E1176" t="str">
            <v>Paletas</v>
          </cell>
          <cell r="F1176" t="str">
            <v>1.10 * 1.53</v>
          </cell>
          <cell r="G1176" t="str">
            <v>1.15 * 1.57</v>
          </cell>
          <cell r="H1176" t="str">
            <v>E</v>
          </cell>
          <cell r="I1176" t="str">
            <v>ESTACIONAMIENTOS</v>
          </cell>
          <cell r="J1176">
            <v>0</v>
          </cell>
          <cell r="K1176">
            <v>0</v>
          </cell>
          <cell r="L1176">
            <v>280000</v>
          </cell>
          <cell r="M1176" t="str">
            <v>JUMBO MAIPU</v>
          </cell>
          <cell r="P1176" t="str">
            <v>MAIPU</v>
          </cell>
          <cell r="Q1176" t="str">
            <v>TRADICIONAL</v>
          </cell>
          <cell r="R1176" t="str">
            <v>Supermercado - Santiago</v>
          </cell>
          <cell r="S1176" t="str">
            <v>Jumbo</v>
          </cell>
          <cell r="T1176" t="str">
            <v>Paletas</v>
          </cell>
          <cell r="U1176">
            <v>1</v>
          </cell>
          <cell r="V1176" t="str">
            <v>1.10 * 1.53</v>
          </cell>
        </row>
        <row r="1177">
          <cell r="A1177" t="str">
            <v>JUMA0009B</v>
          </cell>
          <cell r="B1177" t="str">
            <v>Supermercado</v>
          </cell>
          <cell r="D1177" t="str">
            <v>Paletas</v>
          </cell>
          <cell r="E1177" t="str">
            <v>Paletas</v>
          </cell>
          <cell r="F1177" t="str">
            <v>1.10 * 1.53</v>
          </cell>
          <cell r="G1177" t="str">
            <v>1.15 * 1.57</v>
          </cell>
          <cell r="H1177" t="str">
            <v>E</v>
          </cell>
          <cell r="I1177" t="str">
            <v>ESTACIONAMIENTOS</v>
          </cell>
          <cell r="J1177">
            <v>0</v>
          </cell>
          <cell r="K1177">
            <v>0</v>
          </cell>
          <cell r="L1177">
            <v>280000</v>
          </cell>
          <cell r="M1177" t="str">
            <v>JUMBO MAIPU</v>
          </cell>
          <cell r="P1177" t="str">
            <v>MAIPU</v>
          </cell>
          <cell r="Q1177" t="str">
            <v>TRADICIONAL</v>
          </cell>
          <cell r="R1177" t="str">
            <v>Supermercado - Santiago</v>
          </cell>
          <cell r="S1177" t="str">
            <v>Jumbo</v>
          </cell>
          <cell r="T1177" t="str">
            <v>Paletas</v>
          </cell>
          <cell r="U1177">
            <v>1</v>
          </cell>
          <cell r="V1177" t="str">
            <v>1.10 * 1.53</v>
          </cell>
        </row>
        <row r="1178">
          <cell r="A1178" t="str">
            <v>JUMA0010A</v>
          </cell>
          <cell r="B1178" t="str">
            <v>Supermercado</v>
          </cell>
          <cell r="D1178" t="str">
            <v>P.E.: PORTAL ACCESO (ARCO)</v>
          </cell>
          <cell r="E1178" t="str">
            <v>PORTAL ACCESO (ARCO)</v>
          </cell>
          <cell r="F1178" t="str">
            <v>Ver Ficha</v>
          </cell>
          <cell r="G1178" t="str">
            <v>Ver Ficha</v>
          </cell>
          <cell r="H1178" t="str">
            <v>E</v>
          </cell>
          <cell r="I1178" t="str">
            <v>ESTACIONAMIENTOS</v>
          </cell>
          <cell r="J1178">
            <v>768000</v>
          </cell>
          <cell r="K1178">
            <v>0</v>
          </cell>
          <cell r="L1178">
            <v>3800000</v>
          </cell>
          <cell r="M1178" t="str">
            <v>JUMBO MAIPU</v>
          </cell>
          <cell r="P1178" t="str">
            <v>MAIPU</v>
          </cell>
          <cell r="Q1178" t="str">
            <v>ESPECIAL</v>
          </cell>
          <cell r="R1178" t="str">
            <v>Supermercado - Santiago</v>
          </cell>
          <cell r="S1178" t="str">
            <v>Jumbo</v>
          </cell>
          <cell r="T1178" t="str">
            <v>Productos Especiales</v>
          </cell>
          <cell r="U1178">
            <v>1</v>
          </cell>
          <cell r="V1178" t="str">
            <v>NA</v>
          </cell>
        </row>
        <row r="1179">
          <cell r="A1179" t="str">
            <v>JUPE0001A</v>
          </cell>
          <cell r="B1179" t="str">
            <v>Supermercado</v>
          </cell>
          <cell r="D1179" t="str">
            <v>Cajas de luz</v>
          </cell>
          <cell r="E1179" t="str">
            <v>Cajas de luz</v>
          </cell>
          <cell r="F1179" t="str">
            <v>3.80 * 1.80</v>
          </cell>
          <cell r="G1179" t="str">
            <v>4.00 * 2.00</v>
          </cell>
          <cell r="H1179" t="str">
            <v>V</v>
          </cell>
          <cell r="I1179" t="str">
            <v>ACCESO SALA</v>
          </cell>
          <cell r="J1179">
            <v>0</v>
          </cell>
          <cell r="K1179">
            <v>0</v>
          </cell>
          <cell r="L1179">
            <v>520000</v>
          </cell>
          <cell r="M1179" t="str">
            <v>JUMBO PEÑALOLEN</v>
          </cell>
          <cell r="P1179" t="str">
            <v>PENALOLEN</v>
          </cell>
          <cell r="Q1179" t="str">
            <v>TRADICIONAL</v>
          </cell>
          <cell r="R1179" t="str">
            <v>Supermercado - Santiago</v>
          </cell>
          <cell r="S1179" t="str">
            <v>Jumbo</v>
          </cell>
          <cell r="T1179" t="str">
            <v>Cajas de luz</v>
          </cell>
          <cell r="U1179">
            <v>1</v>
          </cell>
          <cell r="V1179" t="str">
            <v>3.80 * 1.80</v>
          </cell>
        </row>
        <row r="1180">
          <cell r="A1180" t="str">
            <v>JUVI0001A</v>
          </cell>
          <cell r="B1180" t="str">
            <v>Supermercado</v>
          </cell>
          <cell r="D1180" t="str">
            <v>Cajas de luz</v>
          </cell>
          <cell r="E1180" t="str">
            <v>Cajas de luz</v>
          </cell>
          <cell r="F1180" t="str">
            <v>3.92 * 1.92</v>
          </cell>
          <cell r="G1180" t="str">
            <v>4.20*2.20</v>
          </cell>
          <cell r="H1180" t="str">
            <v>V</v>
          </cell>
          <cell r="I1180" t="str">
            <v>ACCESO SALA DE V</v>
          </cell>
          <cell r="J1180">
            <v>0</v>
          </cell>
          <cell r="K1180">
            <v>0</v>
          </cell>
          <cell r="L1180">
            <v>650000</v>
          </cell>
          <cell r="M1180" t="str">
            <v>JUMBO VIÑA DEL MAR</v>
          </cell>
          <cell r="P1180" t="str">
            <v>VINA DEL MAR</v>
          </cell>
          <cell r="Q1180" t="str">
            <v>TRADICIONAL</v>
          </cell>
          <cell r="R1180" t="str">
            <v>Supermercado - V Region</v>
          </cell>
          <cell r="S1180" t="str">
            <v>Jumbo</v>
          </cell>
          <cell r="T1180" t="str">
            <v>Cajas de luz</v>
          </cell>
          <cell r="U1180">
            <v>1</v>
          </cell>
          <cell r="V1180" t="str">
            <v>3.92 x 1.92</v>
          </cell>
        </row>
        <row r="1181">
          <cell r="A1181" t="str">
            <v>JUVI0002A</v>
          </cell>
          <cell r="B1181" t="str">
            <v>Supermercado</v>
          </cell>
          <cell r="D1181" t="str">
            <v>Cajas de luz</v>
          </cell>
          <cell r="E1181" t="str">
            <v>Cajas de luz</v>
          </cell>
          <cell r="F1181" t="str">
            <v>3.62 * 1.92</v>
          </cell>
          <cell r="G1181" t="str">
            <v>3.90 * 2.20</v>
          </cell>
          <cell r="H1181" t="str">
            <v>V</v>
          </cell>
          <cell r="I1181" t="str">
            <v>ACCESO SALA DE V</v>
          </cell>
          <cell r="J1181">
            <v>0</v>
          </cell>
          <cell r="K1181">
            <v>0</v>
          </cell>
          <cell r="L1181">
            <v>550000</v>
          </cell>
          <cell r="M1181" t="str">
            <v>JUMBO VIÑA DEL MAR</v>
          </cell>
          <cell r="P1181" t="str">
            <v>VINA DEL MAR</v>
          </cell>
          <cell r="Q1181" t="str">
            <v>TRADICIONAL</v>
          </cell>
          <cell r="R1181" t="str">
            <v>Supermercado - V Region</v>
          </cell>
          <cell r="S1181" t="str">
            <v>Jumbo</v>
          </cell>
          <cell r="T1181" t="str">
            <v>Cajas de luz</v>
          </cell>
          <cell r="U1181">
            <v>1</v>
          </cell>
          <cell r="V1181" t="str">
            <v>3.62 * 1.92</v>
          </cell>
        </row>
        <row r="1182">
          <cell r="A1182" t="str">
            <v>LIAL0003A</v>
          </cell>
          <cell r="B1182" t="str">
            <v>Supermercado</v>
          </cell>
          <cell r="D1182" t="str">
            <v>Paletas</v>
          </cell>
          <cell r="E1182" t="str">
            <v>Paleta</v>
          </cell>
          <cell r="F1182" t="str">
            <v>1.10 x 1.53</v>
          </cell>
          <cell r="G1182" t="str">
            <v>1.15 x 1.57</v>
          </cell>
          <cell r="H1182" t="str">
            <v>S</v>
          </cell>
          <cell r="I1182" t="str">
            <v>ESTACIONAMIENTOS</v>
          </cell>
          <cell r="J1182">
            <v>0</v>
          </cell>
          <cell r="K1182">
            <v>0</v>
          </cell>
          <cell r="L1182">
            <v>220000</v>
          </cell>
          <cell r="M1182" t="str">
            <v>LIDER ALAMEDA</v>
          </cell>
          <cell r="P1182" t="str">
            <v>EST. CENTRAL</v>
          </cell>
          <cell r="Q1182" t="str">
            <v>TRADICIONAL</v>
          </cell>
          <cell r="R1182" t="str">
            <v>Supermercado - Santiago</v>
          </cell>
          <cell r="S1182" t="str">
            <v>Lider</v>
          </cell>
          <cell r="T1182" t="str">
            <v>Paletas</v>
          </cell>
          <cell r="U1182">
            <v>1</v>
          </cell>
          <cell r="V1182" t="str">
            <v>1.10 * 1.53</v>
          </cell>
        </row>
        <row r="1183">
          <cell r="A1183" t="str">
            <v>LIAL0004A</v>
          </cell>
          <cell r="B1183" t="str">
            <v>Supermercado</v>
          </cell>
          <cell r="D1183" t="str">
            <v>NO VENDIBLE</v>
          </cell>
          <cell r="E1183" t="str">
            <v>Paleta</v>
          </cell>
          <cell r="F1183" t="str">
            <v>1.10 x 1.53</v>
          </cell>
          <cell r="G1183" t="str">
            <v>1.15 x 1.57</v>
          </cell>
          <cell r="H1183" t="str">
            <v>S</v>
          </cell>
          <cell r="I1183" t="str">
            <v>ESTACIONAMIENTOS</v>
          </cell>
          <cell r="J1183">
            <v>0</v>
          </cell>
          <cell r="K1183">
            <v>0</v>
          </cell>
          <cell r="L1183">
            <v>220000</v>
          </cell>
          <cell r="M1183" t="str">
            <v>LIDER ALAMEDA</v>
          </cell>
          <cell r="O1183" t="str">
            <v>Sí</v>
          </cell>
          <cell r="P1183" t="str">
            <v>EST. CENTRAL</v>
          </cell>
          <cell r="Q1183" t="str">
            <v>TRADICIONAL</v>
          </cell>
          <cell r="R1183" t="str">
            <v>Supermercado - Santiago</v>
          </cell>
          <cell r="S1183" t="str">
            <v>Lider</v>
          </cell>
          <cell r="T1183" t="str">
            <v>Paletas</v>
          </cell>
          <cell r="U1183">
            <v>1</v>
          </cell>
          <cell r="V1183" t="str">
            <v>1.10 * 1.53</v>
          </cell>
        </row>
        <row r="1184">
          <cell r="A1184" t="str">
            <v>LIAL0005A</v>
          </cell>
          <cell r="B1184" t="str">
            <v>Supermercado</v>
          </cell>
          <cell r="D1184" t="str">
            <v>Cajas de luz</v>
          </cell>
          <cell r="E1184" t="str">
            <v>Cajas de luz</v>
          </cell>
          <cell r="F1184" t="str">
            <v>2.00 x 1.50</v>
          </cell>
          <cell r="G1184" t="str">
            <v>2.20 * 1.70</v>
          </cell>
          <cell r="H1184" t="str">
            <v>V</v>
          </cell>
          <cell r="I1184" t="str">
            <v>ACCESO SALA DE V</v>
          </cell>
          <cell r="J1184">
            <v>0</v>
          </cell>
          <cell r="K1184">
            <v>0</v>
          </cell>
          <cell r="L1184">
            <v>520000</v>
          </cell>
          <cell r="M1184" t="str">
            <v>LIDER ALAMEDA</v>
          </cell>
          <cell r="P1184" t="str">
            <v>EST. CENTRAL</v>
          </cell>
          <cell r="Q1184" t="str">
            <v>TRADICIONAL</v>
          </cell>
          <cell r="R1184" t="str">
            <v>Supermercado - Santiago</v>
          </cell>
          <cell r="S1184" t="str">
            <v>Lider</v>
          </cell>
          <cell r="T1184" t="str">
            <v>Cajas de luz</v>
          </cell>
          <cell r="U1184">
            <v>1</v>
          </cell>
          <cell r="V1184" t="str">
            <v>2.00 * 1.50</v>
          </cell>
        </row>
        <row r="1185">
          <cell r="A1185" t="str">
            <v>LIAN0001A</v>
          </cell>
          <cell r="B1185" t="str">
            <v>Supermercado</v>
          </cell>
          <cell r="D1185" t="str">
            <v>Paletas</v>
          </cell>
          <cell r="E1185" t="str">
            <v>DOBLES (lote de 17 Paletas Doble y 1 Simple)</v>
          </cell>
          <cell r="F1185" t="str">
            <v>0.93 * 1.43</v>
          </cell>
          <cell r="G1185" t="str">
            <v>1.00 * 1.50</v>
          </cell>
          <cell r="H1185" t="str">
            <v>S</v>
          </cell>
          <cell r="I1185" t="str">
            <v>ESTACIONAMIENTOS</v>
          </cell>
          <cell r="J1185">
            <v>0</v>
          </cell>
          <cell r="K1185">
            <v>0</v>
          </cell>
          <cell r="L1185">
            <v>1500000</v>
          </cell>
          <cell r="M1185" t="str">
            <v>LIDER ANTOFAGASTA</v>
          </cell>
          <cell r="P1185" t="str">
            <v>ANTOFAGASTA</v>
          </cell>
          <cell r="Q1185" t="str">
            <v>TRADICIONAL</v>
          </cell>
          <cell r="R1185" t="str">
            <v>Supermercado - Norte</v>
          </cell>
          <cell r="S1185" t="str">
            <v>Lider</v>
          </cell>
          <cell r="T1185" t="str">
            <v>Paletas</v>
          </cell>
          <cell r="U1185">
            <v>35</v>
          </cell>
          <cell r="V1185" t="str">
            <v>0.93 * 1.43</v>
          </cell>
        </row>
        <row r="1186">
          <cell r="A1186" t="str">
            <v>LIAN0019A</v>
          </cell>
          <cell r="B1186" t="str">
            <v>Supermercado</v>
          </cell>
          <cell r="D1186" t="str">
            <v>Cajas de luz</v>
          </cell>
          <cell r="E1186" t="str">
            <v>Cajas de luz</v>
          </cell>
          <cell r="F1186" t="str">
            <v>3.92 x 1.92</v>
          </cell>
          <cell r="G1186" t="str">
            <v>4.20 * 2.20</v>
          </cell>
          <cell r="H1186" t="str">
            <v>S</v>
          </cell>
          <cell r="I1186" t="str">
            <v>ESTACIONAMIENTOS</v>
          </cell>
          <cell r="J1186">
            <v>0</v>
          </cell>
          <cell r="K1186">
            <v>0</v>
          </cell>
          <cell r="L1186">
            <v>520000</v>
          </cell>
          <cell r="M1186" t="str">
            <v>LIDER ANTOFAGASTA</v>
          </cell>
          <cell r="P1186" t="str">
            <v>ANTOFAGASTA</v>
          </cell>
          <cell r="Q1186" t="str">
            <v>TRADICIONAL</v>
          </cell>
          <cell r="R1186" t="str">
            <v>Supermercado - Norte</v>
          </cell>
          <cell r="S1186" t="str">
            <v>Lider</v>
          </cell>
          <cell r="T1186" t="str">
            <v>Cajas de luz</v>
          </cell>
          <cell r="U1186">
            <v>1</v>
          </cell>
          <cell r="V1186" t="str">
            <v>3.92 * 1.92</v>
          </cell>
        </row>
        <row r="1187">
          <cell r="A1187" t="str">
            <v>LIAN0020A</v>
          </cell>
          <cell r="B1187" t="str">
            <v>Supermercado</v>
          </cell>
          <cell r="D1187" t="str">
            <v>Cajas de luz</v>
          </cell>
          <cell r="E1187" t="str">
            <v>Cajas de luz</v>
          </cell>
          <cell r="F1187" t="str">
            <v>3.92 x 1.92</v>
          </cell>
          <cell r="G1187" t="str">
            <v>4.20 * 2.20</v>
          </cell>
          <cell r="H1187" t="str">
            <v>S</v>
          </cell>
          <cell r="I1187" t="str">
            <v>ESTACIONAMIENTOS</v>
          </cell>
          <cell r="J1187">
            <v>0</v>
          </cell>
          <cell r="K1187">
            <v>0</v>
          </cell>
          <cell r="L1187">
            <v>520000</v>
          </cell>
          <cell r="M1187" t="str">
            <v>LIDER ANTOFAGASTA</v>
          </cell>
          <cell r="P1187" t="str">
            <v>ANTOFAGASTA</v>
          </cell>
          <cell r="Q1187" t="str">
            <v>TRADICIONAL</v>
          </cell>
          <cell r="R1187" t="str">
            <v>Supermercado - Norte</v>
          </cell>
          <cell r="S1187" t="str">
            <v>Lider</v>
          </cell>
          <cell r="T1187" t="str">
            <v>Cajas de luz</v>
          </cell>
          <cell r="U1187">
            <v>1</v>
          </cell>
          <cell r="V1187" t="str">
            <v>3.92 * 1.92</v>
          </cell>
        </row>
        <row r="1188">
          <cell r="A1188" t="str">
            <v>LIAN0021A</v>
          </cell>
          <cell r="B1188" t="str">
            <v>Supermercado</v>
          </cell>
          <cell r="D1188" t="str">
            <v>Cajas de luz</v>
          </cell>
          <cell r="E1188" t="str">
            <v>Cajas de luz</v>
          </cell>
          <cell r="F1188" t="str">
            <v>3.92 x 1.92</v>
          </cell>
          <cell r="G1188" t="str">
            <v>4.20 * 2.20</v>
          </cell>
          <cell r="H1188" t="str">
            <v>V</v>
          </cell>
          <cell r="I1188" t="str">
            <v>ACCESO SALA DE V</v>
          </cell>
          <cell r="J1188">
            <v>0</v>
          </cell>
          <cell r="K1188">
            <v>0</v>
          </cell>
          <cell r="L1188">
            <v>520000</v>
          </cell>
          <cell r="M1188" t="str">
            <v>LIDER ANTOFAGASTA</v>
          </cell>
          <cell r="P1188" t="str">
            <v>ANTOFAGASTA</v>
          </cell>
          <cell r="Q1188" t="str">
            <v>TRADICIONAL</v>
          </cell>
          <cell r="R1188" t="str">
            <v>Supermercado - Norte</v>
          </cell>
          <cell r="S1188" t="str">
            <v>Lider</v>
          </cell>
          <cell r="T1188" t="str">
            <v>Cajas de luz</v>
          </cell>
          <cell r="U1188">
            <v>1</v>
          </cell>
          <cell r="V1188" t="str">
            <v>3.92 * 1.92</v>
          </cell>
        </row>
        <row r="1189">
          <cell r="A1189" t="str">
            <v>LIAN0022A</v>
          </cell>
          <cell r="B1189" t="str">
            <v>Supermercado</v>
          </cell>
          <cell r="D1189" t="str">
            <v>Cajas de luz</v>
          </cell>
          <cell r="E1189" t="str">
            <v>Cajas de luz</v>
          </cell>
          <cell r="F1189" t="str">
            <v>3.92 x 1.92</v>
          </cell>
          <cell r="G1189" t="str">
            <v>4.20 * 2.20</v>
          </cell>
          <cell r="H1189" t="str">
            <v>V</v>
          </cell>
          <cell r="I1189" t="str">
            <v>ACCESO SALA DE V</v>
          </cell>
          <cell r="J1189">
            <v>0</v>
          </cell>
          <cell r="K1189">
            <v>0</v>
          </cell>
          <cell r="L1189">
            <v>520000</v>
          </cell>
          <cell r="M1189" t="str">
            <v>LIDER ANTOFAGASTA</v>
          </cell>
          <cell r="P1189" t="str">
            <v>ANTOFAGASTA</v>
          </cell>
          <cell r="Q1189" t="str">
            <v>TRADICIONAL</v>
          </cell>
          <cell r="R1189" t="str">
            <v>Supermercado - Norte</v>
          </cell>
          <cell r="S1189" t="str">
            <v>Lider</v>
          </cell>
          <cell r="T1189" t="str">
            <v>Cajas de luz</v>
          </cell>
          <cell r="U1189">
            <v>1</v>
          </cell>
          <cell r="V1189" t="str">
            <v>3.92 * 1.92</v>
          </cell>
        </row>
        <row r="1190">
          <cell r="A1190" t="str">
            <v>LIAP0002A</v>
          </cell>
          <cell r="B1190" t="str">
            <v>Supermercado</v>
          </cell>
          <cell r="D1190" t="str">
            <v>Paletas</v>
          </cell>
          <cell r="E1190" t="str">
            <v>Paletas</v>
          </cell>
          <cell r="F1190" t="str">
            <v>1.10 x 1.53</v>
          </cell>
          <cell r="G1190" t="str">
            <v>1.15 x 1.57</v>
          </cell>
          <cell r="H1190" t="str">
            <v>E</v>
          </cell>
          <cell r="I1190" t="str">
            <v>ESTACIONAMIENTOS</v>
          </cell>
          <cell r="J1190">
            <v>0</v>
          </cell>
          <cell r="K1190">
            <v>0</v>
          </cell>
          <cell r="L1190">
            <v>320000</v>
          </cell>
          <cell r="M1190" t="str">
            <v>LIDER APOQUINDO</v>
          </cell>
          <cell r="P1190" t="str">
            <v>LAS CONDES</v>
          </cell>
          <cell r="Q1190" t="str">
            <v>TRADICIONAL</v>
          </cell>
          <cell r="R1190" t="str">
            <v>Supermercado - Santiago</v>
          </cell>
          <cell r="S1190" t="str">
            <v>Lider</v>
          </cell>
          <cell r="T1190" t="str">
            <v>Paletas</v>
          </cell>
          <cell r="U1190">
            <v>1</v>
          </cell>
          <cell r="V1190" t="str">
            <v>1.10 * 1.53</v>
          </cell>
        </row>
        <row r="1191">
          <cell r="A1191" t="str">
            <v>LIBE0001A</v>
          </cell>
          <cell r="B1191" t="str">
            <v>Supermercado</v>
          </cell>
          <cell r="D1191" t="str">
            <v>Paletas</v>
          </cell>
          <cell r="E1191" t="str">
            <v>DOBLES</v>
          </cell>
          <cell r="F1191" t="str">
            <v>0.93 * 1.43</v>
          </cell>
          <cell r="G1191" t="str">
            <v>1.00 * 1.50</v>
          </cell>
          <cell r="H1191" t="str">
            <v>S</v>
          </cell>
          <cell r="I1191" t="str">
            <v>ESTACIONAMIENTOS</v>
          </cell>
          <cell r="J1191">
            <v>0</v>
          </cell>
          <cell r="K1191">
            <v>0</v>
          </cell>
          <cell r="L1191">
            <v>140000</v>
          </cell>
          <cell r="M1191" t="str">
            <v>LIDER EL BELLOTO</v>
          </cell>
          <cell r="P1191" t="str">
            <v>QUILPUE</v>
          </cell>
          <cell r="Q1191" t="str">
            <v>TRADICIONAL</v>
          </cell>
          <cell r="R1191" t="str">
            <v>Supermercado - V Region</v>
          </cell>
          <cell r="S1191" t="str">
            <v>Lider</v>
          </cell>
          <cell r="T1191" t="str">
            <v>Paletas</v>
          </cell>
          <cell r="U1191">
            <v>2</v>
          </cell>
          <cell r="V1191" t="str">
            <v>0.93 * 1.43</v>
          </cell>
        </row>
        <row r="1192">
          <cell r="A1192" t="str">
            <v>LIBE0001B</v>
          </cell>
          <cell r="B1192" t="str">
            <v>Supermercado</v>
          </cell>
          <cell r="D1192" t="str">
            <v>Paletas</v>
          </cell>
          <cell r="E1192" t="str">
            <v>DOBLES</v>
          </cell>
          <cell r="F1192" t="str">
            <v>0.93 * 1.43</v>
          </cell>
          <cell r="G1192" t="str">
            <v>1.00 * 1.50</v>
          </cell>
          <cell r="H1192" t="str">
            <v>S</v>
          </cell>
          <cell r="I1192" t="str">
            <v>ESTACIONAMIENTOS</v>
          </cell>
          <cell r="J1192">
            <v>0</v>
          </cell>
          <cell r="K1192">
            <v>0</v>
          </cell>
          <cell r="L1192">
            <v>140000</v>
          </cell>
          <cell r="M1192" t="str">
            <v>LIDER EL BELLOTO</v>
          </cell>
          <cell r="P1192" t="str">
            <v>QUILPUE</v>
          </cell>
          <cell r="Q1192" t="str">
            <v>TRADICIONAL</v>
          </cell>
          <cell r="R1192" t="str">
            <v>Supermercado - V Region</v>
          </cell>
          <cell r="S1192" t="str">
            <v>Lider</v>
          </cell>
          <cell r="T1192" t="str">
            <v>Paletas</v>
          </cell>
          <cell r="U1192">
            <v>2</v>
          </cell>
          <cell r="V1192" t="str">
            <v>0.93 * 1.43</v>
          </cell>
        </row>
        <row r="1193">
          <cell r="A1193" t="str">
            <v>LIBE0002A</v>
          </cell>
          <cell r="B1193" t="str">
            <v>Supermercado</v>
          </cell>
          <cell r="D1193" t="str">
            <v>Paletas</v>
          </cell>
          <cell r="E1193" t="str">
            <v>DOBLES</v>
          </cell>
          <cell r="F1193" t="str">
            <v>0.93 * 1.43</v>
          </cell>
          <cell r="G1193" t="str">
            <v>1.00 * 1.50</v>
          </cell>
          <cell r="H1193" t="str">
            <v>S</v>
          </cell>
          <cell r="I1193" t="str">
            <v>ESTACIONAMIENTOS</v>
          </cell>
          <cell r="J1193">
            <v>0</v>
          </cell>
          <cell r="K1193">
            <v>0</v>
          </cell>
          <cell r="L1193">
            <v>140000</v>
          </cell>
          <cell r="M1193" t="str">
            <v>LIDER EL BELLOTO</v>
          </cell>
          <cell r="P1193" t="str">
            <v>QUILPUE</v>
          </cell>
          <cell r="Q1193" t="str">
            <v>TRADICIONAL</v>
          </cell>
          <cell r="R1193" t="str">
            <v>Supermercado - V Region</v>
          </cell>
          <cell r="S1193" t="str">
            <v>Lider</v>
          </cell>
          <cell r="T1193" t="str">
            <v>Paletas</v>
          </cell>
          <cell r="U1193">
            <v>2</v>
          </cell>
          <cell r="V1193" t="str">
            <v>0.93 * 1.43</v>
          </cell>
        </row>
        <row r="1194">
          <cell r="A1194" t="str">
            <v>LIBE0002B</v>
          </cell>
          <cell r="B1194" t="str">
            <v>Supermercado</v>
          </cell>
          <cell r="D1194" t="str">
            <v>Paletas</v>
          </cell>
          <cell r="E1194" t="str">
            <v>DOBLES</v>
          </cell>
          <cell r="F1194" t="str">
            <v>0.93 * 1.43</v>
          </cell>
          <cell r="G1194" t="str">
            <v>1.00 * 1.50</v>
          </cell>
          <cell r="H1194" t="str">
            <v>S</v>
          </cell>
          <cell r="I1194" t="str">
            <v>ESTACIONAMIENTOS</v>
          </cell>
          <cell r="J1194">
            <v>0</v>
          </cell>
          <cell r="K1194">
            <v>0</v>
          </cell>
          <cell r="L1194">
            <v>140000</v>
          </cell>
          <cell r="M1194" t="str">
            <v>LIDER EL BELLOTO</v>
          </cell>
          <cell r="P1194" t="str">
            <v>QUILPUE</v>
          </cell>
          <cell r="Q1194" t="str">
            <v>TRADICIONAL</v>
          </cell>
          <cell r="R1194" t="str">
            <v>Supermercado - V Region</v>
          </cell>
          <cell r="S1194" t="str">
            <v>Lider</v>
          </cell>
          <cell r="T1194" t="str">
            <v>Paletas</v>
          </cell>
          <cell r="U1194">
            <v>2</v>
          </cell>
          <cell r="V1194" t="str">
            <v>0.93 * 1.43</v>
          </cell>
        </row>
        <row r="1195">
          <cell r="A1195" t="str">
            <v>LIBE0003A</v>
          </cell>
          <cell r="B1195" t="str">
            <v>Supermercado</v>
          </cell>
          <cell r="D1195" t="str">
            <v>Paletas</v>
          </cell>
          <cell r="E1195" t="str">
            <v>DOBLES</v>
          </cell>
          <cell r="F1195" t="str">
            <v>0.93 * 1.43</v>
          </cell>
          <cell r="G1195" t="str">
            <v>1.00 * 1.50</v>
          </cell>
          <cell r="H1195" t="str">
            <v>S</v>
          </cell>
          <cell r="I1195" t="str">
            <v>ESTACIONAMIENTOS</v>
          </cell>
          <cell r="J1195">
            <v>0</v>
          </cell>
          <cell r="K1195">
            <v>0</v>
          </cell>
          <cell r="L1195">
            <v>140000</v>
          </cell>
          <cell r="M1195" t="str">
            <v>LIDER EL BELLOTO</v>
          </cell>
          <cell r="P1195" t="str">
            <v>QUILPUE</v>
          </cell>
          <cell r="Q1195" t="str">
            <v>TRADICIONAL</v>
          </cell>
          <cell r="R1195" t="str">
            <v>Supermercado - V Region</v>
          </cell>
          <cell r="S1195" t="str">
            <v>Lider</v>
          </cell>
          <cell r="T1195" t="str">
            <v>Paletas</v>
          </cell>
          <cell r="U1195">
            <v>2</v>
          </cell>
          <cell r="V1195" t="str">
            <v>0.93 * 1.43</v>
          </cell>
        </row>
        <row r="1196">
          <cell r="A1196" t="str">
            <v>LIBE0003B</v>
          </cell>
          <cell r="B1196" t="str">
            <v>Supermercado</v>
          </cell>
          <cell r="D1196" t="str">
            <v>Paletas</v>
          </cell>
          <cell r="E1196" t="str">
            <v>DOBLES</v>
          </cell>
          <cell r="F1196" t="str">
            <v>0.93 * 1.43</v>
          </cell>
          <cell r="G1196" t="str">
            <v>1.00 * 1.50</v>
          </cell>
          <cell r="H1196" t="str">
            <v>S</v>
          </cell>
          <cell r="I1196" t="str">
            <v>ESTACIONAMIENTOS</v>
          </cell>
          <cell r="J1196">
            <v>0</v>
          </cell>
          <cell r="K1196">
            <v>0</v>
          </cell>
          <cell r="L1196">
            <v>140000</v>
          </cell>
          <cell r="M1196" t="str">
            <v>LIDER EL BELLOTO</v>
          </cell>
          <cell r="P1196" t="str">
            <v>QUILPUE</v>
          </cell>
          <cell r="Q1196" t="str">
            <v>TRADICIONAL</v>
          </cell>
          <cell r="R1196" t="str">
            <v>Supermercado - V Region</v>
          </cell>
          <cell r="S1196" t="str">
            <v>Lider</v>
          </cell>
          <cell r="T1196" t="str">
            <v>Paletas</v>
          </cell>
          <cell r="U1196">
            <v>2</v>
          </cell>
          <cell r="V1196" t="str">
            <v>0.93 * 1.43</v>
          </cell>
        </row>
        <row r="1197">
          <cell r="A1197" t="str">
            <v>LIBE0004A</v>
          </cell>
          <cell r="B1197" t="str">
            <v>Supermercado</v>
          </cell>
          <cell r="D1197" t="str">
            <v>Paletas</v>
          </cell>
          <cell r="E1197" t="str">
            <v>DOBLES</v>
          </cell>
          <cell r="F1197" t="str">
            <v>0.93 * 1.43</v>
          </cell>
          <cell r="G1197" t="str">
            <v>1.00 * 1.50</v>
          </cell>
          <cell r="H1197" t="str">
            <v>S</v>
          </cell>
          <cell r="I1197" t="str">
            <v>ESTACIONAMIENTOS</v>
          </cell>
          <cell r="J1197">
            <v>0</v>
          </cell>
          <cell r="K1197">
            <v>0</v>
          </cell>
          <cell r="L1197">
            <v>140000</v>
          </cell>
          <cell r="M1197" t="str">
            <v>LIDER EL BELLOTO</v>
          </cell>
          <cell r="P1197" t="str">
            <v>QUILPUE</v>
          </cell>
          <cell r="Q1197" t="str">
            <v>TRADICIONAL</v>
          </cell>
          <cell r="R1197" t="str">
            <v>Supermercado - V Region</v>
          </cell>
          <cell r="S1197" t="str">
            <v>Lider</v>
          </cell>
          <cell r="T1197" t="str">
            <v>Paletas</v>
          </cell>
          <cell r="U1197">
            <v>2</v>
          </cell>
          <cell r="V1197" t="str">
            <v>0.93 * 1.43</v>
          </cell>
        </row>
        <row r="1198">
          <cell r="A1198" t="str">
            <v>LIBE0004B</v>
          </cell>
          <cell r="B1198" t="str">
            <v>Supermercado</v>
          </cell>
          <cell r="D1198" t="str">
            <v>Paletas</v>
          </cell>
          <cell r="E1198" t="str">
            <v>DOBLES</v>
          </cell>
          <cell r="F1198" t="str">
            <v>0.93 * 1.43</v>
          </cell>
          <cell r="G1198" t="str">
            <v>1.00 * 1.50</v>
          </cell>
          <cell r="H1198" t="str">
            <v>S</v>
          </cell>
          <cell r="I1198" t="str">
            <v>ESTACIONAMIENTOS</v>
          </cell>
          <cell r="J1198">
            <v>0</v>
          </cell>
          <cell r="K1198">
            <v>0</v>
          </cell>
          <cell r="L1198">
            <v>140000</v>
          </cell>
          <cell r="M1198" t="str">
            <v>LIDER EL BELLOTO</v>
          </cell>
          <cell r="P1198" t="str">
            <v>QUILPUE</v>
          </cell>
          <cell r="Q1198" t="str">
            <v>TRADICIONAL</v>
          </cell>
          <cell r="R1198" t="str">
            <v>Supermercado - V Region</v>
          </cell>
          <cell r="S1198" t="str">
            <v>Lider</v>
          </cell>
          <cell r="T1198" t="str">
            <v>Paletas</v>
          </cell>
          <cell r="U1198">
            <v>2</v>
          </cell>
          <cell r="V1198" t="str">
            <v>0.93 * 1.43</v>
          </cell>
        </row>
        <row r="1199">
          <cell r="A1199" t="str">
            <v>LIBE0005A</v>
          </cell>
          <cell r="B1199" t="str">
            <v>Supermercado</v>
          </cell>
          <cell r="D1199" t="str">
            <v>Paletas</v>
          </cell>
          <cell r="E1199" t="str">
            <v>DOBLES</v>
          </cell>
          <cell r="F1199" t="str">
            <v>0.93 * 1.43</v>
          </cell>
          <cell r="G1199" t="str">
            <v>1.00 * 1.50</v>
          </cell>
          <cell r="H1199" t="str">
            <v>S</v>
          </cell>
          <cell r="I1199" t="str">
            <v>ESTACIONAMIENTOS</v>
          </cell>
          <cell r="J1199">
            <v>0</v>
          </cell>
          <cell r="K1199">
            <v>0</v>
          </cell>
          <cell r="L1199">
            <v>140000</v>
          </cell>
          <cell r="M1199" t="str">
            <v>LIDER EL BELLOTO</v>
          </cell>
          <cell r="P1199" t="str">
            <v>QUILPUE</v>
          </cell>
          <cell r="Q1199" t="str">
            <v>TRADICIONAL</v>
          </cell>
          <cell r="R1199" t="str">
            <v>Supermercado - V Region</v>
          </cell>
          <cell r="S1199" t="str">
            <v>Lider</v>
          </cell>
          <cell r="T1199" t="str">
            <v>Paletas</v>
          </cell>
          <cell r="U1199">
            <v>2</v>
          </cell>
          <cell r="V1199" t="str">
            <v>0.93 * 1.43</v>
          </cell>
        </row>
        <row r="1200">
          <cell r="A1200" t="str">
            <v>LIBE0005B</v>
          </cell>
          <cell r="B1200" t="str">
            <v>Supermercado</v>
          </cell>
          <cell r="D1200" t="str">
            <v>Paletas</v>
          </cell>
          <cell r="E1200" t="str">
            <v>DOBLES</v>
          </cell>
          <cell r="F1200" t="str">
            <v>0.93 * 1.43</v>
          </cell>
          <cell r="G1200" t="str">
            <v>1.00 * 1.50</v>
          </cell>
          <cell r="H1200" t="str">
            <v>S</v>
          </cell>
          <cell r="I1200" t="str">
            <v>ESTACIONAMIENTOS</v>
          </cell>
          <cell r="J1200">
            <v>0</v>
          </cell>
          <cell r="K1200">
            <v>0</v>
          </cell>
          <cell r="L1200">
            <v>140000</v>
          </cell>
          <cell r="M1200" t="str">
            <v>LIDER EL BELLOTO</v>
          </cell>
          <cell r="P1200" t="str">
            <v>QUILPUE</v>
          </cell>
          <cell r="Q1200" t="str">
            <v>TRADICIONAL</v>
          </cell>
          <cell r="R1200" t="str">
            <v>Supermercado - V Region</v>
          </cell>
          <cell r="S1200" t="str">
            <v>Lider</v>
          </cell>
          <cell r="T1200" t="str">
            <v>Paletas</v>
          </cell>
          <cell r="U1200">
            <v>2</v>
          </cell>
          <cell r="V1200" t="str">
            <v>0.93 * 1.43</v>
          </cell>
        </row>
        <row r="1201">
          <cell r="A1201" t="str">
            <v>LIBE0006A</v>
          </cell>
          <cell r="B1201" t="str">
            <v>Supermercado</v>
          </cell>
          <cell r="D1201" t="str">
            <v>Cajas de luz</v>
          </cell>
          <cell r="E1201" t="str">
            <v>Cajas de luz</v>
          </cell>
          <cell r="F1201" t="str">
            <v>3.92 x 1.92</v>
          </cell>
          <cell r="G1201" t="str">
            <v>4.20 * 2.20</v>
          </cell>
          <cell r="H1201" t="str">
            <v>S</v>
          </cell>
          <cell r="I1201" t="str">
            <v>ESTACIONAMIENTOS</v>
          </cell>
          <cell r="J1201">
            <v>0</v>
          </cell>
          <cell r="K1201">
            <v>0</v>
          </cell>
          <cell r="L1201">
            <v>520000</v>
          </cell>
          <cell r="M1201" t="str">
            <v>LIDER EL BELLOTO</v>
          </cell>
          <cell r="P1201" t="str">
            <v>QUILPUE</v>
          </cell>
          <cell r="Q1201" t="str">
            <v>TRADICIONAL</v>
          </cell>
          <cell r="R1201" t="str">
            <v>Supermercado - V Region</v>
          </cell>
          <cell r="S1201" t="str">
            <v>Lider</v>
          </cell>
          <cell r="T1201" t="str">
            <v>Cajas de luz</v>
          </cell>
          <cell r="U1201">
            <v>1</v>
          </cell>
          <cell r="V1201" t="str">
            <v>3.92 * 1.92</v>
          </cell>
        </row>
        <row r="1202">
          <cell r="A1202" t="str">
            <v>LIBE0007A</v>
          </cell>
          <cell r="B1202" t="str">
            <v>Supermercado</v>
          </cell>
          <cell r="D1202" t="str">
            <v>Cajas de luz</v>
          </cell>
          <cell r="E1202" t="str">
            <v>Cajas de luz</v>
          </cell>
          <cell r="F1202" t="str">
            <v>3.92 x 1.92</v>
          </cell>
          <cell r="G1202" t="str">
            <v>4.20 * 2.20</v>
          </cell>
          <cell r="H1202" t="str">
            <v>S</v>
          </cell>
          <cell r="I1202" t="str">
            <v>ESTACIONAMIENTOS</v>
          </cell>
          <cell r="J1202">
            <v>0</v>
          </cell>
          <cell r="K1202">
            <v>0</v>
          </cell>
          <cell r="L1202">
            <v>520000</v>
          </cell>
          <cell r="M1202" t="str">
            <v>LIDER EL BELLOTO</v>
          </cell>
          <cell r="P1202" t="str">
            <v>QUILPUE</v>
          </cell>
          <cell r="Q1202" t="str">
            <v>TRADICIONAL</v>
          </cell>
          <cell r="R1202" t="str">
            <v>Supermercado - V Region</v>
          </cell>
          <cell r="S1202" t="str">
            <v>Lider</v>
          </cell>
          <cell r="T1202" t="str">
            <v>Cajas de luz</v>
          </cell>
          <cell r="U1202">
            <v>1</v>
          </cell>
          <cell r="V1202" t="str">
            <v>3.92 * 1.92</v>
          </cell>
        </row>
        <row r="1203">
          <cell r="A1203" t="str">
            <v>LIBE0008A</v>
          </cell>
          <cell r="B1203" t="str">
            <v>Supermercado</v>
          </cell>
          <cell r="D1203" t="str">
            <v>Cajas de luz</v>
          </cell>
          <cell r="E1203" t="str">
            <v>Cajas de luz</v>
          </cell>
          <cell r="F1203" t="str">
            <v>3.92 x 1.92</v>
          </cell>
          <cell r="G1203" t="str">
            <v>4.20 * 2.20</v>
          </cell>
          <cell r="H1203" t="str">
            <v>V</v>
          </cell>
          <cell r="I1203" t="str">
            <v>ACCESO SALA DE V</v>
          </cell>
          <cell r="J1203">
            <v>0</v>
          </cell>
          <cell r="K1203">
            <v>0</v>
          </cell>
          <cell r="L1203">
            <v>520000</v>
          </cell>
          <cell r="M1203" t="str">
            <v>LIDER EL BELLOTO</v>
          </cell>
          <cell r="P1203" t="str">
            <v>QUILPUE</v>
          </cell>
          <cell r="Q1203" t="str">
            <v>TRADICIONAL</v>
          </cell>
          <cell r="R1203" t="str">
            <v>Supermercado - V Region</v>
          </cell>
          <cell r="S1203" t="str">
            <v>Lider</v>
          </cell>
          <cell r="T1203" t="str">
            <v>Cajas de luz</v>
          </cell>
          <cell r="U1203">
            <v>1</v>
          </cell>
          <cell r="V1203" t="str">
            <v>3.92 * 1.92</v>
          </cell>
        </row>
        <row r="1204">
          <cell r="A1204" t="str">
            <v>LIBE0009A</v>
          </cell>
          <cell r="B1204" t="str">
            <v>Supermercado</v>
          </cell>
          <cell r="D1204" t="str">
            <v>Cajas de luz</v>
          </cell>
          <cell r="E1204" t="str">
            <v>Cajas de luz</v>
          </cell>
          <cell r="F1204" t="str">
            <v>3.92 x 1.92</v>
          </cell>
          <cell r="G1204" t="str">
            <v>4.20 * 2.20</v>
          </cell>
          <cell r="H1204" t="str">
            <v>V</v>
          </cell>
          <cell r="I1204" t="str">
            <v>ACCESO SALA DE V</v>
          </cell>
          <cell r="J1204">
            <v>0</v>
          </cell>
          <cell r="K1204">
            <v>0</v>
          </cell>
          <cell r="L1204">
            <v>520000</v>
          </cell>
          <cell r="M1204" t="str">
            <v>LIDER EL BELLOTO</v>
          </cell>
          <cell r="P1204" t="str">
            <v>QUILPUE</v>
          </cell>
          <cell r="Q1204" t="str">
            <v>TRADICIONAL</v>
          </cell>
          <cell r="R1204" t="str">
            <v>Supermercado - V Region</v>
          </cell>
          <cell r="S1204" t="str">
            <v>Lider</v>
          </cell>
          <cell r="T1204" t="str">
            <v>Cajas de luz</v>
          </cell>
          <cell r="U1204">
            <v>1</v>
          </cell>
          <cell r="V1204" t="str">
            <v>3.92 * 1.92</v>
          </cell>
        </row>
        <row r="1205">
          <cell r="A1205" t="str">
            <v>LIBE0010A</v>
          </cell>
          <cell r="B1205" t="str">
            <v>Supermercado</v>
          </cell>
          <cell r="D1205" t="str">
            <v>Cajas de luz</v>
          </cell>
          <cell r="E1205" t="str">
            <v>Cajas de luz</v>
          </cell>
          <cell r="F1205" t="str">
            <v>3.92 x 1.92</v>
          </cell>
          <cell r="G1205" t="str">
            <v>4.20 * 2.20</v>
          </cell>
          <cell r="H1205" t="str">
            <v>V</v>
          </cell>
          <cell r="I1205" t="str">
            <v>ACCESO SALA DE V</v>
          </cell>
          <cell r="J1205">
            <v>0</v>
          </cell>
          <cell r="K1205">
            <v>0</v>
          </cell>
          <cell r="L1205">
            <v>520000</v>
          </cell>
          <cell r="M1205" t="str">
            <v>LIDER EL BELLOTO</v>
          </cell>
          <cell r="P1205" t="str">
            <v>QUILPUE</v>
          </cell>
          <cell r="Q1205" t="str">
            <v>TRADICIONAL</v>
          </cell>
          <cell r="R1205" t="str">
            <v>Supermercado - V Region</v>
          </cell>
          <cell r="S1205" t="str">
            <v>Lider</v>
          </cell>
          <cell r="T1205" t="str">
            <v>Cajas de luz</v>
          </cell>
          <cell r="U1205">
            <v>1</v>
          </cell>
          <cell r="V1205" t="str">
            <v>3.92 * 1.92</v>
          </cell>
        </row>
        <row r="1206">
          <cell r="A1206" t="str">
            <v>LIBE0011A</v>
          </cell>
          <cell r="B1206" t="str">
            <v>Supermercado</v>
          </cell>
          <cell r="D1206" t="str">
            <v>Cajas de luz</v>
          </cell>
          <cell r="E1206" t="str">
            <v>Cajas de luz</v>
          </cell>
          <cell r="F1206" t="str">
            <v>3.92 x 1.92</v>
          </cell>
          <cell r="G1206" t="str">
            <v>4.20 * 2.20</v>
          </cell>
          <cell r="H1206" t="str">
            <v>V</v>
          </cell>
          <cell r="I1206" t="str">
            <v>ACCESO SALA DE V</v>
          </cell>
          <cell r="J1206">
            <v>0</v>
          </cell>
          <cell r="K1206">
            <v>0</v>
          </cell>
          <cell r="L1206">
            <v>520000</v>
          </cell>
          <cell r="M1206" t="str">
            <v>LIDER EL BELLOTO</v>
          </cell>
          <cell r="P1206" t="str">
            <v>QUILPUE</v>
          </cell>
          <cell r="Q1206" t="str">
            <v>TRADICIONAL</v>
          </cell>
          <cell r="R1206" t="str">
            <v>Supermercado - V Region</v>
          </cell>
          <cell r="S1206" t="str">
            <v>Lider</v>
          </cell>
          <cell r="T1206" t="str">
            <v>Cajas de luz</v>
          </cell>
          <cell r="U1206">
            <v>1</v>
          </cell>
          <cell r="V1206" t="str">
            <v>3.92 * 1.92</v>
          </cell>
        </row>
        <row r="1207">
          <cell r="A1207" t="str">
            <v>LIBE0012A</v>
          </cell>
          <cell r="B1207" t="str">
            <v>Supermercado</v>
          </cell>
          <cell r="D1207" t="str">
            <v>Cajas de luz</v>
          </cell>
          <cell r="E1207" t="str">
            <v>Cajas de luz</v>
          </cell>
          <cell r="F1207" t="str">
            <v>2.92 * 1.42</v>
          </cell>
          <cell r="G1207" t="str">
            <v>3.20 * 1.70</v>
          </cell>
          <cell r="H1207" t="str">
            <v>V</v>
          </cell>
          <cell r="I1207" t="str">
            <v>ACCESO SALA DE V</v>
          </cell>
          <cell r="J1207">
            <v>0</v>
          </cell>
          <cell r="K1207">
            <v>0</v>
          </cell>
          <cell r="L1207">
            <v>520000</v>
          </cell>
          <cell r="M1207" t="str">
            <v>LIDER EL BELLOTO</v>
          </cell>
          <cell r="P1207" t="str">
            <v>QUILPUE</v>
          </cell>
          <cell r="Q1207" t="str">
            <v>TRADICIONAL</v>
          </cell>
          <cell r="R1207" t="str">
            <v>Supermercado - V Region</v>
          </cell>
          <cell r="S1207" t="str">
            <v>Lider</v>
          </cell>
          <cell r="T1207" t="str">
            <v>Cajas de luz</v>
          </cell>
          <cell r="U1207">
            <v>1</v>
          </cell>
          <cell r="V1207" t="str">
            <v>2.92 * 1.42</v>
          </cell>
        </row>
        <row r="1208">
          <cell r="A1208" t="str">
            <v>LIBE0013A</v>
          </cell>
          <cell r="B1208" t="str">
            <v>Supermercado</v>
          </cell>
          <cell r="D1208" t="str">
            <v>Cajas de luz</v>
          </cell>
          <cell r="E1208" t="str">
            <v>Cajas de luz</v>
          </cell>
          <cell r="F1208" t="str">
            <v>2.92 * 1.42</v>
          </cell>
          <cell r="G1208" t="str">
            <v>3.20 * 1.70</v>
          </cell>
          <cell r="H1208" t="str">
            <v>V</v>
          </cell>
          <cell r="I1208" t="str">
            <v>ACCESO SALA DE V</v>
          </cell>
          <cell r="J1208">
            <v>0</v>
          </cell>
          <cell r="K1208">
            <v>0</v>
          </cell>
          <cell r="L1208">
            <v>520000</v>
          </cell>
          <cell r="M1208" t="str">
            <v>LIDER EL BELLOTO</v>
          </cell>
          <cell r="P1208" t="str">
            <v>QUILPUE</v>
          </cell>
          <cell r="Q1208" t="str">
            <v>TRADICIONAL</v>
          </cell>
          <cell r="R1208" t="str">
            <v>Supermercado - V Region</v>
          </cell>
          <cell r="S1208" t="str">
            <v>Lider</v>
          </cell>
          <cell r="T1208" t="str">
            <v>Cajas de luz</v>
          </cell>
          <cell r="U1208">
            <v>1</v>
          </cell>
          <cell r="V1208" t="str">
            <v>2.92 * 1.42</v>
          </cell>
        </row>
        <row r="1209">
          <cell r="A1209" t="str">
            <v>LIBE0014A</v>
          </cell>
          <cell r="B1209" t="str">
            <v>Supermercado</v>
          </cell>
          <cell r="D1209" t="str">
            <v>Cajas de luz</v>
          </cell>
          <cell r="E1209" t="str">
            <v>Cajas de luz</v>
          </cell>
          <cell r="F1209" t="str">
            <v>2.92 * 1.42</v>
          </cell>
          <cell r="G1209" t="str">
            <v>3.20 * 1.70</v>
          </cell>
          <cell r="H1209" t="str">
            <v>V</v>
          </cell>
          <cell r="I1209" t="str">
            <v>ACCESO SALA DE V</v>
          </cell>
          <cell r="J1209">
            <v>0</v>
          </cell>
          <cell r="K1209">
            <v>0</v>
          </cell>
          <cell r="L1209">
            <v>520000</v>
          </cell>
          <cell r="M1209" t="str">
            <v>LIDER EL BELLOTO</v>
          </cell>
          <cell r="P1209" t="str">
            <v>QUILPUE</v>
          </cell>
          <cell r="Q1209" t="str">
            <v>TRADICIONAL</v>
          </cell>
          <cell r="R1209" t="str">
            <v>Supermercado - V Region</v>
          </cell>
          <cell r="S1209" t="str">
            <v>Lider</v>
          </cell>
          <cell r="T1209" t="str">
            <v>Cajas de luz</v>
          </cell>
          <cell r="U1209">
            <v>1</v>
          </cell>
          <cell r="V1209" t="str">
            <v>2.92 * 1.42</v>
          </cell>
        </row>
        <row r="1210">
          <cell r="A1210" t="str">
            <v>LIBE0015A</v>
          </cell>
          <cell r="B1210" t="str">
            <v>Supermercado</v>
          </cell>
          <cell r="D1210" t="str">
            <v>Cajas de luz</v>
          </cell>
          <cell r="E1210" t="str">
            <v>Cajas de luz</v>
          </cell>
          <cell r="F1210" t="str">
            <v>2.92 * 1.42</v>
          </cell>
          <cell r="G1210" t="str">
            <v>3.20 * 1.70</v>
          </cell>
          <cell r="H1210" t="str">
            <v>V</v>
          </cell>
          <cell r="I1210" t="str">
            <v>ACCESO SALA DE V</v>
          </cell>
          <cell r="J1210">
            <v>0</v>
          </cell>
          <cell r="K1210">
            <v>0</v>
          </cell>
          <cell r="L1210">
            <v>520000</v>
          </cell>
          <cell r="M1210" t="str">
            <v>LIDER EL BELLOTO</v>
          </cell>
          <cell r="P1210" t="str">
            <v>QUILPUE</v>
          </cell>
          <cell r="Q1210" t="str">
            <v>TRADICIONAL</v>
          </cell>
          <cell r="R1210" t="str">
            <v>Supermercado - V Region</v>
          </cell>
          <cell r="S1210" t="str">
            <v>Lider</v>
          </cell>
          <cell r="T1210" t="str">
            <v>Cajas de luz</v>
          </cell>
          <cell r="U1210">
            <v>1</v>
          </cell>
          <cell r="V1210" t="str">
            <v>2.92 * 1.42</v>
          </cell>
        </row>
        <row r="1211">
          <cell r="A1211" t="str">
            <v>LIBE0016A</v>
          </cell>
          <cell r="B1211" t="str">
            <v>Supermercado</v>
          </cell>
          <cell r="D1211" t="str">
            <v>Cajas de luz</v>
          </cell>
          <cell r="E1211" t="str">
            <v>Cajas de luz</v>
          </cell>
          <cell r="F1211" t="str">
            <v>2.92 * 1.42</v>
          </cell>
          <cell r="G1211" t="str">
            <v>3.20 * 1.70</v>
          </cell>
          <cell r="H1211" t="str">
            <v>V</v>
          </cell>
          <cell r="I1211" t="str">
            <v>ACCESO SALA DE V</v>
          </cell>
          <cell r="J1211">
            <v>0</v>
          </cell>
          <cell r="K1211">
            <v>0</v>
          </cell>
          <cell r="L1211">
            <v>520000</v>
          </cell>
          <cell r="M1211" t="str">
            <v>LIDER EL BELLOTO</v>
          </cell>
          <cell r="P1211" t="str">
            <v>QUILPUE</v>
          </cell>
          <cell r="Q1211" t="str">
            <v>TRADICIONAL</v>
          </cell>
          <cell r="R1211" t="str">
            <v>Supermercado - V Region</v>
          </cell>
          <cell r="S1211" t="str">
            <v>Lider</v>
          </cell>
          <cell r="T1211" t="str">
            <v>Cajas de luz</v>
          </cell>
          <cell r="U1211">
            <v>1</v>
          </cell>
          <cell r="V1211" t="str">
            <v>2.92 * 1.42</v>
          </cell>
        </row>
        <row r="1212">
          <cell r="A1212" t="str">
            <v>LIBE0017A</v>
          </cell>
          <cell r="B1212" t="str">
            <v>Supermercado</v>
          </cell>
          <cell r="D1212" t="str">
            <v>Monumentales</v>
          </cell>
          <cell r="E1212" t="str">
            <v>Monumentales</v>
          </cell>
          <cell r="F1212" t="str">
            <v>12.00 * 4.00</v>
          </cell>
          <cell r="G1212" t="str">
            <v>12.30 * 4.30</v>
          </cell>
          <cell r="H1212" t="str">
            <v>E</v>
          </cell>
          <cell r="I1212" t="str">
            <v>ESTACIONAMIENTOS</v>
          </cell>
          <cell r="J1212">
            <v>0</v>
          </cell>
          <cell r="K1212">
            <v>0</v>
          </cell>
          <cell r="L1212">
            <v>600000</v>
          </cell>
          <cell r="M1212" t="str">
            <v>LIDER EL BELLOTO</v>
          </cell>
          <cell r="P1212" t="str">
            <v>QUILPUE</v>
          </cell>
          <cell r="Q1212" t="str">
            <v>TRADICIONAL</v>
          </cell>
          <cell r="R1212" t="str">
            <v>Supermercado - V Region</v>
          </cell>
          <cell r="S1212" t="str">
            <v>Lider</v>
          </cell>
          <cell r="T1212" t="str">
            <v>Monumentales</v>
          </cell>
          <cell r="U1212">
            <v>1</v>
          </cell>
          <cell r="V1212" t="str">
            <v>12.00 * 4.00</v>
          </cell>
        </row>
        <row r="1213">
          <cell r="A1213" t="str">
            <v>LIBE0018A</v>
          </cell>
          <cell r="B1213" t="str">
            <v>Supermercado</v>
          </cell>
          <cell r="D1213" t="str">
            <v>Monumentales</v>
          </cell>
          <cell r="E1213" t="str">
            <v>Monumentales</v>
          </cell>
          <cell r="F1213" t="str">
            <v>12.00 * 4.00</v>
          </cell>
          <cell r="G1213" t="str">
            <v>12.30 * 4.30</v>
          </cell>
          <cell r="H1213" t="str">
            <v>E</v>
          </cell>
          <cell r="I1213" t="str">
            <v>ESTACIONAMIENTOS</v>
          </cell>
          <cell r="J1213">
            <v>0</v>
          </cell>
          <cell r="K1213">
            <v>0</v>
          </cell>
          <cell r="L1213">
            <v>600000</v>
          </cell>
          <cell r="M1213" t="str">
            <v>LIDER EL BELLOTO</v>
          </cell>
          <cell r="P1213" t="str">
            <v>QUILPUE</v>
          </cell>
          <cell r="Q1213" t="str">
            <v>TRADICIONAL</v>
          </cell>
          <cell r="R1213" t="str">
            <v>Supermercado - V Region</v>
          </cell>
          <cell r="S1213" t="str">
            <v>Lider</v>
          </cell>
          <cell r="T1213" t="str">
            <v>Monumentales</v>
          </cell>
          <cell r="U1213">
            <v>1</v>
          </cell>
          <cell r="V1213" t="str">
            <v>12.00 * 4.00</v>
          </cell>
        </row>
        <row r="1214">
          <cell r="A1214" t="str">
            <v>LIBU0001A</v>
          </cell>
          <cell r="B1214" t="str">
            <v>Supermercado</v>
          </cell>
          <cell r="D1214" t="str">
            <v>Paletas</v>
          </cell>
          <cell r="E1214" t="str">
            <v>Paletas (8 Paletas Dobles - 3 Paletas Simples)</v>
          </cell>
          <cell r="F1214" t="str">
            <v>0.93 * 1.43</v>
          </cell>
          <cell r="G1214" t="str">
            <v>1.00 * 1.50</v>
          </cell>
          <cell r="H1214" t="str">
            <v>S</v>
          </cell>
          <cell r="I1214" t="str">
            <v>ESTACIONAMIENTOS</v>
          </cell>
          <cell r="J1214">
            <v>0</v>
          </cell>
          <cell r="K1214">
            <v>0</v>
          </cell>
          <cell r="L1214">
            <v>1500000</v>
          </cell>
          <cell r="M1214" t="str">
            <v>LIDER BUENAVENTURA</v>
          </cell>
          <cell r="P1214" t="str">
            <v>VITACURA</v>
          </cell>
          <cell r="Q1214" t="str">
            <v>TRADICIONAL</v>
          </cell>
          <cell r="R1214" t="str">
            <v>Supermercado - Santiago</v>
          </cell>
          <cell r="S1214" t="str">
            <v>Lider</v>
          </cell>
          <cell r="T1214" t="str">
            <v>Paletas</v>
          </cell>
          <cell r="U1214">
            <v>19</v>
          </cell>
          <cell r="V1214" t="str">
            <v>0.93 * 1.43</v>
          </cell>
        </row>
        <row r="1215">
          <cell r="A1215" t="str">
            <v>LIBU0014A</v>
          </cell>
          <cell r="B1215" t="str">
            <v>Supermercado</v>
          </cell>
          <cell r="D1215" t="str">
            <v>Cajas de luz</v>
          </cell>
          <cell r="E1215" t="str">
            <v>Cajas de luz</v>
          </cell>
          <cell r="F1215" t="str">
            <v>3.92 * 1.92</v>
          </cell>
          <cell r="G1215" t="str">
            <v>4.20 * 2.20</v>
          </cell>
          <cell r="H1215" t="str">
            <v>S</v>
          </cell>
          <cell r="I1215" t="str">
            <v>ESTACIONAMIENTOS</v>
          </cell>
          <cell r="J1215">
            <v>0</v>
          </cell>
          <cell r="K1215">
            <v>0</v>
          </cell>
          <cell r="L1215">
            <v>600000</v>
          </cell>
          <cell r="M1215" t="str">
            <v>LIDER BUENAVENTURA</v>
          </cell>
          <cell r="P1215" t="str">
            <v>VITACURA</v>
          </cell>
          <cell r="Q1215" t="str">
            <v>TRADICIONAL</v>
          </cell>
          <cell r="R1215" t="str">
            <v>Supermercado - Santiago</v>
          </cell>
          <cell r="S1215" t="str">
            <v>Lider</v>
          </cell>
          <cell r="T1215" t="str">
            <v>Cajas de luz</v>
          </cell>
          <cell r="U1215">
            <v>1</v>
          </cell>
          <cell r="V1215" t="str">
            <v>3.92 * 1.92</v>
          </cell>
        </row>
        <row r="1216">
          <cell r="A1216" t="str">
            <v>LIBU0015A</v>
          </cell>
          <cell r="B1216" t="str">
            <v>Supermercado</v>
          </cell>
          <cell r="D1216" t="str">
            <v>Cajas de luz</v>
          </cell>
          <cell r="E1216" t="str">
            <v>Cajas de luz</v>
          </cell>
          <cell r="F1216" t="str">
            <v>3.92 * 1.92</v>
          </cell>
          <cell r="G1216" t="str">
            <v>4.20 * 2.20</v>
          </cell>
          <cell r="H1216" t="str">
            <v>S</v>
          </cell>
          <cell r="I1216" t="str">
            <v>ESTACIONAMIENTOS</v>
          </cell>
          <cell r="J1216">
            <v>0</v>
          </cell>
          <cell r="K1216">
            <v>0</v>
          </cell>
          <cell r="L1216">
            <v>600000</v>
          </cell>
          <cell r="M1216" t="str">
            <v>LIDER BUENAVENTURA</v>
          </cell>
          <cell r="P1216" t="str">
            <v>VITACURA</v>
          </cell>
          <cell r="Q1216" t="str">
            <v>TRADICIONAL</v>
          </cell>
          <cell r="R1216" t="str">
            <v>Supermercado - Santiago</v>
          </cell>
          <cell r="S1216" t="str">
            <v>Lider</v>
          </cell>
          <cell r="T1216" t="str">
            <v>Cajas de luz</v>
          </cell>
          <cell r="U1216">
            <v>1</v>
          </cell>
          <cell r="V1216" t="str">
            <v>3.92 * 1.92</v>
          </cell>
        </row>
        <row r="1217">
          <cell r="A1217" t="str">
            <v>LIBU0016A</v>
          </cell>
          <cell r="B1217" t="str">
            <v>Supermercado</v>
          </cell>
          <cell r="D1217" t="str">
            <v>Cajas de luz</v>
          </cell>
          <cell r="E1217" t="str">
            <v>Cajas de luz</v>
          </cell>
          <cell r="F1217" t="str">
            <v>3.92 * 1.92</v>
          </cell>
          <cell r="G1217" t="str">
            <v>4.20 * 2.20</v>
          </cell>
          <cell r="H1217" t="str">
            <v>S</v>
          </cell>
          <cell r="I1217" t="str">
            <v>ESTACIONAMIENTOS</v>
          </cell>
          <cell r="J1217">
            <v>0</v>
          </cell>
          <cell r="K1217">
            <v>0</v>
          </cell>
          <cell r="L1217">
            <v>600000</v>
          </cell>
          <cell r="M1217" t="str">
            <v>LIDER BUENAVENTURA</v>
          </cell>
          <cell r="P1217" t="str">
            <v>VITACURA</v>
          </cell>
          <cell r="Q1217" t="str">
            <v>TRADICIONAL</v>
          </cell>
          <cell r="R1217" t="str">
            <v>Supermercado - Santiago</v>
          </cell>
          <cell r="S1217" t="str">
            <v>Lider</v>
          </cell>
          <cell r="T1217" t="str">
            <v>Cajas de luz</v>
          </cell>
          <cell r="U1217">
            <v>1</v>
          </cell>
          <cell r="V1217" t="str">
            <v>3.92 * 1.92</v>
          </cell>
        </row>
        <row r="1218">
          <cell r="A1218" t="str">
            <v>LIBU0017A</v>
          </cell>
          <cell r="B1218" t="str">
            <v>Supermercado</v>
          </cell>
          <cell r="D1218" t="str">
            <v>Cajas de luz</v>
          </cell>
          <cell r="E1218" t="str">
            <v>Cajas de luz</v>
          </cell>
          <cell r="F1218" t="str">
            <v>3.92 * 1.92</v>
          </cell>
          <cell r="G1218" t="str">
            <v>4.20 * 2.20</v>
          </cell>
          <cell r="H1218" t="str">
            <v>V</v>
          </cell>
          <cell r="I1218" t="str">
            <v>ACCESO SALA DE V</v>
          </cell>
          <cell r="J1218">
            <v>0</v>
          </cell>
          <cell r="K1218">
            <v>0</v>
          </cell>
          <cell r="L1218">
            <v>680000</v>
          </cell>
          <cell r="M1218" t="str">
            <v>LIDER BUENAVENTURA</v>
          </cell>
          <cell r="P1218" t="str">
            <v>VITACURA</v>
          </cell>
          <cell r="Q1218" t="str">
            <v>TRADICIONAL</v>
          </cell>
          <cell r="R1218" t="str">
            <v>Supermercado - Santiago</v>
          </cell>
          <cell r="S1218" t="str">
            <v>Lider</v>
          </cell>
          <cell r="T1218" t="str">
            <v>Cajas de luz</v>
          </cell>
          <cell r="U1218">
            <v>1</v>
          </cell>
          <cell r="V1218" t="str">
            <v>3.92 * 1.92</v>
          </cell>
        </row>
        <row r="1219">
          <cell r="A1219" t="str">
            <v>LIBU0018A</v>
          </cell>
          <cell r="B1219" t="str">
            <v>Supermercado</v>
          </cell>
          <cell r="D1219" t="str">
            <v>Cajas de luz</v>
          </cell>
          <cell r="E1219" t="str">
            <v>Cajas de luz</v>
          </cell>
          <cell r="F1219" t="str">
            <v>3.92 * 1.92</v>
          </cell>
          <cell r="G1219" t="str">
            <v>4.20 * 2.20</v>
          </cell>
          <cell r="H1219" t="str">
            <v>V</v>
          </cell>
          <cell r="I1219" t="str">
            <v>ACCESO SALA DE V</v>
          </cell>
          <cell r="J1219">
            <v>0</v>
          </cell>
          <cell r="K1219">
            <v>0</v>
          </cell>
          <cell r="L1219">
            <v>680000</v>
          </cell>
          <cell r="M1219" t="str">
            <v>LIDER BUENAVENTURA</v>
          </cell>
          <cell r="P1219" t="str">
            <v>VITACURA</v>
          </cell>
          <cell r="Q1219" t="str">
            <v>TRADICIONAL</v>
          </cell>
          <cell r="R1219" t="str">
            <v>Supermercado - Santiago</v>
          </cell>
          <cell r="S1219" t="str">
            <v>Lider</v>
          </cell>
          <cell r="T1219" t="str">
            <v>Cajas de luz</v>
          </cell>
          <cell r="U1219">
            <v>1</v>
          </cell>
          <cell r="V1219" t="str">
            <v>3.92 * 1.92</v>
          </cell>
        </row>
        <row r="1220">
          <cell r="A1220" t="str">
            <v>LIBU0019A</v>
          </cell>
          <cell r="B1220" t="str">
            <v>Supermercado</v>
          </cell>
          <cell r="D1220" t="str">
            <v>Cajas de luz</v>
          </cell>
          <cell r="E1220" t="str">
            <v>Cajas de luz</v>
          </cell>
          <cell r="F1220" t="str">
            <v>3.92 * 1.92</v>
          </cell>
          <cell r="G1220" t="str">
            <v>4.20 * 2.20</v>
          </cell>
          <cell r="H1220" t="str">
            <v>V</v>
          </cell>
          <cell r="I1220" t="str">
            <v>ACCESO SALA DE V</v>
          </cell>
          <cell r="J1220">
            <v>0</v>
          </cell>
          <cell r="K1220">
            <v>0</v>
          </cell>
          <cell r="L1220">
            <v>680000</v>
          </cell>
          <cell r="M1220" t="str">
            <v>LIDER BUENAVENTURA</v>
          </cell>
          <cell r="P1220" t="str">
            <v>VITACURA</v>
          </cell>
          <cell r="Q1220" t="str">
            <v>TRADICIONAL</v>
          </cell>
          <cell r="R1220" t="str">
            <v>Supermercado - Santiago</v>
          </cell>
          <cell r="S1220" t="str">
            <v>Lider</v>
          </cell>
          <cell r="T1220" t="str">
            <v>Cajas de luz</v>
          </cell>
          <cell r="U1220">
            <v>1</v>
          </cell>
          <cell r="V1220" t="str">
            <v>3.92 * 1.92</v>
          </cell>
        </row>
        <row r="1221">
          <cell r="A1221" t="str">
            <v>LIBU0020A</v>
          </cell>
          <cell r="B1221" t="str">
            <v>Supermercado</v>
          </cell>
          <cell r="D1221" t="str">
            <v>Cajas de luz</v>
          </cell>
          <cell r="E1221" t="str">
            <v>Cajas de luz</v>
          </cell>
          <cell r="F1221" t="str">
            <v>3.92 * 1.92</v>
          </cell>
          <cell r="G1221" t="str">
            <v>4.20 * 2.20</v>
          </cell>
          <cell r="H1221" t="str">
            <v>V</v>
          </cell>
          <cell r="I1221" t="str">
            <v>ACCESO SALA DE V</v>
          </cell>
          <cell r="J1221">
            <v>0</v>
          </cell>
          <cell r="K1221">
            <v>0</v>
          </cell>
          <cell r="L1221">
            <v>680000</v>
          </cell>
          <cell r="M1221" t="str">
            <v>LIDER BUENAVENTURA</v>
          </cell>
          <cell r="P1221" t="str">
            <v>VITACURA</v>
          </cell>
          <cell r="Q1221" t="str">
            <v>TRADICIONAL</v>
          </cell>
          <cell r="R1221" t="str">
            <v>Supermercado - Santiago</v>
          </cell>
          <cell r="S1221" t="str">
            <v>Lider</v>
          </cell>
          <cell r="T1221" t="str">
            <v>Cajas de luz</v>
          </cell>
          <cell r="U1221">
            <v>1</v>
          </cell>
          <cell r="V1221" t="str">
            <v>3.92 * 1.92</v>
          </cell>
        </row>
        <row r="1222">
          <cell r="A1222" t="str">
            <v>LIBU0021A</v>
          </cell>
          <cell r="B1222" t="str">
            <v>Supermercado</v>
          </cell>
          <cell r="D1222" t="str">
            <v>Cajas de luz</v>
          </cell>
          <cell r="E1222" t="str">
            <v>Cajas de luz</v>
          </cell>
          <cell r="F1222" t="str">
            <v>2.92 * 1.42</v>
          </cell>
          <cell r="G1222" t="str">
            <v>3.20 * 1.70</v>
          </cell>
          <cell r="H1222" t="str">
            <v>S</v>
          </cell>
          <cell r="I1222" t="str">
            <v>ESTACIONAMIENTOS</v>
          </cell>
          <cell r="J1222">
            <v>0</v>
          </cell>
          <cell r="K1222">
            <v>0</v>
          </cell>
          <cell r="L1222">
            <v>520000</v>
          </cell>
          <cell r="M1222" t="str">
            <v>LIDER BUENAVENTURA</v>
          </cell>
          <cell r="P1222" t="str">
            <v>VITACURA</v>
          </cell>
          <cell r="Q1222" t="str">
            <v>TRADICIONAL</v>
          </cell>
          <cell r="R1222" t="str">
            <v>Supermercado - Santiago</v>
          </cell>
          <cell r="S1222" t="str">
            <v>Lider</v>
          </cell>
          <cell r="T1222" t="str">
            <v>Cajas de luz</v>
          </cell>
          <cell r="U1222">
            <v>1</v>
          </cell>
          <cell r="V1222" t="str">
            <v>2.92 * 1.42</v>
          </cell>
        </row>
        <row r="1223">
          <cell r="A1223" t="str">
            <v>LIBU0022A</v>
          </cell>
          <cell r="B1223" t="str">
            <v>Supermercado</v>
          </cell>
          <cell r="D1223" t="str">
            <v>Cajas de luz</v>
          </cell>
          <cell r="E1223" t="str">
            <v>Cajas de luz</v>
          </cell>
          <cell r="F1223" t="str">
            <v>2.92 * 1.42</v>
          </cell>
          <cell r="G1223" t="str">
            <v>3.20 * 1.70</v>
          </cell>
          <cell r="H1223" t="str">
            <v>S</v>
          </cell>
          <cell r="I1223" t="str">
            <v>ESTACIONAMIENTOS</v>
          </cell>
          <cell r="J1223">
            <v>0</v>
          </cell>
          <cell r="K1223">
            <v>0</v>
          </cell>
          <cell r="L1223">
            <v>520000</v>
          </cell>
          <cell r="M1223" t="str">
            <v>LIDER BUENAVENTURA</v>
          </cell>
          <cell r="P1223" t="str">
            <v>VITACURA</v>
          </cell>
          <cell r="Q1223" t="str">
            <v>TRADICIONAL</v>
          </cell>
          <cell r="R1223" t="str">
            <v>Supermercado - Santiago</v>
          </cell>
          <cell r="S1223" t="str">
            <v>Lider</v>
          </cell>
          <cell r="T1223" t="str">
            <v>Cajas de luz</v>
          </cell>
          <cell r="U1223">
            <v>1</v>
          </cell>
          <cell r="V1223" t="str">
            <v>2.92 * 1.42</v>
          </cell>
        </row>
        <row r="1224">
          <cell r="A1224" t="str">
            <v>LIBU0023A</v>
          </cell>
          <cell r="B1224" t="str">
            <v>Supermercado</v>
          </cell>
          <cell r="D1224" t="str">
            <v>Cajas de luz</v>
          </cell>
          <cell r="E1224" t="str">
            <v>Cajas de luz</v>
          </cell>
          <cell r="F1224" t="str">
            <v>2.92 * 1.42</v>
          </cell>
          <cell r="G1224" t="str">
            <v>3.20 * 1.70</v>
          </cell>
          <cell r="H1224" t="str">
            <v>S</v>
          </cell>
          <cell r="I1224" t="str">
            <v>ESTACIONAMIENTOS</v>
          </cell>
          <cell r="J1224">
            <v>0</v>
          </cell>
          <cell r="K1224">
            <v>0</v>
          </cell>
          <cell r="L1224">
            <v>520000</v>
          </cell>
          <cell r="M1224" t="str">
            <v>LIDER BUENAVENTURA</v>
          </cell>
          <cell r="P1224" t="str">
            <v>VITACURA</v>
          </cell>
          <cell r="Q1224" t="str">
            <v>TRADICIONAL</v>
          </cell>
          <cell r="R1224" t="str">
            <v>Supermercado - Santiago</v>
          </cell>
          <cell r="S1224" t="str">
            <v>Lider</v>
          </cell>
          <cell r="T1224" t="str">
            <v>Cajas de luz</v>
          </cell>
          <cell r="U1224">
            <v>1</v>
          </cell>
          <cell r="V1224" t="str">
            <v>2.92 * 1.42</v>
          </cell>
        </row>
        <row r="1225">
          <cell r="A1225" t="str">
            <v>LIBU0024A</v>
          </cell>
          <cell r="B1225" t="str">
            <v>Supermercado</v>
          </cell>
          <cell r="D1225" t="str">
            <v>Cajas de luz</v>
          </cell>
          <cell r="E1225" t="str">
            <v>Cajas de luz</v>
          </cell>
          <cell r="F1225" t="str">
            <v>2.92 * 1.42</v>
          </cell>
          <cell r="G1225" t="str">
            <v>3.20 * 1.70</v>
          </cell>
          <cell r="H1225" t="str">
            <v>S</v>
          </cell>
          <cell r="I1225" t="str">
            <v>ESTACIONAMIENTOS</v>
          </cell>
          <cell r="J1225">
            <v>0</v>
          </cell>
          <cell r="K1225">
            <v>0</v>
          </cell>
          <cell r="L1225">
            <v>520000</v>
          </cell>
          <cell r="M1225" t="str">
            <v>LIDER BUENAVENTURA</v>
          </cell>
          <cell r="P1225" t="str">
            <v>VITACURA</v>
          </cell>
          <cell r="Q1225" t="str">
            <v>TRADICIONAL</v>
          </cell>
          <cell r="R1225" t="str">
            <v>Supermercado - Santiago</v>
          </cell>
          <cell r="S1225" t="str">
            <v>Lider</v>
          </cell>
          <cell r="T1225" t="str">
            <v>Cajas de luz</v>
          </cell>
          <cell r="U1225">
            <v>1</v>
          </cell>
          <cell r="V1225" t="str">
            <v>2.92 * 1.42</v>
          </cell>
        </row>
        <row r="1226">
          <cell r="A1226" t="str">
            <v>LIBU0025A</v>
          </cell>
          <cell r="B1226" t="str">
            <v>Supermercado</v>
          </cell>
          <cell r="D1226" t="str">
            <v>Cajas de luz</v>
          </cell>
          <cell r="E1226" t="str">
            <v>Cajas de luz</v>
          </cell>
          <cell r="F1226" t="str">
            <v>2.92 * 1.42</v>
          </cell>
          <cell r="G1226" t="str">
            <v>3.20 * 1.70</v>
          </cell>
          <cell r="H1226" t="str">
            <v>S</v>
          </cell>
          <cell r="I1226" t="str">
            <v>ESTACIONAMIENTOS</v>
          </cell>
          <cell r="J1226">
            <v>0</v>
          </cell>
          <cell r="K1226">
            <v>0</v>
          </cell>
          <cell r="L1226">
            <v>520000</v>
          </cell>
          <cell r="M1226" t="str">
            <v>LIDER BUENAVENTURA</v>
          </cell>
          <cell r="P1226" t="str">
            <v>VITACURA</v>
          </cell>
          <cell r="Q1226" t="str">
            <v>TRADICIONAL</v>
          </cell>
          <cell r="R1226" t="str">
            <v>Supermercado - Santiago</v>
          </cell>
          <cell r="S1226" t="str">
            <v>Lider</v>
          </cell>
          <cell r="T1226" t="str">
            <v>Cajas de luz</v>
          </cell>
          <cell r="U1226">
            <v>1</v>
          </cell>
          <cell r="V1226" t="str">
            <v>2.92 * 1.42</v>
          </cell>
        </row>
        <row r="1227">
          <cell r="A1227" t="str">
            <v>LICA0001A</v>
          </cell>
          <cell r="B1227" t="str">
            <v>Supermercado</v>
          </cell>
          <cell r="D1227" t="str">
            <v>Paletas</v>
          </cell>
          <cell r="E1227" t="str">
            <v>Paletas</v>
          </cell>
          <cell r="F1227" t="str">
            <v>1.10 x 1.53</v>
          </cell>
          <cell r="G1227" t="str">
            <v>1.15 x 1.57</v>
          </cell>
          <cell r="H1227" t="str">
            <v>E</v>
          </cell>
          <cell r="I1227" t="str">
            <v>ESTACIONAMIENTOS</v>
          </cell>
          <cell r="J1227">
            <v>0</v>
          </cell>
          <cell r="K1227">
            <v>0</v>
          </cell>
          <cell r="L1227">
            <v>220000</v>
          </cell>
          <cell r="M1227" t="str">
            <v>LIDER MALL CALAMA</v>
          </cell>
          <cell r="P1227" t="str">
            <v>CALAMA</v>
          </cell>
          <cell r="Q1227" t="str">
            <v>TRADICIONAL</v>
          </cell>
          <cell r="R1227" t="str">
            <v>Mall - Norte</v>
          </cell>
          <cell r="S1227" t="str">
            <v>Inversiones Calama</v>
          </cell>
          <cell r="T1227" t="str">
            <v>Paletas</v>
          </cell>
          <cell r="U1227">
            <v>1</v>
          </cell>
          <cell r="V1227" t="str">
            <v>1.10 * 1.53</v>
          </cell>
        </row>
        <row r="1228">
          <cell r="A1228" t="str">
            <v>LICA0001B</v>
          </cell>
          <cell r="B1228" t="str">
            <v>Supermercado</v>
          </cell>
          <cell r="D1228" t="str">
            <v>Paletas</v>
          </cell>
          <cell r="E1228" t="str">
            <v>Paletas</v>
          </cell>
          <cell r="F1228" t="str">
            <v>1.10 x 1.53</v>
          </cell>
          <cell r="G1228" t="str">
            <v>1.15 x 1.57</v>
          </cell>
          <cell r="H1228" t="str">
            <v>E</v>
          </cell>
          <cell r="I1228" t="str">
            <v>ESTACIONAMIENTOS</v>
          </cell>
          <cell r="J1228">
            <v>0</v>
          </cell>
          <cell r="K1228">
            <v>0</v>
          </cell>
          <cell r="L1228">
            <v>220000</v>
          </cell>
          <cell r="M1228" t="str">
            <v>LIDER MALL CALAMA</v>
          </cell>
          <cell r="P1228" t="str">
            <v>CALAMA</v>
          </cell>
          <cell r="Q1228" t="str">
            <v>TRADICIONAL</v>
          </cell>
          <cell r="R1228" t="str">
            <v>Mall - Norte</v>
          </cell>
          <cell r="S1228" t="str">
            <v>Inversiones Calama</v>
          </cell>
          <cell r="T1228" t="str">
            <v>Paletas</v>
          </cell>
          <cell r="U1228">
            <v>1</v>
          </cell>
          <cell r="V1228" t="str">
            <v>1.10 * 1.53</v>
          </cell>
        </row>
        <row r="1229">
          <cell r="A1229" t="str">
            <v>LICA0002A</v>
          </cell>
          <cell r="B1229" t="str">
            <v>Supermercado</v>
          </cell>
          <cell r="D1229" t="str">
            <v>Paletas</v>
          </cell>
          <cell r="E1229" t="str">
            <v>Paletas</v>
          </cell>
          <cell r="F1229" t="str">
            <v>1.10 x 1.53</v>
          </cell>
          <cell r="G1229" t="str">
            <v>1.15 x 1.57</v>
          </cell>
          <cell r="H1229" t="str">
            <v>E</v>
          </cell>
          <cell r="I1229" t="str">
            <v>ESTACIONAMIENTOS</v>
          </cell>
          <cell r="J1229">
            <v>0</v>
          </cell>
          <cell r="K1229">
            <v>0</v>
          </cell>
          <cell r="L1229">
            <v>220000</v>
          </cell>
          <cell r="M1229" t="str">
            <v>LIDER MALL CALAMA</v>
          </cell>
          <cell r="P1229" t="str">
            <v>CALAMA</v>
          </cell>
          <cell r="Q1229" t="str">
            <v>TRADICIONAL</v>
          </cell>
          <cell r="R1229" t="str">
            <v>Mall - Norte</v>
          </cell>
          <cell r="S1229" t="str">
            <v>Inversiones Calama</v>
          </cell>
          <cell r="T1229" t="str">
            <v>Paletas</v>
          </cell>
          <cell r="U1229">
            <v>1</v>
          </cell>
          <cell r="V1229" t="str">
            <v>1.10 * 1.53</v>
          </cell>
        </row>
        <row r="1230">
          <cell r="A1230" t="str">
            <v>LICA0002B</v>
          </cell>
          <cell r="B1230" t="str">
            <v>Supermercado</v>
          </cell>
          <cell r="D1230" t="str">
            <v>Paletas</v>
          </cell>
          <cell r="E1230" t="str">
            <v>Paletas</v>
          </cell>
          <cell r="F1230" t="str">
            <v>1.10 x 1.53</v>
          </cell>
          <cell r="G1230" t="str">
            <v>1.15 x 1.57</v>
          </cell>
          <cell r="H1230" t="str">
            <v>E</v>
          </cell>
          <cell r="I1230" t="str">
            <v>ESTACIONAMIENTOS</v>
          </cell>
          <cell r="J1230">
            <v>0</v>
          </cell>
          <cell r="K1230">
            <v>0</v>
          </cell>
          <cell r="L1230">
            <v>220000</v>
          </cell>
          <cell r="M1230" t="str">
            <v>LIDER MALL CALAMA</v>
          </cell>
          <cell r="P1230" t="str">
            <v>CALAMA</v>
          </cell>
          <cell r="Q1230" t="str">
            <v>TRADICIONAL</v>
          </cell>
          <cell r="R1230" t="str">
            <v>Mall - Norte</v>
          </cell>
          <cell r="S1230" t="str">
            <v>Inversiones Calama</v>
          </cell>
          <cell r="T1230" t="str">
            <v>Paletas</v>
          </cell>
          <cell r="U1230">
            <v>1</v>
          </cell>
          <cell r="V1230" t="str">
            <v>1.10 * 1.53</v>
          </cell>
        </row>
        <row r="1231">
          <cell r="A1231" t="str">
            <v>LICA0003A</v>
          </cell>
          <cell r="B1231" t="str">
            <v>Supermercado</v>
          </cell>
          <cell r="D1231" t="str">
            <v>Cajas de luz</v>
          </cell>
          <cell r="E1231" t="str">
            <v>Cajas de luz</v>
          </cell>
          <cell r="F1231" t="str">
            <v>3.92 * 1.92</v>
          </cell>
          <cell r="G1231" t="str">
            <v>4.20 * 2.20</v>
          </cell>
          <cell r="H1231" t="str">
            <v>S</v>
          </cell>
          <cell r="I1231" t="str">
            <v>ESTACIONAMIENTOS</v>
          </cell>
          <cell r="J1231">
            <v>0</v>
          </cell>
          <cell r="K1231">
            <v>0</v>
          </cell>
          <cell r="L1231">
            <v>520000</v>
          </cell>
          <cell r="M1231" t="str">
            <v>LIDER MALL CALAMA</v>
          </cell>
          <cell r="P1231" t="str">
            <v>CALAMA</v>
          </cell>
          <cell r="Q1231" t="str">
            <v>TRADICIONAL</v>
          </cell>
          <cell r="R1231" t="str">
            <v>Mall - Norte</v>
          </cell>
          <cell r="S1231" t="str">
            <v>Inversiones Calama</v>
          </cell>
          <cell r="T1231" t="str">
            <v>Cajas de luz</v>
          </cell>
          <cell r="U1231">
            <v>1</v>
          </cell>
          <cell r="V1231" t="str">
            <v>3.92 * 1.92</v>
          </cell>
        </row>
        <row r="1232">
          <cell r="A1232" t="str">
            <v>LICC0001A</v>
          </cell>
          <cell r="B1232" t="str">
            <v>Supermercado</v>
          </cell>
          <cell r="D1232" t="str">
            <v>Paletas</v>
          </cell>
          <cell r="E1232" t="str">
            <v>Paletas</v>
          </cell>
          <cell r="F1232" t="str">
            <v>1.10 x 1.53</v>
          </cell>
          <cell r="G1232" t="str">
            <v>1.15 x 1.57</v>
          </cell>
          <cell r="H1232" t="str">
            <v>E</v>
          </cell>
          <cell r="I1232" t="str">
            <v>ESTACIONAMIENTOS</v>
          </cell>
          <cell r="J1232">
            <v>0</v>
          </cell>
          <cell r="K1232">
            <v>0</v>
          </cell>
          <cell r="L1232">
            <v>280000</v>
          </cell>
          <cell r="M1232" t="str">
            <v>LIDER CUARTO CENTENARIO</v>
          </cell>
          <cell r="P1232" t="str">
            <v>LAS CONDES</v>
          </cell>
          <cell r="Q1232" t="str">
            <v>TRADICIONAL</v>
          </cell>
          <cell r="R1232" t="str">
            <v>Supermercado - Santiago</v>
          </cell>
          <cell r="S1232" t="str">
            <v>Lider</v>
          </cell>
          <cell r="T1232" t="str">
            <v>Paletas</v>
          </cell>
          <cell r="U1232">
            <v>1</v>
          </cell>
          <cell r="V1232" t="str">
            <v>1.10 * 1.53</v>
          </cell>
        </row>
        <row r="1233">
          <cell r="A1233" t="str">
            <v>LICC0001B</v>
          </cell>
          <cell r="B1233" t="str">
            <v>Supermercado</v>
          </cell>
          <cell r="D1233" t="str">
            <v>Paletas</v>
          </cell>
          <cell r="E1233" t="str">
            <v>Paletas</v>
          </cell>
          <cell r="F1233" t="str">
            <v>1.10 x 1.53</v>
          </cell>
          <cell r="G1233" t="str">
            <v>1.15 x 1.57</v>
          </cell>
          <cell r="H1233" t="str">
            <v>E</v>
          </cell>
          <cell r="I1233" t="str">
            <v>ESTACIONAMIENTOS</v>
          </cell>
          <cell r="J1233">
            <v>0</v>
          </cell>
          <cell r="K1233">
            <v>0</v>
          </cell>
          <cell r="L1233">
            <v>280000</v>
          </cell>
          <cell r="M1233" t="str">
            <v>LIDER CUARTO CENTENARIO</v>
          </cell>
          <cell r="P1233" t="str">
            <v>LAS CONDES</v>
          </cell>
          <cell r="Q1233" t="str">
            <v>TRADICIONAL</v>
          </cell>
          <cell r="R1233" t="str">
            <v>Supermercado - Santiago</v>
          </cell>
          <cell r="S1233" t="str">
            <v>Lider</v>
          </cell>
          <cell r="T1233" t="str">
            <v>Paletas</v>
          </cell>
          <cell r="U1233">
            <v>1</v>
          </cell>
          <cell r="V1233" t="str">
            <v>1.10 * 1.53</v>
          </cell>
        </row>
        <row r="1234">
          <cell r="A1234" t="str">
            <v>LICC0003A</v>
          </cell>
          <cell r="B1234" t="str">
            <v>Supermercado</v>
          </cell>
          <cell r="D1234" t="str">
            <v>Cajas de luz</v>
          </cell>
          <cell r="E1234" t="str">
            <v>Cajas de luz</v>
          </cell>
          <cell r="F1234" t="str">
            <v>3.92 * 1.92</v>
          </cell>
          <cell r="G1234" t="str">
            <v>4.20 * 2.20</v>
          </cell>
          <cell r="H1234" t="str">
            <v>X</v>
          </cell>
          <cell r="I1234" t="str">
            <v>EXTERIORES</v>
          </cell>
          <cell r="J1234">
            <v>0</v>
          </cell>
          <cell r="K1234">
            <v>0</v>
          </cell>
          <cell r="L1234">
            <v>520000</v>
          </cell>
          <cell r="M1234" t="str">
            <v>LIDER CUARTO CENTENARIO</v>
          </cell>
          <cell r="P1234" t="str">
            <v>LAS CONDES</v>
          </cell>
          <cell r="Q1234" t="str">
            <v>TRADICIONAL</v>
          </cell>
          <cell r="R1234" t="str">
            <v>Supermercado - Santiago</v>
          </cell>
          <cell r="S1234" t="str">
            <v>Lider</v>
          </cell>
          <cell r="T1234" t="str">
            <v>Cajas de luz</v>
          </cell>
          <cell r="U1234">
            <v>1</v>
          </cell>
          <cell r="V1234" t="str">
            <v>3.92 * 1.92</v>
          </cell>
        </row>
        <row r="1235">
          <cell r="A1235" t="str">
            <v>LICO0003A</v>
          </cell>
          <cell r="B1235" t="str">
            <v>Supermercado</v>
          </cell>
          <cell r="D1235" t="str">
            <v>Paletas</v>
          </cell>
          <cell r="E1235" t="str">
            <v>Paleta</v>
          </cell>
          <cell r="F1235" t="str">
            <v>0.93 * 1.43</v>
          </cell>
          <cell r="G1235" t="str">
            <v>1.00 * 1.50</v>
          </cell>
          <cell r="H1235" t="str">
            <v>E</v>
          </cell>
          <cell r="I1235" t="str">
            <v>ESTACIONAMIENTOS</v>
          </cell>
          <cell r="J1235">
            <v>0</v>
          </cell>
          <cell r="K1235">
            <v>0</v>
          </cell>
          <cell r="L1235">
            <v>280000</v>
          </cell>
          <cell r="M1235" t="str">
            <v>LIDER CONCEPCION</v>
          </cell>
          <cell r="P1235" t="str">
            <v>CONCEPCION</v>
          </cell>
          <cell r="Q1235" t="str">
            <v>TRADICIONAL</v>
          </cell>
          <cell r="R1235" t="str">
            <v>Supermercado - Sur</v>
          </cell>
          <cell r="S1235" t="str">
            <v>Lider</v>
          </cell>
          <cell r="T1235" t="str">
            <v>Paletas</v>
          </cell>
          <cell r="U1235">
            <v>1</v>
          </cell>
          <cell r="V1235" t="str">
            <v>0.93 * 1.43</v>
          </cell>
        </row>
        <row r="1236">
          <cell r="A1236" t="str">
            <v>LICO0003B</v>
          </cell>
          <cell r="B1236" t="str">
            <v>Supermercado</v>
          </cell>
          <cell r="D1236" t="str">
            <v>Paletas</v>
          </cell>
          <cell r="E1236" t="str">
            <v>Paleta</v>
          </cell>
          <cell r="F1236" t="str">
            <v>0.93 * 1.43</v>
          </cell>
          <cell r="G1236" t="str">
            <v>1.00 * 1.50</v>
          </cell>
          <cell r="H1236" t="str">
            <v>E</v>
          </cell>
          <cell r="I1236" t="str">
            <v>ESTACIONAMIENTOS</v>
          </cell>
          <cell r="J1236">
            <v>0</v>
          </cell>
          <cell r="K1236">
            <v>0</v>
          </cell>
          <cell r="L1236">
            <v>280000</v>
          </cell>
          <cell r="M1236" t="str">
            <v>LIDER CONCEPCION</v>
          </cell>
          <cell r="P1236" t="str">
            <v>CONCEPCION</v>
          </cell>
          <cell r="Q1236" t="str">
            <v>TRADICIONAL</v>
          </cell>
          <cell r="R1236" t="str">
            <v>Supermercado - Sur</v>
          </cell>
          <cell r="S1236" t="str">
            <v>Lider</v>
          </cell>
          <cell r="T1236" t="str">
            <v>Paletas</v>
          </cell>
          <cell r="U1236">
            <v>1</v>
          </cell>
          <cell r="V1236" t="str">
            <v>0.93 * 1.43</v>
          </cell>
        </row>
        <row r="1237">
          <cell r="A1237" t="str">
            <v>LICO0004A</v>
          </cell>
          <cell r="B1237" t="str">
            <v>Supermercado</v>
          </cell>
          <cell r="D1237" t="str">
            <v>Paletas</v>
          </cell>
          <cell r="E1237" t="str">
            <v>Paleta</v>
          </cell>
          <cell r="F1237" t="str">
            <v>0.93 * 1.43</v>
          </cell>
          <cell r="G1237" t="str">
            <v>1.00 * 1.50</v>
          </cell>
          <cell r="H1237" t="str">
            <v>E</v>
          </cell>
          <cell r="I1237" t="str">
            <v>ESTACIONAMIENTOS</v>
          </cell>
          <cell r="J1237">
            <v>0</v>
          </cell>
          <cell r="K1237">
            <v>0</v>
          </cell>
          <cell r="L1237">
            <v>280000</v>
          </cell>
          <cell r="M1237" t="str">
            <v>LIDER CONCEPCION</v>
          </cell>
          <cell r="P1237" t="str">
            <v>CONCEPCION</v>
          </cell>
          <cell r="Q1237" t="str">
            <v>TRADICIONAL</v>
          </cell>
          <cell r="R1237" t="str">
            <v>Supermercado - Sur</v>
          </cell>
          <cell r="S1237" t="str">
            <v>Lider</v>
          </cell>
          <cell r="T1237" t="str">
            <v>Paletas</v>
          </cell>
          <cell r="U1237">
            <v>1</v>
          </cell>
          <cell r="V1237" t="str">
            <v>0.93 * 1.43</v>
          </cell>
        </row>
        <row r="1238">
          <cell r="A1238" t="str">
            <v>LICO0004B</v>
          </cell>
          <cell r="B1238" t="str">
            <v>Supermercado</v>
          </cell>
          <cell r="D1238" t="str">
            <v>Paletas</v>
          </cell>
          <cell r="E1238" t="str">
            <v>Paleta</v>
          </cell>
          <cell r="F1238" t="str">
            <v>0.93 * 1.43</v>
          </cell>
          <cell r="G1238" t="str">
            <v>1.00 * 1.50</v>
          </cell>
          <cell r="H1238" t="str">
            <v>E</v>
          </cell>
          <cell r="I1238" t="str">
            <v>ESTACIONAMIENTOS</v>
          </cell>
          <cell r="J1238">
            <v>0</v>
          </cell>
          <cell r="K1238">
            <v>0</v>
          </cell>
          <cell r="L1238">
            <v>280000</v>
          </cell>
          <cell r="M1238" t="str">
            <v>LIDER CONCEPCION</v>
          </cell>
          <cell r="P1238" t="str">
            <v>CONCEPCION</v>
          </cell>
          <cell r="Q1238" t="str">
            <v>TRADICIONAL</v>
          </cell>
          <cell r="R1238" t="str">
            <v>Supermercado - Sur</v>
          </cell>
          <cell r="S1238" t="str">
            <v>Lider</v>
          </cell>
          <cell r="T1238" t="str">
            <v>Paletas</v>
          </cell>
          <cell r="U1238">
            <v>1</v>
          </cell>
          <cell r="V1238" t="str">
            <v>0.93 * 1.43</v>
          </cell>
        </row>
        <row r="1239">
          <cell r="A1239" t="str">
            <v>LICO0005A</v>
          </cell>
          <cell r="B1239" t="str">
            <v>Supermercado</v>
          </cell>
          <cell r="D1239" t="str">
            <v>Paletas</v>
          </cell>
          <cell r="E1239" t="str">
            <v>Paleta</v>
          </cell>
          <cell r="F1239" t="str">
            <v>0.93 * 1.43</v>
          </cell>
          <cell r="G1239" t="str">
            <v>1.00 * 1.50</v>
          </cell>
          <cell r="H1239" t="str">
            <v>E</v>
          </cell>
          <cell r="I1239" t="str">
            <v>ESTACIONAMIENTOS</v>
          </cell>
          <cell r="J1239">
            <v>0</v>
          </cell>
          <cell r="K1239">
            <v>0</v>
          </cell>
          <cell r="L1239">
            <v>280000</v>
          </cell>
          <cell r="M1239" t="str">
            <v>LIDER CONCEPCION</v>
          </cell>
          <cell r="P1239" t="str">
            <v>CONCEPCION</v>
          </cell>
          <cell r="Q1239" t="str">
            <v>TRADICIONAL</v>
          </cell>
          <cell r="R1239" t="str">
            <v>Supermercado - Sur</v>
          </cell>
          <cell r="S1239" t="str">
            <v>Lider</v>
          </cell>
          <cell r="T1239" t="str">
            <v>Paletas</v>
          </cell>
          <cell r="U1239">
            <v>1</v>
          </cell>
          <cell r="V1239" t="str">
            <v>0.93 * 1.43</v>
          </cell>
        </row>
        <row r="1240">
          <cell r="A1240" t="str">
            <v>LICO0005B</v>
          </cell>
          <cell r="B1240" t="str">
            <v>Supermercado</v>
          </cell>
          <cell r="D1240" t="str">
            <v>Paletas</v>
          </cell>
          <cell r="E1240" t="str">
            <v>Paleta</v>
          </cell>
          <cell r="F1240" t="str">
            <v>0.93 * 1.43</v>
          </cell>
          <cell r="G1240" t="str">
            <v>1.00 * 1.50</v>
          </cell>
          <cell r="H1240" t="str">
            <v>E</v>
          </cell>
          <cell r="I1240" t="str">
            <v>ESTACIONAMIENTOS</v>
          </cell>
          <cell r="J1240">
            <v>0</v>
          </cell>
          <cell r="K1240">
            <v>0</v>
          </cell>
          <cell r="L1240">
            <v>280000</v>
          </cell>
          <cell r="M1240" t="str">
            <v>LIDER CONCEPCION</v>
          </cell>
          <cell r="P1240" t="str">
            <v>CONCEPCION</v>
          </cell>
          <cell r="Q1240" t="str">
            <v>TRADICIONAL</v>
          </cell>
          <cell r="R1240" t="str">
            <v>Supermercado - Sur</v>
          </cell>
          <cell r="S1240" t="str">
            <v>Lider</v>
          </cell>
          <cell r="T1240" t="str">
            <v>Paletas</v>
          </cell>
          <cell r="U1240">
            <v>1</v>
          </cell>
          <cell r="V1240" t="str">
            <v>0.93 * 1.43</v>
          </cell>
        </row>
        <row r="1241">
          <cell r="A1241" t="str">
            <v>LICO0006A</v>
          </cell>
          <cell r="B1241" t="str">
            <v>Supermercado</v>
          </cell>
          <cell r="D1241" t="str">
            <v>Paletas</v>
          </cell>
          <cell r="E1241" t="str">
            <v>Paleta</v>
          </cell>
          <cell r="F1241" t="str">
            <v>0.93 * 1.43</v>
          </cell>
          <cell r="G1241" t="str">
            <v>1.00 * 1.50</v>
          </cell>
          <cell r="H1241" t="str">
            <v>V</v>
          </cell>
          <cell r="I1241" t="str">
            <v>ACCESO SALA DE V</v>
          </cell>
          <cell r="J1241">
            <v>0</v>
          </cell>
          <cell r="K1241">
            <v>0</v>
          </cell>
          <cell r="L1241">
            <v>280000</v>
          </cell>
          <cell r="M1241" t="str">
            <v>LIDER CONCEPCION</v>
          </cell>
          <cell r="P1241" t="str">
            <v>CONCEPCION</v>
          </cell>
          <cell r="Q1241" t="str">
            <v>TRADICIONAL</v>
          </cell>
          <cell r="R1241" t="str">
            <v>Supermercado - Sur</v>
          </cell>
          <cell r="S1241" t="str">
            <v>Lider</v>
          </cell>
          <cell r="T1241" t="str">
            <v>Paletas</v>
          </cell>
          <cell r="U1241">
            <v>1</v>
          </cell>
          <cell r="V1241" t="str">
            <v>0.93 * 1.43</v>
          </cell>
        </row>
        <row r="1242">
          <cell r="A1242" t="str">
            <v>LICO0007A</v>
          </cell>
          <cell r="B1242" t="str">
            <v>Supermercado</v>
          </cell>
          <cell r="D1242" t="str">
            <v>Paletas</v>
          </cell>
          <cell r="E1242" t="str">
            <v>Paleta</v>
          </cell>
          <cell r="F1242" t="str">
            <v>0.93 * 1.43</v>
          </cell>
          <cell r="G1242" t="str">
            <v>1.00 * 1.50</v>
          </cell>
          <cell r="H1242" t="str">
            <v>V</v>
          </cell>
          <cell r="I1242" t="str">
            <v>ACCESO SALA DE V</v>
          </cell>
          <cell r="J1242">
            <v>0</v>
          </cell>
          <cell r="K1242">
            <v>0</v>
          </cell>
          <cell r="L1242">
            <v>280000</v>
          </cell>
          <cell r="M1242" t="str">
            <v>LIDER CONCEPCION</v>
          </cell>
          <cell r="P1242" t="str">
            <v>CONCEPCION</v>
          </cell>
          <cell r="Q1242" t="str">
            <v>TRADICIONAL</v>
          </cell>
          <cell r="R1242" t="str">
            <v>Supermercado - Sur</v>
          </cell>
          <cell r="S1242" t="str">
            <v>Lider</v>
          </cell>
          <cell r="T1242" t="str">
            <v>Paletas</v>
          </cell>
          <cell r="U1242">
            <v>1</v>
          </cell>
          <cell r="V1242" t="str">
            <v>0.93 * 1.43</v>
          </cell>
        </row>
        <row r="1243">
          <cell r="A1243" t="str">
            <v>LICO0008A</v>
          </cell>
          <cell r="B1243" t="str">
            <v>Supermercado</v>
          </cell>
          <cell r="D1243" t="str">
            <v>Paletas</v>
          </cell>
          <cell r="E1243" t="str">
            <v>Paleta</v>
          </cell>
          <cell r="F1243" t="str">
            <v>0.93 * 1.43</v>
          </cell>
          <cell r="G1243" t="str">
            <v>1.00 * 1.50</v>
          </cell>
          <cell r="H1243" t="str">
            <v>V</v>
          </cell>
          <cell r="I1243" t="str">
            <v>ACCESO SALA DE V</v>
          </cell>
          <cell r="J1243">
            <v>0</v>
          </cell>
          <cell r="K1243">
            <v>0</v>
          </cell>
          <cell r="L1243">
            <v>280000</v>
          </cell>
          <cell r="M1243" t="str">
            <v>LIDER CONCEPCION</v>
          </cell>
          <cell r="P1243" t="str">
            <v>CONCEPCION</v>
          </cell>
          <cell r="Q1243" t="str">
            <v>TRADICIONAL</v>
          </cell>
          <cell r="R1243" t="str">
            <v>Supermercado - Sur</v>
          </cell>
          <cell r="S1243" t="str">
            <v>Lider</v>
          </cell>
          <cell r="T1243" t="str">
            <v>Paletas</v>
          </cell>
          <cell r="U1243">
            <v>1</v>
          </cell>
          <cell r="V1243" t="str">
            <v>0.93 * 1.43</v>
          </cell>
        </row>
        <row r="1244">
          <cell r="A1244" t="str">
            <v>LICO0009A</v>
          </cell>
          <cell r="B1244" t="str">
            <v>Supermercado</v>
          </cell>
          <cell r="D1244" t="str">
            <v>Paletas</v>
          </cell>
          <cell r="E1244" t="str">
            <v>Paleta</v>
          </cell>
          <cell r="F1244" t="str">
            <v>0.93 * 1.43</v>
          </cell>
          <cell r="G1244" t="str">
            <v>1.00 * 1.50</v>
          </cell>
          <cell r="H1244" t="str">
            <v>V</v>
          </cell>
          <cell r="I1244" t="str">
            <v>ACCESO SALA DE V</v>
          </cell>
          <cell r="J1244">
            <v>0</v>
          </cell>
          <cell r="K1244">
            <v>0</v>
          </cell>
          <cell r="L1244">
            <v>280000</v>
          </cell>
          <cell r="M1244" t="str">
            <v>LIDER CONCEPCION</v>
          </cell>
          <cell r="P1244" t="str">
            <v>CONCEPCION</v>
          </cell>
          <cell r="Q1244" t="str">
            <v>TRADICIONAL</v>
          </cell>
          <cell r="R1244" t="str">
            <v>Supermercado - Sur</v>
          </cell>
          <cell r="S1244" t="str">
            <v>Lider</v>
          </cell>
          <cell r="T1244" t="str">
            <v>Paletas</v>
          </cell>
          <cell r="U1244">
            <v>1</v>
          </cell>
          <cell r="V1244" t="str">
            <v>0.93 * 1.43</v>
          </cell>
        </row>
        <row r="1245">
          <cell r="A1245" t="str">
            <v>LICO0010A</v>
          </cell>
          <cell r="B1245" t="str">
            <v>Supermercado</v>
          </cell>
          <cell r="D1245" t="str">
            <v>Cajas de luz</v>
          </cell>
          <cell r="E1245" t="str">
            <v>Cajas de luz</v>
          </cell>
          <cell r="F1245" t="str">
            <v>3.92 x 1.92</v>
          </cell>
          <cell r="G1245" t="str">
            <v>4.20 * 2.20</v>
          </cell>
          <cell r="H1245" t="str">
            <v>V</v>
          </cell>
          <cell r="I1245" t="str">
            <v>ACCESO SALA DE V</v>
          </cell>
          <cell r="J1245">
            <v>0</v>
          </cell>
          <cell r="K1245">
            <v>0</v>
          </cell>
          <cell r="L1245">
            <v>520000</v>
          </cell>
          <cell r="M1245" t="str">
            <v>LIDER CONCEPCION</v>
          </cell>
          <cell r="P1245" t="str">
            <v>CONCEPCION</v>
          </cell>
          <cell r="Q1245" t="str">
            <v>TRADICIONAL</v>
          </cell>
          <cell r="R1245" t="str">
            <v>Supermercado - Sur</v>
          </cell>
          <cell r="S1245" t="str">
            <v>Lider</v>
          </cell>
          <cell r="T1245" t="str">
            <v>Cajas de luz</v>
          </cell>
          <cell r="U1245">
            <v>1</v>
          </cell>
          <cell r="V1245" t="str">
            <v>3.92 * 1.92</v>
          </cell>
        </row>
        <row r="1246">
          <cell r="A1246" t="str">
            <v>LICO0011A</v>
          </cell>
          <cell r="B1246" t="str">
            <v>Supermercado</v>
          </cell>
          <cell r="D1246" t="str">
            <v>Cajas de luz</v>
          </cell>
          <cell r="E1246" t="str">
            <v>Cajas de luz</v>
          </cell>
          <cell r="F1246" t="str">
            <v>3.92 x 1.92</v>
          </cell>
          <cell r="G1246" t="str">
            <v>4.20 * 2.20</v>
          </cell>
          <cell r="H1246" t="str">
            <v>V</v>
          </cell>
          <cell r="I1246" t="str">
            <v>ACCESO SALA DE V</v>
          </cell>
          <cell r="J1246">
            <v>0</v>
          </cell>
          <cell r="K1246">
            <v>0</v>
          </cell>
          <cell r="L1246">
            <v>520000</v>
          </cell>
          <cell r="M1246" t="str">
            <v>LIDER CONCEPCION</v>
          </cell>
          <cell r="P1246" t="str">
            <v>CONCEPCION</v>
          </cell>
          <cell r="Q1246" t="str">
            <v>TRADICIONAL</v>
          </cell>
          <cell r="R1246" t="str">
            <v>Supermercado - Sur</v>
          </cell>
          <cell r="S1246" t="str">
            <v>Lider</v>
          </cell>
          <cell r="T1246" t="str">
            <v>Cajas de luz</v>
          </cell>
          <cell r="U1246">
            <v>1</v>
          </cell>
          <cell r="V1246" t="str">
            <v>3.92 * 1.92</v>
          </cell>
        </row>
        <row r="1247">
          <cell r="A1247" t="str">
            <v>LICO0012A</v>
          </cell>
          <cell r="B1247" t="str">
            <v>Supermercado</v>
          </cell>
          <cell r="D1247" t="str">
            <v>Cajas de luz</v>
          </cell>
          <cell r="E1247" t="str">
            <v>Cajas de luz</v>
          </cell>
          <cell r="F1247" t="str">
            <v>3.92 x 1.92</v>
          </cell>
          <cell r="G1247" t="str">
            <v>4.20 x 2.20</v>
          </cell>
          <cell r="H1247" t="str">
            <v>V</v>
          </cell>
          <cell r="I1247" t="str">
            <v>ACCESO SALA DE V</v>
          </cell>
          <cell r="J1247">
            <v>0</v>
          </cell>
          <cell r="K1247">
            <v>0</v>
          </cell>
          <cell r="L1247">
            <v>480000</v>
          </cell>
          <cell r="M1247" t="str">
            <v>LIDER CONCEPCION</v>
          </cell>
          <cell r="P1247" t="str">
            <v>CONCEPCION</v>
          </cell>
          <cell r="Q1247" t="str">
            <v>TRADICIONAL</v>
          </cell>
          <cell r="R1247" t="str">
            <v>Supermercado - Sur</v>
          </cell>
          <cell r="S1247" t="str">
            <v>Lider</v>
          </cell>
          <cell r="T1247" t="str">
            <v>Cajas de luz</v>
          </cell>
          <cell r="U1247">
            <v>1</v>
          </cell>
          <cell r="V1247" t="str">
            <v>3.92 * 1.92</v>
          </cell>
        </row>
        <row r="1248">
          <cell r="A1248" t="str">
            <v>LICO0013A</v>
          </cell>
          <cell r="B1248" t="str">
            <v>Supermercado</v>
          </cell>
          <cell r="D1248" t="str">
            <v>Monumentales</v>
          </cell>
          <cell r="E1248" t="str">
            <v>Monumentales</v>
          </cell>
          <cell r="F1248" t="str">
            <v>12.00 x 4.00</v>
          </cell>
          <cell r="G1248" t="str">
            <v>12.30 * 4.30</v>
          </cell>
          <cell r="H1248" t="str">
            <v>E</v>
          </cell>
          <cell r="I1248" t="str">
            <v>ESTACIONAMIENTOS</v>
          </cell>
          <cell r="J1248">
            <v>0</v>
          </cell>
          <cell r="K1248">
            <v>0</v>
          </cell>
          <cell r="L1248">
            <v>680000</v>
          </cell>
          <cell r="M1248" t="str">
            <v>LIDER CONCEPCION</v>
          </cell>
          <cell r="P1248" t="str">
            <v>CONCEPCION</v>
          </cell>
          <cell r="Q1248" t="str">
            <v>TRADICIONAL</v>
          </cell>
          <cell r="R1248" t="str">
            <v>Supermercado - Sur</v>
          </cell>
          <cell r="S1248" t="str">
            <v>Lider</v>
          </cell>
          <cell r="T1248" t="str">
            <v>Monumentales</v>
          </cell>
          <cell r="U1248">
            <v>1</v>
          </cell>
          <cell r="V1248" t="str">
            <v>12.00 * 4.00</v>
          </cell>
        </row>
        <row r="1249">
          <cell r="A1249" t="str">
            <v>LICO0014A</v>
          </cell>
          <cell r="B1249" t="str">
            <v>Supermercado</v>
          </cell>
          <cell r="D1249" t="str">
            <v>Monumentales</v>
          </cell>
          <cell r="E1249" t="str">
            <v>Monumentales</v>
          </cell>
          <cell r="F1249" t="str">
            <v>12.00 x 4.00</v>
          </cell>
          <cell r="G1249" t="str">
            <v>12.30 * 4.30</v>
          </cell>
          <cell r="H1249" t="str">
            <v>E</v>
          </cell>
          <cell r="I1249" t="str">
            <v>ESTACIONAMIENTOS</v>
          </cell>
          <cell r="J1249">
            <v>0</v>
          </cell>
          <cell r="K1249">
            <v>0</v>
          </cell>
          <cell r="L1249">
            <v>680000</v>
          </cell>
          <cell r="M1249" t="str">
            <v>LIDER CONCEPCION</v>
          </cell>
          <cell r="P1249" t="str">
            <v>CONCEPCION</v>
          </cell>
          <cell r="Q1249" t="str">
            <v>TRADICIONAL</v>
          </cell>
          <cell r="R1249" t="str">
            <v>Supermercado - Sur</v>
          </cell>
          <cell r="S1249" t="str">
            <v>Lider</v>
          </cell>
          <cell r="T1249" t="str">
            <v>Monumentales</v>
          </cell>
          <cell r="U1249">
            <v>1</v>
          </cell>
          <cell r="V1249" t="str">
            <v>12.00 * 4.00</v>
          </cell>
        </row>
        <row r="1250">
          <cell r="A1250" t="str">
            <v>LICO0017A</v>
          </cell>
          <cell r="B1250" t="str">
            <v>Supermercado</v>
          </cell>
          <cell r="D1250" t="str">
            <v>Paletas</v>
          </cell>
          <cell r="E1250" t="str">
            <v>PARADERO</v>
          </cell>
          <cell r="F1250" t="str">
            <v>1.05 x 1.50</v>
          </cell>
          <cell r="G1250" t="str">
            <v>1.15 * 1.57</v>
          </cell>
          <cell r="H1250" t="str">
            <v>E</v>
          </cell>
          <cell r="I1250" t="str">
            <v>ESTACIONAMIENTOS</v>
          </cell>
          <cell r="J1250">
            <v>0</v>
          </cell>
          <cell r="K1250">
            <v>0</v>
          </cell>
          <cell r="L1250">
            <v>280000</v>
          </cell>
          <cell r="M1250" t="str">
            <v>LIDER CONCEPCION</v>
          </cell>
          <cell r="P1250" t="str">
            <v>CONCEPCION</v>
          </cell>
          <cell r="Q1250" t="str">
            <v>TRADICIONAL</v>
          </cell>
          <cell r="R1250" t="str">
            <v>Supermercado - Sur</v>
          </cell>
          <cell r="S1250" t="str">
            <v>Lider</v>
          </cell>
          <cell r="T1250" t="str">
            <v>Paletas</v>
          </cell>
          <cell r="U1250">
            <v>1</v>
          </cell>
          <cell r="V1250" t="str">
            <v>1.05 * 1.50</v>
          </cell>
        </row>
        <row r="1251">
          <cell r="A1251" t="str">
            <v>LICO0017B</v>
          </cell>
          <cell r="B1251" t="str">
            <v>Supermercado</v>
          </cell>
          <cell r="D1251" t="str">
            <v>Paletas</v>
          </cell>
          <cell r="E1251" t="str">
            <v>PARADERO</v>
          </cell>
          <cell r="F1251" t="str">
            <v>1.05 x 1.50</v>
          </cell>
          <cell r="G1251" t="str">
            <v>1.15 * 1.57</v>
          </cell>
          <cell r="H1251" t="str">
            <v>E</v>
          </cell>
          <cell r="I1251" t="str">
            <v>ESTACIONAMIENTOS</v>
          </cell>
          <cell r="J1251">
            <v>0</v>
          </cell>
          <cell r="K1251">
            <v>0</v>
          </cell>
          <cell r="L1251">
            <v>280000</v>
          </cell>
          <cell r="M1251" t="str">
            <v>LIDER CONCEPCION</v>
          </cell>
          <cell r="P1251" t="str">
            <v>CONCEPCION</v>
          </cell>
          <cell r="Q1251" t="str">
            <v>TRADICIONAL</v>
          </cell>
          <cell r="R1251" t="str">
            <v>Supermercado - Sur</v>
          </cell>
          <cell r="S1251" t="str">
            <v>Lider</v>
          </cell>
          <cell r="T1251" t="str">
            <v>Paletas</v>
          </cell>
          <cell r="U1251">
            <v>1</v>
          </cell>
          <cell r="V1251" t="str">
            <v>1.05 * 1.50</v>
          </cell>
        </row>
        <row r="1252">
          <cell r="A1252" t="str">
            <v>LICO0018A</v>
          </cell>
          <cell r="B1252" t="str">
            <v>Supermercado</v>
          </cell>
          <cell r="D1252" t="str">
            <v>Paletas</v>
          </cell>
          <cell r="E1252" t="str">
            <v>PARADERO</v>
          </cell>
          <cell r="F1252" t="str">
            <v>1.05 x 1.50</v>
          </cell>
          <cell r="G1252" t="str">
            <v>1.15 * 1.57</v>
          </cell>
          <cell r="H1252" t="str">
            <v>E</v>
          </cell>
          <cell r="I1252" t="str">
            <v>ESTACIONAMIENTOS</v>
          </cell>
          <cell r="J1252">
            <v>0</v>
          </cell>
          <cell r="K1252">
            <v>0</v>
          </cell>
          <cell r="L1252">
            <v>280000</v>
          </cell>
          <cell r="M1252" t="str">
            <v>LIDER CONCEPCION</v>
          </cell>
          <cell r="P1252" t="str">
            <v>CONCEPCION</v>
          </cell>
          <cell r="Q1252" t="str">
            <v>TRADICIONAL</v>
          </cell>
          <cell r="R1252" t="str">
            <v>Supermercado - Sur</v>
          </cell>
          <cell r="S1252" t="str">
            <v>Lider</v>
          </cell>
          <cell r="T1252" t="str">
            <v>Paletas</v>
          </cell>
          <cell r="U1252">
            <v>1</v>
          </cell>
          <cell r="V1252" t="str">
            <v>1.05 * 1.50</v>
          </cell>
        </row>
        <row r="1253">
          <cell r="A1253" t="str">
            <v>LICO0018B</v>
          </cell>
          <cell r="B1253" t="str">
            <v>Supermercado</v>
          </cell>
          <cell r="D1253" t="str">
            <v>Paletas</v>
          </cell>
          <cell r="E1253" t="str">
            <v>PARADERO</v>
          </cell>
          <cell r="F1253" t="str">
            <v>1.05 x 1.50</v>
          </cell>
          <cell r="G1253" t="str">
            <v>1.15 * 1.57</v>
          </cell>
          <cell r="H1253" t="str">
            <v>E</v>
          </cell>
          <cell r="I1253" t="str">
            <v>ESTACIONAMIENTOS</v>
          </cell>
          <cell r="J1253">
            <v>0</v>
          </cell>
          <cell r="K1253">
            <v>0</v>
          </cell>
          <cell r="L1253">
            <v>280000</v>
          </cell>
          <cell r="M1253" t="str">
            <v>LIDER CONCEPCION</v>
          </cell>
          <cell r="P1253" t="str">
            <v>CONCEPCION</v>
          </cell>
          <cell r="Q1253" t="str">
            <v>TRADICIONAL</v>
          </cell>
          <cell r="R1253" t="str">
            <v>Supermercado - Sur</v>
          </cell>
          <cell r="S1253" t="str">
            <v>Lider</v>
          </cell>
          <cell r="T1253" t="str">
            <v>Paletas</v>
          </cell>
          <cell r="U1253">
            <v>1</v>
          </cell>
          <cell r="V1253" t="str">
            <v>1.05 * 1.50</v>
          </cell>
        </row>
        <row r="1254">
          <cell r="A1254" t="str">
            <v>LIDE0001A</v>
          </cell>
          <cell r="B1254" t="str">
            <v>Supermercado</v>
          </cell>
          <cell r="D1254" t="str">
            <v>Paletas</v>
          </cell>
          <cell r="E1254" t="str">
            <v>Paletas</v>
          </cell>
          <cell r="F1254" t="str">
            <v>1.10 x 1.53</v>
          </cell>
          <cell r="G1254" t="str">
            <v>1.15 x 1.57</v>
          </cell>
          <cell r="H1254" t="str">
            <v>E</v>
          </cell>
          <cell r="I1254" t="str">
            <v>ESTACIONAMIENTOS</v>
          </cell>
          <cell r="J1254">
            <v>0</v>
          </cell>
          <cell r="K1254">
            <v>0</v>
          </cell>
          <cell r="L1254">
            <v>320000</v>
          </cell>
          <cell r="M1254" t="str">
            <v>LIDER DEPARTAMENTAL</v>
          </cell>
          <cell r="P1254" t="str">
            <v>LA FLORIDA</v>
          </cell>
          <cell r="Q1254" t="str">
            <v>TRADICIONAL</v>
          </cell>
          <cell r="R1254" t="str">
            <v>Supermercado - Santiago</v>
          </cell>
          <cell r="S1254" t="str">
            <v>Lider</v>
          </cell>
          <cell r="T1254" t="str">
            <v>Paletas</v>
          </cell>
          <cell r="U1254">
            <v>1</v>
          </cell>
          <cell r="V1254" t="str">
            <v>1.10 * 1.53</v>
          </cell>
        </row>
        <row r="1255">
          <cell r="A1255" t="str">
            <v>LIDE0001B</v>
          </cell>
          <cell r="B1255" t="str">
            <v>Supermercado</v>
          </cell>
          <cell r="D1255" t="str">
            <v>Paletas</v>
          </cell>
          <cell r="E1255" t="str">
            <v>Paletas</v>
          </cell>
          <cell r="F1255" t="str">
            <v>1.10 x 1.53</v>
          </cell>
          <cell r="G1255" t="str">
            <v>1.15 x 1.57</v>
          </cell>
          <cell r="H1255" t="str">
            <v>E</v>
          </cell>
          <cell r="I1255" t="str">
            <v>ESTACIONAMIENTOS</v>
          </cell>
          <cell r="J1255">
            <v>0</v>
          </cell>
          <cell r="K1255">
            <v>0</v>
          </cell>
          <cell r="L1255">
            <v>320000</v>
          </cell>
          <cell r="M1255" t="str">
            <v>LIDER DEPARTAMENTAL</v>
          </cell>
          <cell r="P1255" t="str">
            <v>LA FLORIDA</v>
          </cell>
          <cell r="Q1255" t="str">
            <v>TRADICIONAL</v>
          </cell>
          <cell r="R1255" t="str">
            <v>Supermercado - Santiago</v>
          </cell>
          <cell r="S1255" t="str">
            <v>Lider</v>
          </cell>
          <cell r="T1255" t="str">
            <v>Paletas</v>
          </cell>
          <cell r="U1255">
            <v>1</v>
          </cell>
          <cell r="V1255" t="str">
            <v>1.10 * 1.53</v>
          </cell>
        </row>
        <row r="1256">
          <cell r="A1256" t="str">
            <v>LIDE0003A</v>
          </cell>
          <cell r="B1256" t="str">
            <v>Supermercado</v>
          </cell>
          <cell r="D1256" t="str">
            <v>Paletas</v>
          </cell>
          <cell r="E1256" t="str">
            <v>Paletas</v>
          </cell>
          <cell r="F1256" t="str">
            <v>1.10 x 1.53</v>
          </cell>
          <cell r="G1256" t="str">
            <v>1.15 x 1.57</v>
          </cell>
          <cell r="H1256" t="str">
            <v>E</v>
          </cell>
          <cell r="I1256" t="str">
            <v>ESTACIONAMIENTOS</v>
          </cell>
          <cell r="J1256">
            <v>0</v>
          </cell>
          <cell r="K1256">
            <v>0</v>
          </cell>
          <cell r="L1256">
            <v>320000</v>
          </cell>
          <cell r="M1256" t="str">
            <v>LIDER DEPARTAMENTAL</v>
          </cell>
          <cell r="P1256" t="str">
            <v>LA FLORIDA</v>
          </cell>
          <cell r="Q1256" t="str">
            <v>TRADICIONAL</v>
          </cell>
          <cell r="R1256" t="str">
            <v>Supermercado - Santiago</v>
          </cell>
          <cell r="S1256" t="str">
            <v>Lider</v>
          </cell>
          <cell r="T1256" t="str">
            <v>Paletas</v>
          </cell>
          <cell r="U1256">
            <v>1</v>
          </cell>
          <cell r="V1256" t="str">
            <v>1.10 x 1.53</v>
          </cell>
        </row>
        <row r="1257">
          <cell r="A1257" t="str">
            <v>LIDE0003B</v>
          </cell>
          <cell r="B1257" t="str">
            <v>Supermercado</v>
          </cell>
          <cell r="D1257" t="str">
            <v>Paletas</v>
          </cell>
          <cell r="E1257" t="str">
            <v>Paletas</v>
          </cell>
          <cell r="F1257" t="str">
            <v>1.10 x 1.53</v>
          </cell>
          <cell r="G1257" t="str">
            <v>1.15 x 1.57</v>
          </cell>
          <cell r="H1257" t="str">
            <v>E</v>
          </cell>
          <cell r="I1257" t="str">
            <v>ESTACIONAMIENTOS</v>
          </cell>
          <cell r="J1257">
            <v>0</v>
          </cell>
          <cell r="K1257">
            <v>0</v>
          </cell>
          <cell r="L1257">
            <v>280000</v>
          </cell>
          <cell r="M1257" t="str">
            <v>LIDER DEPARTAMENTAL</v>
          </cell>
          <cell r="P1257" t="str">
            <v>LA FLORIDA</v>
          </cell>
          <cell r="Q1257" t="str">
            <v>TRADICIONAL</v>
          </cell>
          <cell r="R1257" t="str">
            <v>Supermercado - Santiago</v>
          </cell>
          <cell r="S1257" t="str">
            <v>Lider</v>
          </cell>
          <cell r="T1257" t="str">
            <v>Paletas</v>
          </cell>
          <cell r="U1257">
            <v>1</v>
          </cell>
          <cell r="V1257" t="str">
            <v>1.10 x 1.53</v>
          </cell>
        </row>
        <row r="1258">
          <cell r="A1258" t="str">
            <v>LIDE0008A</v>
          </cell>
          <cell r="B1258" t="str">
            <v>Supermercado</v>
          </cell>
          <cell r="D1258" t="str">
            <v>Cajas de luz</v>
          </cell>
          <cell r="E1258" t="str">
            <v>Cajas de luz</v>
          </cell>
          <cell r="F1258" t="str">
            <v>3.92 x 1.92</v>
          </cell>
          <cell r="G1258" t="str">
            <v>4.20 * 2.20</v>
          </cell>
          <cell r="H1258" t="str">
            <v>V</v>
          </cell>
          <cell r="I1258" t="str">
            <v>ACCESO SALA DE V</v>
          </cell>
          <cell r="J1258">
            <v>0</v>
          </cell>
          <cell r="K1258">
            <v>0</v>
          </cell>
          <cell r="L1258">
            <v>520000</v>
          </cell>
          <cell r="M1258" t="str">
            <v>LIDER DEPARTAMENTAL</v>
          </cell>
          <cell r="P1258" t="str">
            <v>LA FLORIDA</v>
          </cell>
          <cell r="Q1258" t="str">
            <v>TRADICIONAL</v>
          </cell>
          <cell r="R1258" t="str">
            <v>Supermercado - Santiago</v>
          </cell>
          <cell r="S1258" t="str">
            <v>Lider</v>
          </cell>
          <cell r="T1258" t="str">
            <v>Cajas de luz</v>
          </cell>
          <cell r="U1258">
            <v>1</v>
          </cell>
          <cell r="V1258" t="str">
            <v>3.92 * 1.92</v>
          </cell>
        </row>
        <row r="1259">
          <cell r="A1259" t="str">
            <v>LIDE0009A</v>
          </cell>
          <cell r="B1259" t="str">
            <v>Supermercado</v>
          </cell>
          <cell r="D1259" t="str">
            <v>Cajas de luz</v>
          </cell>
          <cell r="E1259" t="str">
            <v>Cajas de luz</v>
          </cell>
          <cell r="F1259" t="str">
            <v>3.92 x 1.92</v>
          </cell>
          <cell r="G1259" t="str">
            <v>4.20 * 2.20</v>
          </cell>
          <cell r="H1259" t="str">
            <v>V</v>
          </cell>
          <cell r="I1259" t="str">
            <v>ACCESO SALA DE V</v>
          </cell>
          <cell r="J1259">
            <v>0</v>
          </cell>
          <cell r="K1259">
            <v>0</v>
          </cell>
          <cell r="L1259">
            <v>520000</v>
          </cell>
          <cell r="M1259" t="str">
            <v>LIDER DEPARTAMENTAL</v>
          </cell>
          <cell r="P1259" t="str">
            <v>LA FLORIDA</v>
          </cell>
          <cell r="Q1259" t="str">
            <v>TRADICIONAL</v>
          </cell>
          <cell r="R1259" t="str">
            <v>Supermercado - Santiago</v>
          </cell>
          <cell r="S1259" t="str">
            <v>Lider</v>
          </cell>
          <cell r="T1259" t="str">
            <v>Cajas de luz</v>
          </cell>
          <cell r="U1259">
            <v>1</v>
          </cell>
          <cell r="V1259" t="str">
            <v>3.92 * 1.92</v>
          </cell>
        </row>
        <row r="1260">
          <cell r="A1260" t="str">
            <v>LIDE0010A</v>
          </cell>
          <cell r="B1260" t="str">
            <v>Supermercado</v>
          </cell>
          <cell r="D1260" t="str">
            <v>Minipoles</v>
          </cell>
          <cell r="E1260" t="str">
            <v>Minipoles</v>
          </cell>
          <cell r="F1260" t="str">
            <v>3.40 * 2.00</v>
          </cell>
          <cell r="G1260" t="str">
            <v>3.60 * 2.20</v>
          </cell>
          <cell r="H1260" t="str">
            <v>E</v>
          </cell>
          <cell r="I1260" t="str">
            <v>ESTACIONAMIENTOS</v>
          </cell>
          <cell r="J1260">
            <v>0</v>
          </cell>
          <cell r="K1260">
            <v>0</v>
          </cell>
          <cell r="L1260">
            <v>450000</v>
          </cell>
          <cell r="M1260" t="str">
            <v>LIDER DEPARTAMENTAL</v>
          </cell>
          <cell r="P1260" t="str">
            <v>LA FLORIDA</v>
          </cell>
          <cell r="Q1260" t="str">
            <v>TRADICIONAL</v>
          </cell>
          <cell r="R1260" t="str">
            <v>Supermercado - Santiago</v>
          </cell>
          <cell r="S1260" t="str">
            <v>Lider</v>
          </cell>
          <cell r="T1260" t="str">
            <v>Minipoles</v>
          </cell>
          <cell r="U1260">
            <v>1</v>
          </cell>
          <cell r="V1260" t="str">
            <v>3.40 * 2.00</v>
          </cell>
        </row>
        <row r="1261">
          <cell r="A1261" t="str">
            <v>LIDE0013A</v>
          </cell>
          <cell r="B1261" t="str">
            <v>Supermercado</v>
          </cell>
          <cell r="D1261" t="str">
            <v>P.E.: LOTES CARROS SUPERMERCADOS</v>
          </cell>
          <cell r="E1261" t="str">
            <v>LOTES CARROS SUPERMERCADOS</v>
          </cell>
          <cell r="I1261" t="str">
            <v>INTERIORES</v>
          </cell>
          <cell r="J1261">
            <v>480000</v>
          </cell>
          <cell r="K1261">
            <v>0</v>
          </cell>
          <cell r="L1261">
            <v>1200000</v>
          </cell>
          <cell r="M1261" t="str">
            <v>LIDER DEPARTAMENTAL</v>
          </cell>
          <cell r="P1261" t="str">
            <v>LA FLORIDA</v>
          </cell>
          <cell r="Q1261" t="str">
            <v>ESPECIAL</v>
          </cell>
          <cell r="R1261" t="str">
            <v>Supermercado - Santiago</v>
          </cell>
          <cell r="S1261" t="str">
            <v>Lider</v>
          </cell>
          <cell r="T1261" t="str">
            <v>Productos Especiales</v>
          </cell>
          <cell r="U1261">
            <v>1</v>
          </cell>
        </row>
        <row r="1262">
          <cell r="A1262" t="str">
            <v>LIDO0001A</v>
          </cell>
          <cell r="B1262" t="str">
            <v>Supermercado</v>
          </cell>
          <cell r="D1262" t="str">
            <v>Paletas</v>
          </cell>
          <cell r="E1262" t="str">
            <v>Paletas</v>
          </cell>
          <cell r="F1262" t="str">
            <v>1.10 * 1.53</v>
          </cell>
          <cell r="G1262" t="str">
            <v>1.15 * 1.57</v>
          </cell>
          <cell r="H1262" t="str">
            <v>E</v>
          </cell>
          <cell r="I1262" t="str">
            <v>ESTACIONAMIENTOS</v>
          </cell>
          <cell r="J1262">
            <v>0</v>
          </cell>
          <cell r="K1262">
            <v>0</v>
          </cell>
          <cell r="L1262">
            <v>320000</v>
          </cell>
          <cell r="M1262" t="str">
            <v>LIDER LOS DOMINICOS</v>
          </cell>
          <cell r="P1262" t="str">
            <v>LAS CONDES</v>
          </cell>
          <cell r="Q1262" t="str">
            <v>TRADICIONAL</v>
          </cell>
          <cell r="R1262" t="str">
            <v>Supermercado - Santiago</v>
          </cell>
          <cell r="S1262" t="str">
            <v>Lider</v>
          </cell>
          <cell r="T1262" t="str">
            <v>Paletas</v>
          </cell>
          <cell r="U1262">
            <v>1</v>
          </cell>
          <cell r="V1262" t="str">
            <v>1.10 * 1.53</v>
          </cell>
        </row>
        <row r="1263">
          <cell r="A1263" t="str">
            <v>LIDO0001B</v>
          </cell>
          <cell r="B1263" t="str">
            <v>Supermercado</v>
          </cell>
          <cell r="D1263" t="str">
            <v>Paletas</v>
          </cell>
          <cell r="E1263" t="str">
            <v>Paletas</v>
          </cell>
          <cell r="F1263" t="str">
            <v>1.10 * 1.53</v>
          </cell>
          <cell r="G1263" t="str">
            <v>1.15 * 1.57</v>
          </cell>
          <cell r="H1263" t="str">
            <v>E</v>
          </cell>
          <cell r="I1263" t="str">
            <v>ESTACIONAMIENTOS</v>
          </cell>
          <cell r="J1263">
            <v>0</v>
          </cell>
          <cell r="K1263">
            <v>0</v>
          </cell>
          <cell r="L1263">
            <v>320000</v>
          </cell>
          <cell r="M1263" t="str">
            <v>LIDER LOS DOMINICOS</v>
          </cell>
          <cell r="P1263" t="str">
            <v>LAS CONDES</v>
          </cell>
          <cell r="Q1263" t="str">
            <v>TRADICIONAL</v>
          </cell>
          <cell r="R1263" t="str">
            <v>Supermercado - Santiago</v>
          </cell>
          <cell r="S1263" t="str">
            <v>Lider</v>
          </cell>
          <cell r="T1263" t="str">
            <v>Paletas</v>
          </cell>
          <cell r="U1263">
            <v>1</v>
          </cell>
          <cell r="V1263" t="str">
            <v>1.10 * 1.53</v>
          </cell>
        </row>
        <row r="1264">
          <cell r="A1264" t="str">
            <v>LIDO0002A</v>
          </cell>
          <cell r="B1264" t="str">
            <v>Supermercado</v>
          </cell>
          <cell r="D1264" t="str">
            <v>Paletas</v>
          </cell>
          <cell r="E1264" t="str">
            <v>Paletas</v>
          </cell>
          <cell r="F1264" t="str">
            <v>1.10 * 1.53</v>
          </cell>
          <cell r="G1264" t="str">
            <v>1.15 * 1.57</v>
          </cell>
          <cell r="H1264" t="str">
            <v>E</v>
          </cell>
          <cell r="I1264" t="str">
            <v>ESTACIONAMIENTOS</v>
          </cell>
          <cell r="J1264">
            <v>0</v>
          </cell>
          <cell r="K1264">
            <v>0</v>
          </cell>
          <cell r="L1264">
            <v>320000</v>
          </cell>
          <cell r="M1264" t="str">
            <v>LIDER LOS DOMINICOS</v>
          </cell>
          <cell r="P1264" t="str">
            <v>LAS CONDES</v>
          </cell>
          <cell r="Q1264" t="str">
            <v>TRADICIONAL</v>
          </cell>
          <cell r="R1264" t="str">
            <v>Supermercado - Santiago</v>
          </cell>
          <cell r="S1264" t="str">
            <v>Lider</v>
          </cell>
          <cell r="T1264" t="str">
            <v>Paletas</v>
          </cell>
          <cell r="U1264">
            <v>1</v>
          </cell>
          <cell r="V1264" t="str">
            <v>1.10 * 1.53</v>
          </cell>
        </row>
        <row r="1265">
          <cell r="A1265" t="str">
            <v>LIDO0002B</v>
          </cell>
          <cell r="B1265" t="str">
            <v>Supermercado</v>
          </cell>
          <cell r="D1265" t="str">
            <v>Paletas</v>
          </cell>
          <cell r="E1265" t="str">
            <v>Paletas</v>
          </cell>
          <cell r="F1265" t="str">
            <v>1.10 * 1.53</v>
          </cell>
          <cell r="G1265" t="str">
            <v>1.15 * 1.57</v>
          </cell>
          <cell r="H1265" t="str">
            <v>E</v>
          </cell>
          <cell r="I1265" t="str">
            <v>ESTACIONAMIENTOS</v>
          </cell>
          <cell r="J1265">
            <v>0</v>
          </cell>
          <cell r="K1265">
            <v>0</v>
          </cell>
          <cell r="L1265">
            <v>320000</v>
          </cell>
          <cell r="M1265" t="str">
            <v>LIDER LOS DOMINICOS</v>
          </cell>
          <cell r="P1265" t="str">
            <v>LAS CONDES</v>
          </cell>
          <cell r="Q1265" t="str">
            <v>TRADICIONAL</v>
          </cell>
          <cell r="R1265" t="str">
            <v>Supermercado - Santiago</v>
          </cell>
          <cell r="S1265" t="str">
            <v>Lider</v>
          </cell>
          <cell r="T1265" t="str">
            <v>Paletas</v>
          </cell>
          <cell r="U1265">
            <v>1</v>
          </cell>
          <cell r="V1265" t="str">
            <v>1.10 * 1.53</v>
          </cell>
        </row>
        <row r="1266">
          <cell r="A1266" t="str">
            <v>LIDO0003A</v>
          </cell>
          <cell r="B1266" t="str">
            <v>Supermercado</v>
          </cell>
          <cell r="D1266" t="str">
            <v>Paletas</v>
          </cell>
          <cell r="E1266" t="str">
            <v>Paletas</v>
          </cell>
          <cell r="F1266" t="str">
            <v>1.10 * 1.53</v>
          </cell>
          <cell r="G1266" t="str">
            <v>1.15 * 1.57</v>
          </cell>
          <cell r="H1266" t="str">
            <v>E</v>
          </cell>
          <cell r="I1266" t="str">
            <v>ESTACIONAMIENTOS</v>
          </cell>
          <cell r="J1266">
            <v>0</v>
          </cell>
          <cell r="K1266">
            <v>0</v>
          </cell>
          <cell r="L1266">
            <v>320000</v>
          </cell>
          <cell r="M1266" t="str">
            <v>LIDER LOS DOMINICOS</v>
          </cell>
          <cell r="P1266" t="str">
            <v>LAS CONDES</v>
          </cell>
          <cell r="Q1266" t="str">
            <v>TRADICIONAL</v>
          </cell>
          <cell r="R1266" t="str">
            <v>Supermercado - Santiago</v>
          </cell>
          <cell r="S1266" t="str">
            <v>Lider</v>
          </cell>
          <cell r="T1266" t="str">
            <v>Paletas</v>
          </cell>
          <cell r="U1266">
            <v>1</v>
          </cell>
          <cell r="V1266" t="str">
            <v>1.10 * 1.53</v>
          </cell>
        </row>
        <row r="1267">
          <cell r="A1267" t="str">
            <v>LIDO0003B</v>
          </cell>
          <cell r="B1267" t="str">
            <v>Supermercado</v>
          </cell>
          <cell r="D1267" t="str">
            <v>Paletas</v>
          </cell>
          <cell r="E1267" t="str">
            <v>Paletas</v>
          </cell>
          <cell r="F1267" t="str">
            <v>1.10 * 1.53</v>
          </cell>
          <cell r="G1267" t="str">
            <v>1.15 * 1.57</v>
          </cell>
          <cell r="H1267" t="str">
            <v>E</v>
          </cell>
          <cell r="I1267" t="str">
            <v>ESTACIONAMIENTOS</v>
          </cell>
          <cell r="J1267">
            <v>0</v>
          </cell>
          <cell r="K1267">
            <v>0</v>
          </cell>
          <cell r="L1267">
            <v>320000</v>
          </cell>
          <cell r="M1267" t="str">
            <v>LIDER LOS DOMINICOS</v>
          </cell>
          <cell r="P1267" t="str">
            <v>LAS CONDES</v>
          </cell>
          <cell r="Q1267" t="str">
            <v>TRADICIONAL</v>
          </cell>
          <cell r="R1267" t="str">
            <v>Supermercado - Santiago</v>
          </cell>
          <cell r="S1267" t="str">
            <v>Lider</v>
          </cell>
          <cell r="T1267" t="str">
            <v>Paletas</v>
          </cell>
          <cell r="U1267">
            <v>1</v>
          </cell>
          <cell r="V1267" t="str">
            <v>1.10 * 1.53</v>
          </cell>
        </row>
        <row r="1268">
          <cell r="A1268" t="str">
            <v>LIDO0004B</v>
          </cell>
          <cell r="B1268" t="str">
            <v>Supermercado</v>
          </cell>
          <cell r="D1268" t="str">
            <v>Paletas</v>
          </cell>
          <cell r="E1268" t="str">
            <v>Paletas</v>
          </cell>
          <cell r="F1268" t="str">
            <v>1.10 * 1.53</v>
          </cell>
          <cell r="G1268" t="str">
            <v>1.15 * 1.57</v>
          </cell>
          <cell r="H1268" t="str">
            <v>E</v>
          </cell>
          <cell r="I1268" t="str">
            <v>ESTACIONAMIENTOS</v>
          </cell>
          <cell r="J1268">
            <v>0</v>
          </cell>
          <cell r="K1268">
            <v>0</v>
          </cell>
          <cell r="L1268">
            <v>320000</v>
          </cell>
          <cell r="M1268" t="str">
            <v>LIDER LOS DOMINICOS</v>
          </cell>
          <cell r="P1268" t="str">
            <v>LAS CONDES</v>
          </cell>
          <cell r="Q1268" t="str">
            <v>TRADICIONAL</v>
          </cell>
          <cell r="R1268" t="str">
            <v>Supermercado - Santiago</v>
          </cell>
          <cell r="S1268" t="str">
            <v>Lider</v>
          </cell>
          <cell r="T1268" t="str">
            <v>Paletas</v>
          </cell>
          <cell r="U1268">
            <v>1</v>
          </cell>
          <cell r="V1268" t="str">
            <v>1.10 * 1.53</v>
          </cell>
        </row>
        <row r="1269">
          <cell r="A1269" t="str">
            <v>LIDO0005A</v>
          </cell>
          <cell r="B1269" t="str">
            <v>Supermercado</v>
          </cell>
          <cell r="D1269" t="str">
            <v>Cajas de luz</v>
          </cell>
          <cell r="E1269" t="str">
            <v>Cajas de luz</v>
          </cell>
          <cell r="F1269" t="str">
            <v>3.92 * 1.92</v>
          </cell>
          <cell r="G1269" t="str">
            <v>4.20 * 2.20</v>
          </cell>
          <cell r="H1269" t="str">
            <v>X</v>
          </cell>
          <cell r="I1269" t="str">
            <v>EXTERIORES</v>
          </cell>
          <cell r="J1269">
            <v>0</v>
          </cell>
          <cell r="K1269">
            <v>0</v>
          </cell>
          <cell r="L1269">
            <v>520000</v>
          </cell>
          <cell r="M1269" t="str">
            <v>LIDER LOS DOMINICOS</v>
          </cell>
          <cell r="P1269" t="str">
            <v>LAS CONDES</v>
          </cell>
          <cell r="Q1269" t="str">
            <v>TRADICIONAL</v>
          </cell>
          <cell r="R1269" t="str">
            <v>Supermercado - Santiago</v>
          </cell>
          <cell r="S1269" t="str">
            <v>Lider</v>
          </cell>
          <cell r="T1269" t="str">
            <v>Cajas de luz</v>
          </cell>
          <cell r="U1269">
            <v>1</v>
          </cell>
          <cell r="V1269" t="str">
            <v>3.92 * 1.92</v>
          </cell>
        </row>
        <row r="1270">
          <cell r="A1270" t="str">
            <v>LIDO0007A</v>
          </cell>
          <cell r="B1270" t="str">
            <v>Supermercado</v>
          </cell>
          <cell r="D1270" t="str">
            <v>Cajas de luz</v>
          </cell>
          <cell r="E1270" t="str">
            <v>Cajas de luz</v>
          </cell>
          <cell r="F1270" t="str">
            <v>3.92 * 1.92</v>
          </cell>
          <cell r="G1270" t="str">
            <v>4.20 * 2.20</v>
          </cell>
          <cell r="H1270" t="str">
            <v>X</v>
          </cell>
          <cell r="I1270" t="str">
            <v>EXTERIORES</v>
          </cell>
          <cell r="J1270">
            <v>0</v>
          </cell>
          <cell r="K1270">
            <v>0</v>
          </cell>
          <cell r="L1270">
            <v>520000</v>
          </cell>
          <cell r="M1270" t="str">
            <v>LIDER LOS DOMINICOS</v>
          </cell>
          <cell r="P1270" t="str">
            <v>LAS CONDES</v>
          </cell>
          <cell r="Q1270" t="str">
            <v>TRADICIONAL</v>
          </cell>
          <cell r="R1270" t="str">
            <v>Supermercado - Santiago</v>
          </cell>
          <cell r="S1270" t="str">
            <v>Lider</v>
          </cell>
          <cell r="T1270" t="str">
            <v>Cajas de luz</v>
          </cell>
          <cell r="U1270">
            <v>1</v>
          </cell>
          <cell r="V1270" t="str">
            <v>3.92 * 1.92</v>
          </cell>
        </row>
        <row r="1271">
          <cell r="A1271" t="str">
            <v>LIDO0009A</v>
          </cell>
          <cell r="B1271" t="str">
            <v>Supermercado</v>
          </cell>
          <cell r="D1271" t="str">
            <v>P.E.: CORPOREO</v>
          </cell>
          <cell r="E1271" t="str">
            <v>CORPOREO</v>
          </cell>
          <cell r="F1271" t="str">
            <v>Ver Ficha</v>
          </cell>
          <cell r="G1271" t="str">
            <v>Ver Ficha</v>
          </cell>
          <cell r="H1271" t="str">
            <v>X</v>
          </cell>
          <cell r="I1271" t="str">
            <v>EXTERIORES</v>
          </cell>
          <cell r="J1271" t="str">
            <v>SEGUN CORPOREO</v>
          </cell>
          <cell r="K1271">
            <v>0</v>
          </cell>
          <cell r="L1271">
            <v>2000000</v>
          </cell>
          <cell r="M1271" t="str">
            <v>LIDER LOS DOMINICOS</v>
          </cell>
          <cell r="P1271" t="str">
            <v>LAS CONDES</v>
          </cell>
          <cell r="Q1271" t="str">
            <v>ESPECIAL</v>
          </cell>
          <cell r="R1271" t="str">
            <v>Supermercado - Santiago</v>
          </cell>
          <cell r="S1271" t="str">
            <v>Lider</v>
          </cell>
          <cell r="T1271" t="str">
            <v>Productos Especiales</v>
          </cell>
          <cell r="U1271">
            <v>1</v>
          </cell>
          <cell r="V1271" t="str">
            <v>NA</v>
          </cell>
        </row>
        <row r="1272">
          <cell r="A1272" t="str">
            <v>LIES0001A</v>
          </cell>
          <cell r="B1272" t="str">
            <v>Supermercado</v>
          </cell>
          <cell r="D1272" t="str">
            <v>Paletas</v>
          </cell>
          <cell r="E1272" t="str">
            <v>Paletas</v>
          </cell>
          <cell r="F1272" t="str">
            <v>1.10 * 1.53</v>
          </cell>
          <cell r="G1272" t="str">
            <v>1.15 * 1.57</v>
          </cell>
          <cell r="H1272" t="str">
            <v>E</v>
          </cell>
          <cell r="I1272" t="str">
            <v>ESTACIONAMIENTOS</v>
          </cell>
          <cell r="J1272">
            <v>0</v>
          </cell>
          <cell r="K1272">
            <v>0</v>
          </cell>
          <cell r="L1272">
            <v>320000</v>
          </cell>
          <cell r="M1272" t="str">
            <v>LIDER ESTORIL</v>
          </cell>
          <cell r="P1272" t="str">
            <v>LAS CONDES</v>
          </cell>
          <cell r="Q1272" t="str">
            <v>TRADICIONAL</v>
          </cell>
          <cell r="R1272" t="str">
            <v>Supermercado - Santiago</v>
          </cell>
          <cell r="S1272" t="str">
            <v>Lider</v>
          </cell>
          <cell r="T1272" t="str">
            <v>Paletas</v>
          </cell>
          <cell r="U1272">
            <v>1</v>
          </cell>
          <cell r="V1272" t="str">
            <v>1.10 * 1.53</v>
          </cell>
        </row>
        <row r="1273">
          <cell r="A1273" t="str">
            <v>LIES0001B</v>
          </cell>
          <cell r="B1273" t="str">
            <v>Supermercado</v>
          </cell>
          <cell r="D1273" t="str">
            <v>Paletas</v>
          </cell>
          <cell r="E1273" t="str">
            <v>Paletas</v>
          </cell>
          <cell r="F1273" t="str">
            <v>1.10 * 1.53</v>
          </cell>
          <cell r="G1273" t="str">
            <v>1.15 * 1.57</v>
          </cell>
          <cell r="H1273" t="str">
            <v>E</v>
          </cell>
          <cell r="I1273" t="str">
            <v>ESTACIONAMIENTOS</v>
          </cell>
          <cell r="J1273">
            <v>0</v>
          </cell>
          <cell r="K1273">
            <v>0</v>
          </cell>
          <cell r="L1273">
            <v>320000</v>
          </cell>
          <cell r="M1273" t="str">
            <v>LIDER ESTORIL</v>
          </cell>
          <cell r="P1273" t="str">
            <v>LAS CONDES</v>
          </cell>
          <cell r="Q1273" t="str">
            <v>TRADICIONAL</v>
          </cell>
          <cell r="R1273" t="str">
            <v>Supermercado - Santiago</v>
          </cell>
          <cell r="S1273" t="str">
            <v>Lider</v>
          </cell>
          <cell r="T1273" t="str">
            <v>Paletas</v>
          </cell>
          <cell r="U1273">
            <v>1</v>
          </cell>
          <cell r="V1273" t="str">
            <v>1.10 * 1.53</v>
          </cell>
        </row>
        <row r="1274">
          <cell r="A1274" t="str">
            <v>LIES0002A</v>
          </cell>
          <cell r="B1274" t="str">
            <v>Supermercado</v>
          </cell>
          <cell r="D1274" t="str">
            <v>Paletas</v>
          </cell>
          <cell r="E1274" t="str">
            <v>Paletas</v>
          </cell>
          <cell r="F1274" t="str">
            <v>1.10 * 1.53</v>
          </cell>
          <cell r="G1274" t="str">
            <v>1.15 * 1.57</v>
          </cell>
          <cell r="H1274" t="str">
            <v>E</v>
          </cell>
          <cell r="I1274" t="str">
            <v>ESTACIONAMIENTOS</v>
          </cell>
          <cell r="J1274">
            <v>0</v>
          </cell>
          <cell r="K1274">
            <v>0</v>
          </cell>
          <cell r="L1274">
            <v>320000</v>
          </cell>
          <cell r="M1274" t="str">
            <v>LIDER ESTORIL</v>
          </cell>
          <cell r="P1274" t="str">
            <v>LAS CONDES</v>
          </cell>
          <cell r="Q1274" t="str">
            <v>TRADICIONAL</v>
          </cell>
          <cell r="R1274" t="str">
            <v>Supermercado - Santiago</v>
          </cell>
          <cell r="S1274" t="str">
            <v>Lider</v>
          </cell>
          <cell r="T1274" t="str">
            <v>Paletas</v>
          </cell>
          <cell r="U1274">
            <v>1</v>
          </cell>
          <cell r="V1274" t="str">
            <v>1.10 * 1.53</v>
          </cell>
        </row>
        <row r="1275">
          <cell r="A1275" t="str">
            <v>LIES0002B</v>
          </cell>
          <cell r="B1275" t="str">
            <v>Supermercado</v>
          </cell>
          <cell r="D1275" t="str">
            <v>Paletas</v>
          </cell>
          <cell r="E1275" t="str">
            <v>Paletas</v>
          </cell>
          <cell r="F1275" t="str">
            <v>1.10 * 1.53</v>
          </cell>
          <cell r="G1275" t="str">
            <v>1.15 * 1.57</v>
          </cell>
          <cell r="H1275" t="str">
            <v>E</v>
          </cell>
          <cell r="I1275" t="str">
            <v>ESTACIONAMIENTOS</v>
          </cell>
          <cell r="J1275">
            <v>0</v>
          </cell>
          <cell r="K1275">
            <v>0</v>
          </cell>
          <cell r="L1275">
            <v>320000</v>
          </cell>
          <cell r="M1275" t="str">
            <v>LIDER ESTORIL</v>
          </cell>
          <cell r="P1275" t="str">
            <v>LAS CONDES</v>
          </cell>
          <cell r="Q1275" t="str">
            <v>TRADICIONAL</v>
          </cell>
          <cell r="R1275" t="str">
            <v>Supermercado - Santiago</v>
          </cell>
          <cell r="S1275" t="str">
            <v>Lider</v>
          </cell>
          <cell r="T1275" t="str">
            <v>Paletas</v>
          </cell>
          <cell r="U1275">
            <v>1</v>
          </cell>
          <cell r="V1275" t="str">
            <v>1.10 * 1.53</v>
          </cell>
        </row>
        <row r="1276">
          <cell r="A1276" t="str">
            <v>LIES0003A</v>
          </cell>
          <cell r="B1276" t="str">
            <v>Supermercado</v>
          </cell>
          <cell r="D1276" t="str">
            <v>Paletas</v>
          </cell>
          <cell r="E1276" t="str">
            <v>Paletas</v>
          </cell>
          <cell r="F1276" t="str">
            <v>1.10 * 1.53</v>
          </cell>
          <cell r="G1276" t="str">
            <v>1.15 * 1.57</v>
          </cell>
          <cell r="H1276" t="str">
            <v>E</v>
          </cell>
          <cell r="I1276" t="str">
            <v>ESTACIONAMIENTOS</v>
          </cell>
          <cell r="J1276">
            <v>0</v>
          </cell>
          <cell r="K1276">
            <v>0</v>
          </cell>
          <cell r="L1276">
            <v>320000</v>
          </cell>
          <cell r="M1276" t="str">
            <v>LIDER ESTORIL</v>
          </cell>
          <cell r="P1276" t="str">
            <v>LAS CONDES</v>
          </cell>
          <cell r="Q1276" t="str">
            <v>TRADICIONAL</v>
          </cell>
          <cell r="R1276" t="str">
            <v>Supermercado - Santiago</v>
          </cell>
          <cell r="S1276" t="str">
            <v>Lider</v>
          </cell>
          <cell r="T1276" t="str">
            <v>Paletas</v>
          </cell>
          <cell r="U1276">
            <v>1</v>
          </cell>
          <cell r="V1276" t="str">
            <v>1.10 * 1.53</v>
          </cell>
        </row>
        <row r="1277">
          <cell r="A1277" t="str">
            <v>LIES0003B</v>
          </cell>
          <cell r="B1277" t="str">
            <v>Supermercado</v>
          </cell>
          <cell r="D1277" t="str">
            <v>Paletas</v>
          </cell>
          <cell r="E1277" t="str">
            <v>Paletas</v>
          </cell>
          <cell r="F1277" t="str">
            <v>1.10 * 1.53</v>
          </cell>
          <cell r="G1277" t="str">
            <v>1.15 * 1.57</v>
          </cell>
          <cell r="H1277" t="str">
            <v>E</v>
          </cell>
          <cell r="I1277" t="str">
            <v>ESTACIONAMIENTOS</v>
          </cell>
          <cell r="J1277">
            <v>0</v>
          </cell>
          <cell r="K1277">
            <v>0</v>
          </cell>
          <cell r="L1277">
            <v>320000</v>
          </cell>
          <cell r="M1277" t="str">
            <v>LIDER ESTORIL</v>
          </cell>
          <cell r="P1277" t="str">
            <v>LAS CONDES</v>
          </cell>
          <cell r="Q1277" t="str">
            <v>TRADICIONAL</v>
          </cell>
          <cell r="R1277" t="str">
            <v>Supermercado - Santiago</v>
          </cell>
          <cell r="S1277" t="str">
            <v>Lider</v>
          </cell>
          <cell r="T1277" t="str">
            <v>Paletas</v>
          </cell>
          <cell r="U1277">
            <v>1</v>
          </cell>
          <cell r="V1277" t="str">
            <v>1.10 * 1.53</v>
          </cell>
        </row>
        <row r="1278">
          <cell r="A1278" t="str">
            <v>LIES0004A</v>
          </cell>
          <cell r="B1278" t="str">
            <v>Supermercado</v>
          </cell>
          <cell r="D1278" t="str">
            <v>Paletas</v>
          </cell>
          <cell r="E1278" t="str">
            <v>Paletas</v>
          </cell>
          <cell r="F1278" t="str">
            <v>1.10 * 1.53</v>
          </cell>
          <cell r="G1278" t="str">
            <v>1.15 * 1.57</v>
          </cell>
          <cell r="H1278" t="str">
            <v>E</v>
          </cell>
          <cell r="I1278" t="str">
            <v>ESTACIONAMIENTOS</v>
          </cell>
          <cell r="J1278">
            <v>0</v>
          </cell>
          <cell r="K1278">
            <v>0</v>
          </cell>
          <cell r="L1278">
            <v>320000</v>
          </cell>
          <cell r="M1278" t="str">
            <v>LIDER ESTORIL</v>
          </cell>
          <cell r="P1278" t="str">
            <v>LAS CONDES</v>
          </cell>
          <cell r="Q1278" t="str">
            <v>TRADICIONAL</v>
          </cell>
          <cell r="R1278" t="str">
            <v>Supermercado - Santiago</v>
          </cell>
          <cell r="S1278" t="str">
            <v>Lider</v>
          </cell>
          <cell r="T1278" t="str">
            <v>Paletas</v>
          </cell>
          <cell r="U1278">
            <v>1</v>
          </cell>
          <cell r="V1278" t="str">
            <v>1.10 * 1.53</v>
          </cell>
        </row>
        <row r="1279">
          <cell r="A1279" t="str">
            <v>LIES0004B</v>
          </cell>
          <cell r="B1279" t="str">
            <v>Supermercado</v>
          </cell>
          <cell r="D1279" t="str">
            <v>Paletas</v>
          </cell>
          <cell r="E1279" t="str">
            <v>Paletas</v>
          </cell>
          <cell r="F1279" t="str">
            <v>1.10 * 1.53</v>
          </cell>
          <cell r="G1279" t="str">
            <v>1.15 * 1.57</v>
          </cell>
          <cell r="H1279" t="str">
            <v>E</v>
          </cell>
          <cell r="I1279" t="str">
            <v>ESTACIONAMIENTOS</v>
          </cell>
          <cell r="J1279">
            <v>0</v>
          </cell>
          <cell r="K1279">
            <v>0</v>
          </cell>
          <cell r="L1279">
            <v>320000</v>
          </cell>
          <cell r="M1279" t="str">
            <v>LIDER ESTORIL</v>
          </cell>
          <cell r="P1279" t="str">
            <v>LAS CONDES</v>
          </cell>
          <cell r="Q1279" t="str">
            <v>TRADICIONAL</v>
          </cell>
          <cell r="R1279" t="str">
            <v>Supermercado - Santiago</v>
          </cell>
          <cell r="S1279" t="str">
            <v>Lider</v>
          </cell>
          <cell r="T1279" t="str">
            <v>Paletas</v>
          </cell>
          <cell r="U1279">
            <v>1</v>
          </cell>
          <cell r="V1279" t="str">
            <v>1.10 * 1.53</v>
          </cell>
        </row>
        <row r="1280">
          <cell r="A1280" t="str">
            <v>LIES0005A</v>
          </cell>
          <cell r="B1280" t="str">
            <v>Supermercado</v>
          </cell>
          <cell r="D1280" t="str">
            <v>Cajas de luz</v>
          </cell>
          <cell r="E1280" t="str">
            <v>Cajas de luz</v>
          </cell>
          <cell r="F1280" t="str">
            <v>3.92 * 1.92</v>
          </cell>
          <cell r="G1280" t="str">
            <v>4.20 * 2.20</v>
          </cell>
          <cell r="H1280" t="str">
            <v>X</v>
          </cell>
          <cell r="I1280" t="str">
            <v>EXTERIORES</v>
          </cell>
          <cell r="J1280">
            <v>0</v>
          </cell>
          <cell r="K1280">
            <v>0</v>
          </cell>
          <cell r="L1280">
            <v>520000</v>
          </cell>
          <cell r="M1280" t="str">
            <v>LIDER ESTORIL</v>
          </cell>
          <cell r="P1280" t="str">
            <v>LAS CONDES</v>
          </cell>
          <cell r="Q1280" t="str">
            <v>TRADICIONAL</v>
          </cell>
          <cell r="R1280" t="str">
            <v>Supermercado - Santiago</v>
          </cell>
          <cell r="S1280" t="str">
            <v>Lider</v>
          </cell>
          <cell r="T1280" t="str">
            <v>Cajas de luz</v>
          </cell>
          <cell r="U1280">
            <v>1</v>
          </cell>
          <cell r="V1280" t="str">
            <v>3.92 * 1.92</v>
          </cell>
        </row>
        <row r="1281">
          <cell r="A1281" t="str">
            <v>LIES0006A</v>
          </cell>
          <cell r="B1281" t="str">
            <v>Supermercado</v>
          </cell>
          <cell r="D1281" t="str">
            <v>Cajas de luz</v>
          </cell>
          <cell r="E1281" t="str">
            <v>Cajas de luz</v>
          </cell>
          <cell r="F1281" t="str">
            <v>3.92 * 1.92</v>
          </cell>
          <cell r="G1281" t="str">
            <v>4.20 * 2.20</v>
          </cell>
          <cell r="H1281" t="str">
            <v>X</v>
          </cell>
          <cell r="I1281" t="str">
            <v>EXTERIORES</v>
          </cell>
          <cell r="J1281">
            <v>0</v>
          </cell>
          <cell r="K1281">
            <v>0</v>
          </cell>
          <cell r="L1281">
            <v>520000</v>
          </cell>
          <cell r="M1281" t="str">
            <v>LIDER ESTORIL</v>
          </cell>
          <cell r="P1281" t="str">
            <v>LAS CONDES</v>
          </cell>
          <cell r="Q1281" t="str">
            <v>TRADICIONAL</v>
          </cell>
          <cell r="R1281" t="str">
            <v>Supermercado - Santiago</v>
          </cell>
          <cell r="S1281" t="str">
            <v>Lider</v>
          </cell>
          <cell r="T1281" t="str">
            <v>Cajas de luz</v>
          </cell>
          <cell r="U1281">
            <v>1</v>
          </cell>
          <cell r="V1281" t="str">
            <v>3.92 * 1.92</v>
          </cell>
        </row>
        <row r="1282">
          <cell r="A1282" t="str">
            <v>LIES0007A</v>
          </cell>
          <cell r="B1282" t="str">
            <v>Supermercado</v>
          </cell>
          <cell r="D1282" t="str">
            <v>P.E.: PANEL ACCESO.</v>
          </cell>
          <cell r="E1282" t="str">
            <v>PANEL ACCESO.</v>
          </cell>
          <cell r="F1282" t="str">
            <v>Ver Ficha</v>
          </cell>
          <cell r="G1282" t="str">
            <v>Ver Ficha</v>
          </cell>
          <cell r="H1282" t="str">
            <v>X</v>
          </cell>
          <cell r="I1282" t="str">
            <v>EXTERIORES</v>
          </cell>
          <cell r="J1282">
            <v>71000</v>
          </cell>
          <cell r="K1282">
            <v>0</v>
          </cell>
          <cell r="L1282">
            <v>2100000</v>
          </cell>
          <cell r="M1282" t="str">
            <v>LIDER ESTORIL</v>
          </cell>
          <cell r="P1282" t="str">
            <v>LAS CONDES</v>
          </cell>
          <cell r="Q1282" t="str">
            <v>ESPECIAL</v>
          </cell>
          <cell r="R1282" t="str">
            <v>Supermercado - Santiago</v>
          </cell>
          <cell r="S1282" t="str">
            <v>Lider</v>
          </cell>
          <cell r="T1282" t="str">
            <v>Productos Especiales</v>
          </cell>
          <cell r="U1282">
            <v>1</v>
          </cell>
          <cell r="V1282" t="str">
            <v>NA</v>
          </cell>
        </row>
        <row r="1283">
          <cell r="A1283" t="str">
            <v>LIGA0001A</v>
          </cell>
          <cell r="B1283" t="str">
            <v>Supermercado</v>
          </cell>
          <cell r="D1283" t="str">
            <v>Paletas</v>
          </cell>
          <cell r="E1283" t="str">
            <v>Paleta</v>
          </cell>
          <cell r="F1283" t="str">
            <v>1.10 * 1.53</v>
          </cell>
          <cell r="G1283" t="str">
            <v>1.15 * 1.57</v>
          </cell>
          <cell r="H1283" t="str">
            <v>S</v>
          </cell>
          <cell r="I1283" t="str">
            <v>ESTACIONAMIENTOS</v>
          </cell>
          <cell r="J1283">
            <v>0</v>
          </cell>
          <cell r="K1283">
            <v>0</v>
          </cell>
          <cell r="L1283">
            <v>280000</v>
          </cell>
          <cell r="M1283" t="str">
            <v>LIDER GRAN AVENIDA</v>
          </cell>
          <cell r="P1283" t="str">
            <v>SAN MIGUEL</v>
          </cell>
          <cell r="Q1283" t="str">
            <v>TRADICIONAL</v>
          </cell>
          <cell r="R1283" t="str">
            <v>Supermercado - Santiago</v>
          </cell>
          <cell r="S1283" t="str">
            <v>Lider</v>
          </cell>
          <cell r="T1283" t="str">
            <v>Paletas</v>
          </cell>
          <cell r="U1283">
            <v>1</v>
          </cell>
          <cell r="V1283" t="str">
            <v>1.10 * 1.53</v>
          </cell>
        </row>
        <row r="1284">
          <cell r="A1284" t="str">
            <v>LIGA0002A</v>
          </cell>
          <cell r="B1284" t="str">
            <v>Supermercado</v>
          </cell>
          <cell r="D1284" t="str">
            <v>Paletas</v>
          </cell>
          <cell r="E1284" t="str">
            <v>Paleta</v>
          </cell>
          <cell r="F1284" t="str">
            <v>1.10 * 1.53</v>
          </cell>
          <cell r="G1284" t="str">
            <v>1.15 * 1.57</v>
          </cell>
          <cell r="H1284" t="str">
            <v>S</v>
          </cell>
          <cell r="I1284" t="str">
            <v>ESTACIONAMIENTOS</v>
          </cell>
          <cell r="J1284">
            <v>0</v>
          </cell>
          <cell r="K1284">
            <v>0</v>
          </cell>
          <cell r="L1284">
            <v>280000</v>
          </cell>
          <cell r="M1284" t="str">
            <v>LIDER GRAN AVENIDA</v>
          </cell>
          <cell r="P1284" t="str">
            <v>SAN MIGUEL</v>
          </cell>
          <cell r="Q1284" t="str">
            <v>TRADICIONAL</v>
          </cell>
          <cell r="R1284" t="str">
            <v>Supermercado - Santiago</v>
          </cell>
          <cell r="S1284" t="str">
            <v>Lider</v>
          </cell>
          <cell r="T1284" t="str">
            <v>Paletas</v>
          </cell>
          <cell r="U1284">
            <v>1</v>
          </cell>
          <cell r="V1284" t="str">
            <v>1.10 * 1.53</v>
          </cell>
        </row>
        <row r="1285">
          <cell r="A1285" t="str">
            <v>LIGA0003A</v>
          </cell>
          <cell r="B1285" t="str">
            <v>Supermercado</v>
          </cell>
          <cell r="D1285" t="str">
            <v>Paletas</v>
          </cell>
          <cell r="E1285" t="str">
            <v>Paleta</v>
          </cell>
          <cell r="F1285" t="str">
            <v>1.10 * 1.53</v>
          </cell>
          <cell r="G1285" t="str">
            <v>1.15 * 1.57</v>
          </cell>
          <cell r="H1285" t="str">
            <v>S</v>
          </cell>
          <cell r="I1285" t="str">
            <v>ESTACIONAMIENTOS</v>
          </cell>
          <cell r="J1285">
            <v>0</v>
          </cell>
          <cell r="K1285">
            <v>0</v>
          </cell>
          <cell r="L1285">
            <v>280000</v>
          </cell>
          <cell r="M1285" t="str">
            <v>LIDER GRAN AVENIDA</v>
          </cell>
          <cell r="P1285" t="str">
            <v>SAN MIGUEL</v>
          </cell>
          <cell r="Q1285" t="str">
            <v>TRADICIONAL</v>
          </cell>
          <cell r="R1285" t="str">
            <v>Supermercado - Santiago</v>
          </cell>
          <cell r="S1285" t="str">
            <v>Lider</v>
          </cell>
          <cell r="T1285" t="str">
            <v>Paletas</v>
          </cell>
          <cell r="U1285">
            <v>1</v>
          </cell>
          <cell r="V1285" t="str">
            <v>1.10 * 1.53</v>
          </cell>
        </row>
        <row r="1286">
          <cell r="A1286" t="str">
            <v>LIGA0004A</v>
          </cell>
          <cell r="B1286" t="str">
            <v>Supermercado</v>
          </cell>
          <cell r="D1286" t="str">
            <v>Paletas</v>
          </cell>
          <cell r="E1286" t="str">
            <v>Paleta</v>
          </cell>
          <cell r="F1286" t="str">
            <v>1.10 * 1.53</v>
          </cell>
          <cell r="G1286" t="str">
            <v>1.15 * 1.57</v>
          </cell>
          <cell r="H1286" t="str">
            <v>S</v>
          </cell>
          <cell r="I1286" t="str">
            <v>ESTACIONAMIENTOS</v>
          </cell>
          <cell r="J1286">
            <v>0</v>
          </cell>
          <cell r="K1286">
            <v>0</v>
          </cell>
          <cell r="L1286">
            <v>280000</v>
          </cell>
          <cell r="M1286" t="str">
            <v>LIDER GRAN AVENIDA</v>
          </cell>
          <cell r="P1286" t="str">
            <v>SAN MIGUEL</v>
          </cell>
          <cell r="Q1286" t="str">
            <v>TRADICIONAL</v>
          </cell>
          <cell r="R1286" t="str">
            <v>Supermercado - Santiago</v>
          </cell>
          <cell r="S1286" t="str">
            <v>Lider</v>
          </cell>
          <cell r="T1286" t="str">
            <v>Paletas</v>
          </cell>
          <cell r="U1286">
            <v>1</v>
          </cell>
          <cell r="V1286" t="str">
            <v>1.10 * 1.53</v>
          </cell>
        </row>
        <row r="1287">
          <cell r="A1287" t="str">
            <v>LIGA0005A</v>
          </cell>
          <cell r="B1287" t="str">
            <v>Supermercado</v>
          </cell>
          <cell r="D1287" t="str">
            <v>Paletas</v>
          </cell>
          <cell r="E1287" t="str">
            <v>Paleta</v>
          </cell>
          <cell r="F1287" t="str">
            <v>1.10 * 1.53</v>
          </cell>
          <cell r="G1287" t="str">
            <v>1.15 * 1.57</v>
          </cell>
          <cell r="H1287" t="str">
            <v>S</v>
          </cell>
          <cell r="I1287" t="str">
            <v>ESTACIONAMIENTOS</v>
          </cell>
          <cell r="J1287">
            <v>0</v>
          </cell>
          <cell r="K1287">
            <v>0</v>
          </cell>
          <cell r="L1287">
            <v>280000</v>
          </cell>
          <cell r="M1287" t="str">
            <v>LIDER GRAN AVENIDA</v>
          </cell>
          <cell r="P1287" t="str">
            <v>SAN MIGUEL</v>
          </cell>
          <cell r="Q1287" t="str">
            <v>TRADICIONAL</v>
          </cell>
          <cell r="R1287" t="str">
            <v>Supermercado - Santiago</v>
          </cell>
          <cell r="S1287" t="str">
            <v>Lider</v>
          </cell>
          <cell r="T1287" t="str">
            <v>Paletas</v>
          </cell>
          <cell r="U1287">
            <v>1</v>
          </cell>
          <cell r="V1287" t="str">
            <v>1.10 * 1.53</v>
          </cell>
        </row>
        <row r="1288">
          <cell r="A1288" t="str">
            <v>LIGA0006A</v>
          </cell>
          <cell r="B1288" t="str">
            <v>Supermercado</v>
          </cell>
          <cell r="D1288" t="str">
            <v>Paletas</v>
          </cell>
          <cell r="E1288" t="str">
            <v>Paleta</v>
          </cell>
          <cell r="F1288" t="str">
            <v>1.10 * 1.53</v>
          </cell>
          <cell r="G1288" t="str">
            <v>1.15 * 1.57</v>
          </cell>
          <cell r="H1288" t="str">
            <v>S</v>
          </cell>
          <cell r="I1288" t="str">
            <v>ESTACIONAMIENTOS</v>
          </cell>
          <cell r="J1288">
            <v>0</v>
          </cell>
          <cell r="K1288">
            <v>0</v>
          </cell>
          <cell r="L1288">
            <v>280000</v>
          </cell>
          <cell r="M1288" t="str">
            <v>LIDER GRAN AVENIDA</v>
          </cell>
          <cell r="P1288" t="str">
            <v>SAN MIGUEL</v>
          </cell>
          <cell r="Q1288" t="str">
            <v>TRADICIONAL</v>
          </cell>
          <cell r="R1288" t="str">
            <v>Supermercado - Santiago</v>
          </cell>
          <cell r="S1288" t="str">
            <v>Lider</v>
          </cell>
          <cell r="T1288" t="str">
            <v>Paletas</v>
          </cell>
          <cell r="U1288">
            <v>1</v>
          </cell>
          <cell r="V1288" t="str">
            <v>1.10 * 1.53</v>
          </cell>
        </row>
        <row r="1289">
          <cell r="A1289" t="str">
            <v>LIGA0007A</v>
          </cell>
          <cell r="B1289" t="str">
            <v>Supermercado</v>
          </cell>
          <cell r="D1289" t="str">
            <v>Paletas</v>
          </cell>
          <cell r="E1289" t="str">
            <v>Paleta</v>
          </cell>
          <cell r="F1289" t="str">
            <v>1.10 * 1.53</v>
          </cell>
          <cell r="G1289" t="str">
            <v>1.15 * 1.57</v>
          </cell>
          <cell r="H1289" t="str">
            <v>S</v>
          </cell>
          <cell r="I1289" t="str">
            <v>ESTACIONAMIENTOS</v>
          </cell>
          <cell r="J1289">
            <v>0</v>
          </cell>
          <cell r="K1289">
            <v>0</v>
          </cell>
          <cell r="L1289">
            <v>280000</v>
          </cell>
          <cell r="M1289" t="str">
            <v>LIDER GRAN AVENIDA</v>
          </cell>
          <cell r="P1289" t="str">
            <v>SAN MIGUEL</v>
          </cell>
          <cell r="Q1289" t="str">
            <v>TRADICIONAL</v>
          </cell>
          <cell r="R1289" t="str">
            <v>Supermercado - Santiago</v>
          </cell>
          <cell r="S1289" t="str">
            <v>Lider</v>
          </cell>
          <cell r="T1289" t="str">
            <v>Paletas</v>
          </cell>
          <cell r="U1289">
            <v>1</v>
          </cell>
          <cell r="V1289" t="str">
            <v>1.10 * 1.53</v>
          </cell>
        </row>
        <row r="1290">
          <cell r="A1290" t="str">
            <v>LIGA0008A</v>
          </cell>
          <cell r="B1290" t="str">
            <v>Supermercado</v>
          </cell>
          <cell r="D1290" t="str">
            <v>Paletas</v>
          </cell>
          <cell r="E1290" t="str">
            <v>Paleta</v>
          </cell>
          <cell r="F1290" t="str">
            <v>1.10 * 1.53</v>
          </cell>
          <cell r="G1290" t="str">
            <v>1.15 * 1.57</v>
          </cell>
          <cell r="H1290" t="str">
            <v>S</v>
          </cell>
          <cell r="I1290" t="str">
            <v>ESTACIONAMIENTOS</v>
          </cell>
          <cell r="J1290">
            <v>0</v>
          </cell>
          <cell r="K1290">
            <v>0</v>
          </cell>
          <cell r="L1290">
            <v>280000</v>
          </cell>
          <cell r="M1290" t="str">
            <v>LIDER GRAN AVENIDA</v>
          </cell>
          <cell r="P1290" t="str">
            <v>SAN MIGUEL</v>
          </cell>
          <cell r="Q1290" t="str">
            <v>TRADICIONAL</v>
          </cell>
          <cell r="R1290" t="str">
            <v>Supermercado - Santiago</v>
          </cell>
          <cell r="S1290" t="str">
            <v>Lider</v>
          </cell>
          <cell r="T1290" t="str">
            <v>Paletas</v>
          </cell>
          <cell r="U1290">
            <v>1</v>
          </cell>
          <cell r="V1290" t="str">
            <v>1.10 * 1.53</v>
          </cell>
        </row>
        <row r="1291">
          <cell r="A1291" t="str">
            <v>LIGA0009A</v>
          </cell>
          <cell r="B1291" t="str">
            <v>Supermercado</v>
          </cell>
          <cell r="D1291" t="str">
            <v>Paletas</v>
          </cell>
          <cell r="E1291" t="str">
            <v>Paleta</v>
          </cell>
          <cell r="F1291" t="str">
            <v>1.10 * 1.53</v>
          </cell>
          <cell r="G1291" t="str">
            <v>1.15 * 1.57</v>
          </cell>
          <cell r="H1291" t="str">
            <v>S</v>
          </cell>
          <cell r="I1291" t="str">
            <v>ESTACIONAMIENTOS</v>
          </cell>
          <cell r="J1291">
            <v>0</v>
          </cell>
          <cell r="K1291">
            <v>0</v>
          </cell>
          <cell r="L1291">
            <v>280000</v>
          </cell>
          <cell r="M1291" t="str">
            <v>LIDER GRAN AVENIDA</v>
          </cell>
          <cell r="P1291" t="str">
            <v>SAN MIGUEL</v>
          </cell>
          <cell r="Q1291" t="str">
            <v>TRADICIONAL</v>
          </cell>
          <cell r="R1291" t="str">
            <v>Supermercado - Santiago</v>
          </cell>
          <cell r="S1291" t="str">
            <v>Lider</v>
          </cell>
          <cell r="T1291" t="str">
            <v>Paletas</v>
          </cell>
          <cell r="U1291">
            <v>1</v>
          </cell>
          <cell r="V1291" t="str">
            <v>1.10 * 1.53</v>
          </cell>
        </row>
        <row r="1292">
          <cell r="A1292" t="str">
            <v>LIGA0010A</v>
          </cell>
          <cell r="B1292" t="str">
            <v>Supermercado</v>
          </cell>
          <cell r="D1292" t="str">
            <v>Paletas</v>
          </cell>
          <cell r="E1292" t="str">
            <v>Paleta</v>
          </cell>
          <cell r="F1292" t="str">
            <v>1.10 * 1.53</v>
          </cell>
          <cell r="G1292" t="str">
            <v>1.15 * 1.57</v>
          </cell>
          <cell r="H1292" t="str">
            <v>S</v>
          </cell>
          <cell r="I1292" t="str">
            <v>ESTACIONAMIENTOS</v>
          </cell>
          <cell r="J1292">
            <v>0</v>
          </cell>
          <cell r="K1292">
            <v>0</v>
          </cell>
          <cell r="L1292">
            <v>280000</v>
          </cell>
          <cell r="M1292" t="str">
            <v>LIDER GRAN AVENIDA</v>
          </cell>
          <cell r="P1292" t="str">
            <v>SAN MIGUEL</v>
          </cell>
          <cell r="Q1292" t="str">
            <v>TRADICIONAL</v>
          </cell>
          <cell r="R1292" t="str">
            <v>Supermercado - Santiago</v>
          </cell>
          <cell r="S1292" t="str">
            <v>Lider</v>
          </cell>
          <cell r="T1292" t="str">
            <v>Paletas</v>
          </cell>
          <cell r="U1292">
            <v>1</v>
          </cell>
          <cell r="V1292" t="str">
            <v>1.10 * 1.53</v>
          </cell>
        </row>
        <row r="1293">
          <cell r="A1293" t="str">
            <v>LIGA0013A</v>
          </cell>
          <cell r="B1293" t="str">
            <v>Supermercado</v>
          </cell>
          <cell r="D1293" t="str">
            <v>P.E.: PANEL ACCESO.</v>
          </cell>
          <cell r="E1293" t="str">
            <v>PANEL ACCESO.</v>
          </cell>
          <cell r="F1293" t="str">
            <v>Ver Ficha</v>
          </cell>
          <cell r="G1293" t="str">
            <v>Ver Ficha</v>
          </cell>
          <cell r="H1293" t="str">
            <v>X</v>
          </cell>
          <cell r="I1293" t="str">
            <v>EXTERIORES</v>
          </cell>
          <cell r="J1293">
            <v>634000</v>
          </cell>
          <cell r="K1293">
            <v>55000</v>
          </cell>
          <cell r="L1293">
            <v>1900000</v>
          </cell>
          <cell r="M1293" t="str">
            <v>LIDER GRAN AVENIDA</v>
          </cell>
          <cell r="P1293" t="str">
            <v>SAN MIGUEL</v>
          </cell>
          <cell r="Q1293" t="str">
            <v>ESPECIAL</v>
          </cell>
          <cell r="R1293" t="str">
            <v>Supermercado - Santiago</v>
          </cell>
          <cell r="S1293" t="str">
            <v>Lider</v>
          </cell>
          <cell r="T1293" t="str">
            <v>Productos Especiales</v>
          </cell>
          <cell r="U1293">
            <v>1</v>
          </cell>
          <cell r="V1293" t="str">
            <v>NA</v>
          </cell>
        </row>
        <row r="1294">
          <cell r="A1294" t="str">
            <v>LIIN0001A</v>
          </cell>
          <cell r="B1294" t="str">
            <v>Supermercado</v>
          </cell>
          <cell r="D1294" t="str">
            <v>Paletas</v>
          </cell>
          <cell r="E1294" t="str">
            <v>Paleta</v>
          </cell>
          <cell r="F1294" t="str">
            <v>1.10 x 1.53</v>
          </cell>
          <cell r="G1294" t="str">
            <v>1.15 x 1.57</v>
          </cell>
          <cell r="H1294" t="str">
            <v>E</v>
          </cell>
          <cell r="I1294" t="str">
            <v>ESTACIONAMIENTOS</v>
          </cell>
          <cell r="J1294">
            <v>0</v>
          </cell>
          <cell r="K1294">
            <v>0</v>
          </cell>
          <cell r="L1294">
            <v>220000</v>
          </cell>
          <cell r="M1294" t="str">
            <v>LIDER INDEPENDENCIA</v>
          </cell>
          <cell r="P1294" t="str">
            <v>INDEPENDENCIA</v>
          </cell>
          <cell r="Q1294" t="str">
            <v>TRADICIONAL</v>
          </cell>
          <cell r="R1294" t="str">
            <v>Supermercado - Santiago</v>
          </cell>
          <cell r="S1294" t="str">
            <v>Lider</v>
          </cell>
          <cell r="T1294" t="str">
            <v>Paletas</v>
          </cell>
          <cell r="U1294">
            <v>1</v>
          </cell>
          <cell r="V1294" t="str">
            <v>1.10 * 1.53</v>
          </cell>
        </row>
        <row r="1295">
          <cell r="A1295" t="str">
            <v>LIIN0002A</v>
          </cell>
          <cell r="B1295" t="str">
            <v>Supermercado</v>
          </cell>
          <cell r="D1295" t="str">
            <v>Paletas</v>
          </cell>
          <cell r="E1295" t="str">
            <v>Paleta</v>
          </cell>
          <cell r="F1295" t="str">
            <v>1.10 x 1.53</v>
          </cell>
          <cell r="G1295" t="str">
            <v>1.15 x 1.57</v>
          </cell>
          <cell r="H1295" t="str">
            <v>E</v>
          </cell>
          <cell r="I1295" t="str">
            <v>ESTACIONAMIENTOS</v>
          </cell>
          <cell r="J1295">
            <v>0</v>
          </cell>
          <cell r="K1295">
            <v>0</v>
          </cell>
          <cell r="L1295">
            <v>220000</v>
          </cell>
          <cell r="M1295" t="str">
            <v>LIDER INDEPENDENCIA</v>
          </cell>
          <cell r="P1295" t="str">
            <v>INDEPENDENCIA</v>
          </cell>
          <cell r="Q1295" t="str">
            <v>TRADICIONAL</v>
          </cell>
          <cell r="R1295" t="str">
            <v>Supermercado - Santiago</v>
          </cell>
          <cell r="S1295" t="str">
            <v>Lider</v>
          </cell>
          <cell r="T1295" t="str">
            <v>Paletas</v>
          </cell>
          <cell r="U1295">
            <v>1</v>
          </cell>
          <cell r="V1295" t="str">
            <v>1.10 * 1.53</v>
          </cell>
        </row>
        <row r="1296">
          <cell r="A1296" t="str">
            <v>LIIN0003A</v>
          </cell>
          <cell r="B1296" t="str">
            <v>Supermercado</v>
          </cell>
          <cell r="D1296" t="str">
            <v>Paletas</v>
          </cell>
          <cell r="E1296" t="str">
            <v>Paleta</v>
          </cell>
          <cell r="F1296" t="str">
            <v>1.10 x 1.53</v>
          </cell>
          <cell r="G1296" t="str">
            <v>1.15 x 1.57</v>
          </cell>
          <cell r="H1296" t="str">
            <v>E</v>
          </cell>
          <cell r="I1296" t="str">
            <v>ESTACIONAMIENTOS</v>
          </cell>
          <cell r="J1296">
            <v>0</v>
          </cell>
          <cell r="K1296">
            <v>0</v>
          </cell>
          <cell r="L1296">
            <v>220000</v>
          </cell>
          <cell r="M1296" t="str">
            <v>LIDER INDEPENDENCIA</v>
          </cell>
          <cell r="P1296" t="str">
            <v>INDEPENDENCIA</v>
          </cell>
          <cell r="Q1296" t="str">
            <v>TRADICIONAL</v>
          </cell>
          <cell r="R1296" t="str">
            <v>Supermercado - Santiago</v>
          </cell>
          <cell r="S1296" t="str">
            <v>Lider</v>
          </cell>
          <cell r="T1296" t="str">
            <v>Paletas</v>
          </cell>
          <cell r="U1296">
            <v>1</v>
          </cell>
          <cell r="V1296" t="str">
            <v>1.10 * 1.53</v>
          </cell>
        </row>
        <row r="1297">
          <cell r="A1297" t="str">
            <v>LIIN0004A</v>
          </cell>
          <cell r="B1297" t="str">
            <v>Supermercado</v>
          </cell>
          <cell r="D1297" t="str">
            <v>Paletas</v>
          </cell>
          <cell r="E1297" t="str">
            <v>Paleta</v>
          </cell>
          <cell r="F1297" t="str">
            <v>1.10 x 1.53</v>
          </cell>
          <cell r="G1297" t="str">
            <v>1.15 x 1.57</v>
          </cell>
          <cell r="H1297" t="str">
            <v>E</v>
          </cell>
          <cell r="I1297" t="str">
            <v>ESTACIONAMIENTOS</v>
          </cell>
          <cell r="J1297">
            <v>0</v>
          </cell>
          <cell r="K1297">
            <v>0</v>
          </cell>
          <cell r="L1297">
            <v>220000</v>
          </cell>
          <cell r="M1297" t="str">
            <v>LIDER INDEPENDENCIA</v>
          </cell>
          <cell r="P1297" t="str">
            <v>INDEPENDENCIA</v>
          </cell>
          <cell r="Q1297" t="str">
            <v>TRADICIONAL</v>
          </cell>
          <cell r="R1297" t="str">
            <v>Supermercado - Santiago</v>
          </cell>
          <cell r="S1297" t="str">
            <v>Lider</v>
          </cell>
          <cell r="T1297" t="str">
            <v>Paletas</v>
          </cell>
          <cell r="U1297">
            <v>1</v>
          </cell>
          <cell r="V1297" t="str">
            <v>1.10 * 1.53</v>
          </cell>
        </row>
        <row r="1298">
          <cell r="A1298" t="str">
            <v>LIIN0005A</v>
          </cell>
          <cell r="B1298" t="str">
            <v>Supermercado</v>
          </cell>
          <cell r="D1298" t="str">
            <v>Paletas</v>
          </cell>
          <cell r="E1298" t="str">
            <v>Paleta</v>
          </cell>
          <cell r="F1298" t="str">
            <v>1.10 x 1.53</v>
          </cell>
          <cell r="G1298" t="str">
            <v>1.15 x 1.57</v>
          </cell>
          <cell r="H1298" t="str">
            <v>E</v>
          </cell>
          <cell r="I1298" t="str">
            <v>ESTACIONAMIENTOS</v>
          </cell>
          <cell r="J1298">
            <v>0</v>
          </cell>
          <cell r="K1298">
            <v>0</v>
          </cell>
          <cell r="L1298">
            <v>220000</v>
          </cell>
          <cell r="M1298" t="str">
            <v>LIDER INDEPENDENCIA</v>
          </cell>
          <cell r="P1298" t="str">
            <v>INDEPENDENCIA</v>
          </cell>
          <cell r="Q1298" t="str">
            <v>TRADICIONAL</v>
          </cell>
          <cell r="R1298" t="str">
            <v>Supermercado - Santiago</v>
          </cell>
          <cell r="S1298" t="str">
            <v>Lider</v>
          </cell>
          <cell r="T1298" t="str">
            <v>Paletas</v>
          </cell>
          <cell r="U1298">
            <v>1</v>
          </cell>
          <cell r="V1298" t="str">
            <v>1.10 * 1.53</v>
          </cell>
        </row>
        <row r="1299">
          <cell r="A1299" t="str">
            <v>LIIN0006A</v>
          </cell>
          <cell r="B1299" t="str">
            <v>Supermercado</v>
          </cell>
          <cell r="D1299" t="str">
            <v>Cajas de luz</v>
          </cell>
          <cell r="E1299" t="str">
            <v>Cajas de luz</v>
          </cell>
          <cell r="F1299" t="str">
            <v>3.92 * 1.92</v>
          </cell>
          <cell r="G1299" t="str">
            <v>4.20 * 2.20</v>
          </cell>
          <cell r="H1299" t="str">
            <v>E</v>
          </cell>
          <cell r="I1299" t="str">
            <v>ESTACIONAMIENTOS</v>
          </cell>
          <cell r="J1299">
            <v>0</v>
          </cell>
          <cell r="K1299">
            <v>0</v>
          </cell>
          <cell r="L1299">
            <v>520000</v>
          </cell>
          <cell r="M1299" t="str">
            <v>LIDER INDEPENDENCIA</v>
          </cell>
          <cell r="P1299" t="str">
            <v>INDEPENDENCIA</v>
          </cell>
          <cell r="Q1299" t="str">
            <v>TRADICIONAL</v>
          </cell>
          <cell r="R1299" t="str">
            <v>Supermercado - Santiago</v>
          </cell>
          <cell r="S1299" t="str">
            <v>Lider</v>
          </cell>
          <cell r="T1299" t="str">
            <v>Cajas de luz</v>
          </cell>
          <cell r="U1299">
            <v>1</v>
          </cell>
          <cell r="V1299" t="str">
            <v>3.92 * 1.92</v>
          </cell>
        </row>
        <row r="1300">
          <cell r="A1300" t="str">
            <v>LIIN0007A</v>
          </cell>
          <cell r="B1300" t="str">
            <v>Supermercado</v>
          </cell>
          <cell r="D1300" t="str">
            <v>P.E.: LOTES CARROS SUPERMERCADOS</v>
          </cell>
          <cell r="E1300" t="str">
            <v>LOTES CARROS SUPERMERCADOS</v>
          </cell>
          <cell r="I1300" t="str">
            <v>INTERIORES</v>
          </cell>
          <cell r="J1300">
            <v>380000</v>
          </cell>
          <cell r="K1300">
            <v>0</v>
          </cell>
          <cell r="L1300">
            <v>1200000</v>
          </cell>
          <cell r="M1300" t="str">
            <v>LIDER INDEPENDENCIA</v>
          </cell>
          <cell r="P1300" t="str">
            <v>INDEPENDENCIA</v>
          </cell>
          <cell r="Q1300" t="str">
            <v>ESPECIAL</v>
          </cell>
          <cell r="R1300" t="str">
            <v>Supermercado - Santiago</v>
          </cell>
          <cell r="S1300" t="str">
            <v>Lider</v>
          </cell>
          <cell r="T1300" t="str">
            <v>Productos Especiales</v>
          </cell>
          <cell r="U1300">
            <v>1</v>
          </cell>
        </row>
        <row r="1301">
          <cell r="A1301" t="str">
            <v>LILC0001A</v>
          </cell>
          <cell r="B1301" t="str">
            <v>Supermercado</v>
          </cell>
          <cell r="D1301" t="str">
            <v>Paletas</v>
          </cell>
          <cell r="E1301" t="str">
            <v>Paletas</v>
          </cell>
          <cell r="F1301" t="str">
            <v>1.10 * 1.53</v>
          </cell>
          <cell r="G1301" t="str">
            <v>1.15 * 1.57</v>
          </cell>
          <cell r="H1301" t="str">
            <v>E</v>
          </cell>
          <cell r="I1301" t="str">
            <v>ESTACIONAMIENTOS</v>
          </cell>
          <cell r="J1301">
            <v>0</v>
          </cell>
          <cell r="K1301">
            <v>0</v>
          </cell>
          <cell r="L1301">
            <v>320000</v>
          </cell>
          <cell r="M1301" t="str">
            <v>LIDER AMERICO VESPUCIO (LAS CONDES)</v>
          </cell>
          <cell r="P1301" t="str">
            <v>LAS CONDES</v>
          </cell>
          <cell r="Q1301" t="str">
            <v>TRADICIONAL</v>
          </cell>
          <cell r="R1301" t="str">
            <v>Supermercado - Santiago</v>
          </cell>
          <cell r="S1301" t="str">
            <v>Lider</v>
          </cell>
          <cell r="T1301" t="str">
            <v>Paletas</v>
          </cell>
          <cell r="U1301">
            <v>1</v>
          </cell>
          <cell r="V1301" t="str">
            <v>1.10 * 1.53</v>
          </cell>
        </row>
        <row r="1302">
          <cell r="A1302" t="str">
            <v>LILC0001B</v>
          </cell>
          <cell r="B1302" t="str">
            <v>Supermercado</v>
          </cell>
          <cell r="D1302" t="str">
            <v>Paletas</v>
          </cell>
          <cell r="E1302" t="str">
            <v>Paletas</v>
          </cell>
          <cell r="F1302" t="str">
            <v>1.10 * 1.53</v>
          </cell>
          <cell r="G1302" t="str">
            <v>1.15 * 1.57</v>
          </cell>
          <cell r="H1302" t="str">
            <v>E</v>
          </cell>
          <cell r="I1302" t="str">
            <v>ESTACIONAMIENTOS</v>
          </cell>
          <cell r="J1302">
            <v>0</v>
          </cell>
          <cell r="K1302">
            <v>0</v>
          </cell>
          <cell r="L1302">
            <v>320000</v>
          </cell>
          <cell r="M1302" t="str">
            <v>LIDER AMERICO VESPUCIO (LAS CONDES)</v>
          </cell>
          <cell r="P1302" t="str">
            <v>LAS CONDES</v>
          </cell>
          <cell r="Q1302" t="str">
            <v>TRADICIONAL</v>
          </cell>
          <cell r="R1302" t="str">
            <v>Supermercado - Santiago</v>
          </cell>
          <cell r="S1302" t="str">
            <v>Lider</v>
          </cell>
          <cell r="T1302" t="str">
            <v>Paletas</v>
          </cell>
          <cell r="U1302">
            <v>1</v>
          </cell>
          <cell r="V1302" t="str">
            <v>1.10 * 1.53</v>
          </cell>
        </row>
        <row r="1303">
          <cell r="A1303" t="str">
            <v>LILC0002A</v>
          </cell>
          <cell r="B1303" t="str">
            <v>Supermercado</v>
          </cell>
          <cell r="D1303" t="str">
            <v>Cajas de luz</v>
          </cell>
          <cell r="E1303" t="str">
            <v>Cajas de luz</v>
          </cell>
          <cell r="F1303" t="str">
            <v>3.80 * 1.80</v>
          </cell>
          <cell r="G1303" t="str">
            <v>4.00 * 2.00</v>
          </cell>
          <cell r="H1303" t="str">
            <v>X</v>
          </cell>
          <cell r="I1303" t="str">
            <v>EXTERIORES</v>
          </cell>
          <cell r="J1303">
            <v>0</v>
          </cell>
          <cell r="K1303">
            <v>0</v>
          </cell>
          <cell r="L1303">
            <v>520000</v>
          </cell>
          <cell r="M1303" t="str">
            <v>LIDER AMERICO VESPUCIO (LAS CONDES)</v>
          </cell>
          <cell r="P1303" t="str">
            <v>LAS CONDES</v>
          </cell>
          <cell r="Q1303" t="str">
            <v>TRADICIONAL</v>
          </cell>
          <cell r="R1303" t="str">
            <v>Supermercado - Santiago</v>
          </cell>
          <cell r="S1303" t="str">
            <v>Lider</v>
          </cell>
          <cell r="T1303" t="str">
            <v>Cajas de luz</v>
          </cell>
          <cell r="U1303">
            <v>1</v>
          </cell>
          <cell r="V1303" t="str">
            <v>3.80 * 1.80</v>
          </cell>
        </row>
        <row r="1304">
          <cell r="A1304" t="str">
            <v>LILD0001A</v>
          </cell>
          <cell r="B1304" t="str">
            <v>Supermercado</v>
          </cell>
          <cell r="D1304" t="str">
            <v>Paletas</v>
          </cell>
          <cell r="E1304" t="str">
            <v>Paletas</v>
          </cell>
          <cell r="F1304" t="str">
            <v>1.10 x 1.53</v>
          </cell>
          <cell r="G1304" t="str">
            <v>1.15 x 1.57</v>
          </cell>
          <cell r="H1304" t="str">
            <v>E</v>
          </cell>
          <cell r="I1304" t="str">
            <v>ESTACIONAMIENTOS</v>
          </cell>
          <cell r="J1304">
            <v>0</v>
          </cell>
          <cell r="K1304">
            <v>0</v>
          </cell>
          <cell r="L1304">
            <v>320000</v>
          </cell>
          <cell r="M1304" t="str">
            <v>LIDER LA DEHESA</v>
          </cell>
          <cell r="P1304" t="str">
            <v>LO BARNECHEA</v>
          </cell>
          <cell r="Q1304" t="str">
            <v>TRADICIONAL</v>
          </cell>
          <cell r="R1304" t="str">
            <v>Supermercado - Santiago</v>
          </cell>
          <cell r="S1304" t="str">
            <v>Lider</v>
          </cell>
          <cell r="T1304" t="str">
            <v>Paletas</v>
          </cell>
          <cell r="U1304">
            <v>1</v>
          </cell>
          <cell r="V1304" t="str">
            <v>1.10 * 1.53</v>
          </cell>
        </row>
        <row r="1305">
          <cell r="A1305" t="str">
            <v>LILD0004A</v>
          </cell>
          <cell r="B1305" t="str">
            <v>Supermercado</v>
          </cell>
          <cell r="D1305" t="str">
            <v>Paletas</v>
          </cell>
          <cell r="E1305" t="str">
            <v>Paletas</v>
          </cell>
          <cell r="F1305" t="str">
            <v>1.10 x 1.53</v>
          </cell>
          <cell r="G1305" t="str">
            <v>1.15 x 1.57</v>
          </cell>
          <cell r="H1305" t="str">
            <v>E</v>
          </cell>
          <cell r="I1305" t="str">
            <v>ESTACIONAMIENTOS</v>
          </cell>
          <cell r="J1305">
            <v>0</v>
          </cell>
          <cell r="K1305">
            <v>0</v>
          </cell>
          <cell r="L1305">
            <v>320000</v>
          </cell>
          <cell r="M1305" t="str">
            <v>LIDER LA DEHESA</v>
          </cell>
          <cell r="P1305" t="str">
            <v>LO BARNECHEA</v>
          </cell>
          <cell r="Q1305" t="str">
            <v>TRADICIONAL</v>
          </cell>
          <cell r="R1305" t="str">
            <v>Supermercado - Santiago</v>
          </cell>
          <cell r="S1305" t="str">
            <v>Lider</v>
          </cell>
          <cell r="T1305" t="str">
            <v>Paletas</v>
          </cell>
          <cell r="U1305">
            <v>1</v>
          </cell>
          <cell r="V1305" t="str">
            <v>1.10 * 1.53</v>
          </cell>
        </row>
        <row r="1306">
          <cell r="A1306" t="str">
            <v>LILD0004B</v>
          </cell>
          <cell r="B1306" t="str">
            <v>Supermercado</v>
          </cell>
          <cell r="D1306" t="str">
            <v>Paletas</v>
          </cell>
          <cell r="E1306" t="str">
            <v>Paletas</v>
          </cell>
          <cell r="F1306" t="str">
            <v>1.10 x 1.53</v>
          </cell>
          <cell r="G1306" t="str">
            <v>1.15 x 1.57</v>
          </cell>
          <cell r="H1306" t="str">
            <v>E</v>
          </cell>
          <cell r="I1306" t="str">
            <v>ESTACIONAMIENTOS</v>
          </cell>
          <cell r="J1306">
            <v>0</v>
          </cell>
          <cell r="K1306">
            <v>0</v>
          </cell>
          <cell r="L1306">
            <v>320000</v>
          </cell>
          <cell r="M1306" t="str">
            <v>LIDER LA DEHESA</v>
          </cell>
          <cell r="P1306" t="str">
            <v>LO BARNECHEA</v>
          </cell>
          <cell r="Q1306" t="str">
            <v>TRADICIONAL</v>
          </cell>
          <cell r="R1306" t="str">
            <v>Supermercado - Santiago</v>
          </cell>
          <cell r="S1306" t="str">
            <v>Lider</v>
          </cell>
          <cell r="T1306" t="str">
            <v>Paletas</v>
          </cell>
          <cell r="U1306">
            <v>1</v>
          </cell>
          <cell r="V1306" t="str">
            <v>1.10 * 1.53</v>
          </cell>
        </row>
        <row r="1307">
          <cell r="A1307" t="str">
            <v>LILD0005A</v>
          </cell>
          <cell r="B1307" t="str">
            <v>Supermercado</v>
          </cell>
          <cell r="D1307" t="str">
            <v>Paletas</v>
          </cell>
          <cell r="E1307" t="str">
            <v>Paletas</v>
          </cell>
          <cell r="F1307" t="str">
            <v>1.10 x 1.53</v>
          </cell>
          <cell r="G1307" t="str">
            <v>1.15 x 1.57</v>
          </cell>
          <cell r="H1307" t="str">
            <v>E</v>
          </cell>
          <cell r="I1307" t="str">
            <v>ESTACIONAMIENTOS</v>
          </cell>
          <cell r="J1307">
            <v>0</v>
          </cell>
          <cell r="K1307">
            <v>0</v>
          </cell>
          <cell r="L1307">
            <v>320000</v>
          </cell>
          <cell r="M1307" t="str">
            <v>LIDER LA DEHESA</v>
          </cell>
          <cell r="P1307" t="str">
            <v>LO BARNECHEA</v>
          </cell>
          <cell r="Q1307" t="str">
            <v>TRADICIONAL</v>
          </cell>
          <cell r="R1307" t="str">
            <v>Supermercado - Santiago</v>
          </cell>
          <cell r="S1307" t="str">
            <v>Lider</v>
          </cell>
          <cell r="T1307" t="str">
            <v>Paletas</v>
          </cell>
          <cell r="U1307">
            <v>1</v>
          </cell>
          <cell r="V1307" t="str">
            <v>1.10 * 1.53</v>
          </cell>
        </row>
        <row r="1308">
          <cell r="A1308" t="str">
            <v>LILD0005B</v>
          </cell>
          <cell r="B1308" t="str">
            <v>Supermercado</v>
          </cell>
          <cell r="D1308" t="str">
            <v>Paletas</v>
          </cell>
          <cell r="E1308" t="str">
            <v>Paletas</v>
          </cell>
          <cell r="F1308" t="str">
            <v>1.10 x 1.53</v>
          </cell>
          <cell r="G1308" t="str">
            <v>1.15 x 1.57</v>
          </cell>
          <cell r="H1308" t="str">
            <v>E</v>
          </cell>
          <cell r="I1308" t="str">
            <v>ESTACIONAMIENTOS</v>
          </cell>
          <cell r="J1308">
            <v>0</v>
          </cell>
          <cell r="K1308">
            <v>0</v>
          </cell>
          <cell r="L1308">
            <v>320000</v>
          </cell>
          <cell r="M1308" t="str">
            <v>LIDER LA DEHESA</v>
          </cell>
          <cell r="P1308" t="str">
            <v>LO BARNECHEA</v>
          </cell>
          <cell r="Q1308" t="str">
            <v>TRADICIONAL</v>
          </cell>
          <cell r="R1308" t="str">
            <v>Supermercado - Santiago</v>
          </cell>
          <cell r="S1308" t="str">
            <v>Lider</v>
          </cell>
          <cell r="T1308" t="str">
            <v>Paletas</v>
          </cell>
          <cell r="U1308">
            <v>1</v>
          </cell>
          <cell r="V1308" t="str">
            <v>1.10 * 1.53</v>
          </cell>
        </row>
        <row r="1309">
          <cell r="A1309" t="str">
            <v>LILD0006A</v>
          </cell>
          <cell r="B1309" t="str">
            <v>Supermercado</v>
          </cell>
          <cell r="D1309" t="str">
            <v>Cajas de luz</v>
          </cell>
          <cell r="E1309" t="str">
            <v>Cajas de luz</v>
          </cell>
          <cell r="F1309" t="str">
            <v>3.92 * 1.93</v>
          </cell>
          <cell r="G1309" t="str">
            <v>4.20 * 2.20</v>
          </cell>
          <cell r="H1309" t="str">
            <v>S</v>
          </cell>
          <cell r="I1309" t="str">
            <v>ESTACIONAMIENTOS</v>
          </cell>
          <cell r="J1309">
            <v>0</v>
          </cell>
          <cell r="K1309">
            <v>0</v>
          </cell>
          <cell r="L1309">
            <v>520000</v>
          </cell>
          <cell r="M1309" t="str">
            <v>LIDER LA DEHESA</v>
          </cell>
          <cell r="P1309" t="str">
            <v>LO BARNECHEA</v>
          </cell>
          <cell r="Q1309" t="str">
            <v>TRADICIONAL</v>
          </cell>
          <cell r="R1309" t="str">
            <v>Supermercado - Santiago</v>
          </cell>
          <cell r="S1309" t="str">
            <v>Lider</v>
          </cell>
          <cell r="T1309" t="str">
            <v>Cajas de luz</v>
          </cell>
          <cell r="U1309">
            <v>1</v>
          </cell>
          <cell r="V1309" t="str">
            <v>3.92 * 1.92</v>
          </cell>
        </row>
        <row r="1310">
          <cell r="A1310" t="str">
            <v>LILD0007A</v>
          </cell>
          <cell r="B1310" t="str">
            <v>Supermercado</v>
          </cell>
          <cell r="D1310" t="str">
            <v>Cajas de luz</v>
          </cell>
          <cell r="E1310" t="str">
            <v>PILARES</v>
          </cell>
          <cell r="F1310" t="str">
            <v>0.55 * 0.58</v>
          </cell>
          <cell r="G1310" t="str">
            <v>0,55 * 0,58</v>
          </cell>
          <cell r="H1310" t="str">
            <v>S</v>
          </cell>
          <cell r="I1310" t="str">
            <v>ESTACIONAMIENTOS</v>
          </cell>
          <cell r="J1310">
            <v>0</v>
          </cell>
          <cell r="K1310">
            <v>0</v>
          </cell>
          <cell r="L1310">
            <v>1300000</v>
          </cell>
          <cell r="M1310" t="str">
            <v>LIDER LA DEHESA</v>
          </cell>
          <cell r="P1310" t="str">
            <v>LO BARNECHEA</v>
          </cell>
          <cell r="Q1310" t="str">
            <v>TRADICIONAL</v>
          </cell>
          <cell r="R1310" t="str">
            <v>Supermercado - Santiago</v>
          </cell>
          <cell r="S1310" t="str">
            <v>Lider</v>
          </cell>
          <cell r="T1310" t="str">
            <v>Cajas de luz</v>
          </cell>
          <cell r="U1310">
            <v>29</v>
          </cell>
          <cell r="V1310" t="str">
            <v>0.55 * 0.58</v>
          </cell>
        </row>
        <row r="1311">
          <cell r="A1311" t="str">
            <v>LILD0008A</v>
          </cell>
          <cell r="B1311" t="str">
            <v>Supermercado</v>
          </cell>
          <cell r="D1311" t="str">
            <v>P.E.: CORPOREO</v>
          </cell>
          <cell r="E1311" t="str">
            <v>CORPOREO</v>
          </cell>
          <cell r="F1311" t="str">
            <v>Ver Ficha</v>
          </cell>
          <cell r="G1311" t="str">
            <v>Ver Ficha</v>
          </cell>
          <cell r="H1311" t="str">
            <v>X</v>
          </cell>
          <cell r="I1311" t="str">
            <v>EXTERIOR ESTACIO</v>
          </cell>
          <cell r="J1311" t="str">
            <v>SEGÚN CORPOREO</v>
          </cell>
          <cell r="K1311">
            <v>0</v>
          </cell>
          <cell r="L1311">
            <v>2000000</v>
          </cell>
          <cell r="M1311" t="str">
            <v>LIDER LA DEHESA</v>
          </cell>
          <cell r="P1311" t="str">
            <v>LO BARNECHEA</v>
          </cell>
          <cell r="Q1311" t="str">
            <v>ESPECIAL</v>
          </cell>
          <cell r="R1311" t="str">
            <v>Supermercado - Santiago</v>
          </cell>
          <cell r="S1311" t="str">
            <v>Lider</v>
          </cell>
          <cell r="T1311" t="str">
            <v>Productos Especiales</v>
          </cell>
          <cell r="U1311">
            <v>1</v>
          </cell>
          <cell r="V1311" t="str">
            <v>NA</v>
          </cell>
        </row>
        <row r="1312">
          <cell r="A1312" t="str">
            <v>LILD0013A</v>
          </cell>
          <cell r="B1312" t="str">
            <v>Supermercado</v>
          </cell>
          <cell r="D1312" t="str">
            <v>Paletas</v>
          </cell>
          <cell r="E1312" t="str">
            <v>Paletas</v>
          </cell>
          <cell r="F1312" t="str">
            <v>1.10 x 1.53</v>
          </cell>
          <cell r="G1312" t="str">
            <v>1.15 x 1.57</v>
          </cell>
          <cell r="H1312" t="str">
            <v>E</v>
          </cell>
          <cell r="I1312" t="str">
            <v>ESTACIONAMIENTOS</v>
          </cell>
          <cell r="J1312">
            <v>0</v>
          </cell>
          <cell r="K1312">
            <v>0</v>
          </cell>
          <cell r="L1312">
            <v>300000</v>
          </cell>
          <cell r="M1312" t="str">
            <v>LIDER LA DEHESA</v>
          </cell>
          <cell r="P1312" t="str">
            <v>LO BARNECHEA</v>
          </cell>
          <cell r="Q1312" t="str">
            <v>TRADICIONAL</v>
          </cell>
          <cell r="R1312" t="str">
            <v>Supermercado - Santiago</v>
          </cell>
          <cell r="S1312" t="str">
            <v>Lider</v>
          </cell>
          <cell r="T1312" t="str">
            <v>Paletas</v>
          </cell>
          <cell r="U1312">
            <v>1</v>
          </cell>
          <cell r="V1312" t="str">
            <v>1.10 x 1.53</v>
          </cell>
        </row>
        <row r="1313">
          <cell r="A1313" t="str">
            <v>LILD0015A</v>
          </cell>
          <cell r="B1313" t="str">
            <v>Supermercado</v>
          </cell>
          <cell r="D1313" t="str">
            <v>Cajas de luz</v>
          </cell>
          <cell r="E1313" t="str">
            <v>Cajas de luz</v>
          </cell>
          <cell r="F1313" t="str">
            <v>3.92 x 1.92</v>
          </cell>
          <cell r="G1313" t="str">
            <v>4.20 x 2.20</v>
          </cell>
          <cell r="H1313" t="str">
            <v>S</v>
          </cell>
          <cell r="I1313" t="str">
            <v>ESTACIONAMIENTOS</v>
          </cell>
          <cell r="J1313">
            <v>0</v>
          </cell>
          <cell r="K1313">
            <v>0</v>
          </cell>
          <cell r="L1313">
            <v>520000</v>
          </cell>
          <cell r="M1313" t="str">
            <v>LIDER LA DEHESA</v>
          </cell>
          <cell r="P1313" t="str">
            <v>LO BARNECHEA</v>
          </cell>
          <cell r="Q1313" t="str">
            <v>TRADICIONAL</v>
          </cell>
          <cell r="R1313" t="str">
            <v>Supermercado - Santiago</v>
          </cell>
          <cell r="S1313" t="str">
            <v>Lider</v>
          </cell>
          <cell r="T1313" t="str">
            <v>Cajas de luz</v>
          </cell>
          <cell r="U1313">
            <v>1</v>
          </cell>
          <cell r="V1313" t="str">
            <v>3.92 * 1.92</v>
          </cell>
        </row>
        <row r="1314">
          <cell r="A1314" t="str">
            <v>LILD0016A</v>
          </cell>
          <cell r="B1314" t="str">
            <v>Supermercado</v>
          </cell>
          <cell r="D1314" t="str">
            <v>Cajas de luz</v>
          </cell>
          <cell r="E1314" t="str">
            <v>Cajas de luz</v>
          </cell>
          <cell r="F1314" t="str">
            <v>3.92 x 1.92</v>
          </cell>
          <cell r="G1314" t="str">
            <v>4.20 x 2.20</v>
          </cell>
          <cell r="H1314" t="str">
            <v>S</v>
          </cell>
          <cell r="I1314" t="str">
            <v>ESTACIONAMIENTOS</v>
          </cell>
          <cell r="J1314">
            <v>0</v>
          </cell>
          <cell r="K1314">
            <v>0</v>
          </cell>
          <cell r="L1314">
            <v>520000</v>
          </cell>
          <cell r="M1314" t="str">
            <v>LIDER LA DEHESA</v>
          </cell>
          <cell r="P1314" t="str">
            <v>LO BARNECHEA</v>
          </cell>
          <cell r="Q1314" t="str">
            <v>TRADICIONAL</v>
          </cell>
          <cell r="R1314" t="str">
            <v>Supermercado - Santiago</v>
          </cell>
          <cell r="S1314" t="str">
            <v>Lider</v>
          </cell>
          <cell r="T1314" t="str">
            <v>Cajas de luz</v>
          </cell>
          <cell r="U1314">
            <v>1</v>
          </cell>
          <cell r="V1314" t="str">
            <v>3.92 * 1.92</v>
          </cell>
        </row>
        <row r="1315">
          <cell r="A1315" t="str">
            <v>LIMA0001A</v>
          </cell>
          <cell r="B1315" t="str">
            <v>Supermercado</v>
          </cell>
          <cell r="D1315" t="str">
            <v>Paletas</v>
          </cell>
          <cell r="E1315" t="str">
            <v>Paletas</v>
          </cell>
          <cell r="F1315" t="str">
            <v>1.10 * 1.53</v>
          </cell>
          <cell r="G1315" t="str">
            <v>1.15 * 1.57</v>
          </cell>
          <cell r="H1315" t="str">
            <v>E</v>
          </cell>
          <cell r="I1315" t="str">
            <v>ESTACIONAMIENTOS</v>
          </cell>
          <cell r="J1315">
            <v>0</v>
          </cell>
          <cell r="K1315">
            <v>0</v>
          </cell>
          <cell r="L1315">
            <v>280000</v>
          </cell>
          <cell r="M1315" t="str">
            <v>LIDER MAIPU</v>
          </cell>
          <cell r="P1315" t="str">
            <v>MAIPU</v>
          </cell>
          <cell r="Q1315" t="str">
            <v>TRADICIONAL</v>
          </cell>
          <cell r="R1315" t="str">
            <v>Supermercado - Santiago</v>
          </cell>
          <cell r="S1315" t="str">
            <v>Lider</v>
          </cell>
          <cell r="T1315" t="str">
            <v>Paletas</v>
          </cell>
          <cell r="U1315">
            <v>1</v>
          </cell>
          <cell r="V1315" t="str">
            <v>1.10 * 1.53</v>
          </cell>
        </row>
        <row r="1316">
          <cell r="A1316" t="str">
            <v>LIMA0001B</v>
          </cell>
          <cell r="B1316" t="str">
            <v>Supermercado</v>
          </cell>
          <cell r="D1316" t="str">
            <v>Paletas</v>
          </cell>
          <cell r="E1316" t="str">
            <v>Paletas</v>
          </cell>
          <cell r="F1316" t="str">
            <v>1.10 * 1.53</v>
          </cell>
          <cell r="G1316" t="str">
            <v>1.15 * 1.57</v>
          </cell>
          <cell r="H1316" t="str">
            <v>E</v>
          </cell>
          <cell r="I1316" t="str">
            <v>ESTACIONAMIENTOS</v>
          </cell>
          <cell r="J1316">
            <v>0</v>
          </cell>
          <cell r="K1316">
            <v>0</v>
          </cell>
          <cell r="L1316">
            <v>280000</v>
          </cell>
          <cell r="M1316" t="str">
            <v>LIDER MAIPU</v>
          </cell>
          <cell r="P1316" t="str">
            <v>MAIPU</v>
          </cell>
          <cell r="Q1316" t="str">
            <v>TRADICIONAL</v>
          </cell>
          <cell r="R1316" t="str">
            <v>Supermercado - Santiago</v>
          </cell>
          <cell r="S1316" t="str">
            <v>Lider</v>
          </cell>
          <cell r="T1316" t="str">
            <v>Paletas</v>
          </cell>
          <cell r="U1316">
            <v>1</v>
          </cell>
          <cell r="V1316" t="str">
            <v>1.10 * 1.53</v>
          </cell>
        </row>
        <row r="1317">
          <cell r="A1317" t="str">
            <v>LIMA0002A</v>
          </cell>
          <cell r="B1317" t="str">
            <v>Supermercado</v>
          </cell>
          <cell r="D1317" t="str">
            <v>NO VENDIBLE</v>
          </cell>
          <cell r="E1317" t="str">
            <v>Paleta</v>
          </cell>
          <cell r="F1317" t="str">
            <v>0.93 x 1.43</v>
          </cell>
          <cell r="G1317" t="str">
            <v>1.00 x 1.50</v>
          </cell>
          <cell r="H1317" t="str">
            <v>S</v>
          </cell>
          <cell r="I1317" t="str">
            <v>ESTACIONAMIENTOS</v>
          </cell>
          <cell r="J1317">
            <v>0</v>
          </cell>
          <cell r="K1317">
            <v>0</v>
          </cell>
          <cell r="L1317">
            <v>280000</v>
          </cell>
          <cell r="M1317" t="str">
            <v>LIDER MAIPU</v>
          </cell>
          <cell r="O1317" t="str">
            <v>Sí</v>
          </cell>
          <cell r="P1317" t="str">
            <v>MAIPU</v>
          </cell>
          <cell r="Q1317" t="str">
            <v>TRADICIONAL</v>
          </cell>
          <cell r="R1317" t="str">
            <v>Supermercado - Santiago</v>
          </cell>
          <cell r="S1317" t="str">
            <v>Lider</v>
          </cell>
          <cell r="T1317" t="str">
            <v>Paletas</v>
          </cell>
          <cell r="U1317">
            <v>1</v>
          </cell>
          <cell r="V1317" t="str">
            <v>0.93 * 1.43</v>
          </cell>
        </row>
        <row r="1318">
          <cell r="A1318" t="str">
            <v>LIMA0003A</v>
          </cell>
          <cell r="B1318" t="str">
            <v>Supermercado</v>
          </cell>
          <cell r="D1318" t="str">
            <v>Paletas</v>
          </cell>
          <cell r="E1318" t="str">
            <v>Paleta</v>
          </cell>
          <cell r="F1318" t="str">
            <v>0.93 x 1.43</v>
          </cell>
          <cell r="G1318" t="str">
            <v>1.00 x 1.50</v>
          </cell>
          <cell r="H1318" t="str">
            <v>S</v>
          </cell>
          <cell r="I1318" t="str">
            <v>ESTACIONAMIENTOS</v>
          </cell>
          <cell r="J1318">
            <v>0</v>
          </cell>
          <cell r="K1318">
            <v>0</v>
          </cell>
          <cell r="L1318">
            <v>280000</v>
          </cell>
          <cell r="M1318" t="str">
            <v>LIDER MAIPU</v>
          </cell>
          <cell r="P1318" t="str">
            <v>MAIPU</v>
          </cell>
          <cell r="Q1318" t="str">
            <v>TRADICIONAL</v>
          </cell>
          <cell r="R1318" t="str">
            <v>Supermercado - Santiago</v>
          </cell>
          <cell r="S1318" t="str">
            <v>Lider</v>
          </cell>
          <cell r="T1318" t="str">
            <v>Paletas</v>
          </cell>
          <cell r="U1318">
            <v>1</v>
          </cell>
          <cell r="V1318" t="str">
            <v>0.93 * 1.43</v>
          </cell>
        </row>
        <row r="1319">
          <cell r="A1319" t="str">
            <v>LIMA0004A</v>
          </cell>
          <cell r="B1319" t="str">
            <v>Supermercado</v>
          </cell>
          <cell r="D1319" t="str">
            <v>NO VENDIBLE</v>
          </cell>
          <cell r="E1319" t="str">
            <v>Paleta</v>
          </cell>
          <cell r="F1319" t="str">
            <v>0.93 x 1.43</v>
          </cell>
          <cell r="G1319" t="str">
            <v>1.00 x 1.50</v>
          </cell>
          <cell r="H1319" t="str">
            <v>S</v>
          </cell>
          <cell r="I1319" t="str">
            <v>ESTACIONAMIENTOS</v>
          </cell>
          <cell r="J1319">
            <v>0</v>
          </cell>
          <cell r="K1319">
            <v>0</v>
          </cell>
          <cell r="L1319">
            <v>280000</v>
          </cell>
          <cell r="M1319" t="str">
            <v>LIDER MAIPU</v>
          </cell>
          <cell r="O1319" t="str">
            <v>Sí</v>
          </cell>
          <cell r="P1319" t="str">
            <v>MAIPU</v>
          </cell>
          <cell r="Q1319" t="str">
            <v>TRADICIONAL</v>
          </cell>
          <cell r="R1319" t="str">
            <v>Supermercado - Santiago</v>
          </cell>
          <cell r="S1319" t="str">
            <v>Lider</v>
          </cell>
          <cell r="T1319" t="str">
            <v>Paletas</v>
          </cell>
          <cell r="U1319">
            <v>1</v>
          </cell>
          <cell r="V1319" t="str">
            <v>0.93 * 1.43</v>
          </cell>
        </row>
        <row r="1320">
          <cell r="A1320" t="str">
            <v>LIMA0005A</v>
          </cell>
          <cell r="B1320" t="str">
            <v>Supermercado</v>
          </cell>
          <cell r="D1320" t="str">
            <v>NO VENDIBLE</v>
          </cell>
          <cell r="E1320" t="str">
            <v>Paleta</v>
          </cell>
          <cell r="F1320" t="str">
            <v>0.93 x 1.43</v>
          </cell>
          <cell r="G1320" t="str">
            <v>1.00 x 1.50</v>
          </cell>
          <cell r="H1320" t="str">
            <v>S</v>
          </cell>
          <cell r="I1320" t="str">
            <v>ESTACIONAMIENTOS</v>
          </cell>
          <cell r="J1320">
            <v>0</v>
          </cell>
          <cell r="K1320">
            <v>0</v>
          </cell>
          <cell r="L1320">
            <v>280000</v>
          </cell>
          <cell r="M1320" t="str">
            <v>LIDER MAIPU</v>
          </cell>
          <cell r="O1320" t="str">
            <v>Sí</v>
          </cell>
          <cell r="P1320" t="str">
            <v>MAIPU</v>
          </cell>
          <cell r="Q1320" t="str">
            <v>TRADICIONAL</v>
          </cell>
          <cell r="R1320" t="str">
            <v>Supermercado - Santiago</v>
          </cell>
          <cell r="S1320" t="str">
            <v>Lider</v>
          </cell>
          <cell r="T1320" t="str">
            <v>Paletas</v>
          </cell>
          <cell r="U1320">
            <v>1</v>
          </cell>
          <cell r="V1320" t="str">
            <v>0.93 * 1.43</v>
          </cell>
        </row>
        <row r="1321">
          <cell r="A1321" t="str">
            <v>LIMA0006A</v>
          </cell>
          <cell r="B1321" t="str">
            <v>Supermercado</v>
          </cell>
          <cell r="D1321" t="str">
            <v>NO VENDIBLE</v>
          </cell>
          <cell r="E1321" t="str">
            <v>Paleta</v>
          </cell>
          <cell r="F1321" t="str">
            <v>0.93 x 1.43</v>
          </cell>
          <cell r="G1321" t="str">
            <v>1.00 x 1.50</v>
          </cell>
          <cell r="H1321" t="str">
            <v>S</v>
          </cell>
          <cell r="I1321" t="str">
            <v>ESTACIONAMIENTOS</v>
          </cell>
          <cell r="J1321">
            <v>0</v>
          </cell>
          <cell r="K1321">
            <v>0</v>
          </cell>
          <cell r="L1321">
            <v>280000</v>
          </cell>
          <cell r="M1321" t="str">
            <v>LIDER MAIPU</v>
          </cell>
          <cell r="O1321" t="str">
            <v>Sí</v>
          </cell>
          <cell r="P1321" t="str">
            <v>MAIPU</v>
          </cell>
          <cell r="Q1321" t="str">
            <v>TRADICIONAL</v>
          </cell>
          <cell r="R1321" t="str">
            <v>Supermercado - Santiago</v>
          </cell>
          <cell r="S1321" t="str">
            <v>Lider</v>
          </cell>
          <cell r="T1321" t="str">
            <v>Paletas</v>
          </cell>
          <cell r="U1321">
            <v>1</v>
          </cell>
          <cell r="V1321" t="str">
            <v>0.93 * 1.43</v>
          </cell>
        </row>
        <row r="1322">
          <cell r="A1322" t="str">
            <v>LIMA0007A</v>
          </cell>
          <cell r="B1322" t="str">
            <v>Supermercado</v>
          </cell>
          <cell r="D1322" t="str">
            <v>Cajas de luz</v>
          </cell>
          <cell r="E1322" t="str">
            <v>Cajas de luz</v>
          </cell>
          <cell r="F1322" t="str">
            <v>3.36 * 1.94</v>
          </cell>
          <cell r="G1322" t="str">
            <v>3.60 * 2.20</v>
          </cell>
          <cell r="H1322" t="str">
            <v>V</v>
          </cell>
          <cell r="I1322" t="str">
            <v>ACCESO SALA DE V</v>
          </cell>
          <cell r="J1322">
            <v>0</v>
          </cell>
          <cell r="K1322">
            <v>0</v>
          </cell>
          <cell r="L1322">
            <v>520000</v>
          </cell>
          <cell r="M1322" t="str">
            <v>LIDER MAIPU</v>
          </cell>
          <cell r="P1322" t="str">
            <v>MAIPU</v>
          </cell>
          <cell r="Q1322" t="str">
            <v>TRADICIONAL</v>
          </cell>
          <cell r="R1322" t="str">
            <v>Supermercado - Santiago</v>
          </cell>
          <cell r="S1322" t="str">
            <v>Lider</v>
          </cell>
          <cell r="T1322" t="str">
            <v>Cajas de luz</v>
          </cell>
          <cell r="U1322">
            <v>1</v>
          </cell>
          <cell r="V1322" t="str">
            <v>3.36 * 1.94</v>
          </cell>
        </row>
        <row r="1323">
          <cell r="A1323" t="str">
            <v>LIMA0008A</v>
          </cell>
          <cell r="B1323" t="str">
            <v>Supermercado</v>
          </cell>
          <cell r="D1323" t="str">
            <v>Cajas de luz</v>
          </cell>
          <cell r="E1323" t="str">
            <v>Cajas de luz</v>
          </cell>
          <cell r="F1323" t="str">
            <v>3.36 * 1.94</v>
          </cell>
          <cell r="G1323" t="str">
            <v>3.60 * 2.20</v>
          </cell>
          <cell r="H1323" t="str">
            <v>V</v>
          </cell>
          <cell r="I1323" t="str">
            <v>ACCESO SALA DE V</v>
          </cell>
          <cell r="J1323">
            <v>0</v>
          </cell>
          <cell r="K1323">
            <v>0</v>
          </cell>
          <cell r="L1323">
            <v>520000</v>
          </cell>
          <cell r="M1323" t="str">
            <v>LIDER MAIPU</v>
          </cell>
          <cell r="P1323" t="str">
            <v>MAIPU</v>
          </cell>
          <cell r="Q1323" t="str">
            <v>TRADICIONAL</v>
          </cell>
          <cell r="R1323" t="str">
            <v>Supermercado - Santiago</v>
          </cell>
          <cell r="S1323" t="str">
            <v>Lider</v>
          </cell>
          <cell r="T1323" t="str">
            <v>Cajas de luz</v>
          </cell>
          <cell r="U1323">
            <v>1</v>
          </cell>
          <cell r="V1323" t="str">
            <v>3.36 * 1.94</v>
          </cell>
        </row>
        <row r="1324">
          <cell r="A1324" t="str">
            <v>LIMA0009A</v>
          </cell>
          <cell r="B1324" t="str">
            <v>Supermercado</v>
          </cell>
          <cell r="D1324" t="str">
            <v>Minipoles</v>
          </cell>
          <cell r="E1324" t="str">
            <v>Minipoles</v>
          </cell>
          <cell r="F1324" t="str">
            <v>3.40 * 2.00</v>
          </cell>
          <cell r="G1324" t="str">
            <v>3.60 * 2.20</v>
          </cell>
          <cell r="H1324" t="str">
            <v>E</v>
          </cell>
          <cell r="I1324" t="str">
            <v>ESTACIONAMIENTOS</v>
          </cell>
          <cell r="J1324">
            <v>0</v>
          </cell>
          <cell r="K1324">
            <v>0</v>
          </cell>
          <cell r="L1324">
            <v>450000</v>
          </cell>
          <cell r="M1324" t="str">
            <v>LIDER MAIPU</v>
          </cell>
          <cell r="P1324" t="str">
            <v>MAIPU</v>
          </cell>
          <cell r="Q1324" t="str">
            <v>TRADICIONAL</v>
          </cell>
          <cell r="R1324" t="str">
            <v>Supermercado - Santiago</v>
          </cell>
          <cell r="S1324" t="str">
            <v>Lider</v>
          </cell>
          <cell r="T1324" t="str">
            <v>Minipoles</v>
          </cell>
          <cell r="U1324">
            <v>1</v>
          </cell>
          <cell r="V1324" t="str">
            <v>3.40 * 2.00</v>
          </cell>
        </row>
        <row r="1325">
          <cell r="A1325" t="str">
            <v>LIMA0009B</v>
          </cell>
          <cell r="B1325" t="str">
            <v>Supermercado</v>
          </cell>
          <cell r="D1325" t="str">
            <v>Minipoles</v>
          </cell>
          <cell r="E1325" t="str">
            <v>Minipoles</v>
          </cell>
          <cell r="F1325" t="str">
            <v>3.40 * 2.00</v>
          </cell>
          <cell r="G1325" t="str">
            <v>3.60 * 2.20</v>
          </cell>
          <cell r="H1325" t="str">
            <v>E</v>
          </cell>
          <cell r="I1325" t="str">
            <v>ESTACIONAMIENTOS</v>
          </cell>
          <cell r="J1325">
            <v>0</v>
          </cell>
          <cell r="K1325">
            <v>0</v>
          </cell>
          <cell r="L1325">
            <v>450000</v>
          </cell>
          <cell r="M1325" t="str">
            <v>LIDER MAIPU</v>
          </cell>
          <cell r="P1325" t="str">
            <v>MAIPU</v>
          </cell>
          <cell r="Q1325" t="str">
            <v>TRADICIONAL</v>
          </cell>
          <cell r="R1325" t="str">
            <v>Supermercado - Santiago</v>
          </cell>
          <cell r="S1325" t="str">
            <v>Lider</v>
          </cell>
          <cell r="T1325" t="str">
            <v>Minipoles</v>
          </cell>
          <cell r="U1325">
            <v>1</v>
          </cell>
          <cell r="V1325" t="str">
            <v>3.40 * 2.00</v>
          </cell>
        </row>
        <row r="1326">
          <cell r="A1326" t="str">
            <v>LIMA0011A</v>
          </cell>
          <cell r="B1326" t="str">
            <v>Supermercado</v>
          </cell>
          <cell r="D1326" t="str">
            <v>P.E.: CORPOREO</v>
          </cell>
          <cell r="E1326" t="str">
            <v>CORPOREO</v>
          </cell>
          <cell r="F1326" t="str">
            <v>Ver Ficha</v>
          </cell>
          <cell r="G1326" t="str">
            <v>Ver Ficha</v>
          </cell>
          <cell r="H1326" t="str">
            <v>X</v>
          </cell>
          <cell r="I1326" t="str">
            <v>EXTERIORES</v>
          </cell>
          <cell r="J1326" t="str">
            <v>SEGÚN CORPOREO</v>
          </cell>
          <cell r="K1326">
            <v>0</v>
          </cell>
          <cell r="L1326">
            <v>1500000</v>
          </cell>
          <cell r="M1326" t="str">
            <v>LIDER MAIPU</v>
          </cell>
          <cell r="P1326" t="str">
            <v>MAIPU</v>
          </cell>
          <cell r="Q1326" t="str">
            <v>ESPECIAL</v>
          </cell>
          <cell r="R1326" t="str">
            <v>Supermercado - Santiago</v>
          </cell>
          <cell r="S1326" t="str">
            <v>Lider</v>
          </cell>
          <cell r="T1326" t="str">
            <v>Productos Especiales</v>
          </cell>
          <cell r="U1326">
            <v>1</v>
          </cell>
          <cell r="V1326" t="str">
            <v>NA</v>
          </cell>
        </row>
        <row r="1327">
          <cell r="A1327" t="str">
            <v>LIMC0001A</v>
          </cell>
          <cell r="B1327" t="str">
            <v>Supermercado</v>
          </cell>
          <cell r="D1327" t="str">
            <v>Paletas</v>
          </cell>
          <cell r="E1327" t="str">
            <v>Paletas</v>
          </cell>
          <cell r="F1327" t="str">
            <v>1.10 x 1.53</v>
          </cell>
          <cell r="G1327" t="str">
            <v>1.15 x 1.57</v>
          </cell>
          <cell r="H1327" t="str">
            <v>E</v>
          </cell>
          <cell r="I1327" t="str">
            <v>ESTACIONAMIENTOS</v>
          </cell>
          <cell r="J1327">
            <v>0</v>
          </cell>
          <cell r="K1327">
            <v>0</v>
          </cell>
          <cell r="L1327">
            <v>280000</v>
          </cell>
          <cell r="M1327" t="str">
            <v>LIDER VECINO MACUL</v>
          </cell>
          <cell r="P1327" t="str">
            <v>MACUL</v>
          </cell>
          <cell r="Q1327" t="str">
            <v>TRADICIONAL</v>
          </cell>
          <cell r="R1327" t="str">
            <v>Supermercado - Santiago</v>
          </cell>
          <cell r="S1327" t="str">
            <v>Lider</v>
          </cell>
          <cell r="T1327" t="str">
            <v>Paletas</v>
          </cell>
          <cell r="U1327">
            <v>1</v>
          </cell>
          <cell r="V1327" t="str">
            <v>1.10 * 1.53</v>
          </cell>
        </row>
        <row r="1328">
          <cell r="A1328" t="str">
            <v>LIMC0002A</v>
          </cell>
          <cell r="B1328" t="str">
            <v>Supermercado</v>
          </cell>
          <cell r="D1328" t="str">
            <v>Cajas de luz</v>
          </cell>
          <cell r="E1328" t="str">
            <v>Cajas de luz</v>
          </cell>
          <cell r="F1328" t="str">
            <v>3.92 x 1.92</v>
          </cell>
          <cell r="G1328" t="str">
            <v>4.20 * 2.20</v>
          </cell>
          <cell r="H1328" t="str">
            <v>V</v>
          </cell>
          <cell r="I1328" t="str">
            <v>ACCESO SALA DE V</v>
          </cell>
          <cell r="J1328">
            <v>0</v>
          </cell>
          <cell r="K1328">
            <v>0</v>
          </cell>
          <cell r="L1328">
            <v>520000</v>
          </cell>
          <cell r="M1328" t="str">
            <v>LIDER VECINO MACUL</v>
          </cell>
          <cell r="P1328" t="str">
            <v>MACUL</v>
          </cell>
          <cell r="Q1328" t="str">
            <v>TRADICIONAL</v>
          </cell>
          <cell r="R1328" t="str">
            <v>Supermercado - Santiago</v>
          </cell>
          <cell r="S1328" t="str">
            <v>Lider</v>
          </cell>
          <cell r="T1328" t="str">
            <v>Cajas de luz</v>
          </cell>
          <cell r="U1328">
            <v>1</v>
          </cell>
          <cell r="V1328" t="str">
            <v>3.92 * 1.92</v>
          </cell>
        </row>
        <row r="1329">
          <cell r="A1329" t="str">
            <v>LIME0001A</v>
          </cell>
          <cell r="B1329" t="str">
            <v>Supermercado</v>
          </cell>
          <cell r="D1329" t="str">
            <v>Cajas de luz</v>
          </cell>
          <cell r="E1329" t="str">
            <v>Cajas de luz</v>
          </cell>
          <cell r="F1329" t="str">
            <v>3.92 x 1.92</v>
          </cell>
          <cell r="G1329" t="str">
            <v>4.20 * 2.20</v>
          </cell>
          <cell r="H1329" t="str">
            <v>A</v>
          </cell>
          <cell r="I1329" t="str">
            <v>ACCESO ESTACIONA</v>
          </cell>
          <cell r="J1329">
            <v>0</v>
          </cell>
          <cell r="K1329">
            <v>0</v>
          </cell>
          <cell r="L1329">
            <v>600000</v>
          </cell>
          <cell r="M1329" t="str">
            <v>LIDER MERCADO</v>
          </cell>
          <cell r="P1329" t="str">
            <v>LO BARNECHEA</v>
          </cell>
          <cell r="Q1329" t="str">
            <v>TRADICIONAL</v>
          </cell>
          <cell r="R1329" t="str">
            <v>Supermercado - Santiago</v>
          </cell>
          <cell r="S1329" t="str">
            <v>Lider</v>
          </cell>
          <cell r="T1329" t="str">
            <v>Cajas de luz</v>
          </cell>
          <cell r="U1329">
            <v>1</v>
          </cell>
          <cell r="V1329" t="str">
            <v>3.92 * 1.92</v>
          </cell>
        </row>
        <row r="1330">
          <cell r="A1330" t="str">
            <v>LIME0002A</v>
          </cell>
          <cell r="B1330" t="str">
            <v>Supermercado</v>
          </cell>
          <cell r="D1330" t="str">
            <v>Cajas de luz</v>
          </cell>
          <cell r="E1330" t="str">
            <v>Cajas de luz</v>
          </cell>
          <cell r="F1330" t="str">
            <v>3.92 x 1.92</v>
          </cell>
          <cell r="G1330" t="str">
            <v>4.20 * 2.20</v>
          </cell>
          <cell r="H1330" t="str">
            <v>S</v>
          </cell>
          <cell r="I1330" t="str">
            <v>ESTACIONAMIENTOS</v>
          </cell>
          <cell r="J1330">
            <v>0</v>
          </cell>
          <cell r="K1330">
            <v>0</v>
          </cell>
          <cell r="L1330">
            <v>600000</v>
          </cell>
          <cell r="M1330" t="str">
            <v>LIDER MERCADO</v>
          </cell>
          <cell r="P1330" t="str">
            <v>LO BARNECHEA</v>
          </cell>
          <cell r="Q1330" t="str">
            <v>TRADICIONAL</v>
          </cell>
          <cell r="R1330" t="str">
            <v>Supermercado - Santiago</v>
          </cell>
          <cell r="S1330" t="str">
            <v>Lider</v>
          </cell>
          <cell r="T1330" t="str">
            <v>Cajas de luz</v>
          </cell>
          <cell r="U1330">
            <v>1</v>
          </cell>
          <cell r="V1330" t="str">
            <v>3.92 * 1.92</v>
          </cell>
        </row>
        <row r="1331">
          <cell r="A1331" t="str">
            <v>LIME0003A</v>
          </cell>
          <cell r="B1331" t="str">
            <v>Supermercado</v>
          </cell>
          <cell r="D1331" t="str">
            <v>Cajas de luz</v>
          </cell>
          <cell r="E1331" t="str">
            <v>Cajas de luz</v>
          </cell>
          <cell r="F1331" t="str">
            <v>3.92 x 1.92</v>
          </cell>
          <cell r="G1331" t="str">
            <v>4.20 * 2.20</v>
          </cell>
          <cell r="H1331" t="str">
            <v>S</v>
          </cell>
          <cell r="I1331" t="str">
            <v>ESTACIONAMIENTOS</v>
          </cell>
          <cell r="J1331">
            <v>0</v>
          </cell>
          <cell r="K1331">
            <v>0</v>
          </cell>
          <cell r="L1331">
            <v>600000</v>
          </cell>
          <cell r="M1331" t="str">
            <v>LIDER MERCADO</v>
          </cell>
          <cell r="P1331" t="str">
            <v>LO BARNECHEA</v>
          </cell>
          <cell r="Q1331" t="str">
            <v>TRADICIONAL</v>
          </cell>
          <cell r="R1331" t="str">
            <v>Supermercado - Santiago</v>
          </cell>
          <cell r="S1331" t="str">
            <v>Lider</v>
          </cell>
          <cell r="T1331" t="str">
            <v>Cajas de luz</v>
          </cell>
          <cell r="U1331">
            <v>1</v>
          </cell>
          <cell r="V1331" t="str">
            <v>3.92 * 1.92</v>
          </cell>
        </row>
        <row r="1332">
          <cell r="A1332" t="str">
            <v>LIME0004A</v>
          </cell>
          <cell r="B1332" t="str">
            <v>Supermercado</v>
          </cell>
          <cell r="D1332" t="str">
            <v>Cajas de luz</v>
          </cell>
          <cell r="E1332" t="str">
            <v>Cajas de luz</v>
          </cell>
          <cell r="F1332" t="str">
            <v>3.92 x 1.92</v>
          </cell>
          <cell r="G1332" t="str">
            <v>4.20 * 2.20</v>
          </cell>
          <cell r="H1332" t="str">
            <v>S</v>
          </cell>
          <cell r="I1332" t="str">
            <v>ESTACIONAMIENTOS</v>
          </cell>
          <cell r="J1332">
            <v>0</v>
          </cell>
          <cell r="K1332">
            <v>0</v>
          </cell>
          <cell r="L1332">
            <v>600000</v>
          </cell>
          <cell r="M1332" t="str">
            <v>LIDER MERCADO</v>
          </cell>
          <cell r="P1332" t="str">
            <v>LO BARNECHEA</v>
          </cell>
          <cell r="Q1332" t="str">
            <v>TRADICIONAL</v>
          </cell>
          <cell r="R1332" t="str">
            <v>Supermercado - Santiago</v>
          </cell>
          <cell r="S1332" t="str">
            <v>Lider</v>
          </cell>
          <cell r="T1332" t="str">
            <v>Cajas de luz</v>
          </cell>
          <cell r="U1332">
            <v>1</v>
          </cell>
          <cell r="V1332" t="str">
            <v>3.92 * 1.92</v>
          </cell>
        </row>
        <row r="1333">
          <cell r="A1333" t="str">
            <v>LIME0005A</v>
          </cell>
          <cell r="B1333" t="str">
            <v>Supermercado</v>
          </cell>
          <cell r="D1333" t="str">
            <v>Cajas de luz</v>
          </cell>
          <cell r="E1333" t="str">
            <v>Cajas de luz</v>
          </cell>
          <cell r="F1333" t="str">
            <v>3.92 x 1.92</v>
          </cell>
          <cell r="G1333" t="str">
            <v>4.20 * 2.20</v>
          </cell>
          <cell r="H1333" t="str">
            <v>V</v>
          </cell>
          <cell r="I1333" t="str">
            <v>ACCESO SALA DE V</v>
          </cell>
          <cell r="J1333">
            <v>0</v>
          </cell>
          <cell r="K1333">
            <v>0</v>
          </cell>
          <cell r="L1333">
            <v>600000</v>
          </cell>
          <cell r="M1333" t="str">
            <v>LIDER MERCADO</v>
          </cell>
          <cell r="P1333" t="str">
            <v>LO BARNECHEA</v>
          </cell>
          <cell r="Q1333" t="str">
            <v>TRADICIONAL</v>
          </cell>
          <cell r="R1333" t="str">
            <v>Supermercado - Santiago</v>
          </cell>
          <cell r="S1333" t="str">
            <v>Lider</v>
          </cell>
          <cell r="T1333" t="str">
            <v>Cajas de luz</v>
          </cell>
          <cell r="U1333">
            <v>1</v>
          </cell>
          <cell r="V1333" t="str">
            <v>3.92 * 1.92</v>
          </cell>
        </row>
        <row r="1334">
          <cell r="A1334" t="str">
            <v>LIME0006A</v>
          </cell>
          <cell r="B1334" t="str">
            <v>Supermercado</v>
          </cell>
          <cell r="D1334" t="str">
            <v>Cajas de luz</v>
          </cell>
          <cell r="E1334" t="str">
            <v>Cajas de luz</v>
          </cell>
          <cell r="F1334" t="str">
            <v>3.92 x 1.92</v>
          </cell>
          <cell r="G1334" t="str">
            <v>4.20 * 2.20</v>
          </cell>
          <cell r="H1334" t="str">
            <v>V</v>
          </cell>
          <cell r="I1334" t="str">
            <v>ACCESO SALA DE V</v>
          </cell>
          <cell r="J1334">
            <v>0</v>
          </cell>
          <cell r="K1334">
            <v>0</v>
          </cell>
          <cell r="L1334">
            <v>600000</v>
          </cell>
          <cell r="M1334" t="str">
            <v>LIDER MERCADO</v>
          </cell>
          <cell r="P1334" t="str">
            <v>LO BARNECHEA</v>
          </cell>
          <cell r="Q1334" t="str">
            <v>TRADICIONAL</v>
          </cell>
          <cell r="R1334" t="str">
            <v>Supermercado - Santiago</v>
          </cell>
          <cell r="S1334" t="str">
            <v>Lider</v>
          </cell>
          <cell r="T1334" t="str">
            <v>Cajas de luz</v>
          </cell>
          <cell r="U1334">
            <v>1</v>
          </cell>
          <cell r="V1334" t="str">
            <v>3.92 * 1.92</v>
          </cell>
        </row>
        <row r="1335">
          <cell r="A1335" t="str">
            <v>LIME0007A</v>
          </cell>
          <cell r="B1335" t="str">
            <v>Supermercado</v>
          </cell>
          <cell r="D1335" t="str">
            <v>Cajas de luz</v>
          </cell>
          <cell r="E1335" t="str">
            <v>Cajas de luz</v>
          </cell>
          <cell r="F1335" t="str">
            <v>3.92 x 1.92</v>
          </cell>
          <cell r="G1335" t="str">
            <v>4.20 * 2.20</v>
          </cell>
          <cell r="H1335" t="str">
            <v>V</v>
          </cell>
          <cell r="I1335" t="str">
            <v>ACCESO SALA DE V</v>
          </cell>
          <cell r="J1335">
            <v>0</v>
          </cell>
          <cell r="K1335">
            <v>0</v>
          </cell>
          <cell r="L1335">
            <v>600000</v>
          </cell>
          <cell r="M1335" t="str">
            <v>LIDER MERCADO</v>
          </cell>
          <cell r="P1335" t="str">
            <v>LO BARNECHEA</v>
          </cell>
          <cell r="Q1335" t="str">
            <v>TRADICIONAL</v>
          </cell>
          <cell r="R1335" t="str">
            <v>Supermercado - Santiago</v>
          </cell>
          <cell r="S1335" t="str">
            <v>Lider</v>
          </cell>
          <cell r="T1335" t="str">
            <v>Cajas de luz</v>
          </cell>
          <cell r="U1335">
            <v>1</v>
          </cell>
          <cell r="V1335" t="str">
            <v>3.92 * 1.92</v>
          </cell>
        </row>
        <row r="1336">
          <cell r="A1336" t="str">
            <v>LIME0008A</v>
          </cell>
          <cell r="B1336" t="str">
            <v>Supermercado</v>
          </cell>
          <cell r="D1336" t="str">
            <v>Cajas de luz</v>
          </cell>
          <cell r="E1336" t="str">
            <v>Cajas de luz</v>
          </cell>
          <cell r="F1336" t="str">
            <v>3.92 x 1.92</v>
          </cell>
          <cell r="G1336" t="str">
            <v>4.20 * 2.20</v>
          </cell>
          <cell r="H1336" t="str">
            <v>V</v>
          </cell>
          <cell r="I1336" t="str">
            <v>ACCESO SALA DE V</v>
          </cell>
          <cell r="J1336">
            <v>0</v>
          </cell>
          <cell r="K1336">
            <v>0</v>
          </cell>
          <cell r="L1336">
            <v>600000</v>
          </cell>
          <cell r="M1336" t="str">
            <v>LIDER MERCADO</v>
          </cell>
          <cell r="P1336" t="str">
            <v>LO BARNECHEA</v>
          </cell>
          <cell r="Q1336" t="str">
            <v>TRADICIONAL</v>
          </cell>
          <cell r="R1336" t="str">
            <v>Supermercado - Santiago</v>
          </cell>
          <cell r="S1336" t="str">
            <v>Lider</v>
          </cell>
          <cell r="T1336" t="str">
            <v>Cajas de luz</v>
          </cell>
          <cell r="U1336">
            <v>1</v>
          </cell>
          <cell r="V1336" t="str">
            <v>3.92 * 1.92</v>
          </cell>
        </row>
        <row r="1337">
          <cell r="A1337" t="str">
            <v>LIME0009A</v>
          </cell>
          <cell r="B1337" t="str">
            <v>Supermercado</v>
          </cell>
          <cell r="D1337" t="str">
            <v>Cajas de luz</v>
          </cell>
          <cell r="E1337" t="str">
            <v>Cajas de luz</v>
          </cell>
          <cell r="F1337" t="str">
            <v>2.92 * 1.42</v>
          </cell>
          <cell r="G1337" t="str">
            <v>3.20 * 1.70</v>
          </cell>
          <cell r="H1337" t="str">
            <v>V</v>
          </cell>
          <cell r="I1337" t="str">
            <v>ACCESO SALA DE V</v>
          </cell>
          <cell r="J1337">
            <v>0</v>
          </cell>
          <cell r="K1337">
            <v>0</v>
          </cell>
          <cell r="L1337">
            <v>580000</v>
          </cell>
          <cell r="M1337" t="str">
            <v>LIDER MERCADO</v>
          </cell>
          <cell r="P1337" t="str">
            <v>LO BARNECHEA</v>
          </cell>
          <cell r="Q1337" t="str">
            <v>TRADICIONAL</v>
          </cell>
          <cell r="R1337" t="str">
            <v>Supermercado - Santiago</v>
          </cell>
          <cell r="S1337" t="str">
            <v>Lider</v>
          </cell>
          <cell r="T1337" t="str">
            <v>Cajas de luz</v>
          </cell>
          <cell r="U1337">
            <v>1</v>
          </cell>
          <cell r="V1337" t="str">
            <v>2.92 * 1.42</v>
          </cell>
        </row>
        <row r="1338">
          <cell r="A1338" t="str">
            <v>LIME0010A</v>
          </cell>
          <cell r="B1338" t="str">
            <v>Supermercado</v>
          </cell>
          <cell r="D1338" t="str">
            <v>Cajas de luz</v>
          </cell>
          <cell r="E1338" t="str">
            <v>Cajas de luz</v>
          </cell>
          <cell r="F1338" t="str">
            <v>5.40 * 1.94</v>
          </cell>
          <cell r="G1338" t="str">
            <v>5.60 * 2.14</v>
          </cell>
          <cell r="H1338" t="str">
            <v>A</v>
          </cell>
          <cell r="I1338" t="str">
            <v>ACCESO ESTACIONA</v>
          </cell>
          <cell r="J1338">
            <v>0</v>
          </cell>
          <cell r="K1338">
            <v>0</v>
          </cell>
          <cell r="L1338">
            <v>850000</v>
          </cell>
          <cell r="M1338" t="str">
            <v>LIDER MERCADO</v>
          </cell>
          <cell r="P1338" t="str">
            <v>LO BARNECHEA</v>
          </cell>
          <cell r="Q1338" t="str">
            <v>TRADICIONAL</v>
          </cell>
          <cell r="R1338" t="str">
            <v>Supermercado - Santiago</v>
          </cell>
          <cell r="S1338" t="str">
            <v>Lider</v>
          </cell>
          <cell r="T1338" t="str">
            <v>Cajas de luz</v>
          </cell>
          <cell r="U1338">
            <v>1</v>
          </cell>
          <cell r="V1338" t="str">
            <v>5.40 * 1.94</v>
          </cell>
        </row>
        <row r="1339">
          <cell r="A1339" t="str">
            <v>LIME0011A</v>
          </cell>
          <cell r="B1339" t="str">
            <v>Supermercado</v>
          </cell>
          <cell r="D1339" t="str">
            <v>Cajas de luz</v>
          </cell>
          <cell r="E1339" t="str">
            <v>Cajas de luz</v>
          </cell>
          <cell r="F1339" t="str">
            <v>4.80 * 4.80</v>
          </cell>
          <cell r="G1339" t="str">
            <v>5.10 * 5.10</v>
          </cell>
          <cell r="H1339" t="str">
            <v>A</v>
          </cell>
          <cell r="I1339" t="str">
            <v>ACCESO ESTACIONA</v>
          </cell>
          <cell r="J1339">
            <v>0</v>
          </cell>
          <cell r="K1339">
            <v>0</v>
          </cell>
          <cell r="L1339">
            <v>1200000</v>
          </cell>
          <cell r="M1339" t="str">
            <v>LIDER MERCADO</v>
          </cell>
          <cell r="P1339" t="str">
            <v>LO BARNECHEA</v>
          </cell>
          <cell r="Q1339" t="str">
            <v>TRADICIONAL</v>
          </cell>
          <cell r="R1339" t="str">
            <v>Supermercado - Santiago</v>
          </cell>
          <cell r="S1339" t="str">
            <v>Lider</v>
          </cell>
          <cell r="T1339" t="str">
            <v>Cajas de luz</v>
          </cell>
          <cell r="U1339">
            <v>1</v>
          </cell>
          <cell r="V1339" t="str">
            <v>4.80 * 4.80</v>
          </cell>
        </row>
        <row r="1340">
          <cell r="A1340" t="str">
            <v>LIME0012A</v>
          </cell>
          <cell r="B1340" t="str">
            <v>Supermercado</v>
          </cell>
          <cell r="D1340" t="str">
            <v>Cajas de luz</v>
          </cell>
          <cell r="E1340" t="str">
            <v>Cajas de luz</v>
          </cell>
          <cell r="F1340" t="str">
            <v>3.20 * 1.70</v>
          </cell>
          <cell r="G1340" t="str">
            <v>3.40 * 1.90</v>
          </cell>
          <cell r="H1340" t="str">
            <v>V</v>
          </cell>
          <cell r="I1340" t="str">
            <v>ACCESO SALA DE V</v>
          </cell>
          <cell r="J1340">
            <v>0</v>
          </cell>
          <cell r="K1340">
            <v>0</v>
          </cell>
          <cell r="L1340">
            <v>580000</v>
          </cell>
          <cell r="M1340" t="str">
            <v>LIDER MERCADO</v>
          </cell>
          <cell r="P1340" t="str">
            <v>LO BARNECHEA</v>
          </cell>
          <cell r="Q1340" t="str">
            <v>TRADICIONAL</v>
          </cell>
          <cell r="R1340" t="str">
            <v>Supermercado - Santiago</v>
          </cell>
          <cell r="S1340" t="str">
            <v>Lider</v>
          </cell>
          <cell r="T1340" t="str">
            <v>Cajas de luz</v>
          </cell>
          <cell r="U1340">
            <v>1</v>
          </cell>
          <cell r="V1340" t="str">
            <v>3.20 * 1.70</v>
          </cell>
        </row>
        <row r="1341">
          <cell r="A1341" t="str">
            <v>LIME0015A</v>
          </cell>
          <cell r="B1341" t="str">
            <v>Supermercado</v>
          </cell>
          <cell r="D1341" t="str">
            <v>P.E.: CENEFA CALLE ESTACIONAM</v>
          </cell>
          <cell r="E1341" t="str">
            <v>CENEFA CALLE ESTACIONAM</v>
          </cell>
          <cell r="F1341" t="str">
            <v>Ver Ficha</v>
          </cell>
          <cell r="G1341" t="str">
            <v>Ver Ficha</v>
          </cell>
          <cell r="H1341" t="str">
            <v>S</v>
          </cell>
          <cell r="I1341" t="str">
            <v>ESTACIONAMIENTOS</v>
          </cell>
          <cell r="J1341">
            <v>216000</v>
          </cell>
          <cell r="L1341">
            <v>1600000</v>
          </cell>
          <cell r="M1341" t="str">
            <v>LIDER MERCADO</v>
          </cell>
          <cell r="P1341" t="str">
            <v>LO BARNECHEA</v>
          </cell>
          <cell r="Q1341" t="str">
            <v>ESPECIAL</v>
          </cell>
          <cell r="R1341" t="str">
            <v>Supermercado - Santiago</v>
          </cell>
          <cell r="S1341" t="str">
            <v>Lider</v>
          </cell>
          <cell r="T1341" t="str">
            <v>Productos Especiales</v>
          </cell>
          <cell r="U1341">
            <v>1</v>
          </cell>
          <cell r="V1341" t="str">
            <v>NA</v>
          </cell>
        </row>
        <row r="1342">
          <cell r="A1342" t="str">
            <v>LIMO0001A</v>
          </cell>
          <cell r="B1342" t="str">
            <v>Supermercado</v>
          </cell>
          <cell r="D1342" t="str">
            <v>Cajas de luz</v>
          </cell>
          <cell r="E1342" t="str">
            <v>Cajas de luz</v>
          </cell>
          <cell r="F1342" t="str">
            <v>3.92 x 1.92</v>
          </cell>
          <cell r="G1342" t="str">
            <v>4.20 * 2.20</v>
          </cell>
          <cell r="H1342" t="str">
            <v>E</v>
          </cell>
          <cell r="I1342" t="str">
            <v>ESTACIONAMIENTOS</v>
          </cell>
          <cell r="J1342">
            <v>0</v>
          </cell>
          <cell r="K1342">
            <v>0</v>
          </cell>
          <cell r="L1342">
            <v>520000</v>
          </cell>
          <cell r="M1342" t="str">
            <v>LIDER LOS MORROS</v>
          </cell>
          <cell r="P1342" t="str">
            <v>EL BOSQUE</v>
          </cell>
          <cell r="Q1342" t="str">
            <v>TRADICIONAL</v>
          </cell>
          <cell r="R1342" t="str">
            <v>Supermercado - Santiago</v>
          </cell>
          <cell r="S1342" t="str">
            <v>Lider</v>
          </cell>
          <cell r="T1342" t="str">
            <v>Cajas de luz</v>
          </cell>
          <cell r="U1342">
            <v>1</v>
          </cell>
          <cell r="V1342" t="str">
            <v>3.92 * 1.92</v>
          </cell>
        </row>
        <row r="1343">
          <cell r="A1343" t="str">
            <v>LIMO0002A</v>
          </cell>
          <cell r="B1343" t="str">
            <v>Supermercado</v>
          </cell>
          <cell r="D1343" t="str">
            <v>P.E.: LOTES CARROS SUPERMERCADOS</v>
          </cell>
          <cell r="E1343" t="str">
            <v>LOTES CARROS SUPERMERCADOS</v>
          </cell>
          <cell r="I1343" t="str">
            <v>INTERIORES</v>
          </cell>
          <cell r="J1343">
            <v>350000</v>
          </cell>
          <cell r="K1343">
            <v>0</v>
          </cell>
          <cell r="L1343">
            <v>1200000</v>
          </cell>
          <cell r="M1343" t="str">
            <v>LIDER LOS MORROS</v>
          </cell>
          <cell r="P1343" t="str">
            <v>EL BOSQUE</v>
          </cell>
          <cell r="Q1343" t="str">
            <v>ESPECIAL</v>
          </cell>
          <cell r="R1343" t="str">
            <v>Supermercado - Santiago</v>
          </cell>
          <cell r="S1343" t="str">
            <v>Lider</v>
          </cell>
          <cell r="T1343" t="str">
            <v>Productos Especiales</v>
          </cell>
          <cell r="U1343">
            <v>1</v>
          </cell>
        </row>
        <row r="1344">
          <cell r="A1344" t="str">
            <v>LIMT0001A</v>
          </cell>
          <cell r="B1344" t="str">
            <v>Supermercado</v>
          </cell>
          <cell r="D1344" t="str">
            <v>P.E.: LOTES CARROS SUPERMERCADOS</v>
          </cell>
          <cell r="E1344" t="str">
            <v>LOTES CARROS SUPERMERCADOS</v>
          </cell>
          <cell r="I1344" t="str">
            <v>INTERIORES</v>
          </cell>
          <cell r="J1344">
            <v>370000</v>
          </cell>
          <cell r="K1344">
            <v>0</v>
          </cell>
          <cell r="L1344">
            <v>1200000</v>
          </cell>
          <cell r="M1344" t="str">
            <v>LIDER MATUCANA</v>
          </cell>
          <cell r="P1344" t="str">
            <v>EST. CENTRAL</v>
          </cell>
          <cell r="Q1344" t="str">
            <v>ESPECIAL</v>
          </cell>
          <cell r="R1344" t="str">
            <v>Supermercado - Santiago</v>
          </cell>
          <cell r="S1344" t="str">
            <v>Lider</v>
          </cell>
          <cell r="T1344" t="str">
            <v>Productos Especiales</v>
          </cell>
          <cell r="U1344">
            <v>1</v>
          </cell>
        </row>
        <row r="1345">
          <cell r="A1345" t="str">
            <v>LIOE0001A</v>
          </cell>
          <cell r="B1345" t="str">
            <v>Supermercado</v>
          </cell>
          <cell r="D1345" t="str">
            <v>Paletas</v>
          </cell>
          <cell r="E1345" t="str">
            <v>Paletas</v>
          </cell>
          <cell r="F1345" t="str">
            <v>1.10 x 1.53</v>
          </cell>
          <cell r="G1345" t="str">
            <v>1.15 x 1.57</v>
          </cell>
          <cell r="H1345" t="str">
            <v>E</v>
          </cell>
          <cell r="I1345" t="str">
            <v>ESTACIONAMIENTOS</v>
          </cell>
          <cell r="J1345">
            <v>0</v>
          </cell>
          <cell r="K1345">
            <v>0</v>
          </cell>
          <cell r="L1345">
            <v>280000</v>
          </cell>
          <cell r="M1345" t="str">
            <v>LIDER OESTE</v>
          </cell>
          <cell r="P1345" t="str">
            <v>CERRILLOS</v>
          </cell>
          <cell r="Q1345" t="str">
            <v>TRADICIONAL</v>
          </cell>
          <cell r="R1345" t="str">
            <v>Supermercado - Santiago</v>
          </cell>
          <cell r="S1345" t="str">
            <v>Lider</v>
          </cell>
          <cell r="T1345" t="str">
            <v>Paletas</v>
          </cell>
          <cell r="U1345">
            <v>1</v>
          </cell>
          <cell r="V1345" t="str">
            <v>1.10 * 1.53</v>
          </cell>
        </row>
        <row r="1346">
          <cell r="A1346" t="str">
            <v>LIOE0001B</v>
          </cell>
          <cell r="B1346" t="str">
            <v>Supermercado</v>
          </cell>
          <cell r="D1346" t="str">
            <v>Paletas</v>
          </cell>
          <cell r="E1346" t="str">
            <v>Paletas</v>
          </cell>
          <cell r="F1346" t="str">
            <v>1.10 x 1.53</v>
          </cell>
          <cell r="G1346" t="str">
            <v>1.15 x 1.57</v>
          </cell>
          <cell r="H1346" t="str">
            <v>E</v>
          </cell>
          <cell r="I1346" t="str">
            <v>ESTACIONAMIENTOS</v>
          </cell>
          <cell r="J1346">
            <v>0</v>
          </cell>
          <cell r="K1346">
            <v>0</v>
          </cell>
          <cell r="L1346">
            <v>280000</v>
          </cell>
          <cell r="M1346" t="str">
            <v>LIDER OESTE</v>
          </cell>
          <cell r="P1346" t="str">
            <v>CERRILLOS</v>
          </cell>
          <cell r="Q1346" t="str">
            <v>TRADICIONAL</v>
          </cell>
          <cell r="R1346" t="str">
            <v>Supermercado - Santiago</v>
          </cell>
          <cell r="S1346" t="str">
            <v>Lider</v>
          </cell>
          <cell r="T1346" t="str">
            <v>Paletas</v>
          </cell>
          <cell r="U1346">
            <v>1</v>
          </cell>
          <cell r="V1346" t="str">
            <v>1.10 * 1.53</v>
          </cell>
        </row>
        <row r="1347">
          <cell r="A1347" t="str">
            <v>LIOE0002A</v>
          </cell>
          <cell r="B1347" t="str">
            <v>Supermercado</v>
          </cell>
          <cell r="D1347" t="str">
            <v>Paletas</v>
          </cell>
          <cell r="E1347" t="str">
            <v>Paleta</v>
          </cell>
          <cell r="F1347" t="str">
            <v>0.93 x 1.43</v>
          </cell>
          <cell r="G1347" t="str">
            <v>1.00 x 1.50</v>
          </cell>
          <cell r="H1347" t="str">
            <v>V</v>
          </cell>
          <cell r="I1347" t="str">
            <v>ACCESO SALA DE V</v>
          </cell>
          <cell r="J1347">
            <v>0</v>
          </cell>
          <cell r="K1347">
            <v>0</v>
          </cell>
          <cell r="L1347">
            <v>280000</v>
          </cell>
          <cell r="M1347" t="str">
            <v>LIDER OESTE</v>
          </cell>
          <cell r="P1347" t="str">
            <v>CERRILLOS</v>
          </cell>
          <cell r="Q1347" t="str">
            <v>TRADICIONAL</v>
          </cell>
          <cell r="R1347" t="str">
            <v>Supermercado - Santiago</v>
          </cell>
          <cell r="S1347" t="str">
            <v>Lider</v>
          </cell>
          <cell r="T1347" t="str">
            <v>Paletas</v>
          </cell>
          <cell r="U1347">
            <v>1</v>
          </cell>
          <cell r="V1347" t="str">
            <v>0.93 * 1.43</v>
          </cell>
        </row>
        <row r="1348">
          <cell r="A1348" t="str">
            <v>LIOE0003A</v>
          </cell>
          <cell r="B1348" t="str">
            <v>Supermercado</v>
          </cell>
          <cell r="D1348" t="str">
            <v>Paletas</v>
          </cell>
          <cell r="E1348" t="str">
            <v>Paleta</v>
          </cell>
          <cell r="F1348" t="str">
            <v>0.93 x 1.43</v>
          </cell>
          <cell r="G1348" t="str">
            <v>1.00 x 1.50</v>
          </cell>
          <cell r="H1348" t="str">
            <v>V</v>
          </cell>
          <cell r="I1348" t="str">
            <v>ACCESO SALA DE V</v>
          </cell>
          <cell r="J1348">
            <v>0</v>
          </cell>
          <cell r="K1348">
            <v>0</v>
          </cell>
          <cell r="L1348">
            <v>280000</v>
          </cell>
          <cell r="M1348" t="str">
            <v>LIDER OESTE</v>
          </cell>
          <cell r="P1348" t="str">
            <v>CERRILLOS</v>
          </cell>
          <cell r="Q1348" t="str">
            <v>TRADICIONAL</v>
          </cell>
          <cell r="R1348" t="str">
            <v>Supermercado - Santiago</v>
          </cell>
          <cell r="S1348" t="str">
            <v>Lider</v>
          </cell>
          <cell r="T1348" t="str">
            <v>Paletas</v>
          </cell>
          <cell r="U1348">
            <v>1</v>
          </cell>
          <cell r="V1348" t="str">
            <v>0.93 * 1.43</v>
          </cell>
        </row>
        <row r="1349">
          <cell r="A1349" t="str">
            <v>LIOE0004A</v>
          </cell>
          <cell r="B1349" t="str">
            <v>Supermercado</v>
          </cell>
          <cell r="D1349" t="str">
            <v>Paletas</v>
          </cell>
          <cell r="E1349" t="str">
            <v>Paleta</v>
          </cell>
          <cell r="F1349" t="str">
            <v>0.93 x 1.43</v>
          </cell>
          <cell r="G1349" t="str">
            <v>1.00 x 1.50</v>
          </cell>
          <cell r="H1349" t="str">
            <v>V</v>
          </cell>
          <cell r="I1349" t="str">
            <v>ACCESO SALA DE V</v>
          </cell>
          <cell r="J1349">
            <v>0</v>
          </cell>
          <cell r="K1349">
            <v>0</v>
          </cell>
          <cell r="L1349">
            <v>280000</v>
          </cell>
          <cell r="M1349" t="str">
            <v>LIDER OESTE</v>
          </cell>
          <cell r="P1349" t="str">
            <v>CERRILLOS</v>
          </cell>
          <cell r="Q1349" t="str">
            <v>TRADICIONAL</v>
          </cell>
          <cell r="R1349" t="str">
            <v>Supermercado - Santiago</v>
          </cell>
          <cell r="S1349" t="str">
            <v>Lider</v>
          </cell>
          <cell r="T1349" t="str">
            <v>Paletas</v>
          </cell>
          <cell r="U1349">
            <v>1</v>
          </cell>
          <cell r="V1349" t="str">
            <v>0.93 * 1.43</v>
          </cell>
        </row>
        <row r="1350">
          <cell r="A1350" t="str">
            <v>LIOE0005A</v>
          </cell>
          <cell r="B1350" t="str">
            <v>Supermercado</v>
          </cell>
          <cell r="D1350" t="str">
            <v>Paletas</v>
          </cell>
          <cell r="E1350" t="str">
            <v>ROMBOIDE (46 Caras)</v>
          </cell>
          <cell r="F1350" t="str">
            <v>0.93 x 1.43</v>
          </cell>
          <cell r="G1350" t="str">
            <v>1.00 x 1.50</v>
          </cell>
          <cell r="H1350" t="str">
            <v>E</v>
          </cell>
          <cell r="I1350" t="str">
            <v>ESTACIONAMIENTOS</v>
          </cell>
          <cell r="J1350">
            <v>0</v>
          </cell>
          <cell r="K1350">
            <v>0</v>
          </cell>
          <cell r="L1350">
            <v>1500000</v>
          </cell>
          <cell r="M1350" t="str">
            <v>LIDER OESTE</v>
          </cell>
          <cell r="P1350" t="str">
            <v>CERRILLOS</v>
          </cell>
          <cell r="Q1350" t="str">
            <v>TRADICIONAL</v>
          </cell>
          <cell r="R1350" t="str">
            <v>Supermercado - Santiago</v>
          </cell>
          <cell r="S1350" t="str">
            <v>Lider</v>
          </cell>
          <cell r="T1350" t="str">
            <v>Paletas</v>
          </cell>
          <cell r="U1350">
            <v>46</v>
          </cell>
          <cell r="V1350" t="str">
            <v>0.93 * 1.43</v>
          </cell>
        </row>
        <row r="1351">
          <cell r="A1351" t="str">
            <v>LIOE0017A</v>
          </cell>
          <cell r="B1351" t="str">
            <v>Supermercado</v>
          </cell>
          <cell r="D1351" t="str">
            <v>Cajas de luz</v>
          </cell>
          <cell r="E1351" t="str">
            <v>Cajas de luz</v>
          </cell>
          <cell r="F1351" t="str">
            <v>3.92 x 1.92</v>
          </cell>
          <cell r="G1351" t="str">
            <v>4.20 * 2.20</v>
          </cell>
          <cell r="H1351" t="str">
            <v>V</v>
          </cell>
          <cell r="I1351" t="str">
            <v>ACCESO SALA DE V</v>
          </cell>
          <cell r="J1351">
            <v>0</v>
          </cell>
          <cell r="K1351">
            <v>0</v>
          </cell>
          <cell r="L1351">
            <v>600000</v>
          </cell>
          <cell r="M1351" t="str">
            <v>LIDER OESTE</v>
          </cell>
          <cell r="P1351" t="str">
            <v>CERRILLOS</v>
          </cell>
          <cell r="Q1351" t="str">
            <v>TRADICIONAL</v>
          </cell>
          <cell r="R1351" t="str">
            <v>Supermercado - Santiago</v>
          </cell>
          <cell r="S1351" t="str">
            <v>Lider</v>
          </cell>
          <cell r="T1351" t="str">
            <v>Cajas de luz</v>
          </cell>
          <cell r="U1351">
            <v>1</v>
          </cell>
          <cell r="V1351" t="str">
            <v>3.92 * 1.92</v>
          </cell>
        </row>
        <row r="1352">
          <cell r="A1352" t="str">
            <v>LIOE0018A</v>
          </cell>
          <cell r="B1352" t="str">
            <v>Supermercado</v>
          </cell>
          <cell r="D1352" t="str">
            <v>Cajas de luz</v>
          </cell>
          <cell r="E1352" t="str">
            <v>Cajas de luz</v>
          </cell>
          <cell r="F1352" t="str">
            <v>3.92 x 1.92</v>
          </cell>
          <cell r="G1352" t="str">
            <v>4.20 * 2.20</v>
          </cell>
          <cell r="H1352" t="str">
            <v>V</v>
          </cell>
          <cell r="I1352" t="str">
            <v>ACCESO SALA DE V</v>
          </cell>
          <cell r="J1352">
            <v>0</v>
          </cell>
          <cell r="K1352">
            <v>0</v>
          </cell>
          <cell r="L1352">
            <v>600000</v>
          </cell>
          <cell r="M1352" t="str">
            <v>LIDER OESTE</v>
          </cell>
          <cell r="P1352" t="str">
            <v>CERRILLOS</v>
          </cell>
          <cell r="Q1352" t="str">
            <v>TRADICIONAL</v>
          </cell>
          <cell r="R1352" t="str">
            <v>Supermercado - Santiago</v>
          </cell>
          <cell r="S1352" t="str">
            <v>Lider</v>
          </cell>
          <cell r="T1352" t="str">
            <v>Cajas de luz</v>
          </cell>
          <cell r="U1352">
            <v>1</v>
          </cell>
          <cell r="V1352" t="str">
            <v>3.92 * 1.92</v>
          </cell>
        </row>
        <row r="1353">
          <cell r="A1353" t="str">
            <v>LIOE0019A</v>
          </cell>
          <cell r="B1353" t="str">
            <v>Supermercado</v>
          </cell>
          <cell r="D1353" t="str">
            <v>Cajas de luz</v>
          </cell>
          <cell r="E1353" t="str">
            <v>Cajas de luz</v>
          </cell>
          <cell r="F1353" t="str">
            <v>3.92 x 1.92</v>
          </cell>
          <cell r="G1353" t="str">
            <v>4.20 * 2.20</v>
          </cell>
          <cell r="H1353" t="str">
            <v>V</v>
          </cell>
          <cell r="I1353" t="str">
            <v>ACCESO SALA DE V</v>
          </cell>
          <cell r="J1353">
            <v>0</v>
          </cell>
          <cell r="K1353">
            <v>0</v>
          </cell>
          <cell r="L1353">
            <v>520000</v>
          </cell>
          <cell r="M1353" t="str">
            <v>LIDER OESTE</v>
          </cell>
          <cell r="P1353" t="str">
            <v>CERRILLOS</v>
          </cell>
          <cell r="Q1353" t="str">
            <v>TRADICIONAL</v>
          </cell>
          <cell r="R1353" t="str">
            <v>Supermercado - Santiago</v>
          </cell>
          <cell r="S1353" t="str">
            <v>Lider</v>
          </cell>
          <cell r="T1353" t="str">
            <v>Cajas de luz</v>
          </cell>
          <cell r="U1353">
            <v>1</v>
          </cell>
          <cell r="V1353" t="str">
            <v>3.92 * 1.92</v>
          </cell>
        </row>
        <row r="1354">
          <cell r="A1354" t="str">
            <v>LIOE0020A</v>
          </cell>
          <cell r="B1354" t="str">
            <v>Supermercado</v>
          </cell>
          <cell r="D1354" t="str">
            <v>Cajas de luz</v>
          </cell>
          <cell r="E1354" t="str">
            <v>Cajas de luz</v>
          </cell>
          <cell r="F1354" t="str">
            <v>3.92 x 1.92</v>
          </cell>
          <cell r="G1354" t="str">
            <v>4.20 * 2.20</v>
          </cell>
          <cell r="H1354" t="str">
            <v>V</v>
          </cell>
          <cell r="I1354" t="str">
            <v>ACCESO SALA DE V</v>
          </cell>
          <cell r="J1354">
            <v>0</v>
          </cell>
          <cell r="K1354">
            <v>0</v>
          </cell>
          <cell r="L1354">
            <v>520000</v>
          </cell>
          <cell r="M1354" t="str">
            <v>LIDER OESTE</v>
          </cell>
          <cell r="P1354" t="str">
            <v>CERRILLOS</v>
          </cell>
          <cell r="Q1354" t="str">
            <v>TRADICIONAL</v>
          </cell>
          <cell r="R1354" t="str">
            <v>Supermercado - Santiago</v>
          </cell>
          <cell r="S1354" t="str">
            <v>Lider</v>
          </cell>
          <cell r="T1354" t="str">
            <v>Cajas de luz</v>
          </cell>
          <cell r="U1354">
            <v>1</v>
          </cell>
          <cell r="V1354" t="str">
            <v>3.92 * 1.92</v>
          </cell>
        </row>
        <row r="1355">
          <cell r="A1355" t="str">
            <v>LIOE0021A</v>
          </cell>
          <cell r="B1355" t="str">
            <v>Supermercado</v>
          </cell>
          <cell r="D1355" t="str">
            <v>Minipoles</v>
          </cell>
          <cell r="E1355" t="str">
            <v>Minipoles</v>
          </cell>
          <cell r="F1355" t="str">
            <v>3.40 x 2.00</v>
          </cell>
          <cell r="G1355" t="str">
            <v>3.60 * 2.20</v>
          </cell>
          <cell r="H1355" t="str">
            <v>E</v>
          </cell>
          <cell r="I1355" t="str">
            <v>ESTACIONAMIENTOS</v>
          </cell>
          <cell r="J1355">
            <v>0</v>
          </cell>
          <cell r="K1355">
            <v>0</v>
          </cell>
          <cell r="L1355">
            <v>450000</v>
          </cell>
          <cell r="M1355" t="str">
            <v>LIDER OESTE</v>
          </cell>
          <cell r="P1355" t="str">
            <v>CERRILLOS</v>
          </cell>
          <cell r="Q1355" t="str">
            <v>TRADICIONAL</v>
          </cell>
          <cell r="R1355" t="str">
            <v>Supermercado - Santiago</v>
          </cell>
          <cell r="S1355" t="str">
            <v>Lider</v>
          </cell>
          <cell r="T1355" t="str">
            <v>Minipoles</v>
          </cell>
          <cell r="U1355">
            <v>1</v>
          </cell>
          <cell r="V1355" t="str">
            <v>3.40 * 2.00</v>
          </cell>
        </row>
        <row r="1356">
          <cell r="A1356" t="str">
            <v>LIOE0022A</v>
          </cell>
          <cell r="B1356" t="str">
            <v>Supermercado</v>
          </cell>
          <cell r="D1356" t="str">
            <v>P.E.: PORTAL ACCESO (ARCO)</v>
          </cell>
          <cell r="E1356" t="str">
            <v>PORTAL ACCESO (ARCO)</v>
          </cell>
          <cell r="F1356" t="str">
            <v>Ver Ficha</v>
          </cell>
          <cell r="G1356" t="str">
            <v>Ver Ficha</v>
          </cell>
          <cell r="H1356" t="str">
            <v>E</v>
          </cell>
          <cell r="I1356" t="str">
            <v>ESTACIONAMIENTOS</v>
          </cell>
          <cell r="J1356">
            <v>758000</v>
          </cell>
          <cell r="K1356">
            <v>0</v>
          </cell>
          <cell r="L1356">
            <v>3600000</v>
          </cell>
          <cell r="M1356" t="str">
            <v>LIDER OESTE</v>
          </cell>
          <cell r="P1356" t="str">
            <v>CERRILLOS</v>
          </cell>
          <cell r="Q1356" t="str">
            <v>ESPECIAL</v>
          </cell>
          <cell r="R1356" t="str">
            <v>Supermercado - Santiago</v>
          </cell>
          <cell r="S1356" t="str">
            <v>Lider</v>
          </cell>
          <cell r="T1356" t="str">
            <v>Productos Especiales</v>
          </cell>
          <cell r="U1356">
            <v>1</v>
          </cell>
          <cell r="V1356" t="str">
            <v>NA</v>
          </cell>
        </row>
        <row r="1357">
          <cell r="A1357" t="str">
            <v>LIPA0001A</v>
          </cell>
          <cell r="B1357" t="str">
            <v>Supermercado</v>
          </cell>
          <cell r="D1357" t="str">
            <v>Paletas</v>
          </cell>
          <cell r="E1357" t="str">
            <v>Paletas</v>
          </cell>
          <cell r="F1357" t="str">
            <v>1.10 * 1.53</v>
          </cell>
          <cell r="G1357" t="str">
            <v>1.15 * 1.57</v>
          </cell>
          <cell r="H1357" t="str">
            <v>X</v>
          </cell>
          <cell r="I1357" t="str">
            <v>EXTERIORES</v>
          </cell>
          <cell r="J1357">
            <v>0</v>
          </cell>
          <cell r="K1357">
            <v>0</v>
          </cell>
          <cell r="L1357">
            <v>220000</v>
          </cell>
          <cell r="M1357" t="str">
            <v>LIDER PUENTE ALTO</v>
          </cell>
          <cell r="P1357" t="str">
            <v>PUENTE ALTO</v>
          </cell>
          <cell r="Q1357" t="str">
            <v>TRADICIONAL</v>
          </cell>
          <cell r="R1357" t="str">
            <v>Supermercado - Santiago</v>
          </cell>
          <cell r="S1357" t="str">
            <v>Lider</v>
          </cell>
          <cell r="T1357" t="str">
            <v>Paletas</v>
          </cell>
          <cell r="U1357">
            <v>1</v>
          </cell>
          <cell r="V1357" t="str">
            <v>1.10 * 1.53</v>
          </cell>
        </row>
        <row r="1358">
          <cell r="A1358" t="str">
            <v>LIPA0001B</v>
          </cell>
          <cell r="B1358" t="str">
            <v>Supermercado</v>
          </cell>
          <cell r="D1358" t="str">
            <v>Paletas</v>
          </cell>
          <cell r="E1358" t="str">
            <v>Paletas</v>
          </cell>
          <cell r="F1358" t="str">
            <v>1.10 * 1.53</v>
          </cell>
          <cell r="G1358" t="str">
            <v>1.15 * 1.57</v>
          </cell>
          <cell r="H1358" t="str">
            <v>X</v>
          </cell>
          <cell r="I1358" t="str">
            <v>EXTERIORES</v>
          </cell>
          <cell r="J1358">
            <v>0</v>
          </cell>
          <cell r="K1358">
            <v>0</v>
          </cell>
          <cell r="L1358">
            <v>220000</v>
          </cell>
          <cell r="M1358" t="str">
            <v>LIDER PUENTE ALTO</v>
          </cell>
          <cell r="P1358" t="str">
            <v>PUENTE ALTO</v>
          </cell>
          <cell r="Q1358" t="str">
            <v>TRADICIONAL</v>
          </cell>
          <cell r="R1358" t="str">
            <v>Supermercado - Santiago</v>
          </cell>
          <cell r="S1358" t="str">
            <v>Lider</v>
          </cell>
          <cell r="T1358" t="str">
            <v>Paletas</v>
          </cell>
          <cell r="U1358">
            <v>1</v>
          </cell>
          <cell r="V1358" t="str">
            <v>1.10 * 1.53</v>
          </cell>
        </row>
        <row r="1359">
          <cell r="A1359" t="str">
            <v>LIPA0002A</v>
          </cell>
          <cell r="B1359" t="str">
            <v>Supermercado</v>
          </cell>
          <cell r="D1359" t="str">
            <v>Paletas</v>
          </cell>
          <cell r="E1359" t="str">
            <v>Paleta</v>
          </cell>
          <cell r="F1359" t="str">
            <v>0.93 * 1.43</v>
          </cell>
          <cell r="G1359" t="str">
            <v>1.00 * 1.50</v>
          </cell>
          <cell r="H1359" t="str">
            <v>V</v>
          </cell>
          <cell r="I1359" t="str">
            <v>ACCESO SALA DE V</v>
          </cell>
          <cell r="J1359">
            <v>0</v>
          </cell>
          <cell r="K1359">
            <v>0</v>
          </cell>
          <cell r="L1359">
            <v>220000</v>
          </cell>
          <cell r="M1359" t="str">
            <v>LIDER PUENTE ALTO</v>
          </cell>
          <cell r="P1359" t="str">
            <v>PUENTE ALTO</v>
          </cell>
          <cell r="Q1359" t="str">
            <v>TRADICIONAL</v>
          </cell>
          <cell r="R1359" t="str">
            <v>Supermercado - Santiago</v>
          </cell>
          <cell r="S1359" t="str">
            <v>Lider</v>
          </cell>
          <cell r="T1359" t="str">
            <v>Paletas</v>
          </cell>
          <cell r="U1359">
            <v>1</v>
          </cell>
          <cell r="V1359" t="str">
            <v>0.93 * 1.43</v>
          </cell>
        </row>
        <row r="1360">
          <cell r="A1360" t="str">
            <v>LIPA0003A</v>
          </cell>
          <cell r="B1360" t="str">
            <v>Supermercado</v>
          </cell>
          <cell r="D1360" t="str">
            <v>Paletas</v>
          </cell>
          <cell r="E1360" t="str">
            <v>Paleta</v>
          </cell>
          <cell r="F1360" t="str">
            <v>0.93 * 1.43</v>
          </cell>
          <cell r="G1360" t="str">
            <v>1.00 * 1.50</v>
          </cell>
          <cell r="H1360" t="str">
            <v>V</v>
          </cell>
          <cell r="I1360" t="str">
            <v>ACCESO SALA DE V</v>
          </cell>
          <cell r="J1360">
            <v>0</v>
          </cell>
          <cell r="K1360">
            <v>0</v>
          </cell>
          <cell r="L1360">
            <v>220000</v>
          </cell>
          <cell r="M1360" t="str">
            <v>LIDER PUENTE ALTO</v>
          </cell>
          <cell r="P1360" t="str">
            <v>PUENTE ALTO</v>
          </cell>
          <cell r="Q1360" t="str">
            <v>TRADICIONAL</v>
          </cell>
          <cell r="R1360" t="str">
            <v>Supermercado - Santiago</v>
          </cell>
          <cell r="S1360" t="str">
            <v>Lider</v>
          </cell>
          <cell r="T1360" t="str">
            <v>Paletas</v>
          </cell>
          <cell r="U1360">
            <v>1</v>
          </cell>
          <cell r="V1360" t="str">
            <v>0.93 * 1.43</v>
          </cell>
        </row>
        <row r="1361">
          <cell r="A1361" t="str">
            <v>LIPA0004A</v>
          </cell>
          <cell r="B1361" t="str">
            <v>Supermercado</v>
          </cell>
          <cell r="D1361" t="str">
            <v>Cajas de luz</v>
          </cell>
          <cell r="E1361" t="str">
            <v>Cajas de luz</v>
          </cell>
          <cell r="F1361" t="str">
            <v>3.92 * 1.92</v>
          </cell>
          <cell r="G1361" t="str">
            <v>4.20 * 2.20</v>
          </cell>
          <cell r="H1361" t="str">
            <v>V</v>
          </cell>
          <cell r="I1361" t="str">
            <v>ACCESO SALA DE V</v>
          </cell>
          <cell r="J1361">
            <v>0</v>
          </cell>
          <cell r="K1361">
            <v>0</v>
          </cell>
          <cell r="L1361">
            <v>520000</v>
          </cell>
          <cell r="M1361" t="str">
            <v>LIDER PUENTE ALTO</v>
          </cell>
          <cell r="P1361" t="str">
            <v>PUENTE ALTO</v>
          </cell>
          <cell r="Q1361" t="str">
            <v>TRADICIONAL</v>
          </cell>
          <cell r="R1361" t="str">
            <v>Supermercado - Santiago</v>
          </cell>
          <cell r="S1361" t="str">
            <v>Lider</v>
          </cell>
          <cell r="T1361" t="str">
            <v>Cajas de luz</v>
          </cell>
          <cell r="U1361">
            <v>1</v>
          </cell>
          <cell r="V1361" t="str">
            <v>3.92 * 1.92</v>
          </cell>
        </row>
        <row r="1362">
          <cell r="A1362" t="str">
            <v>LIPA0006</v>
          </cell>
          <cell r="B1362" t="str">
            <v>Supermercado</v>
          </cell>
          <cell r="D1362" t="str">
            <v>P.E.: CORPOREO</v>
          </cell>
          <cell r="E1362" t="str">
            <v>CORPOREO</v>
          </cell>
          <cell r="M1362" t="str">
            <v>LIDER PUENTE ALTO</v>
          </cell>
          <cell r="P1362" t="str">
            <v>PUENTE ALTO</v>
          </cell>
          <cell r="Q1362" t="str">
            <v>ESPECIAL</v>
          </cell>
          <cell r="R1362" t="str">
            <v>Supermercado - Sur</v>
          </cell>
          <cell r="S1362" t="str">
            <v>Lider</v>
          </cell>
          <cell r="T1362" t="str">
            <v>Productos Especiales</v>
          </cell>
          <cell r="U1362">
            <v>1</v>
          </cell>
        </row>
        <row r="1363">
          <cell r="A1363" t="str">
            <v>LIPJ0001A</v>
          </cell>
          <cell r="B1363" t="str">
            <v>Supermercado</v>
          </cell>
          <cell r="D1363" t="str">
            <v>NO VENDIBLE</v>
          </cell>
          <cell r="E1363" t="str">
            <v>Cajas de luz</v>
          </cell>
          <cell r="F1363" t="str">
            <v>3.92 * 1.92</v>
          </cell>
          <cell r="G1363" t="str">
            <v>4.20 * 2.20</v>
          </cell>
          <cell r="H1363" t="str">
            <v>E</v>
          </cell>
          <cell r="I1363" t="str">
            <v>ESTACIONAMIENTOS</v>
          </cell>
          <cell r="J1363">
            <v>0</v>
          </cell>
          <cell r="K1363">
            <v>0</v>
          </cell>
          <cell r="L1363">
            <v>520000</v>
          </cell>
          <cell r="M1363" t="str">
            <v>LIDER PAJARITOS</v>
          </cell>
          <cell r="O1363" t="str">
            <v>Sí</v>
          </cell>
          <cell r="P1363" t="str">
            <v>MAIPU</v>
          </cell>
          <cell r="Q1363" t="str">
            <v>TRADICIONAL</v>
          </cell>
          <cell r="R1363" t="str">
            <v>Supermercado - Santiago</v>
          </cell>
          <cell r="S1363" t="str">
            <v>Lider</v>
          </cell>
          <cell r="T1363" t="str">
            <v>Cajas de luz</v>
          </cell>
          <cell r="U1363">
            <v>1</v>
          </cell>
          <cell r="V1363" t="str">
            <v>3.92 * 1.92</v>
          </cell>
        </row>
        <row r="1364">
          <cell r="A1364" t="str">
            <v>LIPJ0002A</v>
          </cell>
          <cell r="B1364" t="str">
            <v>Supermercado</v>
          </cell>
          <cell r="D1364" t="str">
            <v>NO VENDIBLE</v>
          </cell>
          <cell r="E1364" t="str">
            <v>PANEL ACCESO.</v>
          </cell>
          <cell r="F1364" t="str">
            <v>Ver Ficha</v>
          </cell>
          <cell r="G1364" t="str">
            <v>Ver Ficha</v>
          </cell>
          <cell r="H1364" t="str">
            <v>X</v>
          </cell>
          <cell r="I1364" t="str">
            <v>EXTERIORES</v>
          </cell>
          <cell r="J1364">
            <v>72000</v>
          </cell>
          <cell r="K1364">
            <v>0</v>
          </cell>
          <cell r="L1364">
            <v>1900000</v>
          </cell>
          <cell r="M1364" t="str">
            <v>LIDER PAJARITOS</v>
          </cell>
          <cell r="O1364" t="str">
            <v>Sí</v>
          </cell>
          <cell r="P1364" t="str">
            <v>MAIPU</v>
          </cell>
          <cell r="Q1364" t="str">
            <v>ESPECIAL</v>
          </cell>
          <cell r="R1364" t="str">
            <v>Supermercado - Santiago</v>
          </cell>
          <cell r="S1364" t="str">
            <v>Lider</v>
          </cell>
          <cell r="T1364" t="str">
            <v>Productos Especiales</v>
          </cell>
          <cell r="U1364">
            <v>1</v>
          </cell>
          <cell r="V1364" t="str">
            <v>NA</v>
          </cell>
        </row>
        <row r="1365">
          <cell r="A1365" t="str">
            <v>LIPN0001A</v>
          </cell>
          <cell r="B1365" t="str">
            <v>Supermercado</v>
          </cell>
          <cell r="D1365" t="str">
            <v>Cajas de luz</v>
          </cell>
          <cell r="E1365" t="str">
            <v>Cajas de luz</v>
          </cell>
          <cell r="F1365" t="str">
            <v>2.92 * 1.42</v>
          </cell>
          <cell r="G1365" t="str">
            <v>3.20 x 1.70</v>
          </cell>
          <cell r="H1365" t="str">
            <v>V</v>
          </cell>
          <cell r="I1365" t="str">
            <v>ACCESO SALA DE V</v>
          </cell>
          <cell r="J1365">
            <v>0</v>
          </cell>
          <cell r="K1365">
            <v>0</v>
          </cell>
          <cell r="L1365">
            <v>600000</v>
          </cell>
          <cell r="M1365" t="str">
            <v>LIDER PLAZA NORTE</v>
          </cell>
          <cell r="P1365" t="str">
            <v>HUECHURABA</v>
          </cell>
          <cell r="Q1365" t="str">
            <v>TRADICIONAL</v>
          </cell>
          <cell r="R1365" t="str">
            <v>Supermercado - Santiago</v>
          </cell>
          <cell r="S1365" t="str">
            <v>Lider</v>
          </cell>
          <cell r="T1365" t="str">
            <v>Cajas de luz</v>
          </cell>
          <cell r="U1365">
            <v>1</v>
          </cell>
          <cell r="V1365" t="str">
            <v>2.92 * 1.42</v>
          </cell>
        </row>
        <row r="1366">
          <cell r="A1366" t="str">
            <v>LIPN0002A</v>
          </cell>
          <cell r="B1366" t="str">
            <v>Supermercado</v>
          </cell>
          <cell r="D1366" t="str">
            <v>Cajas de luz</v>
          </cell>
          <cell r="E1366" t="str">
            <v>Cajas de luz</v>
          </cell>
          <cell r="F1366" t="str">
            <v>2.92 * 1.42</v>
          </cell>
          <cell r="G1366" t="str">
            <v>3.20 x 1.70</v>
          </cell>
          <cell r="H1366" t="str">
            <v>V</v>
          </cell>
          <cell r="I1366" t="str">
            <v>ACCESO SALA DE V</v>
          </cell>
          <cell r="J1366">
            <v>0</v>
          </cell>
          <cell r="K1366">
            <v>0</v>
          </cell>
          <cell r="L1366">
            <v>600000</v>
          </cell>
          <cell r="M1366" t="str">
            <v>LIDER PLAZA NORTE</v>
          </cell>
          <cell r="P1366" t="str">
            <v>HUECHURABA</v>
          </cell>
          <cell r="Q1366" t="str">
            <v>TRADICIONAL</v>
          </cell>
          <cell r="R1366" t="str">
            <v>Supermercado - Santiago</v>
          </cell>
          <cell r="S1366" t="str">
            <v>Lider</v>
          </cell>
          <cell r="T1366" t="str">
            <v>Cajas de luz</v>
          </cell>
          <cell r="U1366">
            <v>1</v>
          </cell>
          <cell r="V1366" t="str">
            <v>2.92 * 1.42</v>
          </cell>
        </row>
        <row r="1367">
          <cell r="A1367" t="str">
            <v>LIPV0001A</v>
          </cell>
          <cell r="B1367" t="str">
            <v>Supermercado</v>
          </cell>
          <cell r="D1367" t="str">
            <v>Paletas</v>
          </cell>
          <cell r="E1367" t="str">
            <v>Paletas</v>
          </cell>
          <cell r="F1367" t="str">
            <v>1.10 * 1.53</v>
          </cell>
          <cell r="G1367" t="str">
            <v>1.15 * 1.57</v>
          </cell>
          <cell r="H1367" t="str">
            <v>E</v>
          </cell>
          <cell r="I1367" t="str">
            <v>ESTACIONAMIENTOS</v>
          </cell>
          <cell r="J1367">
            <v>0</v>
          </cell>
          <cell r="K1367">
            <v>0</v>
          </cell>
          <cell r="L1367">
            <v>320000</v>
          </cell>
          <cell r="M1367" t="str">
            <v>LIDER PEDRO DE VALDIVIA</v>
          </cell>
          <cell r="P1367" t="str">
            <v>PROVIDENCIA</v>
          </cell>
          <cell r="Q1367" t="str">
            <v>TRADICIONAL</v>
          </cell>
          <cell r="R1367" t="str">
            <v>Supermercado - Santiago</v>
          </cell>
          <cell r="S1367" t="str">
            <v>Lider</v>
          </cell>
          <cell r="T1367" t="str">
            <v>Paletas</v>
          </cell>
          <cell r="U1367">
            <v>1</v>
          </cell>
          <cell r="V1367" t="str">
            <v>1.10 * 1.53</v>
          </cell>
        </row>
        <row r="1368">
          <cell r="A1368" t="str">
            <v>LIPV0001B</v>
          </cell>
          <cell r="B1368" t="str">
            <v>Supermercado</v>
          </cell>
          <cell r="D1368" t="str">
            <v>Paletas</v>
          </cell>
          <cell r="E1368" t="str">
            <v>Paletas</v>
          </cell>
          <cell r="F1368" t="str">
            <v>1.10 * 1.53</v>
          </cell>
          <cell r="G1368" t="str">
            <v>1.15 * 1.57</v>
          </cell>
          <cell r="H1368" t="str">
            <v>E</v>
          </cell>
          <cell r="I1368" t="str">
            <v>ESTACIONAMIENTOS</v>
          </cell>
          <cell r="J1368">
            <v>0</v>
          </cell>
          <cell r="K1368">
            <v>0</v>
          </cell>
          <cell r="L1368">
            <v>320000</v>
          </cell>
          <cell r="M1368" t="str">
            <v>LIDER PEDRO DE VALDIVIA</v>
          </cell>
          <cell r="P1368" t="str">
            <v>PROVIDENCIA</v>
          </cell>
          <cell r="Q1368" t="str">
            <v>TRADICIONAL</v>
          </cell>
          <cell r="R1368" t="str">
            <v>Supermercado - Santiago</v>
          </cell>
          <cell r="S1368" t="str">
            <v>Lider</v>
          </cell>
          <cell r="T1368" t="str">
            <v>Paletas</v>
          </cell>
          <cell r="U1368">
            <v>1</v>
          </cell>
          <cell r="V1368" t="str">
            <v>1.10 * 1.53</v>
          </cell>
        </row>
        <row r="1369">
          <cell r="A1369" t="str">
            <v>LIPV0002A</v>
          </cell>
          <cell r="B1369" t="str">
            <v>Supermercado</v>
          </cell>
          <cell r="D1369" t="str">
            <v>Paletas</v>
          </cell>
          <cell r="E1369" t="str">
            <v>Paletas</v>
          </cell>
          <cell r="F1369" t="str">
            <v>1.10 * 1.53</v>
          </cell>
          <cell r="G1369" t="str">
            <v>1.15 * 1.57</v>
          </cell>
          <cell r="H1369" t="str">
            <v>E</v>
          </cell>
          <cell r="I1369" t="str">
            <v>ESTACIONAMIENTOS</v>
          </cell>
          <cell r="J1369">
            <v>0</v>
          </cell>
          <cell r="K1369">
            <v>0</v>
          </cell>
          <cell r="L1369">
            <v>320000</v>
          </cell>
          <cell r="M1369" t="str">
            <v>LIDER PEDRO DE VALDIVIA</v>
          </cell>
          <cell r="P1369" t="str">
            <v>PROVIDENCIA</v>
          </cell>
          <cell r="Q1369" t="str">
            <v>TRADICIONAL</v>
          </cell>
          <cell r="R1369" t="str">
            <v>Supermercado - Santiago</v>
          </cell>
          <cell r="S1369" t="str">
            <v>Lider</v>
          </cell>
          <cell r="T1369" t="str">
            <v>Paletas</v>
          </cell>
          <cell r="U1369">
            <v>1</v>
          </cell>
          <cell r="V1369" t="str">
            <v>1.10 * 1.53</v>
          </cell>
        </row>
        <row r="1370">
          <cell r="A1370" t="str">
            <v>LIPV0002B</v>
          </cell>
          <cell r="B1370" t="str">
            <v>Supermercado</v>
          </cell>
          <cell r="D1370" t="str">
            <v>Paletas</v>
          </cell>
          <cell r="E1370" t="str">
            <v>Paletas</v>
          </cell>
          <cell r="F1370" t="str">
            <v>1.10 * 1.53</v>
          </cell>
          <cell r="G1370" t="str">
            <v>1.15 * 1.57</v>
          </cell>
          <cell r="H1370" t="str">
            <v>E</v>
          </cell>
          <cell r="I1370" t="str">
            <v>ESTACIONAMIENTOS</v>
          </cell>
          <cell r="J1370">
            <v>0</v>
          </cell>
          <cell r="K1370">
            <v>0</v>
          </cell>
          <cell r="L1370">
            <v>320000</v>
          </cell>
          <cell r="M1370" t="str">
            <v>LIDER PEDRO DE VALDIVIA</v>
          </cell>
          <cell r="P1370" t="str">
            <v>PROVIDENCIA</v>
          </cell>
          <cell r="Q1370" t="str">
            <v>TRADICIONAL</v>
          </cell>
          <cell r="R1370" t="str">
            <v>Supermercado - Santiago</v>
          </cell>
          <cell r="S1370" t="str">
            <v>Lider</v>
          </cell>
          <cell r="T1370" t="str">
            <v>Paletas</v>
          </cell>
          <cell r="U1370">
            <v>1</v>
          </cell>
          <cell r="V1370" t="str">
            <v>1.10 * 1.53</v>
          </cell>
        </row>
        <row r="1371">
          <cell r="A1371" t="str">
            <v>LIQU0001A</v>
          </cell>
          <cell r="B1371" t="str">
            <v>Supermercado</v>
          </cell>
          <cell r="D1371" t="str">
            <v>Paletas</v>
          </cell>
          <cell r="E1371" t="str">
            <v>Paletas</v>
          </cell>
          <cell r="F1371" t="str">
            <v>1.10 * 1.53</v>
          </cell>
          <cell r="G1371" t="str">
            <v>1.15 * 1.57</v>
          </cell>
          <cell r="H1371" t="str">
            <v>E</v>
          </cell>
          <cell r="I1371" t="str">
            <v>ESTACIONAMIENTOS</v>
          </cell>
          <cell r="J1371">
            <v>0</v>
          </cell>
          <cell r="K1371">
            <v>0</v>
          </cell>
          <cell r="L1371">
            <v>220000</v>
          </cell>
          <cell r="M1371" t="str">
            <v>LIDER IQUIQUE</v>
          </cell>
          <cell r="P1371" t="str">
            <v>IQUIQUE</v>
          </cell>
          <cell r="Q1371" t="str">
            <v>TRADICIONAL</v>
          </cell>
          <cell r="R1371" t="str">
            <v>Supermercado - Norte</v>
          </cell>
          <cell r="S1371" t="str">
            <v>Lider</v>
          </cell>
          <cell r="T1371" t="str">
            <v>Paletas</v>
          </cell>
          <cell r="U1371">
            <v>1</v>
          </cell>
          <cell r="V1371" t="str">
            <v>1.10 * 1.53</v>
          </cell>
        </row>
        <row r="1372">
          <cell r="A1372" t="str">
            <v>LIQU0002A</v>
          </cell>
          <cell r="B1372" t="str">
            <v>Supermercado</v>
          </cell>
          <cell r="D1372" t="str">
            <v>Paletas</v>
          </cell>
          <cell r="E1372" t="str">
            <v>Paletas</v>
          </cell>
          <cell r="F1372" t="str">
            <v>1.10 * 1.53</v>
          </cell>
          <cell r="G1372" t="str">
            <v>1.15 * 1.57</v>
          </cell>
          <cell r="H1372" t="str">
            <v>E</v>
          </cell>
          <cell r="I1372" t="str">
            <v>ESTACIONAMIENTOS</v>
          </cell>
          <cell r="J1372">
            <v>0</v>
          </cell>
          <cell r="K1372">
            <v>0</v>
          </cell>
          <cell r="L1372">
            <v>220000</v>
          </cell>
          <cell r="M1372" t="str">
            <v>LIDER IQUIQUE</v>
          </cell>
          <cell r="P1372" t="str">
            <v>IQUIQUE</v>
          </cell>
          <cell r="Q1372" t="str">
            <v>TRADICIONAL</v>
          </cell>
          <cell r="R1372" t="str">
            <v>Supermercado - Norte</v>
          </cell>
          <cell r="S1372" t="str">
            <v>Lider</v>
          </cell>
          <cell r="T1372" t="str">
            <v>Paletas</v>
          </cell>
          <cell r="U1372">
            <v>1</v>
          </cell>
          <cell r="V1372" t="str">
            <v>1.10 * 1.53</v>
          </cell>
        </row>
        <row r="1373">
          <cell r="A1373" t="str">
            <v>LIQU0002B</v>
          </cell>
          <cell r="B1373" t="str">
            <v>Supermercado</v>
          </cell>
          <cell r="D1373" t="str">
            <v>Paletas</v>
          </cell>
          <cell r="E1373" t="str">
            <v>Paletas</v>
          </cell>
          <cell r="F1373" t="str">
            <v>1.10 * 1.53</v>
          </cell>
          <cell r="G1373" t="str">
            <v>1.15 * 1.57</v>
          </cell>
          <cell r="H1373" t="str">
            <v>E</v>
          </cell>
          <cell r="I1373" t="str">
            <v>ESTACIONAMIENTOS</v>
          </cell>
          <cell r="J1373">
            <v>0</v>
          </cell>
          <cell r="K1373">
            <v>0</v>
          </cell>
          <cell r="L1373">
            <v>220000</v>
          </cell>
          <cell r="M1373" t="str">
            <v>LIDER IQUIQUE</v>
          </cell>
          <cell r="P1373" t="str">
            <v>IQUIQUE</v>
          </cell>
          <cell r="Q1373" t="str">
            <v>TRADICIONAL</v>
          </cell>
          <cell r="R1373" t="str">
            <v>Supermercado - Norte</v>
          </cell>
          <cell r="S1373" t="str">
            <v>Lider</v>
          </cell>
          <cell r="T1373" t="str">
            <v>Paletas</v>
          </cell>
          <cell r="U1373">
            <v>1</v>
          </cell>
          <cell r="V1373" t="str">
            <v>1.10 * 1.53</v>
          </cell>
        </row>
        <row r="1374">
          <cell r="A1374" t="str">
            <v>LIQU0003A</v>
          </cell>
          <cell r="B1374" t="str">
            <v>Supermercado</v>
          </cell>
          <cell r="D1374" t="str">
            <v>Paletas</v>
          </cell>
          <cell r="E1374" t="str">
            <v>Paletas</v>
          </cell>
          <cell r="F1374" t="str">
            <v>1.10 * 1.53</v>
          </cell>
          <cell r="G1374" t="str">
            <v>1.15 * 1.57</v>
          </cell>
          <cell r="H1374" t="str">
            <v>E</v>
          </cell>
          <cell r="I1374" t="str">
            <v>ESTACIONAMIENTOS</v>
          </cell>
          <cell r="J1374">
            <v>0</v>
          </cell>
          <cell r="K1374">
            <v>0</v>
          </cell>
          <cell r="L1374">
            <v>220000</v>
          </cell>
          <cell r="M1374" t="str">
            <v>LIDER IQUIQUE</v>
          </cell>
          <cell r="P1374" t="str">
            <v>IQUIQUE</v>
          </cell>
          <cell r="Q1374" t="str">
            <v>TRADICIONAL</v>
          </cell>
          <cell r="R1374" t="str">
            <v>Supermercado - Norte</v>
          </cell>
          <cell r="S1374" t="str">
            <v>Lider</v>
          </cell>
          <cell r="T1374" t="str">
            <v>Paletas</v>
          </cell>
          <cell r="U1374">
            <v>1</v>
          </cell>
          <cell r="V1374" t="str">
            <v>1.10 * 1.53</v>
          </cell>
        </row>
        <row r="1375">
          <cell r="A1375" t="str">
            <v>LIQU0003B</v>
          </cell>
          <cell r="B1375" t="str">
            <v>Supermercado</v>
          </cell>
          <cell r="D1375" t="str">
            <v>Paletas</v>
          </cell>
          <cell r="E1375" t="str">
            <v>Paletas</v>
          </cell>
          <cell r="F1375" t="str">
            <v>1.10 * 1.53</v>
          </cell>
          <cell r="G1375" t="str">
            <v>1.15 * 1.57</v>
          </cell>
          <cell r="H1375" t="str">
            <v>E</v>
          </cell>
          <cell r="I1375" t="str">
            <v>ESTACIONAMIENTOS</v>
          </cell>
          <cell r="J1375">
            <v>0</v>
          </cell>
          <cell r="K1375">
            <v>0</v>
          </cell>
          <cell r="L1375">
            <v>220000</v>
          </cell>
          <cell r="M1375" t="str">
            <v>LIDER IQUIQUE</v>
          </cell>
          <cell r="P1375" t="str">
            <v>IQUIQUE</v>
          </cell>
          <cell r="Q1375" t="str">
            <v>TRADICIONAL</v>
          </cell>
          <cell r="R1375" t="str">
            <v>Supermercado - Norte</v>
          </cell>
          <cell r="S1375" t="str">
            <v>Lider</v>
          </cell>
          <cell r="T1375" t="str">
            <v>Paletas</v>
          </cell>
          <cell r="U1375">
            <v>1</v>
          </cell>
          <cell r="V1375" t="str">
            <v>1.10 * 1.53</v>
          </cell>
        </row>
        <row r="1376">
          <cell r="A1376" t="str">
            <v>LIQU0004A</v>
          </cell>
          <cell r="B1376" t="str">
            <v>Supermercado</v>
          </cell>
          <cell r="D1376" t="str">
            <v>Paletas</v>
          </cell>
          <cell r="E1376" t="str">
            <v>Paletas</v>
          </cell>
          <cell r="F1376" t="str">
            <v>1.10 * 1.53</v>
          </cell>
          <cell r="G1376" t="str">
            <v>1.15 * 1.57</v>
          </cell>
          <cell r="H1376" t="str">
            <v>E</v>
          </cell>
          <cell r="I1376" t="str">
            <v>ESTACIONAMIENTOS</v>
          </cell>
          <cell r="J1376">
            <v>0</v>
          </cell>
          <cell r="K1376">
            <v>0</v>
          </cell>
          <cell r="L1376">
            <v>220000</v>
          </cell>
          <cell r="M1376" t="str">
            <v>LIDER IQUIQUE</v>
          </cell>
          <cell r="P1376" t="str">
            <v>IQUIQUE</v>
          </cell>
          <cell r="Q1376" t="str">
            <v>TRADICIONAL</v>
          </cell>
          <cell r="R1376" t="str">
            <v>Supermercado - Norte</v>
          </cell>
          <cell r="S1376" t="str">
            <v>Lider</v>
          </cell>
          <cell r="T1376" t="str">
            <v>Paletas</v>
          </cell>
          <cell r="U1376">
            <v>1</v>
          </cell>
          <cell r="V1376" t="str">
            <v>1.10 * 1.53</v>
          </cell>
        </row>
        <row r="1377">
          <cell r="A1377" t="str">
            <v>LIQU0005A</v>
          </cell>
          <cell r="B1377" t="str">
            <v>Supermercado</v>
          </cell>
          <cell r="D1377" t="str">
            <v>Paletas</v>
          </cell>
          <cell r="E1377" t="str">
            <v>Paletas</v>
          </cell>
          <cell r="F1377" t="str">
            <v>1.10 * 1.53</v>
          </cell>
          <cell r="G1377" t="str">
            <v>1.15 * 1.57</v>
          </cell>
          <cell r="H1377" t="str">
            <v>E</v>
          </cell>
          <cell r="I1377" t="str">
            <v>ESTACIONAMIENTOS</v>
          </cell>
          <cell r="J1377">
            <v>0</v>
          </cell>
          <cell r="K1377">
            <v>0</v>
          </cell>
          <cell r="L1377">
            <v>220000</v>
          </cell>
          <cell r="M1377" t="str">
            <v>LIDER IQUIQUE</v>
          </cell>
          <cell r="P1377" t="str">
            <v>IQUIQUE</v>
          </cell>
          <cell r="Q1377" t="str">
            <v>TRADICIONAL</v>
          </cell>
          <cell r="R1377" t="str">
            <v>Supermercado - Norte</v>
          </cell>
          <cell r="S1377" t="str">
            <v>Lider</v>
          </cell>
          <cell r="T1377" t="str">
            <v>Paletas</v>
          </cell>
          <cell r="U1377">
            <v>1</v>
          </cell>
          <cell r="V1377" t="str">
            <v>1.10 * 1.53</v>
          </cell>
        </row>
        <row r="1378">
          <cell r="A1378" t="str">
            <v>LIQU0005B</v>
          </cell>
          <cell r="B1378" t="str">
            <v>Supermercado</v>
          </cell>
          <cell r="D1378" t="str">
            <v>Paletas</v>
          </cell>
          <cell r="E1378" t="str">
            <v>Paletas</v>
          </cell>
          <cell r="F1378" t="str">
            <v>1.10 * 1.53</v>
          </cell>
          <cell r="G1378" t="str">
            <v>1.15 * 1.57</v>
          </cell>
          <cell r="H1378" t="str">
            <v>E</v>
          </cell>
          <cell r="I1378" t="str">
            <v>ESTACIONAMIENTOS</v>
          </cell>
          <cell r="J1378">
            <v>0</v>
          </cell>
          <cell r="K1378">
            <v>0</v>
          </cell>
          <cell r="L1378">
            <v>220000</v>
          </cell>
          <cell r="M1378" t="str">
            <v>LIDER IQUIQUE</v>
          </cell>
          <cell r="P1378" t="str">
            <v>IQUIQUE</v>
          </cell>
          <cell r="Q1378" t="str">
            <v>TRADICIONAL</v>
          </cell>
          <cell r="R1378" t="str">
            <v>Supermercado - Norte</v>
          </cell>
          <cell r="S1378" t="str">
            <v>Lider</v>
          </cell>
          <cell r="T1378" t="str">
            <v>Paletas</v>
          </cell>
          <cell r="U1378">
            <v>1</v>
          </cell>
          <cell r="V1378" t="str">
            <v>1.10 * 1.53</v>
          </cell>
        </row>
        <row r="1379">
          <cell r="A1379" t="str">
            <v>LIRC0001A</v>
          </cell>
          <cell r="B1379" t="str">
            <v>Supermercado</v>
          </cell>
          <cell r="D1379" t="str">
            <v>Cajas de luz</v>
          </cell>
          <cell r="E1379" t="str">
            <v>Cajas de luz</v>
          </cell>
          <cell r="F1379" t="str">
            <v>3.92 x 1.92</v>
          </cell>
          <cell r="G1379" t="str">
            <v>4.20 * 2.20</v>
          </cell>
          <cell r="H1379" t="str">
            <v>E</v>
          </cell>
          <cell r="I1379" t="str">
            <v>ESTACIONAMIENTOS</v>
          </cell>
          <cell r="J1379">
            <v>0</v>
          </cell>
          <cell r="K1379">
            <v>0</v>
          </cell>
          <cell r="L1379">
            <v>520000</v>
          </cell>
          <cell r="M1379" t="str">
            <v>LIDER RECOLETA</v>
          </cell>
          <cell r="P1379" t="str">
            <v>RECOLETA</v>
          </cell>
          <cell r="Q1379" t="str">
            <v>TRADICIONAL</v>
          </cell>
          <cell r="R1379" t="str">
            <v>Supermercado - Santiago</v>
          </cell>
          <cell r="S1379" t="str">
            <v>Lider</v>
          </cell>
          <cell r="T1379" t="str">
            <v>Cajas de luz</v>
          </cell>
          <cell r="U1379">
            <v>1</v>
          </cell>
          <cell r="V1379" t="str">
            <v>3.92 * 1.92</v>
          </cell>
        </row>
        <row r="1380">
          <cell r="A1380" t="str">
            <v>LIRC0002A</v>
          </cell>
          <cell r="B1380" t="str">
            <v>Supermercado</v>
          </cell>
          <cell r="D1380" t="str">
            <v>Cajas de luz</v>
          </cell>
          <cell r="E1380" t="str">
            <v>Cajas de luz</v>
          </cell>
          <cell r="F1380" t="str">
            <v>2.73 * 3.53</v>
          </cell>
          <cell r="G1380" t="str">
            <v>3.00 * 3.80</v>
          </cell>
          <cell r="H1380" t="str">
            <v>V</v>
          </cell>
          <cell r="I1380" t="str">
            <v>ACCESO SALA DE V</v>
          </cell>
          <cell r="J1380">
            <v>0</v>
          </cell>
          <cell r="K1380">
            <v>0</v>
          </cell>
          <cell r="L1380">
            <v>680000</v>
          </cell>
          <cell r="M1380" t="str">
            <v>LIDER RECOLETA</v>
          </cell>
          <cell r="P1380" t="str">
            <v>RECOLETA</v>
          </cell>
          <cell r="Q1380" t="str">
            <v>TRADICIONAL</v>
          </cell>
          <cell r="R1380" t="str">
            <v>Supermercado - Santiago</v>
          </cell>
          <cell r="S1380" t="str">
            <v>Lider</v>
          </cell>
          <cell r="T1380" t="str">
            <v>Cajas de luz</v>
          </cell>
          <cell r="U1380">
            <v>1</v>
          </cell>
          <cell r="V1380" t="str">
            <v>2.73 * 3.53</v>
          </cell>
        </row>
        <row r="1381">
          <cell r="A1381" t="str">
            <v>LIRC0003A</v>
          </cell>
          <cell r="B1381" t="str">
            <v>Supermercado</v>
          </cell>
          <cell r="D1381" t="str">
            <v>Paletas</v>
          </cell>
          <cell r="E1381" t="str">
            <v>Paletas</v>
          </cell>
          <cell r="F1381" t="str">
            <v>1.10 x 1.53</v>
          </cell>
          <cell r="G1381" t="str">
            <v>1.15 * 1.57</v>
          </cell>
          <cell r="H1381" t="str">
            <v>V</v>
          </cell>
          <cell r="I1381" t="str">
            <v>ACCESO SALA DE V</v>
          </cell>
          <cell r="J1381">
            <v>0</v>
          </cell>
          <cell r="K1381">
            <v>0</v>
          </cell>
          <cell r="L1381">
            <v>320000</v>
          </cell>
          <cell r="M1381" t="str">
            <v>LIDER RECOLETA</v>
          </cell>
          <cell r="P1381" t="str">
            <v>RECOLETA</v>
          </cell>
          <cell r="Q1381" t="str">
            <v>TRADICIONAL</v>
          </cell>
          <cell r="R1381" t="str">
            <v>Supermercado - Santiago</v>
          </cell>
          <cell r="S1381" t="str">
            <v>Lider</v>
          </cell>
          <cell r="T1381" t="str">
            <v>Paletas</v>
          </cell>
          <cell r="U1381">
            <v>1</v>
          </cell>
          <cell r="V1381" t="str">
            <v>1.10 * 1.53</v>
          </cell>
        </row>
        <row r="1382">
          <cell r="A1382" t="str">
            <v>LIRC0003A</v>
          </cell>
          <cell r="B1382" t="str">
            <v>Supermercado</v>
          </cell>
          <cell r="D1382" t="str">
            <v>P.E.: LOTES CARROS SUPERMERCADOS</v>
          </cell>
          <cell r="E1382" t="str">
            <v>LOTES CARROS SUPERMERCADOS</v>
          </cell>
          <cell r="I1382" t="str">
            <v>INTERIORES</v>
          </cell>
          <cell r="J1382">
            <v>360000</v>
          </cell>
          <cell r="K1382">
            <v>0</v>
          </cell>
          <cell r="L1382">
            <v>1200000</v>
          </cell>
          <cell r="M1382" t="str">
            <v>LIDER RECOLETA</v>
          </cell>
          <cell r="P1382" t="str">
            <v>RECOLETA</v>
          </cell>
          <cell r="Q1382" t="str">
            <v>ESPECIAL</v>
          </cell>
          <cell r="R1382" t="str">
            <v>Supermercado - Santiago</v>
          </cell>
          <cell r="S1382" t="str">
            <v>Lider</v>
          </cell>
          <cell r="T1382" t="str">
            <v>Productos Especiales</v>
          </cell>
          <cell r="U1382">
            <v>1</v>
          </cell>
        </row>
        <row r="1383">
          <cell r="A1383" t="str">
            <v>LIRC0004A</v>
          </cell>
          <cell r="B1383" t="str">
            <v>Supermercado</v>
          </cell>
          <cell r="D1383" t="str">
            <v>Paletas</v>
          </cell>
          <cell r="E1383" t="str">
            <v>Paletas</v>
          </cell>
          <cell r="F1383" t="str">
            <v>1.10 x 1.53</v>
          </cell>
          <cell r="G1383" t="str">
            <v>1.15 * 1.57</v>
          </cell>
          <cell r="H1383" t="str">
            <v>V</v>
          </cell>
          <cell r="J1383">
            <v>0</v>
          </cell>
          <cell r="K1383">
            <v>0</v>
          </cell>
          <cell r="L1383">
            <v>320000</v>
          </cell>
          <cell r="M1383" t="str">
            <v>LIDER RECOLETA</v>
          </cell>
          <cell r="P1383" t="str">
            <v>RECOLETA</v>
          </cell>
          <cell r="Q1383" t="str">
            <v>TRADICIONAL</v>
          </cell>
          <cell r="R1383" t="str">
            <v>Supermercado - Santiago</v>
          </cell>
          <cell r="S1383" t="str">
            <v>Lider</v>
          </cell>
          <cell r="T1383" t="str">
            <v>Paletas</v>
          </cell>
          <cell r="U1383">
            <v>1</v>
          </cell>
          <cell r="V1383" t="str">
            <v>1.10 * 1.53</v>
          </cell>
        </row>
        <row r="1384">
          <cell r="A1384" t="str">
            <v>LIRE0001A</v>
          </cell>
          <cell r="B1384" t="str">
            <v>Supermercado</v>
          </cell>
          <cell r="D1384" t="str">
            <v>Paletas</v>
          </cell>
          <cell r="E1384" t="str">
            <v>Paletas</v>
          </cell>
          <cell r="F1384" t="str">
            <v>1.10 * 1.53</v>
          </cell>
          <cell r="G1384" t="str">
            <v>1.15 * 1.57</v>
          </cell>
          <cell r="H1384" t="str">
            <v>E</v>
          </cell>
          <cell r="I1384" t="str">
            <v>ESTACIONAMIENTOS</v>
          </cell>
          <cell r="J1384">
            <v>0</v>
          </cell>
          <cell r="K1384">
            <v>0</v>
          </cell>
          <cell r="L1384">
            <v>280000</v>
          </cell>
          <cell r="M1384" t="str">
            <v>LIDER LA REINA</v>
          </cell>
          <cell r="P1384" t="str">
            <v>LA REINA</v>
          </cell>
          <cell r="Q1384" t="str">
            <v>TRADICIONAL</v>
          </cell>
          <cell r="R1384" t="str">
            <v>Supermercado - Santiago</v>
          </cell>
          <cell r="S1384" t="str">
            <v>Lider</v>
          </cell>
          <cell r="T1384" t="str">
            <v>Paletas</v>
          </cell>
          <cell r="U1384">
            <v>1</v>
          </cell>
          <cell r="V1384" t="str">
            <v>1.10 * 1.53</v>
          </cell>
        </row>
        <row r="1385">
          <cell r="A1385" t="str">
            <v>LIRE0001B</v>
          </cell>
          <cell r="B1385" t="str">
            <v>Supermercado</v>
          </cell>
          <cell r="D1385" t="str">
            <v>Paletas</v>
          </cell>
          <cell r="E1385" t="str">
            <v>Paletas</v>
          </cell>
          <cell r="F1385" t="str">
            <v>1.10 * 1.53</v>
          </cell>
          <cell r="G1385" t="str">
            <v>1.15 * 1.57</v>
          </cell>
          <cell r="H1385" t="str">
            <v>E</v>
          </cell>
          <cell r="I1385" t="str">
            <v>ESTACIONAMIENTOS</v>
          </cell>
          <cell r="J1385">
            <v>0</v>
          </cell>
          <cell r="K1385">
            <v>0</v>
          </cell>
          <cell r="L1385">
            <v>280000</v>
          </cell>
          <cell r="M1385" t="str">
            <v>LIDER LA REINA</v>
          </cell>
          <cell r="P1385" t="str">
            <v>LA REINA</v>
          </cell>
          <cell r="Q1385" t="str">
            <v>TRADICIONAL</v>
          </cell>
          <cell r="R1385" t="str">
            <v>Supermercado - Santiago</v>
          </cell>
          <cell r="S1385" t="str">
            <v>Lider</v>
          </cell>
          <cell r="T1385" t="str">
            <v>Paletas</v>
          </cell>
          <cell r="U1385">
            <v>1</v>
          </cell>
          <cell r="V1385" t="str">
            <v>1.10 * 1.53</v>
          </cell>
        </row>
        <row r="1386">
          <cell r="A1386" t="str">
            <v>LIRE0003A</v>
          </cell>
          <cell r="B1386" t="str">
            <v>Supermercado</v>
          </cell>
          <cell r="D1386" t="str">
            <v>Paletas</v>
          </cell>
          <cell r="E1386" t="str">
            <v>Paletas</v>
          </cell>
          <cell r="F1386" t="str">
            <v>1.10 * 1.53</v>
          </cell>
          <cell r="G1386" t="str">
            <v>1.15 * 1.57</v>
          </cell>
          <cell r="H1386" t="str">
            <v>E</v>
          </cell>
          <cell r="I1386" t="str">
            <v>ESTACIONAMIENTOS</v>
          </cell>
          <cell r="J1386">
            <v>0</v>
          </cell>
          <cell r="K1386">
            <v>0</v>
          </cell>
          <cell r="L1386">
            <v>280000</v>
          </cell>
          <cell r="M1386" t="str">
            <v>LIDER LA REINA</v>
          </cell>
          <cell r="P1386" t="str">
            <v>LA REINA</v>
          </cell>
          <cell r="Q1386" t="str">
            <v>TRADICIONAL</v>
          </cell>
          <cell r="R1386" t="str">
            <v>Supermercado - Santiago</v>
          </cell>
          <cell r="S1386" t="str">
            <v>Lider</v>
          </cell>
          <cell r="T1386" t="str">
            <v>Paletas</v>
          </cell>
          <cell r="U1386">
            <v>1</v>
          </cell>
          <cell r="V1386" t="str">
            <v>1.10 * 1.53</v>
          </cell>
        </row>
        <row r="1387">
          <cell r="A1387" t="str">
            <v>LIRE0003B</v>
          </cell>
          <cell r="B1387" t="str">
            <v>Supermercado</v>
          </cell>
          <cell r="D1387" t="str">
            <v>Paletas</v>
          </cell>
          <cell r="E1387" t="str">
            <v>Paletas</v>
          </cell>
          <cell r="F1387" t="str">
            <v>1.10 * 1.53</v>
          </cell>
          <cell r="G1387" t="str">
            <v>1.15 * 1.57</v>
          </cell>
          <cell r="H1387" t="str">
            <v>E</v>
          </cell>
          <cell r="I1387" t="str">
            <v>ESTACIONAMIENTOS</v>
          </cell>
          <cell r="J1387">
            <v>0</v>
          </cell>
          <cell r="K1387">
            <v>0</v>
          </cell>
          <cell r="L1387">
            <v>280000</v>
          </cell>
          <cell r="M1387" t="str">
            <v>LIDER LA REINA</v>
          </cell>
          <cell r="P1387" t="str">
            <v>LA REINA</v>
          </cell>
          <cell r="Q1387" t="str">
            <v>TRADICIONAL</v>
          </cell>
          <cell r="R1387" t="str">
            <v>Supermercado - Santiago</v>
          </cell>
          <cell r="S1387" t="str">
            <v>Lider</v>
          </cell>
          <cell r="T1387" t="str">
            <v>Paletas</v>
          </cell>
          <cell r="U1387">
            <v>1</v>
          </cell>
          <cell r="V1387" t="str">
            <v>1.10 * 1.53</v>
          </cell>
        </row>
        <row r="1388">
          <cell r="A1388" t="str">
            <v>LIRE0004A</v>
          </cell>
          <cell r="B1388" t="str">
            <v>Supermercado</v>
          </cell>
          <cell r="D1388" t="str">
            <v>Cajas de luz</v>
          </cell>
          <cell r="E1388" t="str">
            <v>Cajas de luz</v>
          </cell>
          <cell r="F1388" t="str">
            <v>3.92 * 1.92</v>
          </cell>
          <cell r="G1388" t="str">
            <v>4.20 * 2.20</v>
          </cell>
          <cell r="H1388" t="str">
            <v>E</v>
          </cell>
          <cell r="I1388" t="str">
            <v>ESTACIONAMIENTOS</v>
          </cell>
          <cell r="J1388">
            <v>0</v>
          </cell>
          <cell r="K1388">
            <v>0</v>
          </cell>
          <cell r="L1388">
            <v>520000</v>
          </cell>
          <cell r="M1388" t="str">
            <v>LIDER LA REINA</v>
          </cell>
          <cell r="P1388" t="str">
            <v>LA REINA</v>
          </cell>
          <cell r="Q1388" t="str">
            <v>TRADICIONAL</v>
          </cell>
          <cell r="R1388" t="str">
            <v>Supermercado - Santiago</v>
          </cell>
          <cell r="S1388" t="str">
            <v>Lider</v>
          </cell>
          <cell r="T1388" t="str">
            <v>Cajas de luz</v>
          </cell>
          <cell r="U1388">
            <v>1</v>
          </cell>
          <cell r="V1388" t="str">
            <v>3.92 * 1.92</v>
          </cell>
        </row>
        <row r="1389">
          <cell r="A1389" t="str">
            <v>LIRE0005A</v>
          </cell>
          <cell r="B1389" t="str">
            <v>Supermercado</v>
          </cell>
          <cell r="D1389" t="str">
            <v>Cajas de luz</v>
          </cell>
          <cell r="E1389" t="str">
            <v>Cajas de luz</v>
          </cell>
          <cell r="F1389" t="str">
            <v>3.92 * 1.92</v>
          </cell>
          <cell r="G1389" t="str">
            <v>4.20 * 2.20</v>
          </cell>
          <cell r="H1389" t="str">
            <v>V</v>
          </cell>
          <cell r="I1389" t="str">
            <v>ACCESO SALA DE V</v>
          </cell>
          <cell r="J1389">
            <v>0</v>
          </cell>
          <cell r="K1389">
            <v>0</v>
          </cell>
          <cell r="L1389">
            <v>520000</v>
          </cell>
          <cell r="M1389" t="str">
            <v>LIDER LA REINA</v>
          </cell>
          <cell r="P1389" t="str">
            <v>LA REINA</v>
          </cell>
          <cell r="Q1389" t="str">
            <v>TRADICIONAL</v>
          </cell>
          <cell r="R1389" t="str">
            <v>Supermercado - Santiago</v>
          </cell>
          <cell r="S1389" t="str">
            <v>Lider</v>
          </cell>
          <cell r="T1389" t="str">
            <v>Cajas de luz</v>
          </cell>
          <cell r="U1389">
            <v>1</v>
          </cell>
          <cell r="V1389" t="str">
            <v>3.92 * 1.92</v>
          </cell>
        </row>
        <row r="1390">
          <cell r="A1390" t="str">
            <v>LIRE0006A</v>
          </cell>
          <cell r="B1390" t="str">
            <v>Supermercado</v>
          </cell>
          <cell r="D1390" t="str">
            <v>Paletas</v>
          </cell>
          <cell r="E1390" t="str">
            <v>PARADERO</v>
          </cell>
          <cell r="F1390" t="str">
            <v>1.10 * 1.53</v>
          </cell>
          <cell r="G1390" t="str">
            <v>1.15 * 1.57</v>
          </cell>
          <cell r="H1390" t="str">
            <v>E</v>
          </cell>
          <cell r="I1390" t="str">
            <v>ESTACIONAMIENTOS</v>
          </cell>
          <cell r="J1390">
            <v>0</v>
          </cell>
          <cell r="K1390">
            <v>0</v>
          </cell>
          <cell r="L1390">
            <v>280000</v>
          </cell>
          <cell r="M1390" t="str">
            <v>LIDER LA REINA</v>
          </cell>
          <cell r="P1390" t="str">
            <v>LA REINA</v>
          </cell>
          <cell r="Q1390" t="str">
            <v>TRADICIONAL</v>
          </cell>
          <cell r="R1390" t="str">
            <v>Supermercado - Santiago</v>
          </cell>
          <cell r="S1390" t="str">
            <v>Lider</v>
          </cell>
          <cell r="T1390" t="str">
            <v>Paletas</v>
          </cell>
          <cell r="U1390">
            <v>1</v>
          </cell>
          <cell r="V1390" t="str">
            <v>1.10 * 1.53</v>
          </cell>
        </row>
        <row r="1391">
          <cell r="A1391" t="str">
            <v>LIRE0006B</v>
          </cell>
          <cell r="B1391" t="str">
            <v>Supermercado</v>
          </cell>
          <cell r="D1391" t="str">
            <v>Paletas</v>
          </cell>
          <cell r="E1391" t="str">
            <v>PARADERO</v>
          </cell>
          <cell r="F1391" t="str">
            <v>1.10 * 1.53</v>
          </cell>
          <cell r="G1391" t="str">
            <v>1.15 * 1.57</v>
          </cell>
          <cell r="H1391" t="str">
            <v>E</v>
          </cell>
          <cell r="I1391" t="str">
            <v>ESTACIONAMIENTOS</v>
          </cell>
          <cell r="J1391">
            <v>0</v>
          </cell>
          <cell r="K1391">
            <v>0</v>
          </cell>
          <cell r="L1391">
            <v>280000</v>
          </cell>
          <cell r="M1391" t="str">
            <v>LIDER LA REINA</v>
          </cell>
          <cell r="P1391" t="str">
            <v>LA REINA</v>
          </cell>
          <cell r="Q1391" t="str">
            <v>TRADICIONAL</v>
          </cell>
          <cell r="R1391" t="str">
            <v>Supermercado - Santiago</v>
          </cell>
          <cell r="S1391" t="str">
            <v>Lider</v>
          </cell>
          <cell r="T1391" t="str">
            <v>Paletas</v>
          </cell>
          <cell r="U1391">
            <v>1</v>
          </cell>
          <cell r="V1391" t="str">
            <v>1.10 * 1.53</v>
          </cell>
        </row>
        <row r="1392">
          <cell r="A1392" t="str">
            <v>LIRE0007A</v>
          </cell>
          <cell r="B1392" t="str">
            <v>Supermercado</v>
          </cell>
          <cell r="D1392" t="str">
            <v>P.E.: CORPOREO</v>
          </cell>
          <cell r="E1392" t="str">
            <v>CORPOREO</v>
          </cell>
          <cell r="F1392" t="str">
            <v>Ver Ficha</v>
          </cell>
          <cell r="G1392" t="str">
            <v>Ver Ficha</v>
          </cell>
          <cell r="H1392" t="str">
            <v>E</v>
          </cell>
          <cell r="I1392" t="str">
            <v>ESTACIONAMIENTOS</v>
          </cell>
          <cell r="J1392" t="str">
            <v>Según Corporeo</v>
          </cell>
          <cell r="L1392">
            <v>2000000</v>
          </cell>
          <cell r="M1392" t="str">
            <v>LIDER LA REINA</v>
          </cell>
          <cell r="P1392" t="str">
            <v>LA REINA</v>
          </cell>
          <cell r="Q1392" t="str">
            <v>ESPECIAL</v>
          </cell>
          <cell r="R1392" t="str">
            <v>Supermercado - Santiago</v>
          </cell>
          <cell r="S1392" t="str">
            <v>Lider</v>
          </cell>
          <cell r="T1392" t="str">
            <v>Productos Especiales</v>
          </cell>
          <cell r="U1392">
            <v>1</v>
          </cell>
          <cell r="V1392" t="str">
            <v>Ver Ficha</v>
          </cell>
        </row>
        <row r="1393">
          <cell r="A1393" t="str">
            <v>LIRE0008A</v>
          </cell>
          <cell r="B1393" t="str">
            <v>Supermercado</v>
          </cell>
          <cell r="D1393" t="str">
            <v>P.E.: LOCKERS</v>
          </cell>
          <cell r="E1393" t="str">
            <v>LOCKERS</v>
          </cell>
          <cell r="F1393" t="str">
            <v>Ver ficha</v>
          </cell>
          <cell r="G1393" t="str">
            <v>Ver ficha</v>
          </cell>
          <cell r="I1393" t="str">
            <v>INTERIOR SALA</v>
          </cell>
          <cell r="J1393">
            <v>82000</v>
          </cell>
          <cell r="L1393">
            <v>1800000</v>
          </cell>
          <cell r="M1393" t="str">
            <v>LIDER LA REINA</v>
          </cell>
          <cell r="P1393" t="str">
            <v>LA REINA</v>
          </cell>
          <cell r="Q1393" t="str">
            <v>ESPECIAL</v>
          </cell>
          <cell r="R1393" t="str">
            <v>Supermercado - Santiago</v>
          </cell>
          <cell r="S1393" t="str">
            <v>Lider</v>
          </cell>
          <cell r="T1393" t="str">
            <v>Productos Especiales</v>
          </cell>
          <cell r="U1393">
            <v>1</v>
          </cell>
          <cell r="V1393" t="str">
            <v>Ver Ficha</v>
          </cell>
        </row>
        <row r="1394">
          <cell r="A1394" t="str">
            <v>LIRO0001A</v>
          </cell>
          <cell r="B1394" t="str">
            <v>Supermercado</v>
          </cell>
          <cell r="D1394" t="str">
            <v>Cajas de luz</v>
          </cell>
          <cell r="E1394" t="str">
            <v>Cajas de luz</v>
          </cell>
          <cell r="F1394" t="str">
            <v>3.92 x 1.92</v>
          </cell>
          <cell r="G1394" t="str">
            <v>4.20 * 2.20</v>
          </cell>
          <cell r="H1394" t="str">
            <v>E</v>
          </cell>
          <cell r="I1394" t="str">
            <v>ESTACIONAMIENTOS</v>
          </cell>
          <cell r="J1394">
            <v>0</v>
          </cell>
          <cell r="K1394">
            <v>0</v>
          </cell>
          <cell r="L1394">
            <v>520000</v>
          </cell>
          <cell r="M1394" t="str">
            <v>LIDER SANTA ROSA</v>
          </cell>
          <cell r="P1394" t="str">
            <v>SAN RAMON</v>
          </cell>
          <cell r="Q1394" t="str">
            <v>TRADICIONAL</v>
          </cell>
          <cell r="R1394" t="str">
            <v>Supermercado - Santiago</v>
          </cell>
          <cell r="S1394" t="str">
            <v>Lider</v>
          </cell>
          <cell r="T1394" t="str">
            <v>Cajas de luz</v>
          </cell>
          <cell r="U1394">
            <v>1</v>
          </cell>
          <cell r="V1394" t="str">
            <v>3.92 * 1.92</v>
          </cell>
        </row>
        <row r="1395">
          <cell r="A1395" t="str">
            <v>LIRO0002A</v>
          </cell>
          <cell r="B1395" t="str">
            <v>Supermercado</v>
          </cell>
          <cell r="D1395" t="str">
            <v>P.E.: LOTES CARROS SUPERMERCADOS</v>
          </cell>
          <cell r="E1395" t="str">
            <v>LOTES CARROS SUPERMERCADOS</v>
          </cell>
          <cell r="I1395" t="str">
            <v>INTERIORES</v>
          </cell>
          <cell r="J1395">
            <v>350000</v>
          </cell>
          <cell r="K1395">
            <v>0</v>
          </cell>
          <cell r="L1395">
            <v>1200000</v>
          </cell>
          <cell r="M1395" t="str">
            <v>LIDER SANTA ROSA</v>
          </cell>
          <cell r="P1395" t="str">
            <v>SAN RAMON</v>
          </cell>
          <cell r="Q1395" t="str">
            <v>ESPECIAL</v>
          </cell>
          <cell r="R1395" t="str">
            <v>Supermercado - Santiago</v>
          </cell>
          <cell r="S1395" t="str">
            <v>Lider</v>
          </cell>
          <cell r="T1395" t="str">
            <v>Productos Especiales</v>
          </cell>
          <cell r="U1395">
            <v>1</v>
          </cell>
        </row>
        <row r="1396">
          <cell r="A1396" t="str">
            <v>LISA0001A</v>
          </cell>
          <cell r="B1396" t="str">
            <v>Supermercado</v>
          </cell>
          <cell r="D1396" t="str">
            <v>Paletas</v>
          </cell>
          <cell r="E1396" t="str">
            <v>13 Paletas Pilares</v>
          </cell>
          <cell r="F1396" t="str">
            <v>0.93 x 1.43</v>
          </cell>
          <cell r="G1396" t="str">
            <v>1.00 x 1.50</v>
          </cell>
          <cell r="H1396" t="str">
            <v>S</v>
          </cell>
          <cell r="I1396" t="str">
            <v>ESTACIONAMIENTOS</v>
          </cell>
          <cell r="J1396">
            <v>0</v>
          </cell>
          <cell r="K1396">
            <v>0</v>
          </cell>
          <cell r="L1396">
            <v>1500000</v>
          </cell>
          <cell r="M1396" t="str">
            <v>LIDER SANTA AMALIA</v>
          </cell>
          <cell r="P1396" t="str">
            <v>LA FLORIDA</v>
          </cell>
          <cell r="Q1396" t="str">
            <v>TRADICIONAL</v>
          </cell>
          <cell r="R1396" t="str">
            <v>Supermercado - Santiago</v>
          </cell>
          <cell r="S1396" t="str">
            <v>Lider</v>
          </cell>
          <cell r="T1396" t="str">
            <v>Paletas</v>
          </cell>
          <cell r="U1396">
            <v>13</v>
          </cell>
          <cell r="V1396" t="str">
            <v>0.93 * 1.43</v>
          </cell>
        </row>
        <row r="1397">
          <cell r="A1397" t="str">
            <v>LISA0002A</v>
          </cell>
          <cell r="B1397" t="str">
            <v>Supermercado</v>
          </cell>
          <cell r="D1397" t="str">
            <v>Paletas</v>
          </cell>
          <cell r="E1397" t="str">
            <v>Paleta</v>
          </cell>
          <cell r="F1397" t="str">
            <v>0.93 x 1.43</v>
          </cell>
          <cell r="G1397" t="str">
            <v>1.00 x 1.50</v>
          </cell>
          <cell r="H1397" t="str">
            <v>S</v>
          </cell>
          <cell r="I1397" t="str">
            <v>ESTACIONAMIENTOS</v>
          </cell>
          <cell r="J1397">
            <v>0</v>
          </cell>
          <cell r="K1397">
            <v>0</v>
          </cell>
          <cell r="L1397">
            <v>220000</v>
          </cell>
          <cell r="M1397" t="str">
            <v>LIDER SANTA AMALIA</v>
          </cell>
          <cell r="P1397" t="str">
            <v>LA FLORIDA</v>
          </cell>
          <cell r="Q1397" t="str">
            <v>TRADICIONAL</v>
          </cell>
          <cell r="R1397" t="str">
            <v>Supermercado - Santiago</v>
          </cell>
          <cell r="S1397" t="str">
            <v>Lider</v>
          </cell>
          <cell r="T1397" t="str">
            <v>Paletas</v>
          </cell>
          <cell r="U1397">
            <v>1</v>
          </cell>
          <cell r="V1397" t="str">
            <v>0.93 * 1.43</v>
          </cell>
        </row>
        <row r="1398">
          <cell r="A1398" t="str">
            <v>LISA0010A</v>
          </cell>
          <cell r="B1398" t="str">
            <v>Supermercado</v>
          </cell>
          <cell r="D1398" t="str">
            <v>Paletas</v>
          </cell>
          <cell r="E1398" t="str">
            <v>Paleta</v>
          </cell>
          <cell r="F1398" t="str">
            <v>0.93 x 1.43</v>
          </cell>
          <cell r="G1398" t="str">
            <v>1.00 x 1.50</v>
          </cell>
          <cell r="H1398" t="str">
            <v>S</v>
          </cell>
          <cell r="I1398" t="str">
            <v>ESTACIONAMIENTOS</v>
          </cell>
          <cell r="J1398">
            <v>0</v>
          </cell>
          <cell r="K1398">
            <v>0</v>
          </cell>
          <cell r="L1398">
            <v>220000</v>
          </cell>
          <cell r="M1398" t="str">
            <v>LIDER SANTA AMALIA</v>
          </cell>
          <cell r="P1398" t="str">
            <v>LA FLORIDA</v>
          </cell>
          <cell r="Q1398" t="str">
            <v>TRADICIONAL</v>
          </cell>
          <cell r="R1398" t="str">
            <v>Supermercado - Santiago</v>
          </cell>
          <cell r="S1398" t="str">
            <v>Lider</v>
          </cell>
          <cell r="T1398" t="str">
            <v>Paletas</v>
          </cell>
          <cell r="U1398">
            <v>1</v>
          </cell>
          <cell r="V1398" t="str">
            <v>0.93 * 1.43</v>
          </cell>
        </row>
        <row r="1399">
          <cell r="A1399" t="str">
            <v>LISA0011A</v>
          </cell>
          <cell r="B1399" t="str">
            <v>Supermercado</v>
          </cell>
          <cell r="D1399" t="str">
            <v>Paletas</v>
          </cell>
          <cell r="E1399" t="str">
            <v>Paleta</v>
          </cell>
          <cell r="F1399" t="str">
            <v>0.93 x 1.43</v>
          </cell>
          <cell r="G1399" t="str">
            <v>1.00 x 1.50</v>
          </cell>
          <cell r="H1399" t="str">
            <v>S</v>
          </cell>
          <cell r="I1399" t="str">
            <v>ESTACIONAMIENTOS</v>
          </cell>
          <cell r="J1399">
            <v>0</v>
          </cell>
          <cell r="K1399">
            <v>0</v>
          </cell>
          <cell r="L1399">
            <v>220000</v>
          </cell>
          <cell r="M1399" t="str">
            <v>LIDER SANTA AMALIA</v>
          </cell>
          <cell r="P1399" t="str">
            <v>LA FLORIDA</v>
          </cell>
          <cell r="Q1399" t="str">
            <v>TRADICIONAL</v>
          </cell>
          <cell r="R1399" t="str">
            <v>Supermercado - Santiago</v>
          </cell>
          <cell r="S1399" t="str">
            <v>Lider</v>
          </cell>
          <cell r="T1399" t="str">
            <v>Paletas</v>
          </cell>
          <cell r="U1399">
            <v>1</v>
          </cell>
          <cell r="V1399" t="str">
            <v>0.93 * 1.43</v>
          </cell>
        </row>
        <row r="1400">
          <cell r="A1400" t="str">
            <v>LISA0014A</v>
          </cell>
          <cell r="B1400" t="str">
            <v>Supermercado</v>
          </cell>
          <cell r="D1400" t="str">
            <v>Paletas</v>
          </cell>
          <cell r="E1400" t="str">
            <v>DOBLES (lote de 10 Paletas Dobles)</v>
          </cell>
          <cell r="F1400" t="str">
            <v>0.93 * 1.43</v>
          </cell>
          <cell r="G1400" t="str">
            <v>1.00 * 1.50</v>
          </cell>
          <cell r="H1400" t="str">
            <v>S</v>
          </cell>
          <cell r="I1400" t="str">
            <v>ESTACIONAMIENTOS</v>
          </cell>
          <cell r="J1400">
            <v>0</v>
          </cell>
          <cell r="K1400">
            <v>0</v>
          </cell>
          <cell r="L1400">
            <v>2000000</v>
          </cell>
          <cell r="M1400" t="str">
            <v>LIDER SANTA AMALIA</v>
          </cell>
          <cell r="P1400" t="str">
            <v>LA FLORIDA</v>
          </cell>
          <cell r="Q1400" t="str">
            <v>TRADICIONAL</v>
          </cell>
          <cell r="R1400" t="str">
            <v>Supermercado - Santiago</v>
          </cell>
          <cell r="S1400" t="str">
            <v>Lider</v>
          </cell>
          <cell r="T1400" t="str">
            <v>Paletas</v>
          </cell>
          <cell r="U1400">
            <v>20</v>
          </cell>
          <cell r="V1400" t="str">
            <v>0.93 * 1.43</v>
          </cell>
        </row>
        <row r="1401">
          <cell r="A1401" t="str">
            <v>LISA0025A</v>
          </cell>
          <cell r="B1401" t="str">
            <v>Supermercado</v>
          </cell>
          <cell r="D1401" t="str">
            <v>Cajas de luz</v>
          </cell>
          <cell r="E1401" t="str">
            <v>Cajas de luz</v>
          </cell>
          <cell r="F1401" t="str">
            <v>3.92 x 1.92</v>
          </cell>
          <cell r="G1401" t="str">
            <v>4.20 * 2.20</v>
          </cell>
          <cell r="H1401" t="str">
            <v>E</v>
          </cell>
          <cell r="I1401" t="str">
            <v>ESTACIONAMIENTOS</v>
          </cell>
          <cell r="J1401">
            <v>0</v>
          </cell>
          <cell r="K1401">
            <v>0</v>
          </cell>
          <cell r="L1401">
            <v>520000</v>
          </cell>
          <cell r="M1401" t="str">
            <v>LIDER SANTA AMALIA</v>
          </cell>
          <cell r="P1401" t="str">
            <v>LA FLORIDA</v>
          </cell>
          <cell r="Q1401" t="str">
            <v>TRADICIONAL</v>
          </cell>
          <cell r="R1401" t="str">
            <v>Supermercado - Santiago</v>
          </cell>
          <cell r="S1401" t="str">
            <v>Lider</v>
          </cell>
          <cell r="T1401" t="str">
            <v>Cajas de luz</v>
          </cell>
          <cell r="U1401">
            <v>1</v>
          </cell>
          <cell r="V1401" t="str">
            <v>3.92 * 1.92</v>
          </cell>
        </row>
        <row r="1402">
          <cell r="A1402" t="str">
            <v>LISA0026A</v>
          </cell>
          <cell r="B1402" t="str">
            <v>Supermercado</v>
          </cell>
          <cell r="D1402" t="str">
            <v>Cajas de luz</v>
          </cell>
          <cell r="E1402" t="str">
            <v>Cajas de luz</v>
          </cell>
          <cell r="F1402" t="str">
            <v>3.92 x 1.92</v>
          </cell>
          <cell r="G1402" t="str">
            <v>4.20 * 2.20</v>
          </cell>
          <cell r="H1402" t="str">
            <v>E</v>
          </cell>
          <cell r="I1402" t="str">
            <v>ESTACIONAMIENTOS</v>
          </cell>
          <cell r="J1402">
            <v>0</v>
          </cell>
          <cell r="K1402">
            <v>0</v>
          </cell>
          <cell r="L1402">
            <v>520000</v>
          </cell>
          <cell r="M1402" t="str">
            <v>LIDER SANTA AMALIA</v>
          </cell>
          <cell r="P1402" t="str">
            <v>LA FLORIDA</v>
          </cell>
          <cell r="Q1402" t="str">
            <v>TRADICIONAL</v>
          </cell>
          <cell r="R1402" t="str">
            <v>Supermercado - Santiago</v>
          </cell>
          <cell r="S1402" t="str">
            <v>Lider</v>
          </cell>
          <cell r="T1402" t="str">
            <v>Cajas de luz</v>
          </cell>
          <cell r="U1402">
            <v>1</v>
          </cell>
          <cell r="V1402" t="str">
            <v>3.92 * 1.92</v>
          </cell>
        </row>
        <row r="1403">
          <cell r="A1403" t="str">
            <v>LISA0027A</v>
          </cell>
          <cell r="B1403" t="str">
            <v>Supermercado</v>
          </cell>
          <cell r="D1403" t="str">
            <v>Cajas de luz</v>
          </cell>
          <cell r="E1403" t="str">
            <v>Cajas de luz</v>
          </cell>
          <cell r="F1403" t="str">
            <v>3.92 x 1.92</v>
          </cell>
          <cell r="G1403" t="str">
            <v>4.20 * 2.20</v>
          </cell>
          <cell r="H1403" t="str">
            <v>E</v>
          </cell>
          <cell r="I1403" t="str">
            <v>ESTACIONAMIENTOS</v>
          </cell>
          <cell r="J1403">
            <v>0</v>
          </cell>
          <cell r="K1403">
            <v>0</v>
          </cell>
          <cell r="L1403">
            <v>520000</v>
          </cell>
          <cell r="M1403" t="str">
            <v>LIDER SANTA AMALIA</v>
          </cell>
          <cell r="P1403" t="str">
            <v>LA FLORIDA</v>
          </cell>
          <cell r="Q1403" t="str">
            <v>TRADICIONAL</v>
          </cell>
          <cell r="R1403" t="str">
            <v>Supermercado - Santiago</v>
          </cell>
          <cell r="S1403" t="str">
            <v>Lider</v>
          </cell>
          <cell r="T1403" t="str">
            <v>Cajas de luz</v>
          </cell>
          <cell r="U1403">
            <v>1</v>
          </cell>
          <cell r="V1403" t="str">
            <v>3.92 * 1.92</v>
          </cell>
        </row>
        <row r="1404">
          <cell r="A1404" t="str">
            <v>LISA0028A</v>
          </cell>
          <cell r="B1404" t="str">
            <v>Supermercado</v>
          </cell>
          <cell r="D1404" t="str">
            <v>Cajas de luz</v>
          </cell>
          <cell r="E1404" t="str">
            <v>Cajas de luz</v>
          </cell>
          <cell r="F1404" t="str">
            <v>3.92 x 1.92</v>
          </cell>
          <cell r="G1404" t="str">
            <v>4.20 * 2.20</v>
          </cell>
          <cell r="H1404" t="str">
            <v>V</v>
          </cell>
          <cell r="I1404" t="str">
            <v>ACCESO SALA DE V</v>
          </cell>
          <cell r="J1404">
            <v>0</v>
          </cell>
          <cell r="K1404">
            <v>0</v>
          </cell>
          <cell r="L1404">
            <v>520000</v>
          </cell>
          <cell r="M1404" t="str">
            <v>LIDER SANTA AMALIA</v>
          </cell>
          <cell r="P1404" t="str">
            <v>LA FLORIDA</v>
          </cell>
          <cell r="Q1404" t="str">
            <v>TRADICIONAL</v>
          </cell>
          <cell r="R1404" t="str">
            <v>Supermercado - Santiago</v>
          </cell>
          <cell r="S1404" t="str">
            <v>Lider</v>
          </cell>
          <cell r="T1404" t="str">
            <v>Cajas de luz</v>
          </cell>
          <cell r="U1404">
            <v>1</v>
          </cell>
          <cell r="V1404" t="str">
            <v>3.92 * 1.92</v>
          </cell>
        </row>
        <row r="1405">
          <cell r="A1405" t="str">
            <v>LISA0029A</v>
          </cell>
          <cell r="B1405" t="str">
            <v>Supermercado</v>
          </cell>
          <cell r="D1405" t="str">
            <v>Cajas de luz</v>
          </cell>
          <cell r="E1405" t="str">
            <v>Cajas de luz</v>
          </cell>
          <cell r="F1405" t="str">
            <v>3.92 x 1.92</v>
          </cell>
          <cell r="G1405" t="str">
            <v>4.20 * 2.20</v>
          </cell>
          <cell r="H1405" t="str">
            <v>V</v>
          </cell>
          <cell r="I1405" t="str">
            <v>ACCESO SALA DE V</v>
          </cell>
          <cell r="J1405">
            <v>0</v>
          </cell>
          <cell r="K1405">
            <v>0</v>
          </cell>
          <cell r="L1405">
            <v>520000</v>
          </cell>
          <cell r="M1405" t="str">
            <v>LIDER SANTA AMALIA</v>
          </cell>
          <cell r="P1405" t="str">
            <v>LA FLORIDA</v>
          </cell>
          <cell r="Q1405" t="str">
            <v>TRADICIONAL</v>
          </cell>
          <cell r="R1405" t="str">
            <v>Supermercado - Santiago</v>
          </cell>
          <cell r="S1405" t="str">
            <v>Lider</v>
          </cell>
          <cell r="T1405" t="str">
            <v>Cajas de luz</v>
          </cell>
          <cell r="U1405">
            <v>1</v>
          </cell>
          <cell r="V1405" t="str">
            <v>3.92 * 1.92</v>
          </cell>
        </row>
        <row r="1406">
          <cell r="A1406" t="str">
            <v>LISA0030A</v>
          </cell>
          <cell r="B1406" t="str">
            <v>Supermercado</v>
          </cell>
          <cell r="D1406" t="str">
            <v>Cajas de luz</v>
          </cell>
          <cell r="E1406" t="str">
            <v>Cajas de luz</v>
          </cell>
          <cell r="F1406" t="str">
            <v>2.92 x 1.42</v>
          </cell>
          <cell r="G1406" t="str">
            <v>3.20 * 1.70</v>
          </cell>
          <cell r="H1406" t="str">
            <v>E</v>
          </cell>
          <cell r="I1406" t="str">
            <v>ESTACIONAMIENTOS</v>
          </cell>
          <cell r="J1406">
            <v>0</v>
          </cell>
          <cell r="K1406">
            <v>0</v>
          </cell>
          <cell r="L1406">
            <v>450000</v>
          </cell>
          <cell r="M1406" t="str">
            <v>LIDER SANTA AMALIA</v>
          </cell>
          <cell r="P1406" t="str">
            <v>LA FLORIDA</v>
          </cell>
          <cell r="Q1406" t="str">
            <v>TRADICIONAL</v>
          </cell>
          <cell r="R1406" t="str">
            <v>Supermercado - Santiago</v>
          </cell>
          <cell r="S1406" t="str">
            <v>Lider</v>
          </cell>
          <cell r="T1406" t="str">
            <v>Cajas de luz</v>
          </cell>
          <cell r="U1406">
            <v>1</v>
          </cell>
          <cell r="V1406" t="str">
            <v>2.92 * 1.42</v>
          </cell>
        </row>
        <row r="1407">
          <cell r="A1407" t="str">
            <v>LISA0032A</v>
          </cell>
          <cell r="B1407" t="str">
            <v>Supermercado</v>
          </cell>
          <cell r="D1407" t="str">
            <v>P.E.: CORPOREO</v>
          </cell>
          <cell r="E1407" t="str">
            <v>CORPOREO</v>
          </cell>
          <cell r="F1407" t="str">
            <v>Según Corporeo</v>
          </cell>
          <cell r="G1407" t="str">
            <v>Según Corporeo</v>
          </cell>
          <cell r="H1407" t="str">
            <v>E</v>
          </cell>
          <cell r="I1407" t="str">
            <v>ESTACIONAMIENTOS</v>
          </cell>
          <cell r="J1407" t="str">
            <v>Según Corporeo</v>
          </cell>
          <cell r="L1407">
            <v>1500000</v>
          </cell>
          <cell r="M1407" t="str">
            <v>LIDER SANTA AMALIA</v>
          </cell>
          <cell r="P1407" t="str">
            <v>LA FLORIDA</v>
          </cell>
          <cell r="Q1407" t="str">
            <v>ESPECIAL</v>
          </cell>
          <cell r="R1407" t="str">
            <v>Supermercado - Santiago</v>
          </cell>
          <cell r="S1407" t="str">
            <v>Lider</v>
          </cell>
          <cell r="T1407" t="str">
            <v>Productos Especiales</v>
          </cell>
          <cell r="U1407">
            <v>1</v>
          </cell>
          <cell r="V1407" t="str">
            <v>NA</v>
          </cell>
        </row>
        <row r="1408">
          <cell r="A1408" t="str">
            <v>LISA0033A</v>
          </cell>
          <cell r="B1408" t="str">
            <v>Supermercado</v>
          </cell>
          <cell r="D1408" t="str">
            <v>P.E.: ESCALERAS MECÁNICAS</v>
          </cell>
          <cell r="E1408" t="str">
            <v>ESCALERAS MECÁNICAS</v>
          </cell>
          <cell r="F1408" t="str">
            <v>VER FICHA</v>
          </cell>
          <cell r="G1408" t="str">
            <v>VER FICHA</v>
          </cell>
          <cell r="H1408" t="str">
            <v>I</v>
          </cell>
          <cell r="I1408" t="str">
            <v>ACCESO SUPERMERC</v>
          </cell>
          <cell r="J1408">
            <v>543000</v>
          </cell>
          <cell r="L1408">
            <v>4500000</v>
          </cell>
          <cell r="M1408" t="str">
            <v>LIDER SANTA AMALIA</v>
          </cell>
          <cell r="P1408" t="str">
            <v>LA FLORIDA</v>
          </cell>
          <cell r="Q1408" t="str">
            <v>ESPECIAL</v>
          </cell>
          <cell r="R1408" t="str">
            <v>Supermercado - Santiago</v>
          </cell>
          <cell r="S1408" t="str">
            <v>Lider</v>
          </cell>
          <cell r="T1408" t="str">
            <v>Productos Especiales</v>
          </cell>
          <cell r="U1408">
            <v>1</v>
          </cell>
          <cell r="V1408" t="str">
            <v>NA</v>
          </cell>
        </row>
        <row r="1409">
          <cell r="A1409" t="str">
            <v>LISA0034A</v>
          </cell>
          <cell r="B1409" t="str">
            <v>Supermercado</v>
          </cell>
          <cell r="D1409" t="str">
            <v>P.E.: PORTAL ACCESO (ARCO)</v>
          </cell>
          <cell r="E1409" t="str">
            <v>PORTAL ACCESO (ARCO)</v>
          </cell>
          <cell r="G1409" t="str">
            <v>VER FICHA</v>
          </cell>
          <cell r="H1409" t="str">
            <v>I</v>
          </cell>
          <cell r="I1409" t="str">
            <v>ACCESO SUPERMERC</v>
          </cell>
          <cell r="J1409">
            <v>758000</v>
          </cell>
          <cell r="L1409">
            <v>4500000</v>
          </cell>
          <cell r="P1409" t="str">
            <v>LA FLORIDA</v>
          </cell>
          <cell r="Q1409" t="str">
            <v>ESPECIAL</v>
          </cell>
          <cell r="R1409" t="str">
            <v>Supermercado - Santiago</v>
          </cell>
          <cell r="S1409" t="str">
            <v>Lider</v>
          </cell>
          <cell r="T1409" t="str">
            <v>Productos Especiales</v>
          </cell>
          <cell r="U1409">
            <v>1</v>
          </cell>
          <cell r="V1409" t="str">
            <v>NA</v>
          </cell>
        </row>
        <row r="1410">
          <cell r="A1410" t="str">
            <v>LISB0001A</v>
          </cell>
          <cell r="B1410" t="str">
            <v>Supermercado</v>
          </cell>
          <cell r="D1410" t="str">
            <v>P.E.: LOTES CARROS SUPERMERCADOS</v>
          </cell>
          <cell r="E1410" t="str">
            <v>LOTES CARROS SUPERMERCADOS</v>
          </cell>
          <cell r="I1410" t="str">
            <v>INTERIORES</v>
          </cell>
          <cell r="J1410">
            <v>370000</v>
          </cell>
          <cell r="K1410">
            <v>0</v>
          </cell>
          <cell r="L1410">
            <v>1200000</v>
          </cell>
          <cell r="M1410" t="str">
            <v>LIDER SAN BERNARDO</v>
          </cell>
          <cell r="P1410" t="str">
            <v>SAN BERNARDO</v>
          </cell>
          <cell r="Q1410" t="str">
            <v>ESPECIAL</v>
          </cell>
          <cell r="R1410" t="str">
            <v>Supermercado - Santiago</v>
          </cell>
          <cell r="S1410" t="str">
            <v>Lider</v>
          </cell>
          <cell r="T1410" t="str">
            <v>Productos Especiales</v>
          </cell>
          <cell r="U1410">
            <v>1</v>
          </cell>
        </row>
        <row r="1411">
          <cell r="A1411" t="str">
            <v>LISE0005A</v>
          </cell>
          <cell r="B1411" t="str">
            <v>Supermercado</v>
          </cell>
          <cell r="D1411" t="str">
            <v>Paletas</v>
          </cell>
          <cell r="E1411" t="str">
            <v>Paleta</v>
          </cell>
          <cell r="F1411" t="str">
            <v>0.93 x 1.43</v>
          </cell>
          <cell r="G1411" t="str">
            <v>1.00 x 1.50</v>
          </cell>
          <cell r="H1411" t="str">
            <v>V</v>
          </cell>
          <cell r="I1411" t="str">
            <v>ACCESO SALA DE V</v>
          </cell>
          <cell r="J1411">
            <v>0</v>
          </cell>
          <cell r="K1411">
            <v>0</v>
          </cell>
          <cell r="L1411">
            <v>280000</v>
          </cell>
          <cell r="M1411" t="str">
            <v>LIDER LA SERENA</v>
          </cell>
          <cell r="P1411" t="str">
            <v>LA SERENA</v>
          </cell>
          <cell r="Q1411" t="str">
            <v>TRADICIONAL</v>
          </cell>
          <cell r="R1411" t="str">
            <v>Supermercado - Norte</v>
          </cell>
          <cell r="S1411" t="str">
            <v>Lider</v>
          </cell>
          <cell r="T1411" t="str">
            <v>Paletas</v>
          </cell>
          <cell r="U1411">
            <v>1</v>
          </cell>
          <cell r="V1411" t="str">
            <v>0.93 * 1.43</v>
          </cell>
        </row>
        <row r="1412">
          <cell r="A1412" t="str">
            <v>LISE0006A</v>
          </cell>
          <cell r="B1412" t="str">
            <v>Supermercado</v>
          </cell>
          <cell r="D1412" t="str">
            <v>Paletas</v>
          </cell>
          <cell r="E1412" t="str">
            <v>Paleta</v>
          </cell>
          <cell r="F1412" t="str">
            <v>0.93 x 1.43</v>
          </cell>
          <cell r="G1412" t="str">
            <v>1.00 x 1.50</v>
          </cell>
          <cell r="H1412" t="str">
            <v>V</v>
          </cell>
          <cell r="I1412" t="str">
            <v>ACCESO SALA DE V</v>
          </cell>
          <cell r="J1412">
            <v>0</v>
          </cell>
          <cell r="K1412">
            <v>0</v>
          </cell>
          <cell r="L1412">
            <v>280000</v>
          </cell>
          <cell r="M1412" t="str">
            <v>LIDER LA SERENA</v>
          </cell>
          <cell r="P1412" t="str">
            <v>LA SERENA</v>
          </cell>
          <cell r="Q1412" t="str">
            <v>TRADICIONAL</v>
          </cell>
          <cell r="R1412" t="str">
            <v>Supermercado - Norte</v>
          </cell>
          <cell r="S1412" t="str">
            <v>Lider</v>
          </cell>
          <cell r="T1412" t="str">
            <v>Paletas</v>
          </cell>
          <cell r="U1412">
            <v>1</v>
          </cell>
          <cell r="V1412" t="str">
            <v>0.93 * 1.43</v>
          </cell>
        </row>
        <row r="1413">
          <cell r="A1413" t="str">
            <v>LISE0007A</v>
          </cell>
          <cell r="B1413" t="str">
            <v>Supermercado</v>
          </cell>
          <cell r="D1413" t="str">
            <v>Paletas</v>
          </cell>
          <cell r="E1413" t="str">
            <v>Paleta</v>
          </cell>
          <cell r="F1413" t="str">
            <v>0.93 x 1.43</v>
          </cell>
          <cell r="G1413" t="str">
            <v>1.00 x 1.50</v>
          </cell>
          <cell r="H1413" t="str">
            <v>V</v>
          </cell>
          <cell r="I1413" t="str">
            <v>ACCESO SALA DE V</v>
          </cell>
          <cell r="J1413">
            <v>0</v>
          </cell>
          <cell r="K1413">
            <v>0</v>
          </cell>
          <cell r="L1413">
            <v>280000</v>
          </cell>
          <cell r="M1413" t="str">
            <v>LIDER LA SERENA</v>
          </cell>
          <cell r="P1413" t="str">
            <v>LA SERENA</v>
          </cell>
          <cell r="Q1413" t="str">
            <v>TRADICIONAL</v>
          </cell>
          <cell r="R1413" t="str">
            <v>Supermercado - Norte</v>
          </cell>
          <cell r="S1413" t="str">
            <v>Lider</v>
          </cell>
          <cell r="T1413" t="str">
            <v>Paletas</v>
          </cell>
          <cell r="U1413">
            <v>1</v>
          </cell>
          <cell r="V1413" t="str">
            <v>0.93 * 1.43</v>
          </cell>
        </row>
        <row r="1414">
          <cell r="A1414" t="str">
            <v>LISE0008A</v>
          </cell>
          <cell r="B1414" t="str">
            <v>Supermercado</v>
          </cell>
          <cell r="D1414" t="str">
            <v>Paletas</v>
          </cell>
          <cell r="E1414" t="str">
            <v>Paleta</v>
          </cell>
          <cell r="F1414" t="str">
            <v>0.93 x 1.43</v>
          </cell>
          <cell r="G1414" t="str">
            <v>1.00 x 1.50</v>
          </cell>
          <cell r="H1414" t="str">
            <v>V</v>
          </cell>
          <cell r="I1414" t="str">
            <v>ACCESO SALA DE V</v>
          </cell>
          <cell r="J1414">
            <v>0</v>
          </cell>
          <cell r="K1414">
            <v>0</v>
          </cell>
          <cell r="L1414">
            <v>280000</v>
          </cell>
          <cell r="M1414" t="str">
            <v>LIDER LA SERENA</v>
          </cell>
          <cell r="P1414" t="str">
            <v>LA SERENA</v>
          </cell>
          <cell r="Q1414" t="str">
            <v>TRADICIONAL</v>
          </cell>
          <cell r="R1414" t="str">
            <v>Supermercado - Norte</v>
          </cell>
          <cell r="S1414" t="str">
            <v>Lider</v>
          </cell>
          <cell r="T1414" t="str">
            <v>Paletas</v>
          </cell>
          <cell r="U1414">
            <v>1</v>
          </cell>
          <cell r="V1414" t="str">
            <v>0.93 * 1.43</v>
          </cell>
        </row>
        <row r="1415">
          <cell r="A1415" t="str">
            <v>LISE0009A</v>
          </cell>
          <cell r="B1415" t="str">
            <v>Supermercado</v>
          </cell>
          <cell r="D1415" t="str">
            <v>Paletas</v>
          </cell>
          <cell r="E1415" t="str">
            <v>Paleta</v>
          </cell>
          <cell r="F1415" t="str">
            <v>0.93 x 1.43</v>
          </cell>
          <cell r="G1415" t="str">
            <v>1.00 x 1.50</v>
          </cell>
          <cell r="H1415" t="str">
            <v>V</v>
          </cell>
          <cell r="I1415" t="str">
            <v>ACCESO SALA DE V</v>
          </cell>
          <cell r="J1415">
            <v>0</v>
          </cell>
          <cell r="K1415">
            <v>0</v>
          </cell>
          <cell r="L1415">
            <v>280000</v>
          </cell>
          <cell r="M1415" t="str">
            <v>LIDER LA SERENA</v>
          </cell>
          <cell r="P1415" t="str">
            <v>LA SERENA</v>
          </cell>
          <cell r="Q1415" t="str">
            <v>TRADICIONAL</v>
          </cell>
          <cell r="R1415" t="str">
            <v>Supermercado - Norte</v>
          </cell>
          <cell r="S1415" t="str">
            <v>Lider</v>
          </cell>
          <cell r="T1415" t="str">
            <v>Paletas</v>
          </cell>
          <cell r="U1415">
            <v>1</v>
          </cell>
          <cell r="V1415" t="str">
            <v>0.93 * 1.43</v>
          </cell>
        </row>
        <row r="1416">
          <cell r="A1416" t="str">
            <v>LISE0010A</v>
          </cell>
          <cell r="B1416" t="str">
            <v>Supermercado</v>
          </cell>
          <cell r="D1416" t="str">
            <v>Paletas</v>
          </cell>
          <cell r="E1416" t="str">
            <v>Paleta</v>
          </cell>
          <cell r="F1416" t="str">
            <v>0.93 x 1.43</v>
          </cell>
          <cell r="G1416" t="str">
            <v>1.00 x 1.50</v>
          </cell>
          <cell r="H1416" t="str">
            <v>V</v>
          </cell>
          <cell r="I1416" t="str">
            <v>ACCESO SALA DE V</v>
          </cell>
          <cell r="J1416">
            <v>0</v>
          </cell>
          <cell r="K1416">
            <v>0</v>
          </cell>
          <cell r="L1416">
            <v>280000</v>
          </cell>
          <cell r="M1416" t="str">
            <v>LIDER LA SERENA</v>
          </cell>
          <cell r="P1416" t="str">
            <v>LA SERENA</v>
          </cell>
          <cell r="Q1416" t="str">
            <v>TRADICIONAL</v>
          </cell>
          <cell r="R1416" t="str">
            <v>Supermercado - Norte</v>
          </cell>
          <cell r="S1416" t="str">
            <v>Lider</v>
          </cell>
          <cell r="T1416" t="str">
            <v>Paletas</v>
          </cell>
          <cell r="U1416">
            <v>1</v>
          </cell>
          <cell r="V1416" t="str">
            <v>0.93 * 1.43</v>
          </cell>
        </row>
        <row r="1417">
          <cell r="A1417" t="str">
            <v>LISE0011A</v>
          </cell>
          <cell r="B1417" t="str">
            <v>Supermercado</v>
          </cell>
          <cell r="D1417" t="str">
            <v>Paletas</v>
          </cell>
          <cell r="E1417" t="str">
            <v>Paleta</v>
          </cell>
          <cell r="F1417" t="str">
            <v>0.93 x 1.43</v>
          </cell>
          <cell r="G1417" t="str">
            <v>1.00 x 1.50</v>
          </cell>
          <cell r="H1417" t="str">
            <v>V</v>
          </cell>
          <cell r="I1417" t="str">
            <v>ACCESO SALA DE V</v>
          </cell>
          <cell r="J1417">
            <v>0</v>
          </cell>
          <cell r="K1417">
            <v>0</v>
          </cell>
          <cell r="L1417">
            <v>280000</v>
          </cell>
          <cell r="M1417" t="str">
            <v>LIDER LA SERENA</v>
          </cell>
          <cell r="P1417" t="str">
            <v>LA SERENA</v>
          </cell>
          <cell r="Q1417" t="str">
            <v>TRADICIONAL</v>
          </cell>
          <cell r="R1417" t="str">
            <v>Supermercado - Norte</v>
          </cell>
          <cell r="S1417" t="str">
            <v>Lider</v>
          </cell>
          <cell r="T1417" t="str">
            <v>Paletas</v>
          </cell>
          <cell r="U1417">
            <v>1</v>
          </cell>
          <cell r="V1417" t="str">
            <v>0.93 * 1.43</v>
          </cell>
        </row>
        <row r="1418">
          <cell r="A1418" t="str">
            <v>LISE0012A</v>
          </cell>
          <cell r="B1418" t="str">
            <v>Supermercado</v>
          </cell>
          <cell r="D1418" t="str">
            <v>Cajas de luz</v>
          </cell>
          <cell r="E1418" t="str">
            <v>Cajas de luz</v>
          </cell>
          <cell r="F1418" t="str">
            <v>3.92 x 1.92</v>
          </cell>
          <cell r="G1418" t="str">
            <v>4.20 * 2.20</v>
          </cell>
          <cell r="H1418" t="str">
            <v>V</v>
          </cell>
          <cell r="I1418" t="str">
            <v>ACCESO SALA DE V</v>
          </cell>
          <cell r="J1418">
            <v>0</v>
          </cell>
          <cell r="K1418">
            <v>0</v>
          </cell>
          <cell r="L1418">
            <v>520000</v>
          </cell>
          <cell r="M1418" t="str">
            <v>LIDER LA SERENA</v>
          </cell>
          <cell r="P1418" t="str">
            <v>LA SERENA</v>
          </cell>
          <cell r="Q1418" t="str">
            <v>TRADICIONAL</v>
          </cell>
          <cell r="R1418" t="str">
            <v>Supermercado - Norte</v>
          </cell>
          <cell r="S1418" t="str">
            <v>Lider</v>
          </cell>
          <cell r="T1418" t="str">
            <v>Cajas de luz</v>
          </cell>
          <cell r="U1418">
            <v>1</v>
          </cell>
          <cell r="V1418" t="str">
            <v>3.92 * 1.92</v>
          </cell>
        </row>
        <row r="1419">
          <cell r="A1419" t="str">
            <v>LISE0013A</v>
          </cell>
          <cell r="B1419" t="str">
            <v>Supermercado</v>
          </cell>
          <cell r="D1419" t="str">
            <v>Cajas de luz</v>
          </cell>
          <cell r="E1419" t="str">
            <v>Cajas de luz</v>
          </cell>
          <cell r="F1419" t="str">
            <v>3.92 x 1.92</v>
          </cell>
          <cell r="G1419" t="str">
            <v>4.20 * 2.20</v>
          </cell>
          <cell r="H1419" t="str">
            <v>V</v>
          </cell>
          <cell r="I1419" t="str">
            <v>ACCESO SALA DE V</v>
          </cell>
          <cell r="J1419">
            <v>0</v>
          </cell>
          <cell r="K1419">
            <v>0</v>
          </cell>
          <cell r="L1419">
            <v>520000</v>
          </cell>
          <cell r="M1419" t="str">
            <v>LIDER LA SERENA</v>
          </cell>
          <cell r="P1419" t="str">
            <v>LA SERENA</v>
          </cell>
          <cell r="Q1419" t="str">
            <v>TRADICIONAL</v>
          </cell>
          <cell r="R1419" t="str">
            <v>Supermercado - Norte</v>
          </cell>
          <cell r="S1419" t="str">
            <v>Lider</v>
          </cell>
          <cell r="T1419" t="str">
            <v>Cajas de luz</v>
          </cell>
          <cell r="U1419">
            <v>1</v>
          </cell>
          <cell r="V1419" t="str">
            <v>3.92 * 1.92</v>
          </cell>
        </row>
        <row r="1420">
          <cell r="A1420" t="str">
            <v>LISE0014A</v>
          </cell>
          <cell r="B1420" t="str">
            <v>Supermercado</v>
          </cell>
          <cell r="D1420" t="str">
            <v>Cajas de luz</v>
          </cell>
          <cell r="E1420" t="str">
            <v>Cajas de luz</v>
          </cell>
          <cell r="F1420" t="str">
            <v>3.92 x 1.92</v>
          </cell>
          <cell r="G1420" t="str">
            <v>4.20 * 2.20</v>
          </cell>
          <cell r="H1420" t="str">
            <v>V</v>
          </cell>
          <cell r="I1420" t="str">
            <v>ACCESO SALA DE V</v>
          </cell>
          <cell r="J1420">
            <v>0</v>
          </cell>
          <cell r="K1420">
            <v>0</v>
          </cell>
          <cell r="L1420">
            <v>520000</v>
          </cell>
          <cell r="M1420" t="str">
            <v>LIDER LA SERENA</v>
          </cell>
          <cell r="P1420" t="str">
            <v>LA SERENA</v>
          </cell>
          <cell r="Q1420" t="str">
            <v>TRADICIONAL</v>
          </cell>
          <cell r="R1420" t="str">
            <v>Supermercado - Norte</v>
          </cell>
          <cell r="S1420" t="str">
            <v>Lider</v>
          </cell>
          <cell r="T1420" t="str">
            <v>Cajas de luz</v>
          </cell>
          <cell r="U1420">
            <v>1</v>
          </cell>
          <cell r="V1420" t="str">
            <v>3.92 * 1.92</v>
          </cell>
        </row>
        <row r="1421">
          <cell r="A1421" t="str">
            <v>LISM0001A</v>
          </cell>
          <cell r="B1421" t="str">
            <v>Supermercado</v>
          </cell>
          <cell r="D1421" t="str">
            <v>Cajas de luz</v>
          </cell>
          <cell r="E1421" t="str">
            <v>Cajas de luz</v>
          </cell>
          <cell r="F1421" t="str">
            <v>3.92 * 1.92</v>
          </cell>
          <cell r="G1421" t="str">
            <v>4.20 * 2.20</v>
          </cell>
          <cell r="H1421" t="str">
            <v>X</v>
          </cell>
          <cell r="I1421" t="str">
            <v>EXTERIORES</v>
          </cell>
          <cell r="J1421">
            <v>0</v>
          </cell>
          <cell r="K1421">
            <v>0</v>
          </cell>
          <cell r="L1421">
            <v>520000</v>
          </cell>
          <cell r="M1421" t="str">
            <v>LIDER SAN MIGUEL (EX EK GRAN.AVDA)</v>
          </cell>
          <cell r="P1421" t="str">
            <v>SAN MIGUEL</v>
          </cell>
          <cell r="Q1421" t="str">
            <v>TRADICIONAL</v>
          </cell>
          <cell r="R1421" t="str">
            <v>Supermercado - Santiago</v>
          </cell>
          <cell r="S1421" t="str">
            <v>Lider</v>
          </cell>
          <cell r="T1421" t="str">
            <v>Cajas de luz</v>
          </cell>
          <cell r="U1421">
            <v>1</v>
          </cell>
          <cell r="V1421" t="str">
            <v>3.92 * 1.92</v>
          </cell>
        </row>
        <row r="1422">
          <cell r="A1422" t="str">
            <v>LITE0001A</v>
          </cell>
          <cell r="B1422" t="str">
            <v>Supermercado</v>
          </cell>
          <cell r="D1422" t="str">
            <v>Paletas</v>
          </cell>
          <cell r="E1422" t="str">
            <v>Paleta</v>
          </cell>
          <cell r="F1422" t="str">
            <v>0.93 * 1.43</v>
          </cell>
          <cell r="G1422" t="str">
            <v>1.00 * 1.50</v>
          </cell>
          <cell r="H1422" t="str">
            <v>E</v>
          </cell>
          <cell r="I1422" t="str">
            <v>ESTACIONAMIENTOS</v>
          </cell>
          <cell r="J1422">
            <v>0</v>
          </cell>
          <cell r="K1422">
            <v>0</v>
          </cell>
          <cell r="L1422">
            <v>280000</v>
          </cell>
          <cell r="M1422" t="str">
            <v>LIDER TEMUCO</v>
          </cell>
          <cell r="P1422" t="str">
            <v>TEMUCO</v>
          </cell>
          <cell r="Q1422" t="str">
            <v>TRADICIONAL</v>
          </cell>
          <cell r="R1422" t="str">
            <v>Supermercado - Sur</v>
          </cell>
          <cell r="S1422" t="str">
            <v>Lider</v>
          </cell>
          <cell r="T1422" t="str">
            <v>Paletas</v>
          </cell>
          <cell r="U1422">
            <v>1</v>
          </cell>
          <cell r="V1422" t="str">
            <v>0.93 * 1.43</v>
          </cell>
        </row>
        <row r="1423">
          <cell r="A1423" t="str">
            <v>LITE0002A</v>
          </cell>
          <cell r="B1423" t="str">
            <v>Supermercado</v>
          </cell>
          <cell r="D1423" t="str">
            <v>Paletas</v>
          </cell>
          <cell r="E1423" t="str">
            <v>Paleta</v>
          </cell>
          <cell r="F1423" t="str">
            <v>0.93 * 1.43</v>
          </cell>
          <cell r="G1423" t="str">
            <v>1.00 * 1.50</v>
          </cell>
          <cell r="H1423" t="str">
            <v>E</v>
          </cell>
          <cell r="I1423" t="str">
            <v>ESTACIONAMIENTOS</v>
          </cell>
          <cell r="J1423">
            <v>0</v>
          </cell>
          <cell r="K1423">
            <v>0</v>
          </cell>
          <cell r="L1423">
            <v>280000</v>
          </cell>
          <cell r="M1423" t="str">
            <v>LIDER TEMUCO</v>
          </cell>
          <cell r="P1423" t="str">
            <v>TEMUCO</v>
          </cell>
          <cell r="Q1423" t="str">
            <v>TRADICIONAL</v>
          </cell>
          <cell r="R1423" t="str">
            <v>Supermercado - Sur</v>
          </cell>
          <cell r="S1423" t="str">
            <v>Lider</v>
          </cell>
          <cell r="T1423" t="str">
            <v>Paletas</v>
          </cell>
          <cell r="U1423">
            <v>1</v>
          </cell>
          <cell r="V1423" t="str">
            <v>0.93 * 1.43</v>
          </cell>
        </row>
        <row r="1424">
          <cell r="A1424" t="str">
            <v>LITE0002B</v>
          </cell>
          <cell r="B1424" t="str">
            <v>Supermercado</v>
          </cell>
          <cell r="D1424" t="str">
            <v>Paletas</v>
          </cell>
          <cell r="E1424" t="str">
            <v>Paleta</v>
          </cell>
          <cell r="F1424" t="str">
            <v>0.93 * 1.43</v>
          </cell>
          <cell r="G1424" t="str">
            <v>1.00 * 1.50</v>
          </cell>
          <cell r="H1424" t="str">
            <v>E</v>
          </cell>
          <cell r="I1424" t="str">
            <v>ESTACIONAMIENTOS</v>
          </cell>
          <cell r="J1424">
            <v>0</v>
          </cell>
          <cell r="K1424">
            <v>0</v>
          </cell>
          <cell r="L1424">
            <v>280000</v>
          </cell>
          <cell r="M1424" t="str">
            <v>LIDER TEMUCO</v>
          </cell>
          <cell r="P1424" t="str">
            <v>TEMUCO</v>
          </cell>
          <cell r="Q1424" t="str">
            <v>TRADICIONAL</v>
          </cell>
          <cell r="R1424" t="str">
            <v>Supermercado - Sur</v>
          </cell>
          <cell r="S1424" t="str">
            <v>Lider</v>
          </cell>
          <cell r="T1424" t="str">
            <v>Paletas</v>
          </cell>
          <cell r="U1424">
            <v>1</v>
          </cell>
          <cell r="V1424" t="str">
            <v>0.93 * 1.43</v>
          </cell>
        </row>
        <row r="1425">
          <cell r="A1425" t="str">
            <v>LITE0003A</v>
          </cell>
          <cell r="B1425" t="str">
            <v>Supermercado</v>
          </cell>
          <cell r="D1425" t="str">
            <v>Paletas</v>
          </cell>
          <cell r="E1425" t="str">
            <v>Paleta</v>
          </cell>
          <cell r="F1425" t="str">
            <v>0.93 * 1.43</v>
          </cell>
          <cell r="G1425" t="str">
            <v>1.00 * 1.50</v>
          </cell>
          <cell r="H1425" t="str">
            <v>E</v>
          </cell>
          <cell r="I1425" t="str">
            <v>ESTACIONAMIENTOS</v>
          </cell>
          <cell r="J1425">
            <v>0</v>
          </cell>
          <cell r="K1425">
            <v>0</v>
          </cell>
          <cell r="L1425">
            <v>280000</v>
          </cell>
          <cell r="M1425" t="str">
            <v>LIDER TEMUCO</v>
          </cell>
          <cell r="P1425" t="str">
            <v>TEMUCO</v>
          </cell>
          <cell r="Q1425" t="str">
            <v>TRADICIONAL</v>
          </cell>
          <cell r="R1425" t="str">
            <v>Supermercado - Sur</v>
          </cell>
          <cell r="S1425" t="str">
            <v>Lider</v>
          </cell>
          <cell r="T1425" t="str">
            <v>Paletas</v>
          </cell>
          <cell r="U1425">
            <v>1</v>
          </cell>
          <cell r="V1425" t="str">
            <v>0.93 * 1.43</v>
          </cell>
        </row>
        <row r="1426">
          <cell r="A1426" t="str">
            <v>LITE0004A</v>
          </cell>
          <cell r="B1426" t="str">
            <v>Supermercado</v>
          </cell>
          <cell r="D1426" t="str">
            <v>Paletas</v>
          </cell>
          <cell r="E1426" t="str">
            <v>Paleta</v>
          </cell>
          <cell r="F1426" t="str">
            <v>0.93 * 1.43</v>
          </cell>
          <cell r="G1426" t="str">
            <v>1.00 * 1.50</v>
          </cell>
          <cell r="H1426" t="str">
            <v>E</v>
          </cell>
          <cell r="I1426" t="str">
            <v>ESTACIONAMIENTOS</v>
          </cell>
          <cell r="J1426">
            <v>0</v>
          </cell>
          <cell r="K1426">
            <v>0</v>
          </cell>
          <cell r="L1426">
            <v>280000</v>
          </cell>
          <cell r="M1426" t="str">
            <v>LIDER TEMUCO</v>
          </cell>
          <cell r="P1426" t="str">
            <v>TEMUCO</v>
          </cell>
          <cell r="Q1426" t="str">
            <v>TRADICIONAL</v>
          </cell>
          <cell r="R1426" t="str">
            <v>Supermercado - Sur</v>
          </cell>
          <cell r="S1426" t="str">
            <v>Lider</v>
          </cell>
          <cell r="T1426" t="str">
            <v>Paletas</v>
          </cell>
          <cell r="U1426">
            <v>1</v>
          </cell>
          <cell r="V1426" t="str">
            <v>0.93 * 1.43</v>
          </cell>
        </row>
        <row r="1427">
          <cell r="A1427" t="str">
            <v>LITE0004B</v>
          </cell>
          <cell r="B1427" t="str">
            <v>Supermercado</v>
          </cell>
          <cell r="D1427" t="str">
            <v>Paletas</v>
          </cell>
          <cell r="E1427" t="str">
            <v>Paleta</v>
          </cell>
          <cell r="F1427" t="str">
            <v>0.93 * 1.43</v>
          </cell>
          <cell r="G1427" t="str">
            <v>1.00 * 1.50</v>
          </cell>
          <cell r="H1427" t="str">
            <v>E</v>
          </cell>
          <cell r="I1427" t="str">
            <v>ESTACIONAMIENTOS</v>
          </cell>
          <cell r="J1427">
            <v>0</v>
          </cell>
          <cell r="K1427">
            <v>0</v>
          </cell>
          <cell r="L1427">
            <v>280000</v>
          </cell>
          <cell r="M1427" t="str">
            <v>LIDER TEMUCO</v>
          </cell>
          <cell r="P1427" t="str">
            <v>TEMUCO</v>
          </cell>
          <cell r="Q1427" t="str">
            <v>TRADICIONAL</v>
          </cell>
          <cell r="R1427" t="str">
            <v>Supermercado - Sur</v>
          </cell>
          <cell r="S1427" t="str">
            <v>Lider</v>
          </cell>
          <cell r="T1427" t="str">
            <v>Paletas</v>
          </cell>
          <cell r="U1427">
            <v>1</v>
          </cell>
          <cell r="V1427" t="str">
            <v>0.93 * 1.43</v>
          </cell>
        </row>
        <row r="1428">
          <cell r="A1428" t="str">
            <v>LITE0005A</v>
          </cell>
          <cell r="B1428" t="str">
            <v>Supermercado</v>
          </cell>
          <cell r="D1428" t="str">
            <v>Cajas de luz</v>
          </cell>
          <cell r="E1428" t="str">
            <v>Cajas de luz</v>
          </cell>
          <cell r="F1428" t="str">
            <v>3.92 * 1.92</v>
          </cell>
          <cell r="G1428" t="str">
            <v>4.20 * 2.20</v>
          </cell>
          <cell r="H1428" t="str">
            <v>E</v>
          </cell>
          <cell r="I1428" t="str">
            <v>ESTACIONAMIENTOS</v>
          </cell>
          <cell r="J1428">
            <v>0</v>
          </cell>
          <cell r="K1428">
            <v>0</v>
          </cell>
          <cell r="L1428">
            <v>520000</v>
          </cell>
          <cell r="M1428" t="str">
            <v>LIDER TEMUCO</v>
          </cell>
          <cell r="P1428" t="str">
            <v>TEMUCO</v>
          </cell>
          <cell r="Q1428" t="str">
            <v>TRADICIONAL</v>
          </cell>
          <cell r="R1428" t="str">
            <v>Supermercado - Sur</v>
          </cell>
          <cell r="S1428" t="str">
            <v>Lider</v>
          </cell>
          <cell r="T1428" t="str">
            <v>Cajas de luz</v>
          </cell>
          <cell r="U1428">
            <v>1</v>
          </cell>
          <cell r="V1428" t="str">
            <v>3.92 * 1.92</v>
          </cell>
        </row>
        <row r="1429">
          <cell r="A1429" t="str">
            <v>LITE0006A</v>
          </cell>
          <cell r="B1429" t="str">
            <v>Supermercado</v>
          </cell>
          <cell r="D1429" t="str">
            <v>Cajas de luz</v>
          </cell>
          <cell r="E1429" t="str">
            <v>Cajas de luz</v>
          </cell>
          <cell r="F1429" t="str">
            <v>3.92 * 1.92</v>
          </cell>
          <cell r="G1429" t="str">
            <v>4.20 * 2.20</v>
          </cell>
          <cell r="H1429" t="str">
            <v>E</v>
          </cell>
          <cell r="I1429" t="str">
            <v>ESTACIONAMIENTOS</v>
          </cell>
          <cell r="J1429">
            <v>0</v>
          </cell>
          <cell r="K1429">
            <v>0</v>
          </cell>
          <cell r="L1429">
            <v>520000</v>
          </cell>
          <cell r="M1429" t="str">
            <v>LIDER TEMUCO</v>
          </cell>
          <cell r="P1429" t="str">
            <v>TEMUCO</v>
          </cell>
          <cell r="Q1429" t="str">
            <v>TRADICIONAL</v>
          </cell>
          <cell r="R1429" t="str">
            <v>Supermercado - Sur</v>
          </cell>
          <cell r="S1429" t="str">
            <v>Lider</v>
          </cell>
          <cell r="T1429" t="str">
            <v>Cajas de luz</v>
          </cell>
          <cell r="U1429">
            <v>1</v>
          </cell>
          <cell r="V1429" t="str">
            <v>3.92 * 1.92</v>
          </cell>
        </row>
        <row r="1430">
          <cell r="A1430" t="str">
            <v>LITE0007A</v>
          </cell>
          <cell r="B1430" t="str">
            <v>Supermercado</v>
          </cell>
          <cell r="D1430" t="str">
            <v>Cajas de luz</v>
          </cell>
          <cell r="E1430" t="str">
            <v>Cajas de luz</v>
          </cell>
          <cell r="F1430" t="str">
            <v>3.92 * 1.92</v>
          </cell>
          <cell r="G1430" t="str">
            <v>4.20 * 2.20</v>
          </cell>
          <cell r="H1430" t="str">
            <v>E</v>
          </cell>
          <cell r="I1430" t="str">
            <v>ESTACIONAMIENTOS</v>
          </cell>
          <cell r="J1430">
            <v>0</v>
          </cell>
          <cell r="K1430">
            <v>0</v>
          </cell>
          <cell r="L1430">
            <v>520000</v>
          </cell>
          <cell r="M1430" t="str">
            <v>LIDER TEMUCO</v>
          </cell>
          <cell r="P1430" t="str">
            <v>TEMUCO</v>
          </cell>
          <cell r="Q1430" t="str">
            <v>TRADICIONAL</v>
          </cell>
          <cell r="R1430" t="str">
            <v>Supermercado - Sur</v>
          </cell>
          <cell r="S1430" t="str">
            <v>Lider</v>
          </cell>
          <cell r="T1430" t="str">
            <v>Cajas de luz</v>
          </cell>
          <cell r="U1430">
            <v>1</v>
          </cell>
          <cell r="V1430" t="str">
            <v>3.92 * 1.92</v>
          </cell>
        </row>
        <row r="1431">
          <cell r="A1431" t="str">
            <v>LITE0008A</v>
          </cell>
          <cell r="B1431" t="str">
            <v>Supermercado</v>
          </cell>
          <cell r="D1431" t="str">
            <v>Cajas de luz</v>
          </cell>
          <cell r="E1431" t="str">
            <v>Cajas de luz</v>
          </cell>
          <cell r="F1431" t="str">
            <v>3.92 * 1.92</v>
          </cell>
          <cell r="G1431" t="str">
            <v>4.20 * 2.20</v>
          </cell>
          <cell r="H1431" t="str">
            <v>E</v>
          </cell>
          <cell r="I1431" t="str">
            <v>ESTACIONAMIENTOS</v>
          </cell>
          <cell r="J1431">
            <v>0</v>
          </cell>
          <cell r="K1431">
            <v>0</v>
          </cell>
          <cell r="L1431">
            <v>520000</v>
          </cell>
          <cell r="M1431" t="str">
            <v>LIDER TEMUCO</v>
          </cell>
          <cell r="P1431" t="str">
            <v>TEMUCO</v>
          </cell>
          <cell r="Q1431" t="str">
            <v>TRADICIONAL</v>
          </cell>
          <cell r="R1431" t="str">
            <v>Supermercado - Sur</v>
          </cell>
          <cell r="S1431" t="str">
            <v>Lider</v>
          </cell>
          <cell r="T1431" t="str">
            <v>Cajas de luz</v>
          </cell>
          <cell r="U1431">
            <v>1</v>
          </cell>
          <cell r="V1431" t="str">
            <v>3.92 * 1.92</v>
          </cell>
        </row>
        <row r="1432">
          <cell r="A1432" t="str">
            <v>LITE0009A</v>
          </cell>
          <cell r="B1432" t="str">
            <v>Supermercado</v>
          </cell>
          <cell r="D1432" t="str">
            <v>Cajas de luz</v>
          </cell>
          <cell r="E1432" t="str">
            <v>Cajas de luz</v>
          </cell>
          <cell r="F1432" t="str">
            <v>3.92 * 1.92</v>
          </cell>
          <cell r="G1432" t="str">
            <v>4.20 * 2.20</v>
          </cell>
          <cell r="H1432" t="str">
            <v>E</v>
          </cell>
          <cell r="I1432" t="str">
            <v>ESTACIONAMIENTOS</v>
          </cell>
          <cell r="J1432">
            <v>0</v>
          </cell>
          <cell r="K1432">
            <v>0</v>
          </cell>
          <cell r="L1432">
            <v>520000</v>
          </cell>
          <cell r="M1432" t="str">
            <v>LIDER TEMUCO</v>
          </cell>
          <cell r="P1432" t="str">
            <v>TEMUCO</v>
          </cell>
          <cell r="Q1432" t="str">
            <v>TRADICIONAL</v>
          </cell>
          <cell r="R1432" t="str">
            <v>Supermercado - Sur</v>
          </cell>
          <cell r="S1432" t="str">
            <v>Lider</v>
          </cell>
          <cell r="T1432" t="str">
            <v>Cajas de luz</v>
          </cell>
          <cell r="U1432">
            <v>1</v>
          </cell>
          <cell r="V1432" t="str">
            <v>3.92 * 1.92</v>
          </cell>
        </row>
        <row r="1433">
          <cell r="A1433" t="str">
            <v>LITM0001A</v>
          </cell>
          <cell r="B1433" t="str">
            <v>Supermercado</v>
          </cell>
          <cell r="D1433" t="str">
            <v>Paletas</v>
          </cell>
          <cell r="E1433" t="str">
            <v>Paletas</v>
          </cell>
          <cell r="F1433" t="str">
            <v>1.10 * 1.53</v>
          </cell>
          <cell r="G1433" t="str">
            <v>1.15 * 1.57</v>
          </cell>
          <cell r="H1433" t="str">
            <v>E</v>
          </cell>
          <cell r="I1433" t="str">
            <v>ESTACIONAMIENTOS</v>
          </cell>
          <cell r="J1433">
            <v>0</v>
          </cell>
          <cell r="K1433">
            <v>0</v>
          </cell>
          <cell r="L1433">
            <v>280000</v>
          </cell>
          <cell r="M1433" t="str">
            <v>LIDER TOMAS MORO</v>
          </cell>
          <cell r="P1433" t="str">
            <v>LAS CONDES</v>
          </cell>
          <cell r="Q1433" t="str">
            <v>TRADICIONAL</v>
          </cell>
          <cell r="R1433" t="str">
            <v>Supermercado - Santiago</v>
          </cell>
          <cell r="S1433" t="str">
            <v>Lider</v>
          </cell>
          <cell r="T1433" t="str">
            <v>Paletas</v>
          </cell>
          <cell r="U1433">
            <v>1</v>
          </cell>
          <cell r="V1433" t="str">
            <v>1.10 * 1.53</v>
          </cell>
        </row>
        <row r="1434">
          <cell r="A1434" t="str">
            <v>LITM0001B</v>
          </cell>
          <cell r="B1434" t="str">
            <v>Supermercado</v>
          </cell>
          <cell r="D1434" t="str">
            <v>Paletas</v>
          </cell>
          <cell r="E1434" t="str">
            <v>Paletas</v>
          </cell>
          <cell r="F1434" t="str">
            <v>1.10 * 1.53</v>
          </cell>
          <cell r="G1434" t="str">
            <v>1.15 * 1.57</v>
          </cell>
          <cell r="H1434" t="str">
            <v>E</v>
          </cell>
          <cell r="I1434" t="str">
            <v>ESTACIONAMIENTOS</v>
          </cell>
          <cell r="J1434">
            <v>0</v>
          </cell>
          <cell r="K1434">
            <v>0</v>
          </cell>
          <cell r="L1434">
            <v>280000</v>
          </cell>
          <cell r="M1434" t="str">
            <v>LIDER TOMAS MORO</v>
          </cell>
          <cell r="P1434" t="str">
            <v>LAS CONDES</v>
          </cell>
          <cell r="Q1434" t="str">
            <v>TRADICIONAL</v>
          </cell>
          <cell r="R1434" t="str">
            <v>Supermercado - Santiago</v>
          </cell>
          <cell r="S1434" t="str">
            <v>Lider</v>
          </cell>
          <cell r="T1434" t="str">
            <v>Paletas</v>
          </cell>
          <cell r="U1434">
            <v>1</v>
          </cell>
          <cell r="V1434" t="str">
            <v>1.10 * 1.53</v>
          </cell>
        </row>
        <row r="1435">
          <cell r="A1435" t="str">
            <v>LITM0002A</v>
          </cell>
          <cell r="B1435" t="str">
            <v>Supermercado</v>
          </cell>
          <cell r="D1435" t="str">
            <v>Paletas</v>
          </cell>
          <cell r="E1435" t="str">
            <v>Paletas</v>
          </cell>
          <cell r="F1435" t="str">
            <v>1.10 * 1.53</v>
          </cell>
          <cell r="G1435" t="str">
            <v>1.15 * 1.57</v>
          </cell>
          <cell r="H1435" t="str">
            <v>E</v>
          </cell>
          <cell r="I1435" t="str">
            <v>ESTACIONAMIENTOS</v>
          </cell>
          <cell r="J1435">
            <v>0</v>
          </cell>
          <cell r="K1435">
            <v>0</v>
          </cell>
          <cell r="L1435">
            <v>280000</v>
          </cell>
          <cell r="M1435" t="str">
            <v>LIDER TOMAS MORO</v>
          </cell>
          <cell r="P1435" t="str">
            <v>LAS CONDES</v>
          </cell>
          <cell r="Q1435" t="str">
            <v>TRADICIONAL</v>
          </cell>
          <cell r="R1435" t="str">
            <v>Supermercado - Santiago</v>
          </cell>
          <cell r="S1435" t="str">
            <v>Lider</v>
          </cell>
          <cell r="T1435" t="str">
            <v>Paletas</v>
          </cell>
          <cell r="U1435">
            <v>1</v>
          </cell>
          <cell r="V1435" t="str">
            <v>1.10 * 1.53</v>
          </cell>
        </row>
        <row r="1436">
          <cell r="A1436" t="str">
            <v>LITM0002B</v>
          </cell>
          <cell r="B1436" t="str">
            <v>Supermercado</v>
          </cell>
          <cell r="D1436" t="str">
            <v>Paletas</v>
          </cell>
          <cell r="E1436" t="str">
            <v>Paletas</v>
          </cell>
          <cell r="F1436" t="str">
            <v>1.10 * 1.53</v>
          </cell>
          <cell r="G1436" t="str">
            <v>1.15 * 1.57</v>
          </cell>
          <cell r="H1436" t="str">
            <v>E</v>
          </cell>
          <cell r="I1436" t="str">
            <v>ESTACIONAMIENTOS</v>
          </cell>
          <cell r="J1436">
            <v>0</v>
          </cell>
          <cell r="K1436">
            <v>0</v>
          </cell>
          <cell r="L1436">
            <v>280000</v>
          </cell>
          <cell r="M1436" t="str">
            <v>LIDER TOMAS MORO</v>
          </cell>
          <cell r="P1436" t="str">
            <v>LAS CONDES</v>
          </cell>
          <cell r="Q1436" t="str">
            <v>TRADICIONAL</v>
          </cell>
          <cell r="R1436" t="str">
            <v>Supermercado - Santiago</v>
          </cell>
          <cell r="S1436" t="str">
            <v>Lider</v>
          </cell>
          <cell r="T1436" t="str">
            <v>Paletas</v>
          </cell>
          <cell r="U1436">
            <v>1</v>
          </cell>
          <cell r="V1436" t="str">
            <v>1.10 * 1.53</v>
          </cell>
        </row>
        <row r="1437">
          <cell r="A1437" t="str">
            <v>LITM0003A</v>
          </cell>
          <cell r="B1437" t="str">
            <v>Supermercado</v>
          </cell>
          <cell r="D1437" t="str">
            <v>Paletas</v>
          </cell>
          <cell r="E1437" t="str">
            <v>Paletas</v>
          </cell>
          <cell r="F1437" t="str">
            <v>1.10 * 1.53</v>
          </cell>
          <cell r="G1437" t="str">
            <v>1.15 * 1.57</v>
          </cell>
          <cell r="H1437" t="str">
            <v>E</v>
          </cell>
          <cell r="I1437" t="str">
            <v>ESTACIONAMIENTOS</v>
          </cell>
          <cell r="J1437">
            <v>0</v>
          </cell>
          <cell r="K1437">
            <v>0</v>
          </cell>
          <cell r="L1437">
            <v>280000</v>
          </cell>
          <cell r="M1437" t="str">
            <v>LIDER TOMAS MORO</v>
          </cell>
          <cell r="P1437" t="str">
            <v>LAS CONDES</v>
          </cell>
          <cell r="Q1437" t="str">
            <v>TRADICIONAL</v>
          </cell>
          <cell r="R1437" t="str">
            <v>Supermercado - Santiago</v>
          </cell>
          <cell r="S1437" t="str">
            <v>Lider</v>
          </cell>
          <cell r="T1437" t="str">
            <v>Paletas</v>
          </cell>
          <cell r="U1437">
            <v>1</v>
          </cell>
          <cell r="V1437" t="str">
            <v>1.10 * 1.53</v>
          </cell>
        </row>
        <row r="1438">
          <cell r="A1438" t="str">
            <v>LITM0003B</v>
          </cell>
          <cell r="B1438" t="str">
            <v>Supermercado</v>
          </cell>
          <cell r="D1438" t="str">
            <v>Paletas</v>
          </cell>
          <cell r="E1438" t="str">
            <v>Paletas</v>
          </cell>
          <cell r="F1438" t="str">
            <v>1.10 * 1.53</v>
          </cell>
          <cell r="G1438" t="str">
            <v>1.15 * 1.57</v>
          </cell>
          <cell r="H1438" t="str">
            <v>E</v>
          </cell>
          <cell r="I1438" t="str">
            <v>ESTACIONAMIENTOS</v>
          </cell>
          <cell r="J1438">
            <v>0</v>
          </cell>
          <cell r="K1438">
            <v>0</v>
          </cell>
          <cell r="L1438">
            <v>280000</v>
          </cell>
          <cell r="M1438" t="str">
            <v>LIDER TOMAS MORO</v>
          </cell>
          <cell r="P1438" t="str">
            <v>LAS CONDES</v>
          </cell>
          <cell r="Q1438" t="str">
            <v>TRADICIONAL</v>
          </cell>
          <cell r="R1438" t="str">
            <v>Supermercado - Santiago</v>
          </cell>
          <cell r="S1438" t="str">
            <v>Lider</v>
          </cell>
          <cell r="T1438" t="str">
            <v>Paletas</v>
          </cell>
          <cell r="U1438">
            <v>1</v>
          </cell>
          <cell r="V1438" t="str">
            <v>1.10 * 1.53</v>
          </cell>
        </row>
        <row r="1439">
          <cell r="A1439" t="str">
            <v>LITM0004A</v>
          </cell>
          <cell r="B1439" t="str">
            <v>Supermercado</v>
          </cell>
          <cell r="D1439" t="str">
            <v>Cajas de luz</v>
          </cell>
          <cell r="E1439" t="str">
            <v>Cajas de luz</v>
          </cell>
          <cell r="F1439" t="str">
            <v>3.92 * 1.92</v>
          </cell>
          <cell r="G1439" t="str">
            <v>4.20 * 2.20</v>
          </cell>
          <cell r="H1439" t="str">
            <v>S</v>
          </cell>
          <cell r="I1439" t="str">
            <v>ESTACIONAMIENTOS</v>
          </cell>
          <cell r="J1439">
            <v>0</v>
          </cell>
          <cell r="K1439">
            <v>0</v>
          </cell>
          <cell r="L1439">
            <v>520000</v>
          </cell>
          <cell r="M1439" t="str">
            <v>LIDER TOMAS MORO</v>
          </cell>
          <cell r="P1439" t="str">
            <v>LAS CONDES</v>
          </cell>
          <cell r="Q1439" t="str">
            <v>TRADICIONAL</v>
          </cell>
          <cell r="R1439" t="str">
            <v>Supermercado - Santiago</v>
          </cell>
          <cell r="S1439" t="str">
            <v>Lider</v>
          </cell>
          <cell r="T1439" t="str">
            <v>Cajas de luz</v>
          </cell>
          <cell r="U1439">
            <v>1</v>
          </cell>
          <cell r="V1439" t="str">
            <v>3.92 * 1.92</v>
          </cell>
        </row>
        <row r="1440">
          <cell r="A1440" t="str">
            <v>LITM0005A</v>
          </cell>
          <cell r="B1440" t="str">
            <v>Supermercado</v>
          </cell>
          <cell r="D1440" t="str">
            <v>Cajas de luz</v>
          </cell>
          <cell r="E1440" t="str">
            <v>Cajas de luz</v>
          </cell>
          <cell r="F1440" t="str">
            <v>3.92 * 1.92</v>
          </cell>
          <cell r="G1440" t="str">
            <v>4.20 * 2.20</v>
          </cell>
          <cell r="H1440" t="str">
            <v>X</v>
          </cell>
          <cell r="I1440" t="str">
            <v>EXTERIORES</v>
          </cell>
          <cell r="J1440">
            <v>0</v>
          </cell>
          <cell r="K1440">
            <v>0</v>
          </cell>
          <cell r="L1440">
            <v>520000</v>
          </cell>
          <cell r="M1440" t="str">
            <v>LIDER TOMAS MORO</v>
          </cell>
          <cell r="P1440" t="str">
            <v>LAS CONDES</v>
          </cell>
          <cell r="Q1440" t="str">
            <v>TRADICIONAL</v>
          </cell>
          <cell r="R1440" t="str">
            <v>Supermercado - Santiago</v>
          </cell>
          <cell r="S1440" t="str">
            <v>Lider</v>
          </cell>
          <cell r="T1440" t="str">
            <v>Cajas de luz</v>
          </cell>
          <cell r="U1440">
            <v>1</v>
          </cell>
          <cell r="V1440" t="str">
            <v>3.92 * 1.92</v>
          </cell>
        </row>
        <row r="1441">
          <cell r="A1441" t="str">
            <v>LITO0001A</v>
          </cell>
          <cell r="B1441" t="str">
            <v>Supermercado</v>
          </cell>
          <cell r="D1441" t="str">
            <v>Paletas</v>
          </cell>
          <cell r="E1441" t="str">
            <v>Paletas</v>
          </cell>
          <cell r="F1441" t="str">
            <v>1.10 x 1.53</v>
          </cell>
          <cell r="G1441" t="str">
            <v>1.15 * 1.57</v>
          </cell>
          <cell r="H1441" t="str">
            <v>E</v>
          </cell>
          <cell r="I1441" t="str">
            <v>ESTACIONAMIENTOS</v>
          </cell>
          <cell r="J1441">
            <v>0</v>
          </cell>
          <cell r="K1441">
            <v>0</v>
          </cell>
          <cell r="L1441">
            <v>320000</v>
          </cell>
          <cell r="M1441" t="str">
            <v>LIDER TOBALABA</v>
          </cell>
          <cell r="P1441" t="str">
            <v>PROVIDENCIA</v>
          </cell>
          <cell r="Q1441" t="str">
            <v>TRADICIONAL</v>
          </cell>
          <cell r="R1441" t="str">
            <v>Supermercado - Santiago</v>
          </cell>
          <cell r="S1441" t="str">
            <v>Lider</v>
          </cell>
          <cell r="T1441" t="str">
            <v>Paletas</v>
          </cell>
          <cell r="U1441">
            <v>1</v>
          </cell>
          <cell r="V1441" t="str">
            <v>1.10 * 1.53</v>
          </cell>
        </row>
        <row r="1442">
          <cell r="A1442" t="str">
            <v>LITO0001B</v>
          </cell>
          <cell r="B1442" t="str">
            <v>Supermercado</v>
          </cell>
          <cell r="D1442" t="str">
            <v>Paletas</v>
          </cell>
          <cell r="E1442" t="str">
            <v>Paletas</v>
          </cell>
          <cell r="F1442" t="str">
            <v>1.10 x 1.53</v>
          </cell>
          <cell r="G1442" t="str">
            <v>1.15 * 1.57</v>
          </cell>
          <cell r="H1442" t="str">
            <v>E</v>
          </cell>
          <cell r="I1442" t="str">
            <v>ESTACIONAMIENTOS</v>
          </cell>
          <cell r="J1442">
            <v>0</v>
          </cell>
          <cell r="K1442">
            <v>0</v>
          </cell>
          <cell r="L1442">
            <v>320000</v>
          </cell>
          <cell r="M1442" t="str">
            <v>LIDER TOBALABA</v>
          </cell>
          <cell r="P1442" t="str">
            <v>PROVIDENCIA</v>
          </cell>
          <cell r="Q1442" t="str">
            <v>TRADICIONAL</v>
          </cell>
          <cell r="R1442" t="str">
            <v>Supermercado - Santiago</v>
          </cell>
          <cell r="S1442" t="str">
            <v>Lider</v>
          </cell>
          <cell r="T1442" t="str">
            <v>Paletas</v>
          </cell>
          <cell r="U1442">
            <v>1</v>
          </cell>
          <cell r="V1442" t="str">
            <v>1.10 * 1.53</v>
          </cell>
        </row>
        <row r="1443">
          <cell r="A1443" t="str">
            <v>LITO0002A</v>
          </cell>
          <cell r="B1443" t="str">
            <v>Supermercado</v>
          </cell>
          <cell r="D1443" t="str">
            <v>Cajas de luz</v>
          </cell>
          <cell r="E1443" t="str">
            <v>Cajas de luz</v>
          </cell>
          <cell r="F1443" t="str">
            <v>3.92 * 1.92</v>
          </cell>
          <cell r="G1443" t="str">
            <v>4.20 * 2.20</v>
          </cell>
          <cell r="H1443" t="str">
            <v>X</v>
          </cell>
          <cell r="I1443" t="str">
            <v>EXTERIORES</v>
          </cell>
          <cell r="J1443">
            <v>0</v>
          </cell>
          <cell r="K1443">
            <v>0</v>
          </cell>
          <cell r="L1443">
            <v>520000</v>
          </cell>
          <cell r="M1443" t="str">
            <v>LIDER TOBALABA</v>
          </cell>
          <cell r="P1443" t="str">
            <v>PROVIDENCIA</v>
          </cell>
          <cell r="Q1443" t="str">
            <v>TRADICIONAL</v>
          </cell>
          <cell r="R1443" t="str">
            <v>Supermercado - Santiago</v>
          </cell>
          <cell r="S1443" t="str">
            <v>Lider</v>
          </cell>
          <cell r="T1443" t="str">
            <v>Cajas de luz</v>
          </cell>
          <cell r="U1443">
            <v>1</v>
          </cell>
          <cell r="V1443" t="str">
            <v>3.92 * 1.92</v>
          </cell>
        </row>
        <row r="1444">
          <cell r="A1444" t="str">
            <v>LITO0003A</v>
          </cell>
          <cell r="B1444" t="str">
            <v>Supermercado</v>
          </cell>
          <cell r="D1444" t="str">
            <v>Cajas de luz</v>
          </cell>
          <cell r="E1444" t="str">
            <v>Cajas de luz</v>
          </cell>
          <cell r="F1444" t="str">
            <v>2.84 * 1.89</v>
          </cell>
          <cell r="G1444" t="str">
            <v>3.10 * 2.10</v>
          </cell>
          <cell r="I1444" t="str">
            <v>EXTERIORES</v>
          </cell>
          <cell r="K1444">
            <v>0</v>
          </cell>
          <cell r="L1444">
            <v>520000</v>
          </cell>
          <cell r="M1444" t="str">
            <v>LIDER TOBALABA</v>
          </cell>
          <cell r="P1444" t="str">
            <v>PROVIDENCIA</v>
          </cell>
          <cell r="Q1444" t="str">
            <v>TRADICIONAL</v>
          </cell>
          <cell r="R1444" t="str">
            <v>Supermercado - Santiago</v>
          </cell>
          <cell r="S1444" t="str">
            <v>Lider</v>
          </cell>
          <cell r="T1444" t="str">
            <v>Cajas de luz</v>
          </cell>
          <cell r="U1444">
            <v>1</v>
          </cell>
          <cell r="V1444" t="str">
            <v>2.84 * 1.89</v>
          </cell>
        </row>
        <row r="1445">
          <cell r="A1445" t="str">
            <v>LIVF0001A</v>
          </cell>
          <cell r="B1445" t="str">
            <v>Supermercado</v>
          </cell>
          <cell r="D1445" t="str">
            <v>Paletas</v>
          </cell>
          <cell r="E1445" t="str">
            <v>Paletas</v>
          </cell>
          <cell r="F1445" t="str">
            <v>1.10 * 1.53</v>
          </cell>
          <cell r="G1445" t="str">
            <v>1.15 * 1.57</v>
          </cell>
          <cell r="H1445" t="str">
            <v>X</v>
          </cell>
          <cell r="I1445" t="str">
            <v>EXTERIORES</v>
          </cell>
          <cell r="J1445">
            <v>0</v>
          </cell>
          <cell r="K1445">
            <v>0</v>
          </cell>
          <cell r="L1445">
            <v>280000</v>
          </cell>
          <cell r="M1445" t="str">
            <v>LIDER VECINO LA FLORIDA</v>
          </cell>
          <cell r="P1445" t="str">
            <v>LA FLORIDA</v>
          </cell>
          <cell r="Q1445" t="str">
            <v>TRADICIONAL</v>
          </cell>
          <cell r="R1445" t="str">
            <v>Supermercado - Santiago</v>
          </cell>
          <cell r="S1445" t="str">
            <v>Lider</v>
          </cell>
          <cell r="T1445" t="str">
            <v>Paletas</v>
          </cell>
          <cell r="U1445">
            <v>1</v>
          </cell>
          <cell r="V1445" t="str">
            <v>1.10 * 1.53</v>
          </cell>
        </row>
        <row r="1446">
          <cell r="A1446" t="str">
            <v>LIVF0001B</v>
          </cell>
          <cell r="B1446" t="str">
            <v>Supermercado</v>
          </cell>
          <cell r="D1446" t="str">
            <v>Paletas</v>
          </cell>
          <cell r="E1446" t="str">
            <v>Paletas</v>
          </cell>
          <cell r="F1446" t="str">
            <v>1.10 * 1.53</v>
          </cell>
          <cell r="G1446" t="str">
            <v>1.15 * 1.57</v>
          </cell>
          <cell r="H1446" t="str">
            <v>X</v>
          </cell>
          <cell r="I1446" t="str">
            <v>EXTERIORES</v>
          </cell>
          <cell r="J1446">
            <v>0</v>
          </cell>
          <cell r="K1446">
            <v>0</v>
          </cell>
          <cell r="L1446">
            <v>280000</v>
          </cell>
          <cell r="M1446" t="str">
            <v>LIDER VECINO LA FLORIDA</v>
          </cell>
          <cell r="P1446" t="str">
            <v>LA FLORIDA</v>
          </cell>
          <cell r="Q1446" t="str">
            <v>TRADICIONAL</v>
          </cell>
          <cell r="R1446" t="str">
            <v>Supermercado - Santiago</v>
          </cell>
          <cell r="S1446" t="str">
            <v>Lider</v>
          </cell>
          <cell r="T1446" t="str">
            <v>Paletas</v>
          </cell>
          <cell r="U1446">
            <v>1</v>
          </cell>
          <cell r="V1446" t="str">
            <v>1.10 * 1.53</v>
          </cell>
        </row>
        <row r="1447">
          <cell r="A1447" t="str">
            <v>LIVF0002A</v>
          </cell>
          <cell r="B1447" t="str">
            <v>Supermercado</v>
          </cell>
          <cell r="D1447" t="str">
            <v>Minipoles</v>
          </cell>
          <cell r="E1447" t="str">
            <v>Minipoles</v>
          </cell>
          <cell r="F1447" t="str">
            <v>3.40 * 2.00</v>
          </cell>
          <cell r="G1447" t="str">
            <v>3.60 * 2.20</v>
          </cell>
          <cell r="H1447" t="str">
            <v>E</v>
          </cell>
          <cell r="I1447" t="str">
            <v>ESTACIONAMIENTOS</v>
          </cell>
          <cell r="J1447">
            <v>0</v>
          </cell>
          <cell r="K1447">
            <v>0</v>
          </cell>
          <cell r="L1447">
            <v>520000</v>
          </cell>
          <cell r="M1447" t="str">
            <v>LIDER VECINO LA FLORIDA</v>
          </cell>
          <cell r="P1447" t="str">
            <v>LA FLORIDA</v>
          </cell>
          <cell r="Q1447" t="str">
            <v>TRADICIONAL</v>
          </cell>
          <cell r="R1447" t="str">
            <v>Supermercado - Santiago</v>
          </cell>
          <cell r="S1447" t="str">
            <v>Lider</v>
          </cell>
          <cell r="T1447" t="str">
            <v>Minipoles</v>
          </cell>
          <cell r="U1447">
            <v>1</v>
          </cell>
          <cell r="V1447" t="str">
            <v>3.40 * 2.00</v>
          </cell>
        </row>
        <row r="1448">
          <cell r="A1448" t="str">
            <v>LIVF0004A</v>
          </cell>
          <cell r="B1448" t="str">
            <v>Supermercado</v>
          </cell>
          <cell r="D1448" t="str">
            <v>P.E.: LOTES CARROS SUPERMERCADOS</v>
          </cell>
          <cell r="E1448" t="str">
            <v>LOTES CARROS SUPERMERCADOS</v>
          </cell>
          <cell r="I1448" t="str">
            <v>INTERIORES</v>
          </cell>
          <cell r="J1448">
            <v>355000</v>
          </cell>
          <cell r="K1448">
            <v>0</v>
          </cell>
          <cell r="L1448">
            <v>1200000</v>
          </cell>
          <cell r="M1448" t="str">
            <v>LIDER VECINO LA FLORIDA</v>
          </cell>
          <cell r="P1448" t="str">
            <v>LA FLORIDA</v>
          </cell>
          <cell r="Q1448" t="str">
            <v>ESPECIAL</v>
          </cell>
          <cell r="R1448" t="str">
            <v>Supermercado - Santiago</v>
          </cell>
          <cell r="S1448" t="str">
            <v>Lider</v>
          </cell>
          <cell r="T1448" t="str">
            <v>Productos Especiales</v>
          </cell>
          <cell r="U1448">
            <v>1</v>
          </cell>
        </row>
        <row r="1449">
          <cell r="A1449" t="str">
            <v>LIVI0001A</v>
          </cell>
          <cell r="B1449" t="str">
            <v>Supermercado</v>
          </cell>
          <cell r="D1449" t="str">
            <v>Paletas</v>
          </cell>
          <cell r="E1449" t="str">
            <v>Paleta</v>
          </cell>
          <cell r="F1449" t="str">
            <v>1.10 * 1.53</v>
          </cell>
          <cell r="G1449" t="str">
            <v>1.15 * 1.57</v>
          </cell>
          <cell r="H1449" t="str">
            <v>E</v>
          </cell>
          <cell r="I1449" t="str">
            <v>ESTACIONAMIENTOS</v>
          </cell>
          <cell r="J1449">
            <v>0</v>
          </cell>
          <cell r="K1449">
            <v>0</v>
          </cell>
          <cell r="L1449">
            <v>320000</v>
          </cell>
          <cell r="M1449" t="str">
            <v>LIDER VITACURA</v>
          </cell>
          <cell r="P1449" t="str">
            <v>VITACURA</v>
          </cell>
          <cell r="Q1449" t="str">
            <v>TRADICIONAL</v>
          </cell>
          <cell r="R1449" t="str">
            <v>Supermercado - Santiago</v>
          </cell>
          <cell r="S1449" t="str">
            <v>Lider</v>
          </cell>
          <cell r="T1449" t="str">
            <v>Paletas</v>
          </cell>
          <cell r="U1449">
            <v>1</v>
          </cell>
          <cell r="V1449" t="str">
            <v>1.10 * 1.53</v>
          </cell>
        </row>
        <row r="1450">
          <cell r="A1450" t="str">
            <v>LIVM0001B</v>
          </cell>
          <cell r="B1450" t="str">
            <v>Supermercado</v>
          </cell>
          <cell r="D1450" t="str">
            <v>Paletas</v>
          </cell>
          <cell r="E1450" t="str">
            <v>Paletas</v>
          </cell>
          <cell r="F1450" t="str">
            <v>1.10 * 1.53</v>
          </cell>
          <cell r="G1450" t="str">
            <v>1.15 * 1.57</v>
          </cell>
          <cell r="H1450" t="str">
            <v>E</v>
          </cell>
          <cell r="I1450" t="str">
            <v>ESTACIONAMIENTOS</v>
          </cell>
          <cell r="J1450">
            <v>0</v>
          </cell>
          <cell r="K1450">
            <v>0</v>
          </cell>
          <cell r="L1450">
            <v>300000</v>
          </cell>
          <cell r="M1450" t="str">
            <v>LIDER VIÑA DEL MAR</v>
          </cell>
          <cell r="P1450" t="str">
            <v>VINA DEL MAR</v>
          </cell>
          <cell r="Q1450" t="str">
            <v>TRADICIONAL</v>
          </cell>
          <cell r="R1450" t="str">
            <v>Supermercado - V Region</v>
          </cell>
          <cell r="S1450" t="str">
            <v>Lider</v>
          </cell>
          <cell r="T1450" t="str">
            <v>Paletas</v>
          </cell>
          <cell r="U1450">
            <v>1</v>
          </cell>
          <cell r="V1450" t="str">
            <v>1.10 * 1.53</v>
          </cell>
        </row>
        <row r="1451">
          <cell r="A1451" t="str">
            <v>LIVM0002A</v>
          </cell>
          <cell r="B1451" t="str">
            <v>Supermercado</v>
          </cell>
          <cell r="D1451" t="str">
            <v>Paletas</v>
          </cell>
          <cell r="E1451" t="str">
            <v>Paletas</v>
          </cell>
          <cell r="F1451" t="str">
            <v>1.10 * 1.53</v>
          </cell>
          <cell r="G1451" t="str">
            <v>1.15 * 1.57</v>
          </cell>
          <cell r="H1451" t="str">
            <v>E</v>
          </cell>
          <cell r="I1451" t="str">
            <v>ESTACIONAMIENTOS</v>
          </cell>
          <cell r="J1451">
            <v>0</v>
          </cell>
          <cell r="K1451">
            <v>0</v>
          </cell>
          <cell r="L1451">
            <v>300000</v>
          </cell>
          <cell r="M1451" t="str">
            <v>LIDER VIÑA DEL MAR</v>
          </cell>
          <cell r="P1451" t="str">
            <v>VINA DEL MAR</v>
          </cell>
          <cell r="Q1451" t="str">
            <v>TRADICIONAL</v>
          </cell>
          <cell r="R1451" t="str">
            <v>Supermercado - V Region</v>
          </cell>
          <cell r="S1451" t="str">
            <v>Lider</v>
          </cell>
          <cell r="T1451" t="str">
            <v>Paletas</v>
          </cell>
          <cell r="U1451">
            <v>1</v>
          </cell>
          <cell r="V1451" t="str">
            <v>1.10 * 1.53</v>
          </cell>
        </row>
        <row r="1452">
          <cell r="A1452" t="str">
            <v>LIVM0003A</v>
          </cell>
          <cell r="B1452" t="str">
            <v>Supermercado</v>
          </cell>
          <cell r="D1452" t="str">
            <v>Cajas de luz</v>
          </cell>
          <cell r="E1452" t="str">
            <v>Cajas de luz</v>
          </cell>
          <cell r="F1452" t="str">
            <v>3.92 x 1.92</v>
          </cell>
          <cell r="G1452" t="str">
            <v>4.20 * 2.20</v>
          </cell>
          <cell r="H1452" t="str">
            <v>A</v>
          </cell>
          <cell r="I1452" t="str">
            <v>ACCESO ESTACIONA</v>
          </cell>
          <cell r="J1452">
            <v>0</v>
          </cell>
          <cell r="K1452">
            <v>0</v>
          </cell>
          <cell r="L1452">
            <v>520000</v>
          </cell>
          <cell r="M1452" t="str">
            <v>LIDER VIÑA DEL MAR</v>
          </cell>
          <cell r="P1452" t="str">
            <v>VINA DEL MAR</v>
          </cell>
          <cell r="Q1452" t="str">
            <v>TRADICIONAL</v>
          </cell>
          <cell r="R1452" t="str">
            <v>Supermercado - V Region</v>
          </cell>
          <cell r="S1452" t="str">
            <v>Lider</v>
          </cell>
          <cell r="T1452" t="str">
            <v>Cajas de luz</v>
          </cell>
          <cell r="U1452">
            <v>1</v>
          </cell>
          <cell r="V1452" t="str">
            <v>3.92 * 1.92</v>
          </cell>
        </row>
        <row r="1453">
          <cell r="A1453" t="str">
            <v>LIVM0005A</v>
          </cell>
          <cell r="B1453" t="str">
            <v>Supermercado</v>
          </cell>
          <cell r="D1453" t="str">
            <v>Cajas de luz</v>
          </cell>
          <cell r="E1453" t="str">
            <v>Cajas de luz</v>
          </cell>
          <cell r="F1453" t="str">
            <v>3.92 x 1.92</v>
          </cell>
          <cell r="G1453" t="str">
            <v>4.20 * 2.20</v>
          </cell>
          <cell r="H1453" t="str">
            <v>V</v>
          </cell>
          <cell r="I1453" t="str">
            <v>ACCESO SALA DE V</v>
          </cell>
          <cell r="J1453">
            <v>0</v>
          </cell>
          <cell r="K1453">
            <v>0</v>
          </cell>
          <cell r="L1453">
            <v>520000</v>
          </cell>
          <cell r="M1453" t="str">
            <v>LIDER VIÑA DEL MAR</v>
          </cell>
          <cell r="P1453" t="str">
            <v>VINA DEL MAR</v>
          </cell>
          <cell r="Q1453" t="str">
            <v>TRADICIONAL</v>
          </cell>
          <cell r="R1453" t="str">
            <v>Supermercado - V Region</v>
          </cell>
          <cell r="S1453" t="str">
            <v>Lider</v>
          </cell>
          <cell r="T1453" t="str">
            <v>Cajas de luz</v>
          </cell>
          <cell r="U1453">
            <v>1</v>
          </cell>
          <cell r="V1453" t="str">
            <v>3.92 * 1.92</v>
          </cell>
        </row>
        <row r="1454">
          <cell r="A1454" t="str">
            <v>LIVM0006A</v>
          </cell>
          <cell r="B1454" t="str">
            <v>Supermercado</v>
          </cell>
          <cell r="D1454" t="str">
            <v>Cajas de luz</v>
          </cell>
          <cell r="E1454" t="str">
            <v>Cajas de luz</v>
          </cell>
          <cell r="F1454" t="str">
            <v>3.92 x 1.92</v>
          </cell>
          <cell r="G1454" t="str">
            <v>4.20 * 2.20</v>
          </cell>
          <cell r="H1454" t="str">
            <v>V</v>
          </cell>
          <cell r="I1454" t="str">
            <v>ACCESO SALA DE V</v>
          </cell>
          <cell r="J1454">
            <v>0</v>
          </cell>
          <cell r="K1454">
            <v>0</v>
          </cell>
          <cell r="L1454">
            <v>520000</v>
          </cell>
          <cell r="M1454" t="str">
            <v>LIDER VIÑA DEL MAR</v>
          </cell>
          <cell r="P1454" t="str">
            <v>VINA DEL MAR</v>
          </cell>
          <cell r="Q1454" t="str">
            <v>TRADICIONAL</v>
          </cell>
          <cell r="R1454" t="str">
            <v>Supermercado - V Region</v>
          </cell>
          <cell r="S1454" t="str">
            <v>Lider</v>
          </cell>
          <cell r="T1454" t="str">
            <v>Cajas de luz</v>
          </cell>
          <cell r="U1454">
            <v>1</v>
          </cell>
          <cell r="V1454" t="str">
            <v>3.92 * 1.92</v>
          </cell>
        </row>
        <row r="1455">
          <cell r="A1455" t="str">
            <v>LIVM0007A</v>
          </cell>
          <cell r="B1455" t="str">
            <v>Supermercado</v>
          </cell>
          <cell r="D1455" t="str">
            <v>Cajas de luz</v>
          </cell>
          <cell r="E1455" t="str">
            <v>Cajas de luz</v>
          </cell>
          <cell r="F1455" t="str">
            <v>3.92 x 1.92</v>
          </cell>
          <cell r="G1455" t="str">
            <v>4.20 * 2.20</v>
          </cell>
          <cell r="H1455" t="str">
            <v>V</v>
          </cell>
          <cell r="I1455" t="str">
            <v>ACCESO SALA DE V</v>
          </cell>
          <cell r="J1455">
            <v>0</v>
          </cell>
          <cell r="K1455">
            <v>0</v>
          </cell>
          <cell r="L1455">
            <v>520000</v>
          </cell>
          <cell r="M1455" t="str">
            <v>LIDER VIÑA DEL MAR</v>
          </cell>
          <cell r="P1455" t="str">
            <v>VINA DEL MAR</v>
          </cell>
          <cell r="Q1455" t="str">
            <v>TRADICIONAL</v>
          </cell>
          <cell r="R1455" t="str">
            <v>Supermercado - V Region</v>
          </cell>
          <cell r="S1455" t="str">
            <v>Lider</v>
          </cell>
          <cell r="T1455" t="str">
            <v>Cajas de luz</v>
          </cell>
          <cell r="U1455">
            <v>1</v>
          </cell>
          <cell r="V1455" t="str">
            <v>3.92 * 1.92</v>
          </cell>
        </row>
        <row r="1456">
          <cell r="A1456" t="str">
            <v>LIVM0008A</v>
          </cell>
          <cell r="B1456" t="str">
            <v>Supermercado</v>
          </cell>
          <cell r="D1456" t="str">
            <v>Cajas de luz</v>
          </cell>
          <cell r="E1456" t="str">
            <v>Cajas de luz</v>
          </cell>
          <cell r="F1456" t="str">
            <v>3.92 x 1.92</v>
          </cell>
          <cell r="G1456" t="str">
            <v>4.20 * 2.20</v>
          </cell>
          <cell r="H1456" t="str">
            <v>V</v>
          </cell>
          <cell r="I1456" t="str">
            <v>ACCESO SALA DE V</v>
          </cell>
          <cell r="J1456">
            <v>0</v>
          </cell>
          <cell r="K1456">
            <v>0</v>
          </cell>
          <cell r="L1456">
            <v>520000</v>
          </cell>
          <cell r="M1456" t="str">
            <v>LIDER VIÑA DEL MAR</v>
          </cell>
          <cell r="P1456" t="str">
            <v>VINA DEL MAR</v>
          </cell>
          <cell r="Q1456" t="str">
            <v>TRADICIONAL</v>
          </cell>
          <cell r="R1456" t="str">
            <v>Supermercado - V Region</v>
          </cell>
          <cell r="S1456" t="str">
            <v>Lider</v>
          </cell>
          <cell r="T1456" t="str">
            <v>Cajas de luz</v>
          </cell>
          <cell r="U1456">
            <v>1</v>
          </cell>
          <cell r="V1456" t="str">
            <v>3.92 * 1.92</v>
          </cell>
        </row>
        <row r="1457">
          <cell r="A1457" t="str">
            <v>LIVM0009A</v>
          </cell>
          <cell r="B1457" t="str">
            <v>Supermercado</v>
          </cell>
          <cell r="D1457" t="str">
            <v>P.E.: PANEL ACCESO.</v>
          </cell>
          <cell r="E1457" t="str">
            <v>PANEL ACCESO.</v>
          </cell>
          <cell r="F1457" t="str">
            <v>Ver Ficha</v>
          </cell>
          <cell r="G1457" t="str">
            <v>Ver Ficha</v>
          </cell>
          <cell r="H1457" t="str">
            <v>X</v>
          </cell>
          <cell r="I1457" t="str">
            <v>EXTERIORES</v>
          </cell>
          <cell r="J1457">
            <v>363000</v>
          </cell>
          <cell r="K1457">
            <v>0</v>
          </cell>
          <cell r="L1457">
            <v>3200000</v>
          </cell>
          <cell r="M1457" t="str">
            <v>LIDER VIÑA DEL MAR</v>
          </cell>
          <cell r="P1457" t="str">
            <v>VINA DEL MAR</v>
          </cell>
          <cell r="Q1457" t="str">
            <v>ESPECIAL</v>
          </cell>
          <cell r="R1457" t="str">
            <v>Supermercado - V Region</v>
          </cell>
          <cell r="S1457" t="str">
            <v>Lider</v>
          </cell>
          <cell r="T1457" t="str">
            <v>Productos Especiales</v>
          </cell>
          <cell r="U1457">
            <v>1</v>
          </cell>
          <cell r="V1457" t="str">
            <v>NA</v>
          </cell>
        </row>
        <row r="1458">
          <cell r="A1458" t="str">
            <v>MAPN0002A</v>
          </cell>
          <cell r="B1458" t="str">
            <v>Supermercado</v>
          </cell>
          <cell r="C1458" t="str">
            <v>Mall Plaza</v>
          </cell>
          <cell r="D1458" t="str">
            <v>Cajas de luz</v>
          </cell>
          <cell r="E1458" t="str">
            <v>Cajas de luz</v>
          </cell>
          <cell r="F1458" t="str">
            <v>3.92 * 1.92</v>
          </cell>
          <cell r="G1458" t="str">
            <v>4.20 * 2.20</v>
          </cell>
          <cell r="H1458" t="str">
            <v>V</v>
          </cell>
          <cell r="I1458" t="str">
            <v>ACCESO SALA DE V</v>
          </cell>
          <cell r="J1458">
            <v>0</v>
          </cell>
          <cell r="K1458">
            <v>0</v>
          </cell>
          <cell r="L1458">
            <v>420000</v>
          </cell>
          <cell r="M1458" t="str">
            <v>LIDER PLAZA NORTE</v>
          </cell>
          <cell r="P1458" t="str">
            <v>HUECHURABA</v>
          </cell>
          <cell r="Q1458" t="str">
            <v>TRADICIONAL</v>
          </cell>
          <cell r="R1458" t="str">
            <v>Mall - Santiago</v>
          </cell>
          <cell r="S1458" t="str">
            <v>Mall Plaza</v>
          </cell>
          <cell r="T1458" t="str">
            <v>Cajas de luz</v>
          </cell>
          <cell r="U1458">
            <v>1</v>
          </cell>
          <cell r="V1458" t="str">
            <v>3.92 * 1.92</v>
          </cell>
        </row>
        <row r="1459">
          <cell r="A1459" t="str">
            <v>MAPN0002B</v>
          </cell>
          <cell r="B1459" t="str">
            <v>Supermercado</v>
          </cell>
          <cell r="C1459" t="str">
            <v>Mall Plaza</v>
          </cell>
          <cell r="D1459" t="str">
            <v>Cajas de luz</v>
          </cell>
          <cell r="E1459" t="str">
            <v>Cajas de luz</v>
          </cell>
          <cell r="F1459" t="str">
            <v>3.92 * 1.92</v>
          </cell>
          <cell r="G1459" t="str">
            <v>4.20 * 2.20</v>
          </cell>
          <cell r="H1459" t="str">
            <v>V</v>
          </cell>
          <cell r="I1459" t="str">
            <v>ACCESO SALA DE V</v>
          </cell>
          <cell r="J1459">
            <v>0</v>
          </cell>
          <cell r="K1459">
            <v>0</v>
          </cell>
          <cell r="L1459">
            <v>420000</v>
          </cell>
          <cell r="M1459" t="str">
            <v>LIDER PLAZA NORTE</v>
          </cell>
          <cell r="P1459" t="str">
            <v>HUECHURABA</v>
          </cell>
          <cell r="Q1459" t="str">
            <v>TRADICIONAL</v>
          </cell>
          <cell r="R1459" t="str">
            <v>Mall - Santiago</v>
          </cell>
          <cell r="S1459" t="str">
            <v>Mall Plaza</v>
          </cell>
          <cell r="T1459" t="str">
            <v>Cajas de luz</v>
          </cell>
          <cell r="U1459">
            <v>1</v>
          </cell>
          <cell r="V1459" t="str">
            <v>3.92 * 1.92</v>
          </cell>
        </row>
        <row r="1460">
          <cell r="A1460" t="str">
            <v>MAPV0056A</v>
          </cell>
          <cell r="B1460" t="str">
            <v>Supermercado</v>
          </cell>
          <cell r="C1460" t="str">
            <v>Mall Plaza</v>
          </cell>
          <cell r="D1460" t="str">
            <v>Cajas de luz</v>
          </cell>
          <cell r="E1460" t="str">
            <v>Cajas de luz</v>
          </cell>
          <cell r="F1460" t="str">
            <v>2.80 * 1.90</v>
          </cell>
          <cell r="G1460" t="str">
            <v>3.00 * 2.10</v>
          </cell>
          <cell r="I1460" t="str">
            <v>ACCESO SALA DE V</v>
          </cell>
          <cell r="J1460">
            <v>0</v>
          </cell>
          <cell r="K1460">
            <v>0</v>
          </cell>
          <cell r="L1460">
            <v>520000</v>
          </cell>
          <cell r="M1460" t="str">
            <v>LIDER PLAZA VESPUCIO</v>
          </cell>
          <cell r="P1460" t="str">
            <v>LA FLORIDA</v>
          </cell>
          <cell r="Q1460" t="str">
            <v>TRADICIONAL</v>
          </cell>
          <cell r="R1460" t="str">
            <v>Mall - Santiago</v>
          </cell>
          <cell r="S1460" t="str">
            <v>Mall Plaza</v>
          </cell>
          <cell r="T1460" t="str">
            <v>Cajas de luz</v>
          </cell>
          <cell r="U1460">
            <v>1</v>
          </cell>
          <cell r="V1460" t="str">
            <v>2.80 * 1.90</v>
          </cell>
        </row>
        <row r="1461">
          <cell r="A1461" t="str">
            <v>MAPV0057A</v>
          </cell>
          <cell r="B1461" t="str">
            <v>Supermercado</v>
          </cell>
          <cell r="C1461" t="str">
            <v>Mall Plaza</v>
          </cell>
          <cell r="D1461" t="str">
            <v>Cajas de luz</v>
          </cell>
          <cell r="E1461" t="str">
            <v>Cajas de luz</v>
          </cell>
          <cell r="F1461" t="str">
            <v>4.80 * 1.00</v>
          </cell>
          <cell r="G1461" t="str">
            <v>5.00 * 1.20</v>
          </cell>
          <cell r="H1461" t="str">
            <v>I</v>
          </cell>
          <cell r="I1461" t="str">
            <v>ACCESO SALA DE V</v>
          </cell>
          <cell r="J1461">
            <v>0</v>
          </cell>
          <cell r="K1461">
            <v>0</v>
          </cell>
          <cell r="L1461">
            <v>520000</v>
          </cell>
          <cell r="M1461" t="str">
            <v>LIDER PLAZA VESPUCIO</v>
          </cell>
          <cell r="P1461" t="str">
            <v>LA FLORIDA</v>
          </cell>
          <cell r="Q1461" t="str">
            <v>TRADICIONAL</v>
          </cell>
          <cell r="R1461" t="str">
            <v>Mall - Santiago</v>
          </cell>
          <cell r="S1461" t="str">
            <v>Mall Plaza</v>
          </cell>
          <cell r="T1461" t="str">
            <v>Cajas de luz</v>
          </cell>
          <cell r="U1461">
            <v>1</v>
          </cell>
          <cell r="V1461" t="str">
            <v>4.80 * 1.00</v>
          </cell>
        </row>
        <row r="1462">
          <cell r="A1462" t="str">
            <v>TOLC0001A</v>
          </cell>
          <cell r="B1462" t="str">
            <v>Supermercado</v>
          </cell>
          <cell r="D1462" t="str">
            <v>P.E.: LOTES CARROS SUPERMERCADOS</v>
          </cell>
          <cell r="E1462" t="str">
            <v>LOTES CARROS SUPERMERCADOS</v>
          </cell>
          <cell r="F1462" t="str">
            <v>VER FICHA</v>
          </cell>
          <cell r="G1462" t="str">
            <v>VER FICHA</v>
          </cell>
          <cell r="H1462" t="str">
            <v>I</v>
          </cell>
          <cell r="I1462" t="str">
            <v>CARROS SUPERMERC</v>
          </cell>
          <cell r="J1462">
            <v>300000</v>
          </cell>
          <cell r="K1462">
            <v>0</v>
          </cell>
          <cell r="L1462">
            <v>1800000</v>
          </cell>
          <cell r="M1462" t="str">
            <v>TOTTUS LA CALERA</v>
          </cell>
          <cell r="P1462" t="str">
            <v>LA CALERA</v>
          </cell>
          <cell r="Q1462" t="str">
            <v>ESPECIAL</v>
          </cell>
          <cell r="R1462" t="str">
            <v>Mall - V Region</v>
          </cell>
          <cell r="S1462" t="str">
            <v>Tottus</v>
          </cell>
          <cell r="T1462" t="str">
            <v>Productos Especiales</v>
          </cell>
          <cell r="U1462">
            <v>1</v>
          </cell>
          <cell r="V1462" t="str">
            <v>NA</v>
          </cell>
        </row>
        <row r="1463">
          <cell r="A1463" t="str">
            <v>TONA0001A</v>
          </cell>
          <cell r="B1463" t="str">
            <v>Supermercado</v>
          </cell>
          <cell r="D1463" t="str">
            <v>P.E.: LOTES CARROS SUPERMERCADOS</v>
          </cell>
          <cell r="E1463" t="str">
            <v>LOTES CARROS SUPERMERCADOS</v>
          </cell>
          <cell r="F1463" t="str">
            <v>VER FICHA</v>
          </cell>
          <cell r="G1463" t="str">
            <v>VER FICHA</v>
          </cell>
          <cell r="H1463" t="str">
            <v>I</v>
          </cell>
          <cell r="I1463" t="str">
            <v>CARROS SUPERMERC</v>
          </cell>
          <cell r="J1463">
            <v>250000</v>
          </cell>
          <cell r="K1463">
            <v>0</v>
          </cell>
          <cell r="L1463">
            <v>2050000</v>
          </cell>
          <cell r="M1463" t="str">
            <v>TOTTUS NATANIEL</v>
          </cell>
          <cell r="P1463" t="str">
            <v>SANTIAGO</v>
          </cell>
          <cell r="Q1463" t="str">
            <v>ESPECIAL</v>
          </cell>
          <cell r="R1463" t="str">
            <v>Mall - Santiago</v>
          </cell>
          <cell r="S1463" t="str">
            <v>Tottus</v>
          </cell>
          <cell r="T1463" t="str">
            <v>Productos Especiales</v>
          </cell>
          <cell r="U1463">
            <v>1</v>
          </cell>
          <cell r="V1463" t="str">
            <v>NA</v>
          </cell>
        </row>
        <row r="1464">
          <cell r="A1464" t="str">
            <v>TOPA0001A</v>
          </cell>
          <cell r="B1464" t="str">
            <v>Supermercado</v>
          </cell>
          <cell r="D1464" t="str">
            <v>P.E.: LOTES CARROS SUPERMERCADOS</v>
          </cell>
          <cell r="E1464" t="str">
            <v>LOTES CARROS SUPERMERCADOS</v>
          </cell>
          <cell r="F1464" t="str">
            <v>VER FICHA</v>
          </cell>
          <cell r="G1464" t="str">
            <v>VER FICHA</v>
          </cell>
          <cell r="H1464" t="str">
            <v>I</v>
          </cell>
          <cell r="I1464" t="str">
            <v>CARROS SUPERMERC</v>
          </cell>
          <cell r="J1464">
            <v>340000</v>
          </cell>
          <cell r="K1464">
            <v>0</v>
          </cell>
          <cell r="L1464">
            <v>2400000</v>
          </cell>
          <cell r="M1464" t="str">
            <v>TOTTUS PUENTE ALTO</v>
          </cell>
          <cell r="P1464" t="str">
            <v>PUENTE ALTO</v>
          </cell>
          <cell r="Q1464" t="str">
            <v>ESPECIAL</v>
          </cell>
          <cell r="R1464" t="str">
            <v>Mall - Santiago</v>
          </cell>
          <cell r="S1464" t="str">
            <v>Tottus</v>
          </cell>
          <cell r="T1464" t="str">
            <v>Productos Especiales</v>
          </cell>
          <cell r="U1464">
            <v>1</v>
          </cell>
          <cell r="V1464" t="str">
            <v>NA</v>
          </cell>
        </row>
        <row r="1465">
          <cell r="A1465" t="str">
            <v>TOPA0002A</v>
          </cell>
          <cell r="B1465" t="str">
            <v>Supermercado</v>
          </cell>
          <cell r="D1465" t="str">
            <v>P.E.: PANEL ACCESO</v>
          </cell>
          <cell r="E1465" t="str">
            <v>PANEL ACCESO</v>
          </cell>
          <cell r="F1465" t="str">
            <v>VER FICHA</v>
          </cell>
          <cell r="G1465" t="str">
            <v>VER FICHA</v>
          </cell>
          <cell r="H1465" t="str">
            <v>X</v>
          </cell>
          <cell r="I1465" t="str">
            <v>PANEL DE ACCESO</v>
          </cell>
          <cell r="K1465">
            <v>0</v>
          </cell>
          <cell r="L1465">
            <v>1600000</v>
          </cell>
          <cell r="M1465" t="str">
            <v>TOTTUS PUENTE ALTO</v>
          </cell>
          <cell r="P1465" t="str">
            <v>PUENTE ALTO</v>
          </cell>
          <cell r="Q1465" t="str">
            <v>ESPECIAL</v>
          </cell>
          <cell r="R1465" t="str">
            <v>Mall - Santiago</v>
          </cell>
          <cell r="S1465" t="str">
            <v>Tottus</v>
          </cell>
          <cell r="T1465" t="str">
            <v>Productos Especiales</v>
          </cell>
          <cell r="U1465">
            <v>1</v>
          </cell>
          <cell r="V1465" t="str">
            <v>NA</v>
          </cell>
        </row>
        <row r="1466">
          <cell r="A1466" t="str">
            <v>TOPA0003A</v>
          </cell>
          <cell r="B1466" t="str">
            <v>Supermercado</v>
          </cell>
          <cell r="D1466" t="str">
            <v>P.E.: PANEL ACCESO</v>
          </cell>
          <cell r="E1466" t="str">
            <v>PANEL ACCESO</v>
          </cell>
          <cell r="F1466" t="str">
            <v>VER FICHA</v>
          </cell>
          <cell r="G1466" t="str">
            <v>VER FICHA</v>
          </cell>
          <cell r="H1466" t="str">
            <v>I</v>
          </cell>
          <cell r="I1466" t="str">
            <v>PANEL DE ACCESO</v>
          </cell>
          <cell r="K1466">
            <v>0</v>
          </cell>
          <cell r="L1466">
            <v>1600000</v>
          </cell>
          <cell r="M1466" t="str">
            <v>TOTTUS PUENTE ALTO</v>
          </cell>
          <cell r="P1466" t="str">
            <v>PUENTE ALTO</v>
          </cell>
          <cell r="Q1466" t="str">
            <v>ESPECIAL</v>
          </cell>
          <cell r="R1466" t="str">
            <v>Mall - Santiago</v>
          </cell>
          <cell r="S1466" t="str">
            <v>Tottus</v>
          </cell>
          <cell r="T1466" t="str">
            <v>Productos Especiales</v>
          </cell>
          <cell r="U1466">
            <v>1</v>
          </cell>
          <cell r="V1466" t="str">
            <v>NA</v>
          </cell>
        </row>
        <row r="1467">
          <cell r="A1467" t="str">
            <v>TOPA0004A</v>
          </cell>
          <cell r="B1467" t="str">
            <v>Supermercado</v>
          </cell>
          <cell r="D1467" t="str">
            <v>P.E.: PANEL ACCESO</v>
          </cell>
          <cell r="E1467" t="str">
            <v>PANEL ACCESO</v>
          </cell>
          <cell r="F1467" t="str">
            <v>VER FICHA</v>
          </cell>
          <cell r="G1467" t="str">
            <v>VER FICHA</v>
          </cell>
          <cell r="H1467" t="str">
            <v>X</v>
          </cell>
          <cell r="I1467" t="str">
            <v>PANEL MEGAFORMAT</v>
          </cell>
          <cell r="K1467">
            <v>0</v>
          </cell>
          <cell r="L1467">
            <v>1600000</v>
          </cell>
          <cell r="M1467" t="str">
            <v>TOTTUS PUENTE ALTO</v>
          </cell>
          <cell r="P1467" t="str">
            <v>PUENTE ALTO</v>
          </cell>
          <cell r="Q1467" t="str">
            <v>ESPECIAL</v>
          </cell>
          <cell r="R1467" t="str">
            <v>Mall - Santiago</v>
          </cell>
          <cell r="S1467" t="str">
            <v>Tottus</v>
          </cell>
          <cell r="T1467" t="str">
            <v>Productos Especiales</v>
          </cell>
          <cell r="U1467">
            <v>1</v>
          </cell>
          <cell r="V1467" t="str">
            <v>NA</v>
          </cell>
        </row>
        <row r="1468">
          <cell r="A1468" t="str">
            <v>TOPA0005A</v>
          </cell>
          <cell r="B1468" t="str">
            <v>Supermercado</v>
          </cell>
          <cell r="D1468" t="str">
            <v>P.E.: LOCKERS</v>
          </cell>
          <cell r="E1468" t="str">
            <v>LOCKERS</v>
          </cell>
          <cell r="F1468" t="str">
            <v>VER FICHA</v>
          </cell>
          <cell r="G1468" t="str">
            <v>VER FICHA</v>
          </cell>
          <cell r="H1468" t="str">
            <v>I</v>
          </cell>
          <cell r="I1468" t="str">
            <v>LOCKERS ACCESO</v>
          </cell>
          <cell r="K1468">
            <v>0</v>
          </cell>
          <cell r="L1468">
            <v>1050000</v>
          </cell>
          <cell r="M1468" t="str">
            <v>TOTTUS PUENTE ALTO</v>
          </cell>
          <cell r="P1468" t="str">
            <v>PUENTE ALTO</v>
          </cell>
          <cell r="Q1468" t="str">
            <v>ESPECIAL</v>
          </cell>
          <cell r="R1468" t="str">
            <v>Mall - Santiago</v>
          </cell>
          <cell r="S1468" t="str">
            <v>Tottus</v>
          </cell>
          <cell r="T1468" t="str">
            <v>Productos Especiales</v>
          </cell>
          <cell r="U1468">
            <v>1</v>
          </cell>
          <cell r="V1468" t="str">
            <v>NA</v>
          </cell>
        </row>
        <row r="1469">
          <cell r="A1469" t="str">
            <v>TOPA0006A</v>
          </cell>
          <cell r="B1469" t="str">
            <v>Supermercado</v>
          </cell>
          <cell r="D1469" t="str">
            <v>P.E.: PORTAL ADHESIVO</v>
          </cell>
          <cell r="E1469" t="str">
            <v>PORTAL ADHESIVO</v>
          </cell>
          <cell r="F1469" t="str">
            <v>VER FICHA</v>
          </cell>
          <cell r="G1469" t="str">
            <v>VER FICHA</v>
          </cell>
          <cell r="H1469" t="str">
            <v>X</v>
          </cell>
          <cell r="I1469" t="str">
            <v>PORTAL ADHESIVO</v>
          </cell>
          <cell r="K1469">
            <v>0</v>
          </cell>
          <cell r="L1469">
            <v>2600000</v>
          </cell>
          <cell r="M1469" t="str">
            <v>TOTTUS PUENTE ALTO</v>
          </cell>
          <cell r="P1469" t="str">
            <v>PUENTE ALTO</v>
          </cell>
          <cell r="Q1469" t="str">
            <v>ESPECIAL</v>
          </cell>
          <cell r="R1469" t="str">
            <v>Mall - Santiago</v>
          </cell>
          <cell r="S1469" t="str">
            <v>Tottus</v>
          </cell>
          <cell r="T1469" t="str">
            <v>Productos Especiales</v>
          </cell>
          <cell r="U1469">
            <v>1</v>
          </cell>
          <cell r="V1469" t="str">
            <v>NA</v>
          </cell>
        </row>
        <row r="1470">
          <cell r="A1470" t="str">
            <v>TOPA0007A</v>
          </cell>
          <cell r="B1470" t="str">
            <v>Supermercado</v>
          </cell>
          <cell r="D1470" t="str">
            <v>P.E.: VENTANAL ACCESO SALA</v>
          </cell>
          <cell r="E1470" t="str">
            <v>VENTANAL ACCESO SALA</v>
          </cell>
          <cell r="F1470" t="str">
            <v>VER FICHA</v>
          </cell>
          <cell r="G1470" t="str">
            <v>VER FICHA</v>
          </cell>
          <cell r="H1470" t="str">
            <v>X</v>
          </cell>
          <cell r="I1470" t="str">
            <v>VENTANAL ACCESO</v>
          </cell>
          <cell r="K1470">
            <v>0</v>
          </cell>
          <cell r="L1470">
            <v>2000000</v>
          </cell>
          <cell r="M1470" t="str">
            <v>TOTTUS PUENTE ALTO</v>
          </cell>
          <cell r="P1470" t="str">
            <v>PUENTE ALTO</v>
          </cell>
          <cell r="Q1470" t="str">
            <v>ESPECIAL</v>
          </cell>
          <cell r="R1470" t="str">
            <v>Mall - Santiago</v>
          </cell>
          <cell r="S1470" t="str">
            <v>Tottus</v>
          </cell>
          <cell r="T1470" t="str">
            <v>Productos Especiales</v>
          </cell>
          <cell r="U1470">
            <v>1</v>
          </cell>
          <cell r="V1470" t="str">
            <v>NA</v>
          </cell>
        </row>
        <row r="1471">
          <cell r="A1471" t="str">
            <v>TOPF0001A</v>
          </cell>
          <cell r="B1471" t="str">
            <v>Supermercado</v>
          </cell>
          <cell r="D1471" t="str">
            <v>P.E.: LOTES CARROS SUPERMERCADOS</v>
          </cell>
          <cell r="E1471" t="str">
            <v>LOTES CARROS SUPERMERCADOS</v>
          </cell>
          <cell r="F1471" t="str">
            <v>Ver Ficha</v>
          </cell>
          <cell r="G1471" t="str">
            <v>Ver Ficha</v>
          </cell>
          <cell r="H1471" t="str">
            <v>I</v>
          </cell>
          <cell r="I1471" t="str">
            <v>CARROS SUPERMERC</v>
          </cell>
          <cell r="J1471">
            <v>300000</v>
          </cell>
          <cell r="K1471">
            <v>0</v>
          </cell>
          <cell r="L1471">
            <v>2400000</v>
          </cell>
          <cell r="M1471" t="str">
            <v>TOTTUS FONTOVA</v>
          </cell>
          <cell r="P1471" t="str">
            <v>INDEPENDENCIA</v>
          </cell>
          <cell r="Q1471" t="str">
            <v>ESPECIAL</v>
          </cell>
          <cell r="R1471" t="str">
            <v>Mall - Santiago</v>
          </cell>
          <cell r="S1471" t="str">
            <v>Tottus</v>
          </cell>
          <cell r="T1471" t="str">
            <v>Productos Especiales</v>
          </cell>
          <cell r="U1471">
            <v>1</v>
          </cell>
          <cell r="V1471" t="str">
            <v>NA</v>
          </cell>
        </row>
        <row r="1472">
          <cell r="A1472" t="str">
            <v>TOPF0002A</v>
          </cell>
          <cell r="B1472" t="str">
            <v>Supermercado</v>
          </cell>
          <cell r="D1472" t="str">
            <v>P.E.: VENTANAL ACCESO ESTACIONAMIENTO</v>
          </cell>
          <cell r="E1472" t="str">
            <v>VENTANAL ACCESO ESTACIONAMIENTO</v>
          </cell>
          <cell r="F1472" t="str">
            <v>VER FICHA</v>
          </cell>
          <cell r="G1472" t="str">
            <v>VER FICHA</v>
          </cell>
          <cell r="H1472" t="str">
            <v>X</v>
          </cell>
          <cell r="I1472" t="str">
            <v>VENTANAL GIGANTE</v>
          </cell>
          <cell r="J1472">
            <v>215000</v>
          </cell>
          <cell r="K1472">
            <v>0</v>
          </cell>
          <cell r="L1472">
            <v>2400000</v>
          </cell>
          <cell r="M1472" t="str">
            <v>TOTTUS FONTOVA</v>
          </cell>
          <cell r="P1472" t="str">
            <v>INDEPENDENCIA</v>
          </cell>
          <cell r="Q1472" t="str">
            <v>ESPECIAL</v>
          </cell>
          <cell r="R1472" t="str">
            <v>Supermercado - Santiago</v>
          </cell>
          <cell r="S1472" t="str">
            <v>Tottus</v>
          </cell>
          <cell r="T1472" t="str">
            <v>Productos Especiales</v>
          </cell>
          <cell r="U1472">
            <v>1</v>
          </cell>
          <cell r="V1472" t="str">
            <v>NA</v>
          </cell>
        </row>
        <row r="1473">
          <cell r="A1473" t="str">
            <v>TOPF0003A</v>
          </cell>
          <cell r="B1473" t="str">
            <v>Supermercado</v>
          </cell>
          <cell r="D1473" t="str">
            <v>P.E.: PAQ. LATERALES 1 ESCALERA</v>
          </cell>
          <cell r="E1473" t="str">
            <v>PAQ. LATERALES 1 ESCALERA</v>
          </cell>
          <cell r="F1473" t="str">
            <v>VER FICHA</v>
          </cell>
          <cell r="G1473" t="str">
            <v>VER FICHA</v>
          </cell>
          <cell r="H1473" t="str">
            <v>I</v>
          </cell>
          <cell r="I1473" t="str">
            <v>RAMPAS ACCESO</v>
          </cell>
          <cell r="J1473">
            <v>472000</v>
          </cell>
          <cell r="K1473">
            <v>0</v>
          </cell>
          <cell r="L1473">
            <v>3000000</v>
          </cell>
          <cell r="M1473" t="str">
            <v>TOTTUS FONTOVA</v>
          </cell>
          <cell r="P1473" t="str">
            <v>INDEPENDENCIA</v>
          </cell>
          <cell r="Q1473" t="str">
            <v>ESPECIAL</v>
          </cell>
          <cell r="R1473" t="str">
            <v>Supermercado - Santiago</v>
          </cell>
          <cell r="S1473" t="str">
            <v>Tottus</v>
          </cell>
          <cell r="T1473" t="str">
            <v>Productos Especiales</v>
          </cell>
          <cell r="U1473">
            <v>1</v>
          </cell>
          <cell r="V1473" t="str">
            <v>NA</v>
          </cell>
        </row>
        <row r="1474">
          <cell r="A1474" t="str">
            <v>TOPF0004A</v>
          </cell>
          <cell r="B1474" t="str">
            <v>Supermercado</v>
          </cell>
          <cell r="D1474" t="str">
            <v>P.E.: PAQ. LATERALES 1 ESCALERA</v>
          </cell>
          <cell r="E1474" t="str">
            <v>PAQ. LATERALES 1 ESCALERA</v>
          </cell>
          <cell r="F1474" t="str">
            <v>VER FICHA</v>
          </cell>
          <cell r="G1474" t="str">
            <v>VER FICHA</v>
          </cell>
          <cell r="H1474" t="str">
            <v>X</v>
          </cell>
          <cell r="I1474" t="str">
            <v>MAMPARAS</v>
          </cell>
          <cell r="J1474">
            <v>48000</v>
          </cell>
          <cell r="K1474">
            <v>0</v>
          </cell>
          <cell r="L1474">
            <v>2400000</v>
          </cell>
          <cell r="M1474" t="str">
            <v>TOTTUS FONTOVA</v>
          </cell>
          <cell r="P1474" t="str">
            <v>INDEPENDENCIA</v>
          </cell>
          <cell r="Q1474" t="str">
            <v>ESPECIAL</v>
          </cell>
          <cell r="R1474" t="str">
            <v>Supermercado - Santiago</v>
          </cell>
          <cell r="S1474" t="str">
            <v>Tottus</v>
          </cell>
          <cell r="T1474" t="str">
            <v>Productos Especiales</v>
          </cell>
          <cell r="U1474">
            <v>1</v>
          </cell>
          <cell r="V1474" t="str">
            <v>NA</v>
          </cell>
        </row>
        <row r="1475">
          <cell r="A1475" t="str">
            <v>TOPF0005A</v>
          </cell>
          <cell r="B1475" t="str">
            <v>Supermercado</v>
          </cell>
          <cell r="D1475" t="str">
            <v>P.E.: LOCKERS</v>
          </cell>
          <cell r="E1475" t="str">
            <v>LOCKERS</v>
          </cell>
          <cell r="F1475" t="str">
            <v>VER FICHA</v>
          </cell>
          <cell r="G1475" t="str">
            <v>VER FICHA</v>
          </cell>
          <cell r="H1475" t="str">
            <v>I</v>
          </cell>
          <cell r="I1475" t="str">
            <v>LOCKERS</v>
          </cell>
          <cell r="J1475">
            <v>42000</v>
          </cell>
          <cell r="K1475">
            <v>0</v>
          </cell>
          <cell r="L1475">
            <v>1050000</v>
          </cell>
          <cell r="M1475" t="str">
            <v>TOTTUS FONTOVA</v>
          </cell>
          <cell r="P1475" t="str">
            <v>INDEPENDENCIA</v>
          </cell>
          <cell r="Q1475" t="str">
            <v>ESPECIAL</v>
          </cell>
          <cell r="R1475" t="str">
            <v>Supermercado - Santiago</v>
          </cell>
          <cell r="S1475" t="str">
            <v>Tottus</v>
          </cell>
          <cell r="T1475" t="str">
            <v>Productos Especiales</v>
          </cell>
          <cell r="U1475">
            <v>1</v>
          </cell>
          <cell r="V1475" t="str">
            <v>NA</v>
          </cell>
        </row>
        <row r="1476">
          <cell r="A1476" t="str">
            <v>TOPF0006A</v>
          </cell>
          <cell r="B1476" t="str">
            <v>Supermercado</v>
          </cell>
          <cell r="D1476" t="str">
            <v>P.E.: VENTANAL ESTACIONAMIENTO</v>
          </cell>
          <cell r="E1476" t="str">
            <v>VENTANAL ESTACIONAMIENTO</v>
          </cell>
          <cell r="F1476" t="str">
            <v>VER FICHA</v>
          </cell>
          <cell r="G1476" t="str">
            <v>VER FICHA</v>
          </cell>
          <cell r="H1476" t="str">
            <v>X</v>
          </cell>
          <cell r="I1476" t="str">
            <v>VENTANAL ACCESO</v>
          </cell>
          <cell r="J1476">
            <v>62000</v>
          </cell>
          <cell r="K1476">
            <v>0</v>
          </cell>
          <cell r="L1476">
            <v>1800000</v>
          </cell>
          <cell r="M1476" t="str">
            <v>TOTTUS FONTOVA</v>
          </cell>
          <cell r="P1476" t="str">
            <v>INDEPENDENCIA</v>
          </cell>
          <cell r="Q1476" t="str">
            <v>ESPECIAL</v>
          </cell>
          <cell r="R1476" t="str">
            <v>Supermercado - Santiago</v>
          </cell>
          <cell r="S1476" t="str">
            <v>Tottus</v>
          </cell>
          <cell r="T1476" t="str">
            <v>Productos Especiales</v>
          </cell>
          <cell r="U1476">
            <v>1</v>
          </cell>
          <cell r="V1476" t="str">
            <v>NA</v>
          </cell>
        </row>
        <row r="1477">
          <cell r="A1477" t="str">
            <v>TOPF0007A</v>
          </cell>
          <cell r="B1477" t="str">
            <v>Supermercado</v>
          </cell>
          <cell r="D1477" t="str">
            <v>P.E.: PANEL ACCESO</v>
          </cell>
          <cell r="E1477" t="str">
            <v>PANEL ACCESO</v>
          </cell>
          <cell r="F1477" t="str">
            <v>VER FICHA</v>
          </cell>
          <cell r="G1477" t="str">
            <v>VER FICHA</v>
          </cell>
          <cell r="H1477" t="str">
            <v>X</v>
          </cell>
          <cell r="I1477" t="str">
            <v>PANEL ACCESO</v>
          </cell>
          <cell r="K1477">
            <v>0</v>
          </cell>
          <cell r="L1477">
            <v>2200000</v>
          </cell>
          <cell r="M1477" t="str">
            <v>TOTTUS FONTOVA</v>
          </cell>
          <cell r="P1477" t="str">
            <v>INDEPENDENCIA</v>
          </cell>
          <cell r="Q1477" t="str">
            <v>ESPECIAL</v>
          </cell>
          <cell r="R1477" t="str">
            <v>Supermercado - Santiago</v>
          </cell>
          <cell r="S1477" t="str">
            <v>Tottus</v>
          </cell>
          <cell r="T1477" t="str">
            <v>Productos Especiales</v>
          </cell>
          <cell r="U1477">
            <v>1</v>
          </cell>
          <cell r="V1477" t="str">
            <v>NA</v>
          </cell>
        </row>
        <row r="1478">
          <cell r="A1478" t="str">
            <v>LIGA0012A</v>
          </cell>
          <cell r="B1478" t="str">
            <v>Supermercado</v>
          </cell>
          <cell r="D1478" t="str">
            <v>Cajas de luz</v>
          </cell>
          <cell r="E1478" t="str">
            <v>Cajas de luz</v>
          </cell>
          <cell r="F1478" t="str">
            <v>5.92 * 1.13</v>
          </cell>
          <cell r="G1478" t="str">
            <v>6.20 * 1.40</v>
          </cell>
          <cell r="H1478" t="str">
            <v>A</v>
          </cell>
          <cell r="I1478" t="str">
            <v>ACCESO ESTACIONA</v>
          </cell>
          <cell r="J1478">
            <v>0</v>
          </cell>
          <cell r="K1478">
            <v>22000</v>
          </cell>
          <cell r="L1478">
            <v>520000</v>
          </cell>
          <cell r="M1478" t="str">
            <v>LIDER GRAN AVENIDA</v>
          </cell>
          <cell r="P1478" t="str">
            <v>SAN MIGUEL</v>
          </cell>
          <cell r="Q1478" t="str">
            <v>TRADICIONAL</v>
          </cell>
          <cell r="R1478" t="str">
            <v>Supermercado - Santiago</v>
          </cell>
          <cell r="S1478" t="str">
            <v>Lider</v>
          </cell>
          <cell r="T1478" t="str">
            <v>Cajas de luz</v>
          </cell>
          <cell r="U1478">
            <v>1</v>
          </cell>
          <cell r="V1478" t="str">
            <v>5.92 * 1.13</v>
          </cell>
        </row>
        <row r="1479">
          <cell r="A1479" t="str">
            <v>LICA0004A</v>
          </cell>
          <cell r="B1479" t="str">
            <v>Supermercado</v>
          </cell>
          <cell r="D1479" t="str">
            <v>Unipoles</v>
          </cell>
          <cell r="E1479" t="str">
            <v>DOBLE FAZ</v>
          </cell>
          <cell r="F1479" t="str">
            <v>9.00 x 3.00</v>
          </cell>
          <cell r="G1479" t="str">
            <v>9.30 * 3.30</v>
          </cell>
          <cell r="H1479" t="str">
            <v>E</v>
          </cell>
          <cell r="I1479" t="str">
            <v>ESTACIONAMIENTOS</v>
          </cell>
          <cell r="J1479">
            <v>0</v>
          </cell>
          <cell r="K1479">
            <v>68000</v>
          </cell>
          <cell r="L1479">
            <v>780000</v>
          </cell>
          <cell r="M1479" t="str">
            <v>LIDER MALL CALAMA</v>
          </cell>
          <cell r="P1479" t="str">
            <v>CALAMA</v>
          </cell>
          <cell r="Q1479" t="str">
            <v>TRADICIONAL</v>
          </cell>
          <cell r="R1479" t="str">
            <v>Mall - Norte</v>
          </cell>
          <cell r="S1479" t="str">
            <v>Inversiones Calama</v>
          </cell>
          <cell r="T1479" t="str">
            <v>Unipoles</v>
          </cell>
          <cell r="U1479">
            <v>1</v>
          </cell>
          <cell r="V1479" t="str">
            <v>9.00 * 3.00</v>
          </cell>
        </row>
        <row r="1480">
          <cell r="A1480" t="str">
            <v>LICA0004B</v>
          </cell>
          <cell r="B1480" t="str">
            <v>Supermercado</v>
          </cell>
          <cell r="D1480" t="str">
            <v>Unipoles</v>
          </cell>
          <cell r="E1480" t="str">
            <v>DOBLE FAZ</v>
          </cell>
          <cell r="F1480" t="str">
            <v>9.00 x 3.00</v>
          </cell>
          <cell r="G1480" t="str">
            <v>9.30 * 3.30</v>
          </cell>
          <cell r="H1480" t="str">
            <v>E</v>
          </cell>
          <cell r="I1480" t="str">
            <v>ESTACIONAMIENTOS</v>
          </cell>
          <cell r="J1480">
            <v>0</v>
          </cell>
          <cell r="K1480">
            <v>68000</v>
          </cell>
          <cell r="L1480">
            <v>780000</v>
          </cell>
          <cell r="M1480" t="str">
            <v>LIDER MALL CALAMA</v>
          </cell>
          <cell r="P1480" t="str">
            <v>CALAMA</v>
          </cell>
          <cell r="Q1480" t="str">
            <v>TRADICIONAL</v>
          </cell>
          <cell r="R1480" t="str">
            <v>Mall - Norte</v>
          </cell>
          <cell r="S1480" t="str">
            <v>Inversiones Calama</v>
          </cell>
          <cell r="T1480" t="str">
            <v>Unipoles</v>
          </cell>
          <cell r="U1480">
            <v>1</v>
          </cell>
          <cell r="V1480" t="str">
            <v>9.00 * 3.00</v>
          </cell>
        </row>
        <row r="1481">
          <cell r="A1481" t="str">
            <v>LIME0014A</v>
          </cell>
          <cell r="B1481" t="str">
            <v>Supermercado</v>
          </cell>
          <cell r="D1481" t="str">
            <v>P.E.: PANEL ACCESO.</v>
          </cell>
          <cell r="E1481" t="str">
            <v>PANEL ACCESO.</v>
          </cell>
          <cell r="F1481" t="str">
            <v>Ver Ficha</v>
          </cell>
          <cell r="G1481" t="str">
            <v>Ver Ficha</v>
          </cell>
          <cell r="H1481" t="str">
            <v>A</v>
          </cell>
          <cell r="I1481" t="str">
            <v>ACCESO ESTACIONA</v>
          </cell>
          <cell r="J1481">
            <v>634000</v>
          </cell>
          <cell r="K1481">
            <v>520000</v>
          </cell>
          <cell r="L1481">
            <v>2200000</v>
          </cell>
          <cell r="M1481" t="str">
            <v>LIDER MERCADO</v>
          </cell>
          <cell r="P1481" t="str">
            <v>LO BARNECHEA</v>
          </cell>
          <cell r="Q1481" t="str">
            <v>ESPECIAL</v>
          </cell>
          <cell r="R1481" t="str">
            <v>Supermercado - Santiago</v>
          </cell>
          <cell r="S1481" t="str">
            <v>Lider</v>
          </cell>
          <cell r="T1481" t="str">
            <v>Productos Especiales</v>
          </cell>
          <cell r="U1481">
            <v>1</v>
          </cell>
          <cell r="V1481" t="str">
            <v>NA</v>
          </cell>
        </row>
        <row r="1482">
          <cell r="A1482" t="str">
            <v>LITM0006A</v>
          </cell>
          <cell r="B1482" t="str">
            <v>Terminal</v>
          </cell>
          <cell r="D1482" t="str">
            <v>P.E.: CORPOREO</v>
          </cell>
          <cell r="E1482" t="str">
            <v>CORPOREO</v>
          </cell>
          <cell r="F1482" t="str">
            <v>Ver Ficha</v>
          </cell>
          <cell r="G1482" t="str">
            <v>Ver Ficha</v>
          </cell>
          <cell r="H1482" t="str">
            <v>X</v>
          </cell>
          <cell r="I1482" t="str">
            <v>EXTERIORES</v>
          </cell>
          <cell r="J1482" t="str">
            <v>Según Corporeo</v>
          </cell>
          <cell r="K1482">
            <v>0</v>
          </cell>
          <cell r="L1482">
            <v>1500000</v>
          </cell>
          <cell r="M1482" t="str">
            <v>LIDER TOMAS MORO</v>
          </cell>
          <cell r="P1482" t="str">
            <v>LAS CONDES</v>
          </cell>
          <cell r="Q1482" t="str">
            <v>ESPECIAL</v>
          </cell>
          <cell r="R1482" t="str">
            <v>Supermercado - Santiago</v>
          </cell>
          <cell r="S1482" t="str">
            <v>Lider</v>
          </cell>
          <cell r="T1482" t="str">
            <v>Productos Especiales</v>
          </cell>
          <cell r="U1482">
            <v>1</v>
          </cell>
          <cell r="V1482" t="str">
            <v>NA</v>
          </cell>
        </row>
        <row r="1483">
          <cell r="A1483" t="str">
            <v>VTP 0001A</v>
          </cell>
          <cell r="B1483" t="str">
            <v>Terminal</v>
          </cell>
          <cell r="D1483" t="str">
            <v>Cajas de luz</v>
          </cell>
          <cell r="E1483" t="str">
            <v>MURO PVC</v>
          </cell>
          <cell r="G1483" t="str">
            <v>1.50 * 1.10</v>
          </cell>
          <cell r="H1483" t="str">
            <v>Y</v>
          </cell>
          <cell r="I1483" t="str">
            <v>INTERIOR PASILLO</v>
          </cell>
          <cell r="J1483">
            <v>0</v>
          </cell>
          <cell r="K1483">
            <v>0</v>
          </cell>
          <cell r="L1483">
            <v>150000</v>
          </cell>
          <cell r="M1483" t="str">
            <v>VALPARAISO TERMINAL DE PASAJEROS S.A.</v>
          </cell>
          <cell r="P1483" t="str">
            <v>VALPARAISO</v>
          </cell>
          <cell r="Q1483" t="str">
            <v>TRADICIONAL</v>
          </cell>
          <cell r="R1483" t="str">
            <v>Terminal - V Region</v>
          </cell>
          <cell r="S1483" t="str">
            <v>VTP</v>
          </cell>
          <cell r="T1483" t="str">
            <v>Cajas de luz</v>
          </cell>
          <cell r="U1483">
            <v>1</v>
          </cell>
          <cell r="V1483" t="str">
            <v>1.50 * 1.10</v>
          </cell>
        </row>
        <row r="1484">
          <cell r="A1484" t="str">
            <v>VTP 0002A</v>
          </cell>
          <cell r="B1484" t="str">
            <v>Terminal</v>
          </cell>
          <cell r="D1484" t="str">
            <v>Cajas de luz</v>
          </cell>
          <cell r="E1484" t="str">
            <v>MURO PVC</v>
          </cell>
          <cell r="G1484" t="str">
            <v>1.50 * 1.10</v>
          </cell>
          <cell r="H1484" t="str">
            <v>Y</v>
          </cell>
          <cell r="I1484" t="str">
            <v>INTERIOR PASILLO</v>
          </cell>
          <cell r="J1484">
            <v>0</v>
          </cell>
          <cell r="K1484">
            <v>0</v>
          </cell>
          <cell r="L1484">
            <v>150000</v>
          </cell>
          <cell r="M1484" t="str">
            <v>VALPARAISO TERMINAL DE PASAJEROS S.A.</v>
          </cell>
          <cell r="P1484" t="str">
            <v>VALPARAISO</v>
          </cell>
          <cell r="Q1484" t="str">
            <v>TRADICIONAL</v>
          </cell>
          <cell r="R1484" t="str">
            <v>Terminal - V Region</v>
          </cell>
          <cell r="S1484" t="str">
            <v>VTP</v>
          </cell>
          <cell r="T1484" t="str">
            <v>Cajas de luz</v>
          </cell>
          <cell r="U1484">
            <v>1</v>
          </cell>
          <cell r="V1484" t="str">
            <v>1.50 * 1.10</v>
          </cell>
        </row>
        <row r="1485">
          <cell r="A1485" t="str">
            <v>VTP 0003A</v>
          </cell>
          <cell r="B1485" t="str">
            <v>Terminal</v>
          </cell>
          <cell r="D1485" t="str">
            <v>Cajas de luz</v>
          </cell>
          <cell r="E1485" t="str">
            <v>MURO PVC</v>
          </cell>
          <cell r="G1485" t="str">
            <v>1.50 * 1.10</v>
          </cell>
          <cell r="H1485" t="str">
            <v>Y</v>
          </cell>
          <cell r="I1485" t="str">
            <v>INTERIOR PASILLO</v>
          </cell>
          <cell r="J1485">
            <v>0</v>
          </cell>
          <cell r="K1485">
            <v>0</v>
          </cell>
          <cell r="L1485">
            <v>150000</v>
          </cell>
          <cell r="M1485" t="str">
            <v>VALPARAISO TERMINAL DE PASAJEROS S.A.</v>
          </cell>
          <cell r="P1485" t="str">
            <v>VALPARAISO</v>
          </cell>
          <cell r="Q1485" t="str">
            <v>TRADICIONAL</v>
          </cell>
          <cell r="R1485" t="str">
            <v>Terminal - V Region</v>
          </cell>
          <cell r="S1485" t="str">
            <v>VTP</v>
          </cell>
          <cell r="T1485" t="str">
            <v>Cajas de luz</v>
          </cell>
          <cell r="U1485">
            <v>1</v>
          </cell>
          <cell r="V1485" t="str">
            <v>1.50 * 1.10</v>
          </cell>
        </row>
        <row r="1486">
          <cell r="A1486" t="str">
            <v>VTP 0004A</v>
          </cell>
          <cell r="B1486" t="str">
            <v>Terminal</v>
          </cell>
          <cell r="D1486" t="str">
            <v>Cajas de luz</v>
          </cell>
          <cell r="E1486" t="str">
            <v>MURO PVC</v>
          </cell>
          <cell r="G1486" t="str">
            <v>1.50 * 1.10</v>
          </cell>
          <cell r="H1486" t="str">
            <v>Y</v>
          </cell>
          <cell r="I1486" t="str">
            <v>INTERIOR PASILLO</v>
          </cell>
          <cell r="J1486">
            <v>0</v>
          </cell>
          <cell r="K1486">
            <v>0</v>
          </cell>
          <cell r="L1486">
            <v>150000</v>
          </cell>
          <cell r="M1486" t="str">
            <v>VALPARAISO TERMINAL DE PASAJEROS S.A.</v>
          </cell>
          <cell r="P1486" t="str">
            <v>VALPARAISO</v>
          </cell>
          <cell r="Q1486" t="str">
            <v>TRADICIONAL</v>
          </cell>
          <cell r="R1486" t="str">
            <v>Terminal - V Region</v>
          </cell>
          <cell r="S1486" t="str">
            <v>VTP</v>
          </cell>
          <cell r="T1486" t="str">
            <v>Cajas de luz</v>
          </cell>
          <cell r="U1486">
            <v>1</v>
          </cell>
          <cell r="V1486" t="str">
            <v>1.50 * 1.10</v>
          </cell>
        </row>
        <row r="1487">
          <cell r="A1487" t="str">
            <v>VTP 0005A</v>
          </cell>
          <cell r="B1487" t="str">
            <v>Terminal</v>
          </cell>
          <cell r="D1487" t="str">
            <v>Cajas de luz</v>
          </cell>
          <cell r="E1487" t="str">
            <v>MURO PVC</v>
          </cell>
          <cell r="G1487" t="str">
            <v>1.50 * 1.10</v>
          </cell>
          <cell r="H1487" t="str">
            <v>Y</v>
          </cell>
          <cell r="I1487" t="str">
            <v>INTERIOR PASILLO</v>
          </cell>
          <cell r="J1487">
            <v>0</v>
          </cell>
          <cell r="K1487">
            <v>0</v>
          </cell>
          <cell r="L1487">
            <v>150000</v>
          </cell>
          <cell r="M1487" t="str">
            <v>VALPARAISO TERMINAL DE PASAJEROS S.A.</v>
          </cell>
          <cell r="P1487" t="str">
            <v>VALPARAISO</v>
          </cell>
          <cell r="Q1487" t="str">
            <v>TRADICIONAL</v>
          </cell>
          <cell r="R1487" t="str">
            <v>Terminal - V Region</v>
          </cell>
          <cell r="S1487" t="str">
            <v>VTP</v>
          </cell>
          <cell r="T1487" t="str">
            <v>Cajas de luz</v>
          </cell>
          <cell r="U1487">
            <v>1</v>
          </cell>
          <cell r="V1487" t="str">
            <v>1.50 * 1.10</v>
          </cell>
        </row>
        <row r="1488">
          <cell r="A1488" t="str">
            <v>VTP 0006A</v>
          </cell>
          <cell r="B1488" t="str">
            <v>Terminal</v>
          </cell>
          <cell r="D1488" t="str">
            <v>Cajas de luz</v>
          </cell>
          <cell r="E1488" t="str">
            <v>MURO PVC</v>
          </cell>
          <cell r="G1488" t="str">
            <v>1.50 * 1.10</v>
          </cell>
          <cell r="H1488" t="str">
            <v>Y</v>
          </cell>
          <cell r="I1488" t="str">
            <v>INTERIOR PASILLO</v>
          </cell>
          <cell r="J1488">
            <v>0</v>
          </cell>
          <cell r="K1488">
            <v>0</v>
          </cell>
          <cell r="L1488">
            <v>150000</v>
          </cell>
          <cell r="M1488" t="str">
            <v>VALPARAISO TERMINAL DE PASAJEROS S.A.</v>
          </cell>
          <cell r="P1488" t="str">
            <v>VALPARAISO</v>
          </cell>
          <cell r="Q1488" t="str">
            <v>TRADICIONAL</v>
          </cell>
          <cell r="R1488" t="str">
            <v>Terminal - V Region</v>
          </cell>
          <cell r="S1488" t="str">
            <v>VTP</v>
          </cell>
          <cell r="T1488" t="str">
            <v>Cajas de luz</v>
          </cell>
          <cell r="U1488">
            <v>1</v>
          </cell>
          <cell r="V1488" t="str">
            <v>1.50 * 1.10</v>
          </cell>
        </row>
        <row r="1489">
          <cell r="A1489" t="str">
            <v>VTP 0007A</v>
          </cell>
          <cell r="B1489" t="str">
            <v>Terminal</v>
          </cell>
          <cell r="D1489" t="str">
            <v>Cajas de luz</v>
          </cell>
          <cell r="E1489" t="str">
            <v>MURO PVC</v>
          </cell>
          <cell r="G1489" t="str">
            <v>1.50 * 1.10</v>
          </cell>
          <cell r="H1489" t="str">
            <v>Y</v>
          </cell>
          <cell r="I1489" t="str">
            <v>INTERIOR PASILLO</v>
          </cell>
          <cell r="J1489">
            <v>0</v>
          </cell>
          <cell r="K1489">
            <v>0</v>
          </cell>
          <cell r="L1489">
            <v>150000</v>
          </cell>
          <cell r="M1489" t="str">
            <v>VALPARAISO TERMINAL DE PASAJEROS S.A.</v>
          </cell>
          <cell r="P1489" t="str">
            <v>VALPARAISO</v>
          </cell>
          <cell r="Q1489" t="str">
            <v>TRADICIONAL</v>
          </cell>
          <cell r="R1489" t="str">
            <v>Terminal - V Region</v>
          </cell>
          <cell r="S1489" t="str">
            <v>VTP</v>
          </cell>
          <cell r="T1489" t="str">
            <v>Cajas de luz</v>
          </cell>
          <cell r="U1489">
            <v>1</v>
          </cell>
          <cell r="V1489" t="str">
            <v>1.50 * 1.10</v>
          </cell>
        </row>
        <row r="1490">
          <cell r="A1490" t="str">
            <v>VTP 0008A</v>
          </cell>
          <cell r="B1490" t="str">
            <v>Terminal</v>
          </cell>
          <cell r="D1490" t="str">
            <v>Cajas de luz</v>
          </cell>
          <cell r="E1490" t="str">
            <v>MURO PVC</v>
          </cell>
          <cell r="G1490" t="str">
            <v>1.50 * 1.10</v>
          </cell>
          <cell r="H1490" t="str">
            <v>Y</v>
          </cell>
          <cell r="I1490" t="str">
            <v>INTERIOR PASILLO</v>
          </cell>
          <cell r="J1490">
            <v>0</v>
          </cell>
          <cell r="K1490">
            <v>0</v>
          </cell>
          <cell r="L1490">
            <v>150000</v>
          </cell>
          <cell r="M1490" t="str">
            <v>VALPARAISO TERMINAL DE PASAJEROS S.A.</v>
          </cell>
          <cell r="P1490" t="str">
            <v>VALPARAISO</v>
          </cell>
          <cell r="Q1490" t="str">
            <v>TRADICIONAL</v>
          </cell>
          <cell r="R1490" t="str">
            <v>Terminal - V Region</v>
          </cell>
          <cell r="S1490" t="str">
            <v>VTP</v>
          </cell>
          <cell r="T1490" t="str">
            <v>Cajas de luz</v>
          </cell>
          <cell r="U1490">
            <v>1</v>
          </cell>
          <cell r="V1490" t="str">
            <v>1.50 * 1.10</v>
          </cell>
        </row>
        <row r="1491">
          <cell r="A1491" t="str">
            <v>VTP 0009A</v>
          </cell>
          <cell r="B1491" t="str">
            <v>Terminal</v>
          </cell>
          <cell r="D1491" t="str">
            <v>Cajas de luz</v>
          </cell>
          <cell r="E1491" t="str">
            <v>Cajas de luz</v>
          </cell>
          <cell r="G1491" t="str">
            <v>4.00 * 0.60</v>
          </cell>
          <cell r="H1491" t="str">
            <v>Y</v>
          </cell>
          <cell r="I1491" t="str">
            <v>INTERIOR PASILLO</v>
          </cell>
          <cell r="J1491">
            <v>0</v>
          </cell>
          <cell r="K1491">
            <v>0</v>
          </cell>
          <cell r="L1491">
            <v>350000</v>
          </cell>
          <cell r="M1491" t="str">
            <v>VALPARAISO TERMINAL DE PASAJEROS S.A.</v>
          </cell>
          <cell r="P1491" t="str">
            <v>VALPARAISO</v>
          </cell>
          <cell r="Q1491" t="str">
            <v>TRADICIONAL</v>
          </cell>
          <cell r="R1491" t="str">
            <v>Terminal - V Region</v>
          </cell>
          <cell r="S1491" t="str">
            <v>VTP</v>
          </cell>
          <cell r="T1491" t="str">
            <v>Cajas de luz</v>
          </cell>
          <cell r="U1491">
            <v>1</v>
          </cell>
          <cell r="V1491" t="str">
            <v>4.00 * 0.60</v>
          </cell>
        </row>
        <row r="1492">
          <cell r="A1492" t="str">
            <v>VTP 0010A</v>
          </cell>
          <cell r="B1492" t="str">
            <v>Terminal</v>
          </cell>
          <cell r="D1492" t="str">
            <v>Cajas de luz</v>
          </cell>
          <cell r="E1492" t="str">
            <v>Cajas de luz</v>
          </cell>
          <cell r="G1492" t="str">
            <v>4.00 * 2.00</v>
          </cell>
          <cell r="H1492" t="str">
            <v>Y</v>
          </cell>
          <cell r="I1492" t="str">
            <v>INTERIOR PASILLO</v>
          </cell>
          <cell r="J1492">
            <v>0</v>
          </cell>
          <cell r="K1492">
            <v>0</v>
          </cell>
          <cell r="L1492">
            <v>600000</v>
          </cell>
          <cell r="M1492" t="str">
            <v>VALPARAISO TERMINAL DE PASAJEROS S.A.</v>
          </cell>
          <cell r="P1492" t="str">
            <v>VALPARAISO</v>
          </cell>
          <cell r="Q1492" t="str">
            <v>TRADICIONAL</v>
          </cell>
          <cell r="R1492" t="str">
            <v>Terminal - V Region</v>
          </cell>
          <cell r="S1492" t="str">
            <v>VTP</v>
          </cell>
          <cell r="T1492" t="str">
            <v>Cajas de luz</v>
          </cell>
          <cell r="U1492">
            <v>1</v>
          </cell>
          <cell r="V1492" t="str">
            <v>4.00 * 2.00</v>
          </cell>
        </row>
        <row r="1493">
          <cell r="A1493" t="str">
            <v>VTP 0011A</v>
          </cell>
          <cell r="B1493" t="str">
            <v>Terminal</v>
          </cell>
          <cell r="D1493" t="str">
            <v>Cajas de luz</v>
          </cell>
          <cell r="E1493" t="str">
            <v>Cajas de luz</v>
          </cell>
          <cell r="G1493" t="str">
            <v>4.00 * 2.00</v>
          </cell>
          <cell r="H1493" t="str">
            <v>Y</v>
          </cell>
          <cell r="I1493" t="str">
            <v>INTERIOR PASILLO</v>
          </cell>
          <cell r="J1493">
            <v>0</v>
          </cell>
          <cell r="K1493">
            <v>0</v>
          </cell>
          <cell r="L1493">
            <v>600000</v>
          </cell>
          <cell r="M1493" t="str">
            <v>VALPARAISO TERMINAL DE PASAJEROS S.A.</v>
          </cell>
          <cell r="P1493" t="str">
            <v>VALPARAISO</v>
          </cell>
          <cell r="Q1493" t="str">
            <v>TRADICIONAL</v>
          </cell>
          <cell r="R1493" t="str">
            <v>Terminal - V Region</v>
          </cell>
          <cell r="S1493" t="str">
            <v>VTP</v>
          </cell>
          <cell r="T1493" t="str">
            <v>Cajas de luz</v>
          </cell>
          <cell r="U1493">
            <v>1</v>
          </cell>
          <cell r="V1493" t="str">
            <v>4.00 * 2.00</v>
          </cell>
        </row>
        <row r="1494">
          <cell r="A1494" t="str">
            <v>VTP 0012A</v>
          </cell>
          <cell r="B1494" t="str">
            <v>Terminal</v>
          </cell>
          <cell r="D1494" t="str">
            <v>P.E.: MODULO</v>
          </cell>
          <cell r="E1494" t="str">
            <v>MODULO</v>
          </cell>
          <cell r="G1494" t="str">
            <v>2 * 2</v>
          </cell>
          <cell r="H1494" t="str">
            <v>Q</v>
          </cell>
          <cell r="I1494" t="str">
            <v>EMBARQUE</v>
          </cell>
          <cell r="J1494">
            <v>0</v>
          </cell>
          <cell r="K1494">
            <v>0</v>
          </cell>
          <cell r="L1494">
            <v>1300000</v>
          </cell>
          <cell r="M1494" t="str">
            <v>VALPARAISO TERMINAL DE PASAJEROS S.A.</v>
          </cell>
          <cell r="P1494" t="str">
            <v>VALPARAISO</v>
          </cell>
          <cell r="Q1494" t="str">
            <v>TRADICIONAL</v>
          </cell>
          <cell r="R1494" t="str">
            <v>Terminal - V Region</v>
          </cell>
          <cell r="S1494" t="str">
            <v>VTP</v>
          </cell>
          <cell r="T1494" t="str">
            <v>Especiales Permanentes</v>
          </cell>
          <cell r="U1494">
            <v>1</v>
          </cell>
          <cell r="V1494" t="str">
            <v>2.00 * 2.00</v>
          </cell>
        </row>
        <row r="1495">
          <cell r="A1495" t="str">
            <v>EAFC0002A</v>
          </cell>
          <cell r="B1495" t="str">
            <v>Tienda Hogar</v>
          </cell>
          <cell r="D1495" t="str">
            <v>Paletas</v>
          </cell>
          <cell r="E1495" t="str">
            <v>Paletas</v>
          </cell>
          <cell r="F1495" t="str">
            <v>1.20 * 1.70</v>
          </cell>
          <cell r="G1495" t="str">
            <v>1.23 * 1.75</v>
          </cell>
          <cell r="H1495" t="str">
            <v>E</v>
          </cell>
          <cell r="I1495" t="str">
            <v>ESTACIONAMIENTOS</v>
          </cell>
          <cell r="J1495">
            <v>0</v>
          </cell>
          <cell r="K1495">
            <v>0</v>
          </cell>
          <cell r="L1495">
            <v>300000</v>
          </cell>
          <cell r="M1495" t="str">
            <v>EASY FLORIDA CENTER</v>
          </cell>
          <cell r="P1495" t="str">
            <v>LA FLORIDA</v>
          </cell>
          <cell r="Q1495" t="str">
            <v>TRADICIONAL</v>
          </cell>
          <cell r="R1495" t="str">
            <v>Tienda Hogar - Santiago</v>
          </cell>
          <cell r="S1495" t="str">
            <v>Easy</v>
          </cell>
          <cell r="T1495" t="str">
            <v>Paletas</v>
          </cell>
          <cell r="U1495">
            <v>1</v>
          </cell>
          <cell r="V1495" t="str">
            <v>1.20 * 1.70</v>
          </cell>
        </row>
        <row r="1496">
          <cell r="A1496" t="str">
            <v>EAFC0002B</v>
          </cell>
          <cell r="B1496" t="str">
            <v>Tienda Hogar</v>
          </cell>
          <cell r="D1496" t="str">
            <v>Paletas</v>
          </cell>
          <cell r="E1496" t="str">
            <v>Paletas</v>
          </cell>
          <cell r="F1496" t="str">
            <v>1.20 * 1.70</v>
          </cell>
          <cell r="G1496" t="str">
            <v>1.23 * 1.75</v>
          </cell>
          <cell r="H1496" t="str">
            <v>E</v>
          </cell>
          <cell r="I1496" t="str">
            <v>ESTACIONAMIENTOS</v>
          </cell>
          <cell r="J1496">
            <v>0</v>
          </cell>
          <cell r="K1496">
            <v>0</v>
          </cell>
          <cell r="L1496">
            <v>300000</v>
          </cell>
          <cell r="M1496" t="str">
            <v>EASY FLORIDA CENTER</v>
          </cell>
          <cell r="P1496" t="str">
            <v>LA FLORIDA</v>
          </cell>
          <cell r="Q1496" t="str">
            <v>TRADICIONAL</v>
          </cell>
          <cell r="R1496" t="str">
            <v>Tienda Hogar - Santiago</v>
          </cell>
          <cell r="S1496" t="str">
            <v>Easy</v>
          </cell>
          <cell r="T1496" t="str">
            <v>Paletas</v>
          </cell>
          <cell r="U1496">
            <v>1</v>
          </cell>
          <cell r="V1496" t="str">
            <v>1.20 * 1.70</v>
          </cell>
        </row>
        <row r="1497">
          <cell r="A1497" t="str">
            <v>EALR0001A</v>
          </cell>
          <cell r="B1497" t="str">
            <v>Tienda Hogar</v>
          </cell>
          <cell r="D1497" t="str">
            <v>Cajas de luz</v>
          </cell>
          <cell r="E1497" t="str">
            <v>Cajas de luz</v>
          </cell>
          <cell r="F1497" t="str">
            <v>3.80 * 1.80</v>
          </cell>
          <cell r="G1497" t="str">
            <v>4.00 * 2.00</v>
          </cell>
          <cell r="H1497" t="str">
            <v>E</v>
          </cell>
          <cell r="I1497" t="str">
            <v>ESTACIONAMIENTOS</v>
          </cell>
          <cell r="J1497">
            <v>0</v>
          </cell>
          <cell r="K1497">
            <v>0</v>
          </cell>
          <cell r="L1497">
            <v>520000</v>
          </cell>
          <cell r="M1497" t="str">
            <v>EASY LA REINA</v>
          </cell>
          <cell r="P1497" t="str">
            <v>LA REINA</v>
          </cell>
          <cell r="Q1497" t="str">
            <v>TRADICIONAL</v>
          </cell>
          <cell r="R1497" t="str">
            <v>Tienda Hogar - Santiago</v>
          </cell>
          <cell r="S1497" t="str">
            <v>Easy</v>
          </cell>
          <cell r="T1497" t="str">
            <v>Cajas de luz</v>
          </cell>
          <cell r="U1497">
            <v>1</v>
          </cell>
          <cell r="V1497" t="str">
            <v>3.80 * 1.80</v>
          </cell>
        </row>
        <row r="1498">
          <cell r="A1498" t="str">
            <v>EAQU0001A</v>
          </cell>
          <cell r="B1498" t="str">
            <v>Tienda Hogar</v>
          </cell>
          <cell r="D1498" t="str">
            <v>Paletas</v>
          </cell>
          <cell r="E1498" t="str">
            <v>Paletas</v>
          </cell>
          <cell r="F1498" t="str">
            <v>1.10 * 1.53</v>
          </cell>
          <cell r="G1498" t="str">
            <v>1.15 * 1.57</v>
          </cell>
          <cell r="H1498" t="str">
            <v>E</v>
          </cell>
          <cell r="I1498" t="str">
            <v>ESTACIONAMIENTOS</v>
          </cell>
          <cell r="J1498">
            <v>0</v>
          </cell>
          <cell r="K1498">
            <v>0</v>
          </cell>
          <cell r="L1498">
            <v>300000</v>
          </cell>
          <cell r="M1498" t="str">
            <v>EASY QUILIN</v>
          </cell>
          <cell r="P1498" t="str">
            <v>PENALOLEN</v>
          </cell>
          <cell r="Q1498" t="str">
            <v>TRADICIONAL</v>
          </cell>
          <cell r="R1498" t="str">
            <v>Tienda Hogar - Santiago</v>
          </cell>
          <cell r="S1498" t="str">
            <v>Easy</v>
          </cell>
          <cell r="T1498" t="str">
            <v>Paletas</v>
          </cell>
          <cell r="U1498">
            <v>1</v>
          </cell>
          <cell r="V1498" t="str">
            <v>1.10 * 1.53</v>
          </cell>
        </row>
        <row r="1499">
          <cell r="A1499" t="str">
            <v>EAQU0001B</v>
          </cell>
          <cell r="B1499" t="str">
            <v>Tienda Hogar</v>
          </cell>
          <cell r="D1499" t="str">
            <v>Paletas</v>
          </cell>
          <cell r="E1499" t="str">
            <v>Paletas</v>
          </cell>
          <cell r="F1499" t="str">
            <v>1.10 * 1.53</v>
          </cell>
          <cell r="G1499" t="str">
            <v>1.15 * 1.57</v>
          </cell>
          <cell r="H1499" t="str">
            <v>E</v>
          </cell>
          <cell r="I1499" t="str">
            <v>ESTACIONAMIENTOS</v>
          </cell>
          <cell r="J1499">
            <v>0</v>
          </cell>
          <cell r="K1499">
            <v>0</v>
          </cell>
          <cell r="L1499">
            <v>300000</v>
          </cell>
          <cell r="M1499" t="str">
            <v>EASY QUILIN</v>
          </cell>
          <cell r="P1499" t="str">
            <v>PENALOLEN</v>
          </cell>
          <cell r="Q1499" t="str">
            <v>TRADICIONAL</v>
          </cell>
          <cell r="R1499" t="str">
            <v>Tienda Hogar - Santiago</v>
          </cell>
          <cell r="S1499" t="str">
            <v>Easy</v>
          </cell>
          <cell r="T1499" t="str">
            <v>Paletas</v>
          </cell>
          <cell r="U1499">
            <v>1</v>
          </cell>
          <cell r="V1499" t="str">
            <v>1.10 * 1.53</v>
          </cell>
        </row>
        <row r="1500">
          <cell r="A1500" t="str">
            <v>EAQU0002A</v>
          </cell>
          <cell r="B1500" t="str">
            <v>Tienda Hogar</v>
          </cell>
          <cell r="D1500" t="str">
            <v>Paletas</v>
          </cell>
          <cell r="E1500" t="str">
            <v>Paletas</v>
          </cell>
          <cell r="F1500" t="str">
            <v>1.10 * 1.53</v>
          </cell>
          <cell r="G1500" t="str">
            <v>1.15 * 1.57</v>
          </cell>
          <cell r="H1500" t="str">
            <v>E</v>
          </cell>
          <cell r="I1500" t="str">
            <v>ESTACIONAMIENTOS</v>
          </cell>
          <cell r="J1500">
            <v>0</v>
          </cell>
          <cell r="K1500">
            <v>0</v>
          </cell>
          <cell r="L1500">
            <v>300000</v>
          </cell>
          <cell r="M1500" t="str">
            <v>EASY QUILIN</v>
          </cell>
          <cell r="P1500" t="str">
            <v>PENALOLEN</v>
          </cell>
          <cell r="Q1500" t="str">
            <v>TRADICIONAL</v>
          </cell>
          <cell r="R1500" t="str">
            <v>Tienda Hogar - Santiago</v>
          </cell>
          <cell r="S1500" t="str">
            <v>Easy</v>
          </cell>
          <cell r="T1500" t="str">
            <v>Paletas</v>
          </cell>
          <cell r="U1500">
            <v>1</v>
          </cell>
          <cell r="V1500" t="str">
            <v>1.10 * 1.53</v>
          </cell>
        </row>
        <row r="1501">
          <cell r="A1501" t="str">
            <v>EAQU0002B</v>
          </cell>
          <cell r="B1501" t="str">
            <v>Tienda Hogar</v>
          </cell>
          <cell r="D1501" t="str">
            <v>Paletas</v>
          </cell>
          <cell r="E1501" t="str">
            <v>Paletas</v>
          </cell>
          <cell r="F1501" t="str">
            <v>1.10 * 1.53</v>
          </cell>
          <cell r="G1501" t="str">
            <v>1.15 * 1.57</v>
          </cell>
          <cell r="H1501" t="str">
            <v>E</v>
          </cell>
          <cell r="I1501" t="str">
            <v>ESTACIONAMIENTOS</v>
          </cell>
          <cell r="J1501">
            <v>0</v>
          </cell>
          <cell r="K1501">
            <v>0</v>
          </cell>
          <cell r="L1501">
            <v>300000</v>
          </cell>
          <cell r="M1501" t="str">
            <v>EASY QUILIN</v>
          </cell>
          <cell r="P1501" t="str">
            <v>PENALOLEN</v>
          </cell>
          <cell r="Q1501" t="str">
            <v>TRADICIONAL</v>
          </cell>
          <cell r="R1501" t="str">
            <v>Tienda Hogar - Santiago</v>
          </cell>
          <cell r="S1501" t="str">
            <v>Easy</v>
          </cell>
          <cell r="T1501" t="str">
            <v>Paletas</v>
          </cell>
          <cell r="U1501">
            <v>1</v>
          </cell>
          <cell r="V1501" t="str">
            <v>1.10 * 1.53</v>
          </cell>
        </row>
        <row r="1502">
          <cell r="A1502" t="str">
            <v>EARA0001A</v>
          </cell>
          <cell r="B1502" t="str">
            <v>Tienda Hogar</v>
          </cell>
          <cell r="D1502" t="str">
            <v>Paletas</v>
          </cell>
          <cell r="E1502" t="str">
            <v>Paletas</v>
          </cell>
          <cell r="F1502" t="str">
            <v>1.10 * 1.53</v>
          </cell>
          <cell r="G1502" t="str">
            <v>1.15 * 1.57</v>
          </cell>
          <cell r="H1502" t="str">
            <v>E</v>
          </cell>
          <cell r="I1502" t="str">
            <v>ESTACIONAMIENTOS</v>
          </cell>
          <cell r="J1502">
            <v>0</v>
          </cell>
          <cell r="K1502">
            <v>0</v>
          </cell>
          <cell r="L1502">
            <v>300000</v>
          </cell>
          <cell r="M1502" t="str">
            <v>EASY RANCAGUA</v>
          </cell>
          <cell r="P1502" t="str">
            <v>RANCAGUA</v>
          </cell>
          <cell r="Q1502" t="str">
            <v>TRADICIONAL</v>
          </cell>
          <cell r="R1502" t="str">
            <v>Tienda Hogar - Sur</v>
          </cell>
          <cell r="S1502" t="str">
            <v>Easy</v>
          </cell>
          <cell r="T1502" t="str">
            <v>Paletas</v>
          </cell>
          <cell r="U1502">
            <v>1</v>
          </cell>
          <cell r="V1502" t="str">
            <v>1.10 * 1.53</v>
          </cell>
        </row>
        <row r="1503">
          <cell r="A1503" t="str">
            <v>EARA0001B</v>
          </cell>
          <cell r="B1503" t="str">
            <v>Tienda Hogar</v>
          </cell>
          <cell r="D1503" t="str">
            <v>Paletas</v>
          </cell>
          <cell r="E1503" t="str">
            <v>Paletas</v>
          </cell>
          <cell r="F1503" t="str">
            <v>1.10 * 1.53</v>
          </cell>
          <cell r="G1503" t="str">
            <v>1.15 * 1.57</v>
          </cell>
          <cell r="H1503" t="str">
            <v>E</v>
          </cell>
          <cell r="I1503" t="str">
            <v>ESTACIONAMIENTOS</v>
          </cell>
          <cell r="J1503">
            <v>0</v>
          </cell>
          <cell r="K1503">
            <v>0</v>
          </cell>
          <cell r="L1503">
            <v>300000</v>
          </cell>
          <cell r="M1503" t="str">
            <v>EASY RANCAGUA</v>
          </cell>
          <cell r="P1503" t="str">
            <v>RANCAGUA</v>
          </cell>
          <cell r="Q1503" t="str">
            <v>TRADICIONAL</v>
          </cell>
          <cell r="R1503" t="str">
            <v>Tienda Hogar - Sur</v>
          </cell>
          <cell r="S1503" t="str">
            <v>Easy</v>
          </cell>
          <cell r="T1503" t="str">
            <v>Paletas</v>
          </cell>
          <cell r="U1503">
            <v>1</v>
          </cell>
          <cell r="V1503" t="str">
            <v>1.10 * 1.53</v>
          </cell>
        </row>
        <row r="1504">
          <cell r="A1504" t="str">
            <v>EAVI0001A</v>
          </cell>
          <cell r="B1504" t="str">
            <v>Tienda Hogar</v>
          </cell>
          <cell r="D1504" t="str">
            <v>Paletas</v>
          </cell>
          <cell r="E1504" t="str">
            <v>Paletas</v>
          </cell>
          <cell r="F1504" t="str">
            <v>1.10 * 1.53</v>
          </cell>
          <cell r="G1504" t="str">
            <v>1.15 * 1.57</v>
          </cell>
          <cell r="H1504" t="str">
            <v>E</v>
          </cell>
          <cell r="I1504" t="str">
            <v>ESTACIONAMIENTOS</v>
          </cell>
          <cell r="J1504">
            <v>0</v>
          </cell>
          <cell r="K1504">
            <v>0</v>
          </cell>
          <cell r="L1504">
            <v>300000</v>
          </cell>
          <cell r="M1504" t="str">
            <v>EASY VIÑA DEL MAR</v>
          </cell>
          <cell r="P1504" t="str">
            <v>VINA DEL MAR</v>
          </cell>
          <cell r="Q1504" t="str">
            <v>TRADICIONAL</v>
          </cell>
          <cell r="R1504" t="str">
            <v>Tienda Hogar - V Region</v>
          </cell>
          <cell r="S1504" t="str">
            <v>Easy</v>
          </cell>
          <cell r="T1504" t="str">
            <v>Paletas</v>
          </cell>
          <cell r="U1504">
            <v>1</v>
          </cell>
          <cell r="V1504" t="str">
            <v>1.10 * 1.53</v>
          </cell>
        </row>
        <row r="1505">
          <cell r="A1505" t="str">
            <v>EAVI0001B</v>
          </cell>
          <cell r="B1505" t="str">
            <v>Tienda Hogar</v>
          </cell>
          <cell r="D1505" t="str">
            <v>Paletas</v>
          </cell>
          <cell r="E1505" t="str">
            <v>Paletas</v>
          </cell>
          <cell r="F1505" t="str">
            <v>1.10 * 1.53</v>
          </cell>
          <cell r="G1505" t="str">
            <v>1.15 * 1.57</v>
          </cell>
          <cell r="H1505" t="str">
            <v>E</v>
          </cell>
          <cell r="I1505" t="str">
            <v>ESTACIONAMIENTOS</v>
          </cell>
          <cell r="J1505">
            <v>0</v>
          </cell>
          <cell r="K1505">
            <v>0</v>
          </cell>
          <cell r="L1505">
            <v>300000</v>
          </cell>
          <cell r="M1505" t="str">
            <v>EASY VIÑA DEL MAR</v>
          </cell>
          <cell r="P1505" t="str">
            <v>VINA DEL MAR</v>
          </cell>
          <cell r="Q1505" t="str">
            <v>TRADICIONAL</v>
          </cell>
          <cell r="R1505" t="str">
            <v>Tienda Hogar - V Region</v>
          </cell>
          <cell r="S1505" t="str">
            <v>Easy</v>
          </cell>
          <cell r="T1505" t="str">
            <v>Paletas</v>
          </cell>
          <cell r="U1505">
            <v>1</v>
          </cell>
          <cell r="V1505" t="str">
            <v>1.10 * 1.53</v>
          </cell>
        </row>
        <row r="1506">
          <cell r="A1506" t="str">
            <v>HCAV0001A</v>
          </cell>
          <cell r="B1506" t="str">
            <v>Tienda Hogar</v>
          </cell>
          <cell r="D1506" t="str">
            <v>Cajas de luz</v>
          </cell>
          <cell r="E1506" t="str">
            <v>Cajas de luz</v>
          </cell>
          <cell r="F1506" t="str">
            <v>3.92 * 1.92</v>
          </cell>
          <cell r="G1506" t="str">
            <v>4.20 * 2.20</v>
          </cell>
          <cell r="H1506" t="str">
            <v>V</v>
          </cell>
          <cell r="I1506" t="str">
            <v>ACCESO SALA DE V</v>
          </cell>
          <cell r="J1506">
            <v>0</v>
          </cell>
          <cell r="K1506">
            <v>0</v>
          </cell>
          <cell r="L1506">
            <v>440000</v>
          </cell>
          <cell r="M1506" t="str">
            <v>HOMECENTER AMERICO VESPUCIO</v>
          </cell>
          <cell r="P1506" t="str">
            <v>NUNOA</v>
          </cell>
          <cell r="Q1506" t="str">
            <v>TRADICIONAL</v>
          </cell>
          <cell r="R1506" t="str">
            <v>Tienda Hogar - Santiago</v>
          </cell>
          <cell r="S1506" t="str">
            <v>HomeCenter</v>
          </cell>
          <cell r="T1506" t="str">
            <v>Cajas de luz</v>
          </cell>
          <cell r="U1506">
            <v>1</v>
          </cell>
          <cell r="V1506" t="str">
            <v>3.92 * 1.92</v>
          </cell>
        </row>
        <row r="1507">
          <cell r="A1507" t="str">
            <v>HCDE0001A</v>
          </cell>
          <cell r="B1507" t="str">
            <v>Tienda Hogar</v>
          </cell>
          <cell r="D1507" t="str">
            <v>Paletas</v>
          </cell>
          <cell r="E1507" t="str">
            <v>Paletas</v>
          </cell>
          <cell r="F1507" t="str">
            <v>1.10 * 1.53</v>
          </cell>
          <cell r="G1507" t="str">
            <v>1.15 * 1.57</v>
          </cell>
          <cell r="H1507" t="str">
            <v>E</v>
          </cell>
          <cell r="I1507" t="str">
            <v>ESTACIONAMIENTOS</v>
          </cell>
          <cell r="J1507">
            <v>0</v>
          </cell>
          <cell r="K1507">
            <v>0</v>
          </cell>
          <cell r="L1507">
            <v>280000</v>
          </cell>
          <cell r="M1507" t="str">
            <v>HOMECENTER DEPARTAMENTAL</v>
          </cell>
          <cell r="P1507" t="str">
            <v>LA FLORIDA</v>
          </cell>
          <cell r="Q1507" t="str">
            <v>TRADICIONAL</v>
          </cell>
          <cell r="R1507" t="str">
            <v>Tienda Hogar - Santiago</v>
          </cell>
          <cell r="S1507" t="str">
            <v>HomeCenter</v>
          </cell>
          <cell r="T1507" t="str">
            <v>Paletas</v>
          </cell>
          <cell r="U1507">
            <v>1</v>
          </cell>
          <cell r="V1507" t="str">
            <v>1.10 * 1.53</v>
          </cell>
        </row>
        <row r="1508">
          <cell r="A1508" t="str">
            <v>HCDE0002A</v>
          </cell>
          <cell r="B1508" t="str">
            <v>Tienda Hogar</v>
          </cell>
          <cell r="D1508" t="str">
            <v>Paletas</v>
          </cell>
          <cell r="E1508" t="str">
            <v>Paletas</v>
          </cell>
          <cell r="F1508" t="str">
            <v>1.10 * 1.53</v>
          </cell>
          <cell r="G1508" t="str">
            <v>1.15 * 1.57</v>
          </cell>
          <cell r="H1508" t="str">
            <v>E</v>
          </cell>
          <cell r="I1508" t="str">
            <v>ESTACIONAMIENTOS</v>
          </cell>
          <cell r="J1508">
            <v>0</v>
          </cell>
          <cell r="K1508">
            <v>0</v>
          </cell>
          <cell r="L1508">
            <v>280000</v>
          </cell>
          <cell r="M1508" t="str">
            <v>HOMECENTER DEPARTAMENTAL</v>
          </cell>
          <cell r="P1508" t="str">
            <v>LA FLORIDA</v>
          </cell>
          <cell r="Q1508" t="str">
            <v>TRADICIONAL</v>
          </cell>
          <cell r="R1508" t="str">
            <v>Tienda Hogar - Santiago</v>
          </cell>
          <cell r="S1508" t="str">
            <v>HomeCenter</v>
          </cell>
          <cell r="T1508" t="str">
            <v>Paletas</v>
          </cell>
          <cell r="U1508">
            <v>1</v>
          </cell>
          <cell r="V1508" t="str">
            <v>1.10 * 1.53</v>
          </cell>
        </row>
        <row r="1509">
          <cell r="A1509" t="str">
            <v>HCKE0001A</v>
          </cell>
          <cell r="B1509" t="str">
            <v>Tienda Hogar</v>
          </cell>
          <cell r="D1509" t="str">
            <v>Pantallas Digitales</v>
          </cell>
          <cell r="E1509" t="str">
            <v>Pantallas</v>
          </cell>
          <cell r="F1509" t="str">
            <v>17``</v>
          </cell>
          <cell r="G1509" t="str">
            <v>17``</v>
          </cell>
          <cell r="H1509" t="str">
            <v>I</v>
          </cell>
          <cell r="I1509" t="str">
            <v>SET 12 PANTALLAS</v>
          </cell>
          <cell r="J1509">
            <v>0</v>
          </cell>
          <cell r="K1509">
            <v>0</v>
          </cell>
          <cell r="L1509">
            <v>600000</v>
          </cell>
          <cell r="M1509" t="str">
            <v>HOMECENTER KENNEDY</v>
          </cell>
          <cell r="P1509" t="str">
            <v>LAS CONDES</v>
          </cell>
          <cell r="Q1509" t="str">
            <v>PANTALLA</v>
          </cell>
          <cell r="R1509" t="str">
            <v>Tienda Hogar - Santiago</v>
          </cell>
          <cell r="S1509" t="str">
            <v>HomeCenter</v>
          </cell>
          <cell r="T1509" t="str">
            <v>Pantallas Digitales</v>
          </cell>
          <cell r="U1509">
            <v>1</v>
          </cell>
          <cell r="V1509" t="str">
            <v>17``</v>
          </cell>
        </row>
        <row r="1510">
          <cell r="A1510" t="str">
            <v>HCKE0001B</v>
          </cell>
          <cell r="B1510" t="str">
            <v>Tienda Hogar</v>
          </cell>
          <cell r="D1510" t="str">
            <v>Pantallas Digitales</v>
          </cell>
          <cell r="E1510" t="str">
            <v>Pantallas</v>
          </cell>
          <cell r="F1510" t="str">
            <v>17``</v>
          </cell>
          <cell r="G1510" t="str">
            <v>17``</v>
          </cell>
          <cell r="H1510" t="str">
            <v>I</v>
          </cell>
          <cell r="I1510" t="str">
            <v>SET 12 PANTALLAS</v>
          </cell>
          <cell r="J1510">
            <v>0</v>
          </cell>
          <cell r="K1510">
            <v>0</v>
          </cell>
          <cell r="L1510">
            <v>600000</v>
          </cell>
          <cell r="M1510" t="str">
            <v>HOMECENTER KENNEDY</v>
          </cell>
          <cell r="P1510" t="str">
            <v>LAS CONDES</v>
          </cell>
          <cell r="Q1510" t="str">
            <v>PANTALLA</v>
          </cell>
          <cell r="R1510" t="str">
            <v>Tienda Hogar - Santiago</v>
          </cell>
          <cell r="S1510" t="str">
            <v>HomeCenter</v>
          </cell>
          <cell r="T1510" t="str">
            <v>Pantallas Digitales</v>
          </cell>
          <cell r="U1510">
            <v>1</v>
          </cell>
          <cell r="V1510" t="str">
            <v>17``</v>
          </cell>
        </row>
        <row r="1511">
          <cell r="A1511" t="str">
            <v>HCKE0001C</v>
          </cell>
          <cell r="B1511" t="str">
            <v>Tienda Hogar</v>
          </cell>
          <cell r="D1511" t="str">
            <v>Pantallas Digitales</v>
          </cell>
          <cell r="E1511" t="str">
            <v>Pantallas</v>
          </cell>
          <cell r="F1511" t="str">
            <v>17``</v>
          </cell>
          <cell r="G1511" t="str">
            <v>17``</v>
          </cell>
          <cell r="H1511" t="str">
            <v>I</v>
          </cell>
          <cell r="I1511" t="str">
            <v>SET 12 PANTALLAS</v>
          </cell>
          <cell r="J1511">
            <v>0</v>
          </cell>
          <cell r="K1511">
            <v>0</v>
          </cell>
          <cell r="L1511">
            <v>600000</v>
          </cell>
          <cell r="M1511" t="str">
            <v>HOMECENTER KENNEDY</v>
          </cell>
          <cell r="P1511" t="str">
            <v>LAS CONDES</v>
          </cell>
          <cell r="Q1511" t="str">
            <v>PANTALLA</v>
          </cell>
          <cell r="R1511" t="str">
            <v>Tienda Hogar - Santiago</v>
          </cell>
          <cell r="S1511" t="str">
            <v>HomeCenter</v>
          </cell>
          <cell r="T1511" t="str">
            <v>Pantallas Digitales</v>
          </cell>
          <cell r="U1511">
            <v>1</v>
          </cell>
          <cell r="V1511" t="str">
            <v>17``</v>
          </cell>
        </row>
        <row r="1512">
          <cell r="A1512" t="str">
            <v>HCKE0001D</v>
          </cell>
          <cell r="B1512" t="str">
            <v>Tienda Hogar</v>
          </cell>
          <cell r="D1512" t="str">
            <v>Pantallas Digitales</v>
          </cell>
          <cell r="E1512" t="str">
            <v>Pantallas</v>
          </cell>
          <cell r="F1512" t="str">
            <v>17``</v>
          </cell>
          <cell r="G1512" t="str">
            <v>17``</v>
          </cell>
          <cell r="H1512" t="str">
            <v>I</v>
          </cell>
          <cell r="I1512" t="str">
            <v>SET 12 PANTALLAS</v>
          </cell>
          <cell r="J1512">
            <v>0</v>
          </cell>
          <cell r="K1512">
            <v>0</v>
          </cell>
          <cell r="L1512">
            <v>600000</v>
          </cell>
          <cell r="M1512" t="str">
            <v>HOMECENTER KENNEDY</v>
          </cell>
          <cell r="P1512" t="str">
            <v>LAS CONDES</v>
          </cell>
          <cell r="Q1512" t="str">
            <v>PANTALLA</v>
          </cell>
          <cell r="R1512" t="str">
            <v>Tienda Hogar - Santiago</v>
          </cell>
          <cell r="S1512" t="str">
            <v>HomeCenter</v>
          </cell>
          <cell r="T1512" t="str">
            <v>Pantallas Digitales</v>
          </cell>
          <cell r="U1512">
            <v>1</v>
          </cell>
          <cell r="V1512" t="str">
            <v>17``</v>
          </cell>
        </row>
        <row r="1513">
          <cell r="A1513" t="str">
            <v>HCLC0001A</v>
          </cell>
          <cell r="B1513" t="str">
            <v>Tienda Hogar</v>
          </cell>
          <cell r="D1513" t="str">
            <v>Paletas</v>
          </cell>
          <cell r="E1513" t="str">
            <v>Paletas</v>
          </cell>
          <cell r="F1513" t="str">
            <v>1.10 * 1.53</v>
          </cell>
          <cell r="G1513" t="str">
            <v>1.15 * 1.57</v>
          </cell>
          <cell r="H1513" t="str">
            <v>X</v>
          </cell>
          <cell r="I1513" t="str">
            <v>EXTERIORES</v>
          </cell>
          <cell r="J1513">
            <v>0</v>
          </cell>
          <cell r="K1513">
            <v>0</v>
          </cell>
          <cell r="L1513">
            <v>320000</v>
          </cell>
          <cell r="M1513" t="str">
            <v>HOMECENTER LAS CONDES</v>
          </cell>
          <cell r="P1513" t="str">
            <v>LAS CONDES</v>
          </cell>
          <cell r="Q1513" t="str">
            <v>TRADICIONAL</v>
          </cell>
          <cell r="R1513" t="str">
            <v>Tienda Hogar - Santiago</v>
          </cell>
          <cell r="S1513" t="str">
            <v>HomeCenter</v>
          </cell>
          <cell r="T1513" t="str">
            <v>Paletas</v>
          </cell>
          <cell r="U1513">
            <v>1</v>
          </cell>
          <cell r="V1513" t="str">
            <v>1.10 * 1.53</v>
          </cell>
        </row>
        <row r="1514">
          <cell r="A1514" t="str">
            <v>HCLC0001B</v>
          </cell>
          <cell r="B1514" t="str">
            <v>Tienda Hogar</v>
          </cell>
          <cell r="D1514" t="str">
            <v>NO VENDIBLE</v>
          </cell>
          <cell r="E1514" t="str">
            <v>Paletas</v>
          </cell>
          <cell r="F1514" t="str">
            <v>1.10 * 1.53</v>
          </cell>
          <cell r="G1514" t="str">
            <v>1.15 * 1.57</v>
          </cell>
          <cell r="H1514" t="str">
            <v>X</v>
          </cell>
          <cell r="I1514" t="str">
            <v>EXTERIORES</v>
          </cell>
          <cell r="J1514">
            <v>0</v>
          </cell>
          <cell r="K1514">
            <v>0</v>
          </cell>
          <cell r="L1514">
            <v>320000</v>
          </cell>
          <cell r="M1514" t="str">
            <v>HOMECENTER LAS CONDES</v>
          </cell>
          <cell r="O1514" t="str">
            <v>Sí</v>
          </cell>
          <cell r="P1514" t="str">
            <v>LAS CONDES</v>
          </cell>
          <cell r="Q1514" t="str">
            <v>TRADICIONAL</v>
          </cell>
          <cell r="R1514" t="str">
            <v>Tienda Hogar - Santiago</v>
          </cell>
          <cell r="S1514" t="str">
            <v>HomeCenter</v>
          </cell>
          <cell r="T1514" t="str">
            <v>Paletas</v>
          </cell>
          <cell r="U1514">
            <v>1</v>
          </cell>
          <cell r="V1514" t="str">
            <v>1.10 * 1.53</v>
          </cell>
        </row>
        <row r="1515">
          <cell r="A1515" t="str">
            <v>HCLC0002A</v>
          </cell>
          <cell r="B1515" t="str">
            <v>Tienda Hogar</v>
          </cell>
          <cell r="D1515" t="str">
            <v>Cajas de luz</v>
          </cell>
          <cell r="E1515" t="str">
            <v>Cajas de luz</v>
          </cell>
          <cell r="F1515" t="str">
            <v>3.00 * 1.20</v>
          </cell>
          <cell r="G1515" t="str">
            <v>3.20 * 1.40</v>
          </cell>
          <cell r="H1515" t="str">
            <v>S</v>
          </cell>
          <cell r="I1515" t="str">
            <v>ESTACIONAMIENTOS</v>
          </cell>
          <cell r="J1515">
            <v>0</v>
          </cell>
          <cell r="K1515">
            <v>0</v>
          </cell>
          <cell r="L1515">
            <v>250000</v>
          </cell>
          <cell r="M1515" t="str">
            <v>HOMECENTER LAS CONDES</v>
          </cell>
          <cell r="P1515" t="str">
            <v>LAS CONDES</v>
          </cell>
          <cell r="Q1515" t="str">
            <v>TRADICIONAL</v>
          </cell>
          <cell r="R1515" t="str">
            <v>Tienda Hogar - Santiago</v>
          </cell>
          <cell r="S1515" t="str">
            <v>HomeCenter</v>
          </cell>
          <cell r="T1515" t="str">
            <v>Cajas de luz</v>
          </cell>
          <cell r="U1515">
            <v>1</v>
          </cell>
          <cell r="V1515" t="str">
            <v>3.00 * 1.20</v>
          </cell>
        </row>
        <row r="1516">
          <cell r="A1516" t="str">
            <v>HCLC0003A</v>
          </cell>
          <cell r="B1516" t="str">
            <v>Tienda Hogar</v>
          </cell>
          <cell r="D1516" t="str">
            <v>Cajas de luz</v>
          </cell>
          <cell r="E1516" t="str">
            <v>Cajas de luz</v>
          </cell>
          <cell r="F1516" t="str">
            <v>3.00 * 1.20</v>
          </cell>
          <cell r="G1516" t="str">
            <v>3.20 * 1.40</v>
          </cell>
          <cell r="H1516" t="str">
            <v>S</v>
          </cell>
          <cell r="I1516" t="str">
            <v>ESTACIONAMIENTOS</v>
          </cell>
          <cell r="J1516">
            <v>0</v>
          </cell>
          <cell r="K1516">
            <v>0</v>
          </cell>
          <cell r="L1516">
            <v>250000</v>
          </cell>
          <cell r="M1516" t="str">
            <v>HOMECENTER LAS CONDES</v>
          </cell>
          <cell r="P1516" t="str">
            <v>LAS CONDES</v>
          </cell>
          <cell r="Q1516" t="str">
            <v>TRADICIONAL</v>
          </cell>
          <cell r="R1516" t="str">
            <v>Tienda Hogar - Santiago</v>
          </cell>
          <cell r="S1516" t="str">
            <v>HomeCenter</v>
          </cell>
          <cell r="T1516" t="str">
            <v>Cajas de luz</v>
          </cell>
          <cell r="U1516">
            <v>1</v>
          </cell>
          <cell r="V1516" t="str">
            <v>3.00 * 1.20</v>
          </cell>
        </row>
        <row r="1517">
          <cell r="A1517" t="str">
            <v>HCLC0004A</v>
          </cell>
          <cell r="B1517" t="str">
            <v>Tienda Hogar</v>
          </cell>
          <cell r="D1517" t="str">
            <v>Cajas de luz</v>
          </cell>
          <cell r="E1517" t="str">
            <v>Cajas de luz</v>
          </cell>
          <cell r="F1517" t="str">
            <v>3.00 * 1.20</v>
          </cell>
          <cell r="G1517" t="str">
            <v>3.20 * 1.40</v>
          </cell>
          <cell r="H1517" t="str">
            <v>S</v>
          </cell>
          <cell r="I1517" t="str">
            <v>ESTACIONAMIENTOS</v>
          </cell>
          <cell r="J1517">
            <v>0</v>
          </cell>
          <cell r="K1517">
            <v>0</v>
          </cell>
          <cell r="L1517">
            <v>250000</v>
          </cell>
          <cell r="M1517" t="str">
            <v>HOMECENTER LAS CONDES</v>
          </cell>
          <cell r="P1517" t="str">
            <v>LAS CONDES</v>
          </cell>
          <cell r="Q1517" t="str">
            <v>TRADICIONAL</v>
          </cell>
          <cell r="R1517" t="str">
            <v>Tienda Hogar - Santiago</v>
          </cell>
          <cell r="S1517" t="str">
            <v>HomeCenter</v>
          </cell>
          <cell r="T1517" t="str">
            <v>Cajas de luz</v>
          </cell>
          <cell r="U1517">
            <v>1</v>
          </cell>
          <cell r="V1517" t="str">
            <v>3.00 * 1.20</v>
          </cell>
        </row>
        <row r="1518">
          <cell r="A1518" t="str">
            <v>HCLC0005A</v>
          </cell>
          <cell r="B1518" t="str">
            <v>Tienda Hogar</v>
          </cell>
          <cell r="D1518" t="str">
            <v>Cajas de luz</v>
          </cell>
          <cell r="E1518" t="str">
            <v>Cajas de luz</v>
          </cell>
          <cell r="F1518" t="str">
            <v>3.00 * 1.20</v>
          </cell>
          <cell r="G1518" t="str">
            <v>3.20 * 1.40</v>
          </cell>
          <cell r="H1518" t="str">
            <v>S</v>
          </cell>
          <cell r="I1518" t="str">
            <v>ESTACIONAMIENTOS</v>
          </cell>
          <cell r="J1518">
            <v>0</v>
          </cell>
          <cell r="K1518">
            <v>0</v>
          </cell>
          <cell r="L1518">
            <v>250000</v>
          </cell>
          <cell r="M1518" t="str">
            <v>HOMECENTER LAS CONDES</v>
          </cell>
          <cell r="P1518" t="str">
            <v>LAS CONDES</v>
          </cell>
          <cell r="Q1518" t="str">
            <v>TRADICIONAL</v>
          </cell>
          <cell r="R1518" t="str">
            <v>Tienda Hogar - Santiago</v>
          </cell>
          <cell r="S1518" t="str">
            <v>HomeCenter</v>
          </cell>
          <cell r="T1518" t="str">
            <v>Cajas de luz</v>
          </cell>
          <cell r="U1518">
            <v>1</v>
          </cell>
          <cell r="V1518" t="str">
            <v>3.00 * 1.20</v>
          </cell>
        </row>
        <row r="1519">
          <cell r="A1519" t="str">
            <v>HCLC0006A</v>
          </cell>
          <cell r="B1519" t="str">
            <v>Tienda Hogar</v>
          </cell>
          <cell r="D1519" t="str">
            <v>Cajas de luz</v>
          </cell>
          <cell r="E1519" t="str">
            <v>Cajas de luz</v>
          </cell>
          <cell r="F1519" t="str">
            <v>3.00 * 1.20</v>
          </cell>
          <cell r="G1519" t="str">
            <v>3.20 * 1.40</v>
          </cell>
          <cell r="H1519" t="str">
            <v>S</v>
          </cell>
          <cell r="I1519" t="str">
            <v>ESTACIONAMIENTOS</v>
          </cell>
          <cell r="J1519">
            <v>0</v>
          </cell>
          <cell r="K1519">
            <v>0</v>
          </cell>
          <cell r="L1519">
            <v>250000</v>
          </cell>
          <cell r="M1519" t="str">
            <v>HOMECENTER LAS CONDES</v>
          </cell>
          <cell r="P1519" t="str">
            <v>LAS CONDES</v>
          </cell>
          <cell r="Q1519" t="str">
            <v>TRADICIONAL</v>
          </cell>
          <cell r="R1519" t="str">
            <v>Tienda Hogar - Santiago</v>
          </cell>
          <cell r="S1519" t="str">
            <v>HomeCenter</v>
          </cell>
          <cell r="T1519" t="str">
            <v>Cajas de luz</v>
          </cell>
          <cell r="U1519">
            <v>1</v>
          </cell>
          <cell r="V1519" t="str">
            <v>3.00 * 1.20</v>
          </cell>
        </row>
        <row r="1520">
          <cell r="A1520" t="str">
            <v>HCLC0007A</v>
          </cell>
          <cell r="B1520" t="str">
            <v>Tienda Hogar</v>
          </cell>
          <cell r="D1520" t="str">
            <v>Cajas de luz</v>
          </cell>
          <cell r="E1520" t="str">
            <v>Cajas de luz no circuito</v>
          </cell>
          <cell r="F1520" t="str">
            <v>3.00 * 1.20</v>
          </cell>
          <cell r="G1520" t="str">
            <v>3.20 * 1.40</v>
          </cell>
          <cell r="H1520" t="str">
            <v>S</v>
          </cell>
          <cell r="I1520" t="str">
            <v>ESTACIONAMIENTOS</v>
          </cell>
          <cell r="J1520">
            <v>0</v>
          </cell>
          <cell r="K1520">
            <v>0</v>
          </cell>
          <cell r="L1520">
            <v>250000</v>
          </cell>
          <cell r="M1520" t="str">
            <v>HOMECENTER LAS CONDES</v>
          </cell>
          <cell r="P1520" t="str">
            <v>LAS CONDES</v>
          </cell>
          <cell r="Q1520" t="str">
            <v>TRADICIONAL</v>
          </cell>
          <cell r="R1520" t="str">
            <v>Tienda Hogar - Santiago</v>
          </cell>
          <cell r="S1520" t="str">
            <v>HomeCenter</v>
          </cell>
          <cell r="T1520" t="str">
            <v>Cajas de luz</v>
          </cell>
          <cell r="U1520">
            <v>1</v>
          </cell>
          <cell r="V1520" t="str">
            <v>3.00 * 1.20</v>
          </cell>
        </row>
        <row r="1521">
          <cell r="A1521" t="str">
            <v>HCLC0008A</v>
          </cell>
          <cell r="B1521" t="str">
            <v>Tienda Hogar</v>
          </cell>
          <cell r="D1521" t="str">
            <v>Cajas de luz</v>
          </cell>
          <cell r="E1521" t="str">
            <v>Cajas de luz no circuito</v>
          </cell>
          <cell r="F1521" t="str">
            <v>3.00 * 1.20</v>
          </cell>
          <cell r="G1521" t="str">
            <v>3.20 * 1.40</v>
          </cell>
          <cell r="H1521" t="str">
            <v>S</v>
          </cell>
          <cell r="I1521" t="str">
            <v>ESTACIONAMIENTOS</v>
          </cell>
          <cell r="J1521">
            <v>0</v>
          </cell>
          <cell r="K1521">
            <v>0</v>
          </cell>
          <cell r="L1521">
            <v>250000</v>
          </cell>
          <cell r="M1521" t="str">
            <v>HOMECENTER LAS CONDES</v>
          </cell>
          <cell r="P1521" t="str">
            <v>LAS CONDES</v>
          </cell>
          <cell r="Q1521" t="str">
            <v>TRADICIONAL</v>
          </cell>
          <cell r="R1521" t="str">
            <v>Tienda Hogar - Santiago</v>
          </cell>
          <cell r="S1521" t="str">
            <v>HomeCenter</v>
          </cell>
          <cell r="T1521" t="str">
            <v>Cajas de luz</v>
          </cell>
          <cell r="U1521">
            <v>1</v>
          </cell>
          <cell r="V1521" t="str">
            <v>3.00 * 1.20</v>
          </cell>
        </row>
        <row r="1522">
          <cell r="A1522" t="str">
            <v>HCLC0009A</v>
          </cell>
          <cell r="B1522" t="str">
            <v>Tienda Hogar</v>
          </cell>
          <cell r="D1522" t="str">
            <v>Cajas de luz</v>
          </cell>
          <cell r="E1522" t="str">
            <v>Cajas de luz no circuito</v>
          </cell>
          <cell r="F1522" t="str">
            <v>3.00 * 1.20</v>
          </cell>
          <cell r="G1522" t="str">
            <v>3.20 * 1.40</v>
          </cell>
          <cell r="H1522" t="str">
            <v>S</v>
          </cell>
          <cell r="I1522" t="str">
            <v>ESTACIONAMIENTOS</v>
          </cell>
          <cell r="J1522">
            <v>0</v>
          </cell>
          <cell r="K1522">
            <v>0</v>
          </cell>
          <cell r="L1522">
            <v>250000</v>
          </cell>
          <cell r="M1522" t="str">
            <v>HOMECENTER LAS CONDES</v>
          </cell>
          <cell r="P1522" t="str">
            <v>LAS CONDES</v>
          </cell>
          <cell r="Q1522" t="str">
            <v>TRADICIONAL</v>
          </cell>
          <cell r="R1522" t="str">
            <v>Tienda Hogar - Santiago</v>
          </cell>
          <cell r="S1522" t="str">
            <v>HomeCenter</v>
          </cell>
          <cell r="T1522" t="str">
            <v>Cajas de luz</v>
          </cell>
          <cell r="U1522">
            <v>1</v>
          </cell>
          <cell r="V1522" t="str">
            <v>3.00 * 1.20</v>
          </cell>
        </row>
        <row r="1523">
          <cell r="A1523" t="str">
            <v>HCLC0010A</v>
          </cell>
          <cell r="B1523" t="str">
            <v>Tienda Hogar</v>
          </cell>
          <cell r="D1523" t="str">
            <v>Cajas de luz</v>
          </cell>
          <cell r="E1523" t="str">
            <v>Cajas de luz no circuito</v>
          </cell>
          <cell r="F1523" t="str">
            <v>3.00 * 1.20</v>
          </cell>
          <cell r="G1523" t="str">
            <v>3.20 * 1.40</v>
          </cell>
          <cell r="H1523" t="str">
            <v>S</v>
          </cell>
          <cell r="I1523" t="str">
            <v>ESTACIONAMIENTOS</v>
          </cell>
          <cell r="J1523">
            <v>0</v>
          </cell>
          <cell r="K1523">
            <v>0</v>
          </cell>
          <cell r="L1523">
            <v>250000</v>
          </cell>
          <cell r="M1523" t="str">
            <v>HOMECENTER LAS CONDES</v>
          </cell>
          <cell r="P1523" t="str">
            <v>LAS CONDES</v>
          </cell>
          <cell r="Q1523" t="str">
            <v>TRADICIONAL</v>
          </cell>
          <cell r="R1523" t="str">
            <v>Tienda Hogar - Santiago</v>
          </cell>
          <cell r="S1523" t="str">
            <v>HomeCenter</v>
          </cell>
          <cell r="T1523" t="str">
            <v>Cajas de luz</v>
          </cell>
          <cell r="U1523">
            <v>1</v>
          </cell>
          <cell r="V1523" t="str">
            <v>3.00 * 1.20</v>
          </cell>
        </row>
        <row r="1524">
          <cell r="A1524" t="str">
            <v>HCLC0011A</v>
          </cell>
          <cell r="B1524" t="str">
            <v>Tienda Hogar</v>
          </cell>
          <cell r="D1524" t="str">
            <v>Cajas de luz</v>
          </cell>
          <cell r="E1524" t="str">
            <v>Cajas de luz no circuito</v>
          </cell>
          <cell r="F1524" t="str">
            <v>3.00 * 1.20</v>
          </cell>
          <cell r="G1524" t="str">
            <v>3.20 * 1.40</v>
          </cell>
          <cell r="H1524" t="str">
            <v>S</v>
          </cell>
          <cell r="I1524" t="str">
            <v>ESTACIONAMIENTOS</v>
          </cell>
          <cell r="J1524">
            <v>0</v>
          </cell>
          <cell r="K1524">
            <v>0</v>
          </cell>
          <cell r="L1524">
            <v>250000</v>
          </cell>
          <cell r="M1524" t="str">
            <v>HOMECENTER LAS CONDES</v>
          </cell>
          <cell r="P1524" t="str">
            <v>LAS CONDES</v>
          </cell>
          <cell r="Q1524" t="str">
            <v>TRADICIONAL</v>
          </cell>
          <cell r="R1524" t="str">
            <v>Tienda Hogar - Santiago</v>
          </cell>
          <cell r="S1524" t="str">
            <v>HomeCenter</v>
          </cell>
          <cell r="T1524" t="str">
            <v>Cajas de luz</v>
          </cell>
          <cell r="U1524">
            <v>1</v>
          </cell>
          <cell r="V1524" t="str">
            <v>3.00 * 1.20</v>
          </cell>
        </row>
        <row r="1525">
          <cell r="A1525" t="str">
            <v>HCLC0012A</v>
          </cell>
          <cell r="B1525" t="str">
            <v>Tienda Hogar</v>
          </cell>
          <cell r="D1525" t="str">
            <v>Minipoles</v>
          </cell>
          <cell r="E1525" t="str">
            <v>Minipoles</v>
          </cell>
          <cell r="F1525" t="str">
            <v>3.40 * 2.00</v>
          </cell>
          <cell r="G1525" t="str">
            <v>3.60 * 2.20</v>
          </cell>
          <cell r="H1525" t="str">
            <v>E</v>
          </cell>
          <cell r="I1525" t="str">
            <v>ESTACIONAMIENTOS</v>
          </cell>
          <cell r="J1525">
            <v>0</v>
          </cell>
          <cell r="K1525">
            <v>0</v>
          </cell>
          <cell r="L1525">
            <v>480000</v>
          </cell>
          <cell r="M1525" t="str">
            <v>HOMECENTER LAS CONDES</v>
          </cell>
          <cell r="P1525" t="str">
            <v>LAS CONDES</v>
          </cell>
          <cell r="Q1525" t="str">
            <v>TRADICIONAL</v>
          </cell>
          <cell r="R1525" t="str">
            <v>Tienda Hogar - Santiago</v>
          </cell>
          <cell r="S1525" t="str">
            <v>HomeCenter</v>
          </cell>
          <cell r="T1525" t="str">
            <v>Minipoles</v>
          </cell>
          <cell r="U1525">
            <v>1</v>
          </cell>
          <cell r="V1525" t="str">
            <v>3.40 * 2.00</v>
          </cell>
        </row>
        <row r="1526">
          <cell r="A1526" t="str">
            <v>HCLC0013A</v>
          </cell>
          <cell r="B1526" t="str">
            <v>Tienda Hogar</v>
          </cell>
          <cell r="D1526" t="str">
            <v>Cajas de luz</v>
          </cell>
          <cell r="E1526" t="str">
            <v>LOTE CAJAS COLUMNAS</v>
          </cell>
          <cell r="F1526" t="str">
            <v>0.34 * 0.80</v>
          </cell>
          <cell r="G1526" t="str">
            <v>0.41 * 0.85</v>
          </cell>
          <cell r="H1526" t="str">
            <v>S</v>
          </cell>
          <cell r="I1526" t="str">
            <v>ESTACIONAMIENTOS</v>
          </cell>
          <cell r="J1526">
            <v>0</v>
          </cell>
          <cell r="K1526">
            <v>0</v>
          </cell>
          <cell r="L1526">
            <v>1260000</v>
          </cell>
          <cell r="M1526" t="str">
            <v>HOMECENTER LAS CONDES</v>
          </cell>
          <cell r="P1526" t="str">
            <v>LAS CONDES</v>
          </cell>
          <cell r="Q1526" t="str">
            <v>TRADICIONAL</v>
          </cell>
          <cell r="R1526" t="str">
            <v>Tienda Hogar - Santiago</v>
          </cell>
          <cell r="S1526" t="str">
            <v>HomeCenter</v>
          </cell>
          <cell r="T1526" t="str">
            <v>Cajas de luz</v>
          </cell>
          <cell r="U1526">
            <v>1</v>
          </cell>
          <cell r="V1526" t="str">
            <v>0.34 * 0.80</v>
          </cell>
        </row>
        <row r="1527">
          <cell r="A1527" t="str">
            <v>HCLC0014A</v>
          </cell>
          <cell r="B1527" t="str">
            <v>Tienda Hogar</v>
          </cell>
          <cell r="D1527" t="str">
            <v>Pantallas Digitales</v>
          </cell>
          <cell r="E1527" t="str">
            <v>Pantallas</v>
          </cell>
          <cell r="F1527" t="str">
            <v>17``</v>
          </cell>
          <cell r="G1527" t="str">
            <v>17``</v>
          </cell>
          <cell r="H1527" t="str">
            <v>I</v>
          </cell>
          <cell r="I1527" t="str">
            <v>SET 15 PANTALLAS</v>
          </cell>
          <cell r="J1527">
            <v>0</v>
          </cell>
          <cell r="K1527">
            <v>0</v>
          </cell>
          <cell r="L1527">
            <v>600000</v>
          </cell>
          <cell r="M1527" t="str">
            <v>HOMECENTER LAS CONDES</v>
          </cell>
          <cell r="P1527" t="str">
            <v>LAS CONDES</v>
          </cell>
          <cell r="Q1527" t="str">
            <v>PANTALLA</v>
          </cell>
          <cell r="R1527" t="str">
            <v>Tienda Hogar - Santiago</v>
          </cell>
          <cell r="S1527" t="str">
            <v>HomeCenter</v>
          </cell>
          <cell r="T1527" t="str">
            <v>Pantallas Digitales</v>
          </cell>
          <cell r="U1527">
            <v>1</v>
          </cell>
          <cell r="V1527" t="str">
            <v>17``</v>
          </cell>
        </row>
        <row r="1528">
          <cell r="A1528" t="str">
            <v>HCLC0014B</v>
          </cell>
          <cell r="B1528" t="str">
            <v>Tienda Hogar</v>
          </cell>
          <cell r="D1528" t="str">
            <v>Pantallas Digitales</v>
          </cell>
          <cell r="E1528" t="str">
            <v>Pantallas</v>
          </cell>
          <cell r="F1528" t="str">
            <v>17``</v>
          </cell>
          <cell r="G1528" t="str">
            <v>17``</v>
          </cell>
          <cell r="H1528" t="str">
            <v>I</v>
          </cell>
          <cell r="I1528" t="str">
            <v>SET 15 PANTALLAS</v>
          </cell>
          <cell r="J1528">
            <v>0</v>
          </cell>
          <cell r="K1528">
            <v>0</v>
          </cell>
          <cell r="L1528">
            <v>600000</v>
          </cell>
          <cell r="M1528" t="str">
            <v>HOMECENTER LAS CONDES</v>
          </cell>
          <cell r="P1528" t="str">
            <v>LAS CONDES</v>
          </cell>
          <cell r="Q1528" t="str">
            <v>PANTALLA</v>
          </cell>
          <cell r="R1528" t="str">
            <v>Tienda Hogar - Santiago</v>
          </cell>
          <cell r="S1528" t="str">
            <v>HomeCenter</v>
          </cell>
          <cell r="T1528" t="str">
            <v>Pantallas Digitales</v>
          </cell>
          <cell r="U1528">
            <v>1</v>
          </cell>
          <cell r="V1528" t="str">
            <v>17``</v>
          </cell>
        </row>
        <row r="1529">
          <cell r="A1529" t="str">
            <v>HCLC0014C</v>
          </cell>
          <cell r="B1529" t="str">
            <v>Tienda Hogar</v>
          </cell>
          <cell r="D1529" t="str">
            <v>Pantallas Digitales</v>
          </cell>
          <cell r="E1529" t="str">
            <v>Pantallas</v>
          </cell>
          <cell r="F1529" t="str">
            <v>17``</v>
          </cell>
          <cell r="G1529" t="str">
            <v>17``</v>
          </cell>
          <cell r="H1529" t="str">
            <v>I</v>
          </cell>
          <cell r="I1529" t="str">
            <v>SET 15 PANTALLAS</v>
          </cell>
          <cell r="J1529">
            <v>0</v>
          </cell>
          <cell r="K1529">
            <v>0</v>
          </cell>
          <cell r="L1529">
            <v>600000</v>
          </cell>
          <cell r="M1529" t="str">
            <v>HOMECENTER LAS CONDES</v>
          </cell>
          <cell r="P1529" t="str">
            <v>LAS CONDES</v>
          </cell>
          <cell r="Q1529" t="str">
            <v>PANTALLA</v>
          </cell>
          <cell r="R1529" t="str">
            <v>Tienda Hogar - Santiago</v>
          </cell>
          <cell r="S1529" t="str">
            <v>HomeCenter</v>
          </cell>
          <cell r="T1529" t="str">
            <v>Pantallas Digitales</v>
          </cell>
          <cell r="U1529">
            <v>1</v>
          </cell>
          <cell r="V1529" t="str">
            <v>17``</v>
          </cell>
        </row>
        <row r="1530">
          <cell r="A1530" t="str">
            <v>HCLC0014D</v>
          </cell>
          <cell r="B1530" t="str">
            <v>Tienda Hogar</v>
          </cell>
          <cell r="D1530" t="str">
            <v>Pantallas Digitales</v>
          </cell>
          <cell r="E1530" t="str">
            <v>Pantallas</v>
          </cell>
          <cell r="F1530" t="str">
            <v>17``</v>
          </cell>
          <cell r="G1530" t="str">
            <v>17``</v>
          </cell>
          <cell r="H1530" t="str">
            <v>I</v>
          </cell>
          <cell r="I1530" t="str">
            <v>SET 15 PANTALLAS</v>
          </cell>
          <cell r="J1530">
            <v>0</v>
          </cell>
          <cell r="K1530">
            <v>0</v>
          </cell>
          <cell r="L1530">
            <v>600000</v>
          </cell>
          <cell r="M1530" t="str">
            <v>HOMECENTER LAS CONDES</v>
          </cell>
          <cell r="P1530" t="str">
            <v>LAS CONDES</v>
          </cell>
          <cell r="Q1530" t="str">
            <v>PANTALLA</v>
          </cell>
          <cell r="R1530" t="str">
            <v>Tienda Hogar - Santiago</v>
          </cell>
          <cell r="S1530" t="str">
            <v>HomeCenter</v>
          </cell>
          <cell r="T1530" t="str">
            <v>Pantallas Digitales</v>
          </cell>
          <cell r="U1530">
            <v>1</v>
          </cell>
          <cell r="V1530" t="str">
            <v>17``</v>
          </cell>
        </row>
        <row r="1531">
          <cell r="A1531" t="str">
            <v>HCLR0001A</v>
          </cell>
          <cell r="B1531" t="str">
            <v>Tienda Hogar</v>
          </cell>
          <cell r="D1531" t="str">
            <v>Paletas</v>
          </cell>
          <cell r="E1531" t="str">
            <v>Paletas</v>
          </cell>
          <cell r="F1531" t="str">
            <v>1.10 * 1.53</v>
          </cell>
          <cell r="G1531" t="str">
            <v>1.15 * 1.57</v>
          </cell>
          <cell r="H1531" t="str">
            <v>E</v>
          </cell>
          <cell r="I1531" t="str">
            <v>ESTACIONAMIENTOS</v>
          </cell>
          <cell r="J1531">
            <v>0</v>
          </cell>
          <cell r="K1531">
            <v>0</v>
          </cell>
          <cell r="L1531">
            <v>280000</v>
          </cell>
          <cell r="M1531" t="str">
            <v>HOMECENTER LA REINA</v>
          </cell>
          <cell r="P1531" t="str">
            <v>LA REINA</v>
          </cell>
          <cell r="Q1531" t="str">
            <v>TRADICIONAL</v>
          </cell>
          <cell r="R1531" t="str">
            <v>Tienda Hogar - Santiago</v>
          </cell>
          <cell r="S1531" t="str">
            <v>HomeCenter</v>
          </cell>
          <cell r="T1531" t="str">
            <v>Paletas</v>
          </cell>
          <cell r="U1531">
            <v>1</v>
          </cell>
          <cell r="V1531" t="str">
            <v>1.10 * 1.53</v>
          </cell>
        </row>
        <row r="1532">
          <cell r="A1532" t="str">
            <v>HCLR0002A</v>
          </cell>
          <cell r="B1532" t="str">
            <v>Tienda Hogar</v>
          </cell>
          <cell r="D1532" t="str">
            <v>Paletas</v>
          </cell>
          <cell r="E1532" t="str">
            <v>Paletas</v>
          </cell>
          <cell r="F1532" t="str">
            <v>1.10 * 1.53</v>
          </cell>
          <cell r="G1532" t="str">
            <v>1.15 * 1.57</v>
          </cell>
          <cell r="H1532" t="str">
            <v>E</v>
          </cell>
          <cell r="I1532" t="str">
            <v>ESTACIONAMIENTOS</v>
          </cell>
          <cell r="J1532">
            <v>0</v>
          </cell>
          <cell r="K1532">
            <v>0</v>
          </cell>
          <cell r="L1532">
            <v>280000</v>
          </cell>
          <cell r="M1532" t="str">
            <v>HOMECENTER LA REINA</v>
          </cell>
          <cell r="P1532" t="str">
            <v>LA REINA</v>
          </cell>
          <cell r="Q1532" t="str">
            <v>TRADICIONAL</v>
          </cell>
          <cell r="R1532" t="str">
            <v>Tienda Hogar - Santiago</v>
          </cell>
          <cell r="S1532" t="str">
            <v>HomeCenter</v>
          </cell>
          <cell r="T1532" t="str">
            <v>Paletas</v>
          </cell>
          <cell r="U1532">
            <v>1</v>
          </cell>
          <cell r="V1532" t="str">
            <v>1.10 * 1.53</v>
          </cell>
        </row>
        <row r="1533">
          <cell r="A1533" t="str">
            <v>HCLR0004A</v>
          </cell>
          <cell r="B1533" t="str">
            <v>Tienda Hogar</v>
          </cell>
          <cell r="D1533" t="str">
            <v>Paletas</v>
          </cell>
          <cell r="E1533" t="str">
            <v>Paletas</v>
          </cell>
          <cell r="F1533" t="str">
            <v>1.10 * 1.53</v>
          </cell>
          <cell r="G1533" t="str">
            <v>1.15 * 1.57</v>
          </cell>
          <cell r="H1533" t="str">
            <v>E</v>
          </cell>
          <cell r="I1533" t="str">
            <v>ESTACIONAMIENTOS</v>
          </cell>
          <cell r="J1533">
            <v>0</v>
          </cell>
          <cell r="K1533">
            <v>0</v>
          </cell>
          <cell r="L1533">
            <v>280000</v>
          </cell>
          <cell r="M1533" t="str">
            <v>HOMECENTER LA REINA</v>
          </cell>
          <cell r="P1533" t="str">
            <v>LA REINA</v>
          </cell>
          <cell r="Q1533" t="str">
            <v>TRADICIONAL</v>
          </cell>
          <cell r="R1533" t="str">
            <v>Tienda Hogar - Santiago</v>
          </cell>
          <cell r="S1533" t="str">
            <v>HomeCenter</v>
          </cell>
          <cell r="T1533" t="str">
            <v>Paletas</v>
          </cell>
          <cell r="U1533">
            <v>1</v>
          </cell>
          <cell r="V1533" t="str">
            <v>1.10 * 1.53</v>
          </cell>
        </row>
        <row r="1534">
          <cell r="A1534" t="str">
            <v>HCLR0004B</v>
          </cell>
          <cell r="B1534" t="str">
            <v>Tienda Hogar</v>
          </cell>
          <cell r="D1534" t="str">
            <v>Paletas</v>
          </cell>
          <cell r="E1534" t="str">
            <v>Paletas</v>
          </cell>
          <cell r="F1534" t="str">
            <v>1.10 * 1.53</v>
          </cell>
          <cell r="G1534" t="str">
            <v>1.15 * 1.57</v>
          </cell>
          <cell r="H1534" t="str">
            <v>E</v>
          </cell>
          <cell r="I1534" t="str">
            <v>ESTACIONAMIENTOS</v>
          </cell>
          <cell r="J1534">
            <v>0</v>
          </cell>
          <cell r="K1534">
            <v>0</v>
          </cell>
          <cell r="L1534">
            <v>280000</v>
          </cell>
          <cell r="M1534" t="str">
            <v>HOMECENTER LA REINA</v>
          </cell>
          <cell r="P1534" t="str">
            <v>LA REINA</v>
          </cell>
          <cell r="Q1534" t="str">
            <v>TRADICIONAL</v>
          </cell>
          <cell r="R1534" t="str">
            <v>Tienda Hogar - Santiago</v>
          </cell>
          <cell r="S1534" t="str">
            <v>HomeCenter</v>
          </cell>
          <cell r="T1534" t="str">
            <v>Paletas</v>
          </cell>
          <cell r="U1534">
            <v>1</v>
          </cell>
          <cell r="V1534" t="str">
            <v>1.10 * 1.53</v>
          </cell>
        </row>
        <row r="1535">
          <cell r="A1535" t="str">
            <v>HCLR0005A</v>
          </cell>
          <cell r="B1535" t="str">
            <v>Tienda Hogar</v>
          </cell>
          <cell r="D1535" t="str">
            <v>Paletas</v>
          </cell>
          <cell r="E1535" t="str">
            <v>Paletas</v>
          </cell>
          <cell r="F1535" t="str">
            <v>1.10 * 1.53</v>
          </cell>
          <cell r="G1535" t="str">
            <v>1.15 * 1.57</v>
          </cell>
          <cell r="H1535" t="str">
            <v>E</v>
          </cell>
          <cell r="I1535" t="str">
            <v>ESTACIONAMIENTOS</v>
          </cell>
          <cell r="J1535">
            <v>0</v>
          </cell>
          <cell r="K1535">
            <v>0</v>
          </cell>
          <cell r="L1535">
            <v>280000</v>
          </cell>
          <cell r="M1535" t="str">
            <v>HOMECENTER LA REINA</v>
          </cell>
          <cell r="P1535" t="str">
            <v>LA REINA</v>
          </cell>
          <cell r="Q1535" t="str">
            <v>TRADICIONAL</v>
          </cell>
          <cell r="R1535" t="str">
            <v>Tienda Hogar - Santiago</v>
          </cell>
          <cell r="S1535" t="str">
            <v>HomeCenter</v>
          </cell>
          <cell r="T1535" t="str">
            <v>Paletas</v>
          </cell>
          <cell r="U1535">
            <v>1</v>
          </cell>
          <cell r="V1535" t="str">
            <v>1.10 * 1.53</v>
          </cell>
        </row>
        <row r="1536">
          <cell r="A1536" t="str">
            <v>HCPA0001A</v>
          </cell>
          <cell r="B1536" t="str">
            <v>Tienda Hogar</v>
          </cell>
          <cell r="D1536" t="str">
            <v>Paletas</v>
          </cell>
          <cell r="E1536" t="str">
            <v>Paletas</v>
          </cell>
          <cell r="F1536" t="str">
            <v>1.10 * 1.53</v>
          </cell>
          <cell r="G1536" t="str">
            <v>1.15 * 1.57</v>
          </cell>
          <cell r="H1536" t="str">
            <v>X</v>
          </cell>
          <cell r="I1536" t="str">
            <v>EXTERIORES</v>
          </cell>
          <cell r="J1536">
            <v>0</v>
          </cell>
          <cell r="K1536">
            <v>0</v>
          </cell>
          <cell r="L1536">
            <v>280000</v>
          </cell>
          <cell r="M1536" t="str">
            <v>HOMECENTER PUENTE ALTO</v>
          </cell>
          <cell r="P1536" t="str">
            <v>PUENTE ALTO</v>
          </cell>
          <cell r="Q1536" t="str">
            <v>TRADICIONAL</v>
          </cell>
          <cell r="R1536" t="str">
            <v>Tienda Hogar - Santiago</v>
          </cell>
          <cell r="S1536" t="str">
            <v>HomeCenter</v>
          </cell>
          <cell r="T1536" t="str">
            <v>Paletas</v>
          </cell>
          <cell r="U1536">
            <v>1</v>
          </cell>
          <cell r="V1536" t="str">
            <v>1.10 * 1.53</v>
          </cell>
        </row>
        <row r="1537">
          <cell r="A1537" t="str">
            <v>HCPA0001B</v>
          </cell>
          <cell r="B1537" t="str">
            <v>Tienda Hogar</v>
          </cell>
          <cell r="D1537" t="str">
            <v>Paletas</v>
          </cell>
          <cell r="E1537" t="str">
            <v>Paletas</v>
          </cell>
          <cell r="F1537" t="str">
            <v>1.10 * 1.53</v>
          </cell>
          <cell r="G1537" t="str">
            <v>1.15 * 1.57</v>
          </cell>
          <cell r="H1537" t="str">
            <v>X</v>
          </cell>
          <cell r="I1537" t="str">
            <v>EXTERIORES</v>
          </cell>
          <cell r="J1537">
            <v>0</v>
          </cell>
          <cell r="K1537">
            <v>0</v>
          </cell>
          <cell r="L1537">
            <v>280000</v>
          </cell>
          <cell r="M1537" t="str">
            <v>HOMECENTER PUENTE ALTO</v>
          </cell>
          <cell r="P1537" t="str">
            <v>PUENTE ALTO</v>
          </cell>
          <cell r="Q1537" t="str">
            <v>TRADICIONAL</v>
          </cell>
          <cell r="R1537" t="str">
            <v>Tienda Hogar - Santiago</v>
          </cell>
          <cell r="S1537" t="str">
            <v>HomeCenter</v>
          </cell>
          <cell r="T1537" t="str">
            <v>Paletas</v>
          </cell>
          <cell r="U1537">
            <v>1</v>
          </cell>
          <cell r="V1537" t="str">
            <v>1.10 * 1.53</v>
          </cell>
        </row>
        <row r="1538">
          <cell r="A1538" t="str">
            <v>HCPA0002A</v>
          </cell>
          <cell r="B1538" t="str">
            <v>Tienda Hogar</v>
          </cell>
          <cell r="D1538" t="str">
            <v>Paletas</v>
          </cell>
          <cell r="E1538" t="str">
            <v>Paletas</v>
          </cell>
          <cell r="F1538" t="str">
            <v>1.10 * 1.53</v>
          </cell>
          <cell r="G1538" t="str">
            <v>1.15 * 1.57</v>
          </cell>
          <cell r="H1538" t="str">
            <v>X</v>
          </cell>
          <cell r="I1538" t="str">
            <v>EXTERIORES</v>
          </cell>
          <cell r="J1538">
            <v>0</v>
          </cell>
          <cell r="K1538">
            <v>0</v>
          </cell>
          <cell r="L1538">
            <v>280000</v>
          </cell>
          <cell r="M1538" t="str">
            <v>HOMECENTER PUENTE ALTO</v>
          </cell>
          <cell r="P1538" t="str">
            <v>PUENTE ALTO</v>
          </cell>
          <cell r="Q1538" t="str">
            <v>TRADICIONAL</v>
          </cell>
          <cell r="R1538" t="str">
            <v>Tienda Hogar - Santiago</v>
          </cell>
          <cell r="S1538" t="str">
            <v>HomeCenter</v>
          </cell>
          <cell r="T1538" t="str">
            <v>Paletas</v>
          </cell>
          <cell r="U1538">
            <v>1</v>
          </cell>
          <cell r="V1538" t="str">
            <v>1.10 * 1.53</v>
          </cell>
        </row>
        <row r="1539">
          <cell r="A1539" t="str">
            <v>HCPA0002B</v>
          </cell>
          <cell r="B1539" t="str">
            <v>Tienda Hogar</v>
          </cell>
          <cell r="D1539" t="str">
            <v>Paletas</v>
          </cell>
          <cell r="E1539" t="str">
            <v>Paletas</v>
          </cell>
          <cell r="F1539" t="str">
            <v>1.10 * 1.53</v>
          </cell>
          <cell r="G1539" t="str">
            <v>1.15 * 1.57</v>
          </cell>
          <cell r="H1539" t="str">
            <v>X</v>
          </cell>
          <cell r="I1539" t="str">
            <v>EXTERIORES</v>
          </cell>
          <cell r="J1539">
            <v>0</v>
          </cell>
          <cell r="K1539">
            <v>0</v>
          </cell>
          <cell r="L1539">
            <v>280000</v>
          </cell>
          <cell r="M1539" t="str">
            <v>HOMECENTER PUENTE ALTO</v>
          </cell>
          <cell r="P1539" t="str">
            <v>PUENTE ALTO</v>
          </cell>
          <cell r="Q1539" t="str">
            <v>TRADICIONAL</v>
          </cell>
          <cell r="R1539" t="str">
            <v>Tienda Hogar - Santiago</v>
          </cell>
          <cell r="S1539" t="str">
            <v>HomeCenter</v>
          </cell>
          <cell r="T1539" t="str">
            <v>Paletas</v>
          </cell>
          <cell r="U1539">
            <v>1</v>
          </cell>
          <cell r="V1539" t="str">
            <v>1.10 * 1.53</v>
          </cell>
        </row>
        <row r="1540">
          <cell r="A1540" t="str">
            <v>HCVM0001A</v>
          </cell>
          <cell r="B1540" t="str">
            <v>Tienda Hogar</v>
          </cell>
          <cell r="D1540" t="str">
            <v>Paletas</v>
          </cell>
          <cell r="E1540" t="str">
            <v>Paletas</v>
          </cell>
          <cell r="F1540" t="str">
            <v>1.10 * 1.53</v>
          </cell>
          <cell r="G1540" t="str">
            <v>1.15 * 1.57</v>
          </cell>
          <cell r="H1540" t="str">
            <v>E</v>
          </cell>
          <cell r="I1540" t="str">
            <v>ESTACIONAMIENTOS</v>
          </cell>
          <cell r="J1540">
            <v>0</v>
          </cell>
          <cell r="K1540">
            <v>0</v>
          </cell>
          <cell r="L1540">
            <v>280000</v>
          </cell>
          <cell r="M1540" t="str">
            <v>HOMECENTER VICUÑA MACKENNA</v>
          </cell>
          <cell r="P1540" t="str">
            <v>NUNOA</v>
          </cell>
          <cell r="Q1540" t="str">
            <v>TRADICIONAL</v>
          </cell>
          <cell r="R1540" t="str">
            <v>Tienda Hogar - Santiago</v>
          </cell>
          <cell r="S1540" t="str">
            <v>HomeCenter</v>
          </cell>
          <cell r="T1540" t="str">
            <v>Paletas</v>
          </cell>
          <cell r="U1540">
            <v>1</v>
          </cell>
          <cell r="V1540" t="str">
            <v>1.10 * 1.53</v>
          </cell>
        </row>
        <row r="1541">
          <cell r="A1541" t="str">
            <v>HCVM0001B</v>
          </cell>
          <cell r="B1541" t="str">
            <v>Tienda Hogar</v>
          </cell>
          <cell r="D1541" t="str">
            <v>Paletas</v>
          </cell>
          <cell r="E1541" t="str">
            <v>Paletas</v>
          </cell>
          <cell r="F1541" t="str">
            <v>1.10 * 1.53</v>
          </cell>
          <cell r="G1541" t="str">
            <v>1.15 * 1.57</v>
          </cell>
          <cell r="H1541" t="str">
            <v>E</v>
          </cell>
          <cell r="I1541" t="str">
            <v>ESTACIONAMIENTOS</v>
          </cell>
          <cell r="J1541">
            <v>0</v>
          </cell>
          <cell r="K1541">
            <v>0</v>
          </cell>
          <cell r="L1541">
            <v>280000</v>
          </cell>
          <cell r="M1541" t="str">
            <v>HOMECENTER VICUÑA MACKENNA</v>
          </cell>
          <cell r="P1541" t="str">
            <v>NUNOA</v>
          </cell>
          <cell r="Q1541" t="str">
            <v>TRADICIONAL</v>
          </cell>
          <cell r="R1541" t="str">
            <v>Tienda Hogar - Santiago</v>
          </cell>
          <cell r="S1541" t="str">
            <v>HomeCenter</v>
          </cell>
          <cell r="T1541" t="str">
            <v>Paletas</v>
          </cell>
          <cell r="U1541">
            <v>1</v>
          </cell>
          <cell r="V1541" t="str">
            <v>1.10 * 1.53</v>
          </cell>
        </row>
        <row r="1542">
          <cell r="A1542" t="str">
            <v>HCVM0002A</v>
          </cell>
          <cell r="B1542" t="str">
            <v>Tienda Hogar</v>
          </cell>
          <cell r="D1542" t="str">
            <v>Paletas</v>
          </cell>
          <cell r="E1542" t="str">
            <v>Paletas</v>
          </cell>
          <cell r="F1542" t="str">
            <v>1.10 * 1.53</v>
          </cell>
          <cell r="G1542" t="str">
            <v>1.15 * 1.57</v>
          </cell>
          <cell r="H1542" t="str">
            <v>E</v>
          </cell>
          <cell r="I1542" t="str">
            <v>ESTACIONAMIENTOS</v>
          </cell>
          <cell r="J1542">
            <v>0</v>
          </cell>
          <cell r="K1542">
            <v>0</v>
          </cell>
          <cell r="L1542">
            <v>280000</v>
          </cell>
          <cell r="M1542" t="str">
            <v>HOMECENTER VICUÑA MACKENNA</v>
          </cell>
          <cell r="P1542" t="str">
            <v>NUNOA</v>
          </cell>
          <cell r="Q1542" t="str">
            <v>TRADICIONAL</v>
          </cell>
          <cell r="R1542" t="str">
            <v>Tienda Hogar - Santiago</v>
          </cell>
          <cell r="S1542" t="str">
            <v>HomeCenter</v>
          </cell>
          <cell r="T1542" t="str">
            <v>Paletas</v>
          </cell>
          <cell r="U1542">
            <v>1</v>
          </cell>
          <cell r="V1542" t="str">
            <v>1.10 * 1.53</v>
          </cell>
        </row>
        <row r="1543">
          <cell r="A1543" t="str">
            <v>HCVM0002B</v>
          </cell>
          <cell r="B1543" t="str">
            <v>Tienda Hogar</v>
          </cell>
          <cell r="D1543" t="str">
            <v>Paletas</v>
          </cell>
          <cell r="E1543" t="str">
            <v>Paletas</v>
          </cell>
          <cell r="F1543" t="str">
            <v>1.10 * 1.53</v>
          </cell>
          <cell r="G1543" t="str">
            <v>1.15 * 1.57</v>
          </cell>
          <cell r="H1543" t="str">
            <v>E</v>
          </cell>
          <cell r="I1543" t="str">
            <v>ESTACIONAMIENTOS</v>
          </cell>
          <cell r="J1543">
            <v>0</v>
          </cell>
          <cell r="K1543">
            <v>0</v>
          </cell>
          <cell r="L1543">
            <v>280000</v>
          </cell>
          <cell r="M1543" t="str">
            <v>HOMECENTER VICUÑA MACKENNA</v>
          </cell>
          <cell r="P1543" t="str">
            <v>NUNOA</v>
          </cell>
          <cell r="Q1543" t="str">
            <v>TRADICIONAL</v>
          </cell>
          <cell r="R1543" t="str">
            <v>Tienda Hogar - Santiago</v>
          </cell>
          <cell r="S1543" t="str">
            <v>HomeCenter</v>
          </cell>
          <cell r="T1543" t="str">
            <v>Paletas</v>
          </cell>
          <cell r="U1543">
            <v>1</v>
          </cell>
          <cell r="V1543" t="str">
            <v>1.10 * 1.53</v>
          </cell>
        </row>
        <row r="1544">
          <cell r="A1544" t="str">
            <v>HCVM0004A</v>
          </cell>
          <cell r="B1544" t="str">
            <v>Tienda Hogar</v>
          </cell>
          <cell r="D1544" t="str">
            <v>Cajas de luz</v>
          </cell>
          <cell r="E1544" t="str">
            <v>Cajas de luz</v>
          </cell>
          <cell r="F1544" t="str">
            <v>3.00 * 1.20</v>
          </cell>
          <cell r="G1544" t="str">
            <v>3.20 * 1.40</v>
          </cell>
          <cell r="H1544" t="str">
            <v>S</v>
          </cell>
          <cell r="I1544" t="str">
            <v>ESTACIONAMIENTOS</v>
          </cell>
          <cell r="J1544">
            <v>0</v>
          </cell>
          <cell r="K1544">
            <v>0</v>
          </cell>
          <cell r="L1544">
            <v>250000</v>
          </cell>
          <cell r="M1544" t="str">
            <v>HOMECENTER VICUÑA MACKENNA</v>
          </cell>
          <cell r="P1544" t="str">
            <v>NUNOA</v>
          </cell>
          <cell r="Q1544" t="str">
            <v>TRADICIONAL</v>
          </cell>
          <cell r="R1544" t="str">
            <v>Tienda Hogar - Santiago</v>
          </cell>
          <cell r="S1544" t="str">
            <v>HomeCenter</v>
          </cell>
          <cell r="T1544" t="str">
            <v>Cajas de luz</v>
          </cell>
          <cell r="U1544">
            <v>1</v>
          </cell>
          <cell r="V1544" t="str">
            <v>3.00 * 1.20</v>
          </cell>
        </row>
        <row r="1545">
          <cell r="A1545" t="str">
            <v>HCVM0005A</v>
          </cell>
          <cell r="B1545" t="str">
            <v>Tienda Hogar</v>
          </cell>
          <cell r="D1545" t="str">
            <v>Cajas de luz</v>
          </cell>
          <cell r="E1545" t="str">
            <v>Cajas de luz</v>
          </cell>
          <cell r="F1545" t="str">
            <v>3.00 * 1.20</v>
          </cell>
          <cell r="G1545" t="str">
            <v>3.20 * 1.40</v>
          </cell>
          <cell r="H1545" t="str">
            <v>S</v>
          </cell>
          <cell r="I1545" t="str">
            <v>ESTACIONAMIENTOS</v>
          </cell>
          <cell r="J1545">
            <v>0</v>
          </cell>
          <cell r="K1545">
            <v>0</v>
          </cell>
          <cell r="L1545">
            <v>250000</v>
          </cell>
          <cell r="M1545" t="str">
            <v>HOMECENTER VICUÑA MACKENNA</v>
          </cell>
          <cell r="P1545" t="str">
            <v>NUNOA</v>
          </cell>
          <cell r="Q1545" t="str">
            <v>TRADICIONAL</v>
          </cell>
          <cell r="R1545" t="str">
            <v>Tienda Hogar - Santiago</v>
          </cell>
          <cell r="S1545" t="str">
            <v>HomeCenter</v>
          </cell>
          <cell r="T1545" t="str">
            <v>Cajas de luz</v>
          </cell>
          <cell r="U1545">
            <v>1</v>
          </cell>
          <cell r="V1545" t="str">
            <v>3.00 * 1.20</v>
          </cell>
        </row>
        <row r="1546">
          <cell r="A1546" t="str">
            <v>HCVM0007A</v>
          </cell>
          <cell r="B1546" t="str">
            <v>Tienda Hogar</v>
          </cell>
          <cell r="D1546" t="str">
            <v>Cajas de luz</v>
          </cell>
          <cell r="E1546" t="str">
            <v>LOTE CAJAS COLUMNAS</v>
          </cell>
          <cell r="F1546" t="str">
            <v>0.45 * 0.80</v>
          </cell>
          <cell r="G1546" t="str">
            <v>0.50 * 0.85</v>
          </cell>
          <cell r="H1546" t="str">
            <v>S</v>
          </cell>
          <cell r="I1546" t="str">
            <v>ESTACIONAMIENTOS</v>
          </cell>
          <cell r="J1546">
            <v>0</v>
          </cell>
          <cell r="K1546">
            <v>0</v>
          </cell>
          <cell r="L1546">
            <v>1200000</v>
          </cell>
          <cell r="M1546" t="str">
            <v>HOMECENTER VICUÑA MACKENNA</v>
          </cell>
          <cell r="P1546" t="str">
            <v>NUNOA</v>
          </cell>
          <cell r="Q1546" t="str">
            <v>TRADICIONAL</v>
          </cell>
          <cell r="R1546" t="str">
            <v>Tienda Hogar - Santiago</v>
          </cell>
          <cell r="S1546" t="str">
            <v>HomeCenter</v>
          </cell>
          <cell r="T1546" t="str">
            <v>Cajas de luz</v>
          </cell>
          <cell r="U1546">
            <v>1</v>
          </cell>
          <cell r="V1546" t="str">
            <v>0.45 * 0.80</v>
          </cell>
        </row>
        <row r="1547">
          <cell r="A1547" t="str">
            <v>SOVM0001A</v>
          </cell>
          <cell r="B1547" t="str">
            <v>Tienda Hogar</v>
          </cell>
          <cell r="D1547" t="str">
            <v>Paletas</v>
          </cell>
          <cell r="E1547" t="str">
            <v>Paletas</v>
          </cell>
          <cell r="F1547" t="str">
            <v>1.10 * 1.53</v>
          </cell>
          <cell r="G1547" t="str">
            <v>1.15 * 1.57</v>
          </cell>
          <cell r="H1547" t="str">
            <v>E</v>
          </cell>
          <cell r="I1547" t="str">
            <v>ESTACIONAMIENTOS</v>
          </cell>
          <cell r="J1547">
            <v>0</v>
          </cell>
          <cell r="K1547">
            <v>0</v>
          </cell>
          <cell r="L1547">
            <v>280000</v>
          </cell>
          <cell r="M1547" t="str">
            <v>SODIMAC VICUÑA MACKENNA</v>
          </cell>
          <cell r="P1547" t="str">
            <v>NUNOA</v>
          </cell>
          <cell r="Q1547" t="str">
            <v>TRADICIONAL</v>
          </cell>
          <cell r="R1547" t="str">
            <v>Tienda Hogar - Santiago</v>
          </cell>
          <cell r="S1547" t="str">
            <v>Sodimac</v>
          </cell>
          <cell r="T1547" t="str">
            <v>Paletas</v>
          </cell>
          <cell r="U1547">
            <v>1</v>
          </cell>
          <cell r="V1547" t="str">
            <v>1.10 * 1.53</v>
          </cell>
        </row>
        <row r="1548">
          <cell r="A1548" t="str">
            <v>SOVM0002A</v>
          </cell>
          <cell r="B1548" t="str">
            <v>Tienda Hogar</v>
          </cell>
          <cell r="D1548" t="str">
            <v>Paletas</v>
          </cell>
          <cell r="E1548" t="str">
            <v>Paletas</v>
          </cell>
          <cell r="F1548" t="str">
            <v>1.10 * 1.53</v>
          </cell>
          <cell r="G1548" t="str">
            <v>1.15 * 1.57</v>
          </cell>
          <cell r="H1548" t="str">
            <v>E</v>
          </cell>
          <cell r="I1548" t="str">
            <v>ESTACIONAMIENTOS</v>
          </cell>
          <cell r="J1548">
            <v>0</v>
          </cell>
          <cell r="K1548">
            <v>0</v>
          </cell>
          <cell r="L1548">
            <v>280000</v>
          </cell>
          <cell r="M1548" t="str">
            <v>SODIMAC VICUÑA MACKENNA</v>
          </cell>
          <cell r="P1548" t="str">
            <v>NUNOA</v>
          </cell>
          <cell r="Q1548" t="str">
            <v>TRADICIONAL</v>
          </cell>
          <cell r="R1548" t="str">
            <v>Tienda Hogar - Santiago</v>
          </cell>
          <cell r="S1548" t="str">
            <v>Sodimac</v>
          </cell>
          <cell r="T1548" t="str">
            <v>Paletas</v>
          </cell>
          <cell r="U1548">
            <v>1</v>
          </cell>
          <cell r="V1548" t="str">
            <v>1.10 * 1.53</v>
          </cell>
        </row>
        <row r="1549">
          <cell r="A1549" t="str">
            <v>CNBR0001A</v>
          </cell>
          <cell r="B1549" t="str">
            <v>Vía Pública General</v>
          </cell>
          <cell r="D1549" t="str">
            <v>Unipoles</v>
          </cell>
          <cell r="E1549" t="str">
            <v>Unipoles</v>
          </cell>
          <cell r="F1549" t="str">
            <v>12.00 * 8.00</v>
          </cell>
          <cell r="G1549" t="str">
            <v>12.30 * 8.30</v>
          </cell>
          <cell r="H1549" t="str">
            <v>N</v>
          </cell>
          <cell r="I1549" t="str">
            <v>Norte</v>
          </cell>
          <cell r="J1549">
            <v>0</v>
          </cell>
          <cell r="K1549">
            <v>127424</v>
          </cell>
          <cell r="L1549">
            <v>1500000</v>
          </cell>
          <cell r="M1549" t="str">
            <v>CNBR Costanera norte 30,5 km al O de Los Heroes</v>
          </cell>
          <cell r="N1549" t="str">
            <v>Norte</v>
          </cell>
          <cell r="P1549" t="str">
            <v>PUDAHUEL</v>
          </cell>
          <cell r="Q1549" t="str">
            <v>TRADICIONAL</v>
          </cell>
          <cell r="R1549" t="str">
            <v>Vía Pública General - Santiago</v>
          </cell>
          <cell r="S1549" t="str">
            <v>BROWN - Costanera Norte y AV</v>
          </cell>
          <cell r="T1549" t="str">
            <v>Unipoles</v>
          </cell>
          <cell r="U1549">
            <v>1</v>
          </cell>
          <cell r="V1549" t="str">
            <v>12.00 * 8.00</v>
          </cell>
        </row>
        <row r="1550">
          <cell r="A1550" t="str">
            <v>CNBR0002A</v>
          </cell>
          <cell r="B1550" t="str">
            <v>Vía Pública General</v>
          </cell>
          <cell r="D1550" t="str">
            <v>Unipoles</v>
          </cell>
          <cell r="E1550" t="str">
            <v>Unipoles</v>
          </cell>
          <cell r="F1550" t="str">
            <v>12.00 * 8.00</v>
          </cell>
          <cell r="G1550" t="str">
            <v>12.30 * 8.30</v>
          </cell>
          <cell r="H1550" t="str">
            <v>U</v>
          </cell>
          <cell r="I1550" t="str">
            <v>SUR</v>
          </cell>
          <cell r="J1550">
            <v>0</v>
          </cell>
          <cell r="K1550">
            <v>127424</v>
          </cell>
          <cell r="L1550">
            <v>1500000</v>
          </cell>
          <cell r="M1550" t="str">
            <v>CNBR Costanera Norte 30,5 km al O de Los Heroes</v>
          </cell>
          <cell r="N1550" t="str">
            <v>Sur</v>
          </cell>
          <cell r="P1550" t="str">
            <v>PUDAHUEL</v>
          </cell>
          <cell r="Q1550" t="str">
            <v>TRADICIONAL</v>
          </cell>
          <cell r="R1550" t="str">
            <v>Vía Pública General - Santiago</v>
          </cell>
          <cell r="S1550" t="str">
            <v>BROWN - Costanera Norte y AV</v>
          </cell>
          <cell r="T1550" t="str">
            <v>Unipoles</v>
          </cell>
          <cell r="U1550">
            <v>1</v>
          </cell>
          <cell r="V1550" t="str">
            <v>12.00 * 8.00</v>
          </cell>
        </row>
        <row r="1551">
          <cell r="A1551" t="str">
            <v>VPLT0001A</v>
          </cell>
          <cell r="B1551" t="str">
            <v>Vía Pública General</v>
          </cell>
          <cell r="D1551" t="str">
            <v>Supersite</v>
          </cell>
          <cell r="E1551" t="str">
            <v>Supersite</v>
          </cell>
          <cell r="F1551" t="str">
            <v>5.00 * 3.36</v>
          </cell>
          <cell r="G1551" t="str">
            <v>5.00 * 3.36</v>
          </cell>
          <cell r="I1551" t="str">
            <v>NORTE</v>
          </cell>
          <cell r="K1551">
            <v>300000</v>
          </cell>
          <cell r="L1551">
            <v>1500000</v>
          </cell>
          <cell r="M1551" t="str">
            <v>3515 Avenida Los Trapenses con Camino Real Camino Real</v>
          </cell>
          <cell r="N1551" t="str">
            <v>Norte</v>
          </cell>
          <cell r="P1551" t="str">
            <v>LO BARNECHEA</v>
          </cell>
          <cell r="Q1551" t="str">
            <v>TRADICIONAL</v>
          </cell>
          <cell r="R1551" t="str">
            <v>Vía Pública General - Santiago</v>
          </cell>
          <cell r="S1551" t="str">
            <v>Mall Paseo Los Trapenses</v>
          </cell>
          <cell r="T1551" t="str">
            <v>Supersite</v>
          </cell>
          <cell r="U1551">
            <v>1</v>
          </cell>
          <cell r="V1551" t="str">
            <v>5.00 * 3.36</v>
          </cell>
        </row>
        <row r="1552">
          <cell r="A1552" t="str">
            <v>VPLT0001B</v>
          </cell>
          <cell r="B1552" t="str">
            <v>Vía Pública General</v>
          </cell>
          <cell r="D1552" t="str">
            <v>Supersite</v>
          </cell>
          <cell r="E1552" t="str">
            <v>Supersite</v>
          </cell>
          <cell r="F1552" t="str">
            <v>5.00 * 3.36</v>
          </cell>
          <cell r="G1552" t="str">
            <v>5.00 * 3.36</v>
          </cell>
          <cell r="I1552" t="str">
            <v>NORTE</v>
          </cell>
          <cell r="K1552">
            <v>300000</v>
          </cell>
          <cell r="L1552">
            <v>1500000</v>
          </cell>
          <cell r="M1552" t="str">
            <v>3515 Avenida Los Trapenses con Camino Real Camino Real</v>
          </cell>
          <cell r="N1552" t="str">
            <v>Norte</v>
          </cell>
          <cell r="P1552" t="str">
            <v>LO BARNECHEA</v>
          </cell>
          <cell r="Q1552" t="str">
            <v>TRADICIONAL</v>
          </cell>
          <cell r="R1552" t="str">
            <v>Vía Pública General - Santiago</v>
          </cell>
          <cell r="S1552" t="str">
            <v>Mall Paseo Los Trapenses</v>
          </cell>
          <cell r="T1552" t="str">
            <v>Supersite</v>
          </cell>
          <cell r="U1552">
            <v>1</v>
          </cell>
          <cell r="V1552" t="str">
            <v>5.00 * 3.36</v>
          </cell>
        </row>
        <row r="1553">
          <cell r="A1553" t="str">
            <v>VPLT0001C</v>
          </cell>
          <cell r="B1553" t="str">
            <v>Vía Pública General</v>
          </cell>
          <cell r="D1553" t="str">
            <v>Supersite</v>
          </cell>
          <cell r="E1553" t="str">
            <v>Supersite</v>
          </cell>
          <cell r="F1553" t="str">
            <v>5.00 * 3.36</v>
          </cell>
          <cell r="G1553" t="str">
            <v>5.00 * 3.36</v>
          </cell>
          <cell r="I1553" t="str">
            <v>NORTE</v>
          </cell>
          <cell r="K1553">
            <v>300000</v>
          </cell>
          <cell r="L1553">
            <v>1500000</v>
          </cell>
          <cell r="M1553" t="str">
            <v>3515 Avenida Los Trapenses con Camino Real Camino Real</v>
          </cell>
          <cell r="N1553" t="str">
            <v>Norte</v>
          </cell>
          <cell r="P1553" t="str">
            <v>LO BARNECHEA</v>
          </cell>
          <cell r="Q1553" t="str">
            <v>TRADICIONAL</v>
          </cell>
          <cell r="R1553" t="str">
            <v>Vía Pública General - Santiago</v>
          </cell>
          <cell r="S1553" t="str">
            <v>Mall Paseo Los Trapenses</v>
          </cell>
          <cell r="T1553" t="str">
            <v>Supersite</v>
          </cell>
          <cell r="U1553">
            <v>1</v>
          </cell>
          <cell r="V1553" t="str">
            <v>5.00 * 3.36</v>
          </cell>
        </row>
        <row r="1554">
          <cell r="A1554" t="str">
            <v>VPEM0001A</v>
          </cell>
          <cell r="B1554" t="str">
            <v>Vía Pública General</v>
          </cell>
          <cell r="D1554" t="str">
            <v>Vallas</v>
          </cell>
          <cell r="E1554" t="str">
            <v>VALLAS</v>
          </cell>
          <cell r="F1554" t="str">
            <v>18.00 * 3.00</v>
          </cell>
          <cell r="M1554" t="str">
            <v>VPEM</v>
          </cell>
          <cell r="P1554" t="str">
            <v>LAS CONDES</v>
          </cell>
          <cell r="Q1554" t="str">
            <v>TRANSITORIO</v>
          </cell>
          <cell r="R1554" t="str">
            <v>SUB-CENTRO LAS CONDES (METRO EM)</v>
          </cell>
          <cell r="S1554" t="str">
            <v>VPEM</v>
          </cell>
          <cell r="T1554" t="str">
            <v>Vallas</v>
          </cell>
          <cell r="U1554">
            <v>1</v>
          </cell>
          <cell r="V1554" t="str">
            <v>18,00 * 3,00</v>
          </cell>
        </row>
        <row r="1555">
          <cell r="A1555" t="str">
            <v>VPRI0001A</v>
          </cell>
          <cell r="B1555" t="str">
            <v>Vía Pública General</v>
          </cell>
          <cell r="D1555" t="str">
            <v>Supersite</v>
          </cell>
          <cell r="E1555" t="str">
            <v>Supersite</v>
          </cell>
          <cell r="F1555" t="str">
            <v>3.36 * 5.00</v>
          </cell>
          <cell r="G1555" t="str">
            <v>3.36 * 5.00</v>
          </cell>
          <cell r="H1555" t="str">
            <v>X</v>
          </cell>
          <cell r="I1555" t="str">
            <v>EXTERIORES</v>
          </cell>
          <cell r="J1555">
            <v>0</v>
          </cell>
          <cell r="K1555">
            <v>0</v>
          </cell>
          <cell r="L1555">
            <v>1000000</v>
          </cell>
          <cell r="M1555" t="str">
            <v>Rotonda Irene Frei</v>
          </cell>
          <cell r="P1555" t="str">
            <v>VITACURA</v>
          </cell>
          <cell r="Q1555" t="str">
            <v>TRADICIONAL</v>
          </cell>
          <cell r="R1555" t="str">
            <v>Vía Pública General - Santiago</v>
          </cell>
          <cell r="S1555" t="str">
            <v>Coop. Cultural de Vitacura 1A</v>
          </cell>
          <cell r="T1555" t="str">
            <v>Supersite</v>
          </cell>
          <cell r="U1555">
            <v>1</v>
          </cell>
          <cell r="V1555" t="str">
            <v>3.36 * 5.00</v>
          </cell>
        </row>
        <row r="1556">
          <cell r="A1556" t="str">
            <v>VPRI0001B</v>
          </cell>
          <cell r="B1556" t="str">
            <v>Vía Pública General</v>
          </cell>
          <cell r="D1556" t="str">
            <v>Supersite</v>
          </cell>
          <cell r="E1556" t="str">
            <v>Supersite</v>
          </cell>
          <cell r="F1556" t="str">
            <v>3.36 * 5.00</v>
          </cell>
          <cell r="G1556" t="str">
            <v>3.36 * 5.00</v>
          </cell>
          <cell r="H1556" t="str">
            <v>X</v>
          </cell>
          <cell r="I1556" t="str">
            <v>EXTERIORES</v>
          </cell>
          <cell r="J1556">
            <v>0</v>
          </cell>
          <cell r="K1556">
            <v>0</v>
          </cell>
          <cell r="L1556">
            <v>1000000</v>
          </cell>
          <cell r="M1556" t="str">
            <v>Rotonda Irene Frei</v>
          </cell>
          <cell r="P1556" t="str">
            <v>VITACURA</v>
          </cell>
          <cell r="Q1556" t="str">
            <v>TRADICIONAL</v>
          </cell>
          <cell r="R1556" t="str">
            <v>Vía Pública General - Santiago</v>
          </cell>
          <cell r="S1556" t="str">
            <v>Coop. Cultural de Vitacura 1A</v>
          </cell>
          <cell r="T1556" t="str">
            <v>Supersite</v>
          </cell>
          <cell r="U1556">
            <v>1</v>
          </cell>
          <cell r="V1556" t="str">
            <v>3.36 * 5.00</v>
          </cell>
        </row>
        <row r="1557">
          <cell r="A1557" t="str">
            <v>VPRI0001C</v>
          </cell>
          <cell r="B1557" t="str">
            <v>Vía Pública General</v>
          </cell>
          <cell r="D1557" t="str">
            <v>Supersite</v>
          </cell>
          <cell r="E1557" t="str">
            <v>Supersite</v>
          </cell>
          <cell r="F1557" t="str">
            <v>3.36 * 5.00</v>
          </cell>
          <cell r="G1557" t="str">
            <v>3.36 * 5.00</v>
          </cell>
          <cell r="H1557" t="str">
            <v>X</v>
          </cell>
          <cell r="I1557" t="str">
            <v>EXTERIORES</v>
          </cell>
          <cell r="J1557">
            <v>0</v>
          </cell>
          <cell r="K1557">
            <v>0</v>
          </cell>
          <cell r="L1557">
            <v>1000000</v>
          </cell>
          <cell r="M1557" t="str">
            <v>Rotonda Irene Frei</v>
          </cell>
          <cell r="P1557" t="str">
            <v>VITACURA</v>
          </cell>
          <cell r="Q1557" t="str">
            <v>TRADICIONAL</v>
          </cell>
          <cell r="R1557" t="str">
            <v>Vía Pública General - Santiago</v>
          </cell>
          <cell r="S1557" t="str">
            <v>Coop. Cultural de Vitacura 1A</v>
          </cell>
          <cell r="T1557" t="str">
            <v>Supersite</v>
          </cell>
          <cell r="U1557">
            <v>1</v>
          </cell>
          <cell r="V1557" t="str">
            <v>3.36 * 5.00</v>
          </cell>
        </row>
        <row r="1558">
          <cell r="A1558" t="str">
            <v>VPRZ0001A</v>
          </cell>
          <cell r="B1558" t="str">
            <v>Vía Pública General</v>
          </cell>
          <cell r="D1558" t="str">
            <v>Supersite</v>
          </cell>
          <cell r="E1558" t="str">
            <v>Supersite</v>
          </cell>
          <cell r="F1558" t="str">
            <v>3.36 * 5.00</v>
          </cell>
          <cell r="G1558" t="str">
            <v>3.36 * 5.00</v>
          </cell>
          <cell r="H1558" t="str">
            <v>X</v>
          </cell>
          <cell r="I1558" t="str">
            <v>EXTERIORES</v>
          </cell>
          <cell r="J1558">
            <v>0</v>
          </cell>
          <cell r="K1558">
            <v>0</v>
          </cell>
          <cell r="L1558">
            <v>1000000</v>
          </cell>
          <cell r="M1558" t="str">
            <v>Rotonda Perez Zujovic</v>
          </cell>
          <cell r="P1558" t="str">
            <v>VITACURA</v>
          </cell>
          <cell r="Q1558" t="str">
            <v>TRADICIONAL</v>
          </cell>
          <cell r="R1558" t="str">
            <v>Vía Pública General - Santiago</v>
          </cell>
          <cell r="S1558" t="str">
            <v>Coop. Cultural de Vitacura 1B</v>
          </cell>
          <cell r="T1558" t="str">
            <v>Supersite</v>
          </cell>
          <cell r="U1558">
            <v>1</v>
          </cell>
          <cell r="V1558" t="str">
            <v>3.36 * 5.00</v>
          </cell>
        </row>
        <row r="1559">
          <cell r="A1559" t="str">
            <v>VPRZ0001B</v>
          </cell>
          <cell r="B1559" t="str">
            <v>Vía Pública General</v>
          </cell>
          <cell r="D1559" t="str">
            <v>Supersite</v>
          </cell>
          <cell r="E1559" t="str">
            <v>Supersite</v>
          </cell>
          <cell r="F1559" t="str">
            <v>3.36 * 5.00</v>
          </cell>
          <cell r="G1559" t="str">
            <v>3.36 * 5.00</v>
          </cell>
          <cell r="H1559" t="str">
            <v>X</v>
          </cell>
          <cell r="I1559" t="str">
            <v>EXTERIORES</v>
          </cell>
          <cell r="J1559">
            <v>0</v>
          </cell>
          <cell r="K1559">
            <v>0</v>
          </cell>
          <cell r="L1559">
            <v>1000000</v>
          </cell>
          <cell r="M1559" t="str">
            <v>Rotonda Perez Zujovic</v>
          </cell>
          <cell r="P1559" t="str">
            <v>VITACURA</v>
          </cell>
          <cell r="Q1559" t="str">
            <v>TRADICIONAL</v>
          </cell>
          <cell r="R1559" t="str">
            <v>Vía Pública General - Santiago</v>
          </cell>
          <cell r="S1559" t="str">
            <v>Coop. Cultural de Vitacura 1B</v>
          </cell>
          <cell r="T1559" t="str">
            <v>Supersite</v>
          </cell>
          <cell r="U1559">
            <v>1</v>
          </cell>
          <cell r="V1559" t="str">
            <v>3.36 * 5.00</v>
          </cell>
        </row>
        <row r="1560">
          <cell r="A1560" t="str">
            <v>VPRZ0001C</v>
          </cell>
          <cell r="B1560" t="str">
            <v>Vía Pública General</v>
          </cell>
          <cell r="D1560" t="str">
            <v>Supersite</v>
          </cell>
          <cell r="E1560" t="str">
            <v>Supersite</v>
          </cell>
          <cell r="F1560" t="str">
            <v>3.36 * 5.00</v>
          </cell>
          <cell r="G1560" t="str">
            <v>3.36 * 5.00</v>
          </cell>
          <cell r="H1560" t="str">
            <v>X</v>
          </cell>
          <cell r="I1560" t="str">
            <v>EXTERIORES</v>
          </cell>
          <cell r="J1560">
            <v>0</v>
          </cell>
          <cell r="K1560">
            <v>0</v>
          </cell>
          <cell r="L1560">
            <v>1000000</v>
          </cell>
          <cell r="M1560" t="str">
            <v>Rotonda Perez Zujovic</v>
          </cell>
          <cell r="P1560" t="str">
            <v>VITACURA</v>
          </cell>
          <cell r="Q1560" t="str">
            <v>TRADICIONAL</v>
          </cell>
          <cell r="R1560" t="str">
            <v>Vía Pública General - Santiago</v>
          </cell>
          <cell r="S1560" t="str">
            <v>Coop. Cultural de Vitacura 1B</v>
          </cell>
          <cell r="T1560" t="str">
            <v>Supersite</v>
          </cell>
          <cell r="U1560">
            <v>1</v>
          </cell>
          <cell r="V1560" t="str">
            <v>3.36 * 5.00</v>
          </cell>
        </row>
        <row r="1561">
          <cell r="A1561" t="str">
            <v>VPCC0001A</v>
          </cell>
          <cell r="B1561" t="str">
            <v>Vía Pública General</v>
          </cell>
          <cell r="D1561" t="str">
            <v>Supersite</v>
          </cell>
          <cell r="E1561" t="str">
            <v>PRISMA</v>
          </cell>
          <cell r="F1561" t="str">
            <v>3.36 * 5.00</v>
          </cell>
          <cell r="G1561" t="str">
            <v>3.36 * 5.00</v>
          </cell>
          <cell r="I1561" t="str">
            <v>EXTERIOR</v>
          </cell>
          <cell r="J1561">
            <v>0</v>
          </cell>
          <cell r="K1561">
            <v>300000</v>
          </cell>
          <cell r="L1561">
            <v>1275000</v>
          </cell>
          <cell r="M1561" t="str">
            <v>12020 Jose Alcalde Delano 100 m al E de Camino de la fragua</v>
          </cell>
          <cell r="N1561" t="str">
            <v>Oeste</v>
          </cell>
          <cell r="P1561" t="str">
            <v>LO BARNECHEA</v>
          </cell>
          <cell r="Q1561" t="str">
            <v>TRADICIONAL</v>
          </cell>
          <cell r="R1561" t="str">
            <v>Vía Pública General - Santiago</v>
          </cell>
          <cell r="S1561" t="str">
            <v>VPCC</v>
          </cell>
          <cell r="T1561" t="str">
            <v>Supersite</v>
          </cell>
          <cell r="U1561">
            <v>1</v>
          </cell>
          <cell r="V1561" t="str">
            <v>3.36 * 5.00</v>
          </cell>
        </row>
        <row r="1562">
          <cell r="A1562" t="str">
            <v>VPCC0001B</v>
          </cell>
          <cell r="B1562" t="str">
            <v>Vía Pública General</v>
          </cell>
          <cell r="D1562" t="str">
            <v>Supersite</v>
          </cell>
          <cell r="E1562" t="str">
            <v>PRISMA</v>
          </cell>
          <cell r="F1562" t="str">
            <v>3.36 * 5.00</v>
          </cell>
          <cell r="G1562" t="str">
            <v>3.36 * 5.00</v>
          </cell>
          <cell r="I1562" t="str">
            <v>EXTERIOR</v>
          </cell>
          <cell r="J1562">
            <v>0</v>
          </cell>
          <cell r="K1562">
            <v>300000</v>
          </cell>
          <cell r="L1562">
            <v>1275000</v>
          </cell>
          <cell r="M1562" t="str">
            <v>12020 Jose Alcalde Delano 100 m al E de Camino de la fragua</v>
          </cell>
          <cell r="N1562" t="str">
            <v>Oeste</v>
          </cell>
          <cell r="P1562" t="str">
            <v>LO BARNECHEA</v>
          </cell>
          <cell r="Q1562" t="str">
            <v>TRADICIONAL</v>
          </cell>
          <cell r="R1562" t="str">
            <v>Vía Pública General - Santiago</v>
          </cell>
          <cell r="S1562" t="str">
            <v>VPCC</v>
          </cell>
          <cell r="T1562" t="str">
            <v>Supersite</v>
          </cell>
          <cell r="U1562">
            <v>1</v>
          </cell>
          <cell r="V1562" t="str">
            <v>3.36 * 5.00</v>
          </cell>
        </row>
        <row r="1563">
          <cell r="A1563" t="str">
            <v>VPCC0001C</v>
          </cell>
          <cell r="B1563" t="str">
            <v>Vía Pública General</v>
          </cell>
          <cell r="D1563" t="str">
            <v>Supersite</v>
          </cell>
          <cell r="E1563" t="str">
            <v>PRISMA</v>
          </cell>
          <cell r="F1563" t="str">
            <v>3.36 * 5.00</v>
          </cell>
          <cell r="G1563" t="str">
            <v>3.36 * 5.00</v>
          </cell>
          <cell r="I1563" t="str">
            <v>EXTERIOR</v>
          </cell>
          <cell r="J1563">
            <v>0</v>
          </cell>
          <cell r="K1563">
            <v>300000</v>
          </cell>
          <cell r="L1563">
            <v>1275000</v>
          </cell>
          <cell r="M1563" t="str">
            <v>12020 Jose Alcalde Delano 100 m al E de Camino de la fragua</v>
          </cell>
          <cell r="N1563" t="str">
            <v>Oeste</v>
          </cell>
          <cell r="P1563" t="str">
            <v>LO BARNECHEA</v>
          </cell>
          <cell r="Q1563" t="str">
            <v>TRADICIONAL</v>
          </cell>
          <cell r="R1563" t="str">
            <v>Vía Pública General - Santiago</v>
          </cell>
          <cell r="S1563" t="str">
            <v>VPCC</v>
          </cell>
          <cell r="T1563" t="str">
            <v>Supersite</v>
          </cell>
          <cell r="U1563">
            <v>1</v>
          </cell>
          <cell r="V1563" t="str">
            <v>3.36 * 5.00</v>
          </cell>
        </row>
        <row r="1564">
          <cell r="A1564" t="str">
            <v>VPCC0002A</v>
          </cell>
          <cell r="B1564" t="str">
            <v>Vía Pública General</v>
          </cell>
          <cell r="D1564" t="str">
            <v>Supersite</v>
          </cell>
          <cell r="E1564" t="str">
            <v>PRISMA</v>
          </cell>
          <cell r="F1564" t="str">
            <v>3.36 * 5.00</v>
          </cell>
          <cell r="G1564" t="str">
            <v>3.36 * 5.00</v>
          </cell>
          <cell r="I1564" t="str">
            <v>EXTERIOR</v>
          </cell>
          <cell r="J1564">
            <v>0</v>
          </cell>
          <cell r="K1564">
            <v>300000</v>
          </cell>
          <cell r="L1564">
            <v>1275000</v>
          </cell>
          <cell r="M1564" t="str">
            <v>12020 Camino de la fragua Jose Alcalde Delano</v>
          </cell>
          <cell r="N1564" t="str">
            <v>Este</v>
          </cell>
          <cell r="P1564" t="str">
            <v>LO BARNECHEA</v>
          </cell>
          <cell r="Q1564" t="str">
            <v>TRADICIONAL</v>
          </cell>
          <cell r="R1564" t="str">
            <v>Vía Pública General - Santiago</v>
          </cell>
          <cell r="S1564" t="str">
            <v>VPCC</v>
          </cell>
          <cell r="T1564" t="str">
            <v>Supersite</v>
          </cell>
          <cell r="U1564">
            <v>1</v>
          </cell>
          <cell r="V1564" t="str">
            <v>3.36 * 5.00</v>
          </cell>
        </row>
        <row r="1565">
          <cell r="A1565" t="str">
            <v>VPCC0002B</v>
          </cell>
          <cell r="B1565" t="str">
            <v>Vía Pública General</v>
          </cell>
          <cell r="D1565" t="str">
            <v>Supersite</v>
          </cell>
          <cell r="E1565" t="str">
            <v>PRISMA</v>
          </cell>
          <cell r="F1565" t="str">
            <v>3.36 * 5.00</v>
          </cell>
          <cell r="G1565" t="str">
            <v>3.36 * 5.00</v>
          </cell>
          <cell r="I1565" t="str">
            <v>EXTERIOR</v>
          </cell>
          <cell r="J1565">
            <v>0</v>
          </cell>
          <cell r="K1565">
            <v>300000</v>
          </cell>
          <cell r="L1565">
            <v>1275000</v>
          </cell>
          <cell r="M1565" t="str">
            <v>12020 Camino de la fragua Jose Alcalde Delano</v>
          </cell>
          <cell r="N1565" t="str">
            <v>Este</v>
          </cell>
          <cell r="P1565" t="str">
            <v>LO BARNECHEA</v>
          </cell>
          <cell r="Q1565" t="str">
            <v>TRADICIONAL</v>
          </cell>
          <cell r="R1565" t="str">
            <v>Vía Pública General - Santiago</v>
          </cell>
          <cell r="S1565" t="str">
            <v>VPCC</v>
          </cell>
          <cell r="T1565" t="str">
            <v>Supersite</v>
          </cell>
          <cell r="U1565">
            <v>1</v>
          </cell>
          <cell r="V1565" t="str">
            <v>3.36 * 5.00</v>
          </cell>
        </row>
        <row r="1566">
          <cell r="A1566" t="str">
            <v>VPCC0002C</v>
          </cell>
          <cell r="B1566" t="str">
            <v>Vía Pública General</v>
          </cell>
          <cell r="D1566" t="str">
            <v>Supersite</v>
          </cell>
          <cell r="E1566" t="str">
            <v>PRISMA</v>
          </cell>
          <cell r="F1566" t="str">
            <v>3.36 * 5.00</v>
          </cell>
          <cell r="G1566" t="str">
            <v>3.36 * 5.00</v>
          </cell>
          <cell r="I1566" t="str">
            <v>EXTERIOR</v>
          </cell>
          <cell r="J1566">
            <v>0</v>
          </cell>
          <cell r="K1566">
            <v>300000</v>
          </cell>
          <cell r="L1566">
            <v>1275000</v>
          </cell>
          <cell r="M1566" t="str">
            <v>12020 Camino de la fragua Jose Alcalde Delano</v>
          </cell>
          <cell r="N1566" t="str">
            <v>Este</v>
          </cell>
          <cell r="P1566" t="str">
            <v>LO BARNECHEA</v>
          </cell>
          <cell r="Q1566" t="str">
            <v>TRADICIONAL</v>
          </cell>
          <cell r="R1566" t="str">
            <v>Vía Pública General - Santiago</v>
          </cell>
          <cell r="S1566" t="str">
            <v>VPCC</v>
          </cell>
          <cell r="T1566" t="str">
            <v>Supersite</v>
          </cell>
          <cell r="U1566">
            <v>1</v>
          </cell>
          <cell r="V1566" t="str">
            <v>3.36 * 5.00</v>
          </cell>
        </row>
        <row r="1567">
          <cell r="A1567" t="str">
            <v>VPCC0003A</v>
          </cell>
          <cell r="B1567" t="str">
            <v>Vía Pública General</v>
          </cell>
          <cell r="D1567" t="str">
            <v>Supersite</v>
          </cell>
          <cell r="E1567" t="str">
            <v>PRISMA</v>
          </cell>
          <cell r="F1567" t="str">
            <v>3.36 * 5.00</v>
          </cell>
          <cell r="G1567" t="str">
            <v>3.36 * 5.00</v>
          </cell>
          <cell r="I1567" t="str">
            <v>EXTERIOR</v>
          </cell>
          <cell r="J1567">
            <v>0</v>
          </cell>
          <cell r="K1567">
            <v>300000</v>
          </cell>
          <cell r="L1567">
            <v>1275000</v>
          </cell>
          <cell r="M1567" t="str">
            <v>12020 José Alcalde Délano El Puente</v>
          </cell>
          <cell r="N1567" t="str">
            <v>Este</v>
          </cell>
          <cell r="P1567" t="str">
            <v>LO BARNECHEA</v>
          </cell>
          <cell r="Q1567" t="str">
            <v>TRADICIONAL</v>
          </cell>
          <cell r="R1567" t="str">
            <v>Vía Pública General - Santiago</v>
          </cell>
          <cell r="S1567" t="str">
            <v>VPCC</v>
          </cell>
          <cell r="T1567" t="str">
            <v>Supersite</v>
          </cell>
          <cell r="U1567">
            <v>1</v>
          </cell>
          <cell r="V1567" t="str">
            <v>3.36 * 5.00</v>
          </cell>
        </row>
        <row r="1568">
          <cell r="A1568" t="str">
            <v>VPCC0003B</v>
          </cell>
          <cell r="B1568" t="str">
            <v>Vía Pública General</v>
          </cell>
          <cell r="D1568" t="str">
            <v>Supersite</v>
          </cell>
          <cell r="E1568" t="str">
            <v>PRISMA</v>
          </cell>
          <cell r="F1568" t="str">
            <v>3.36 * 5.00</v>
          </cell>
          <cell r="G1568" t="str">
            <v>3.36 * 5.00</v>
          </cell>
          <cell r="I1568" t="str">
            <v>EXTERIOR</v>
          </cell>
          <cell r="J1568">
            <v>0</v>
          </cell>
          <cell r="K1568">
            <v>300000</v>
          </cell>
          <cell r="L1568">
            <v>1275000</v>
          </cell>
          <cell r="M1568" t="str">
            <v>12020 José Alcalde Délano El Puente</v>
          </cell>
          <cell r="N1568" t="str">
            <v>Este</v>
          </cell>
          <cell r="P1568" t="str">
            <v>LO BARNECHEA</v>
          </cell>
          <cell r="Q1568" t="str">
            <v>TRADICIONAL</v>
          </cell>
          <cell r="R1568" t="str">
            <v>Vía Pública General - Santiago</v>
          </cell>
          <cell r="S1568" t="str">
            <v>VPCC</v>
          </cell>
          <cell r="T1568" t="str">
            <v>Supersite</v>
          </cell>
          <cell r="U1568">
            <v>1</v>
          </cell>
          <cell r="V1568" t="str">
            <v>3.36 * 5.00</v>
          </cell>
        </row>
        <row r="1569">
          <cell r="A1569" t="str">
            <v>VPCC0003C</v>
          </cell>
          <cell r="B1569" t="str">
            <v>Vía Pública General</v>
          </cell>
          <cell r="D1569" t="str">
            <v>Supersite</v>
          </cell>
          <cell r="E1569" t="str">
            <v>PRISMA</v>
          </cell>
          <cell r="F1569" t="str">
            <v>3.36 * 5.00</v>
          </cell>
          <cell r="G1569" t="str">
            <v>3.36 * 5.00</v>
          </cell>
          <cell r="I1569" t="str">
            <v>EXTERIOR</v>
          </cell>
          <cell r="J1569">
            <v>0</v>
          </cell>
          <cell r="K1569">
            <v>300000</v>
          </cell>
          <cell r="L1569">
            <v>1275000</v>
          </cell>
          <cell r="M1569" t="str">
            <v>12020 José Alcalde Délano El Puente</v>
          </cell>
          <cell r="N1569" t="str">
            <v>Este</v>
          </cell>
          <cell r="P1569" t="str">
            <v>LO BARNECHEA</v>
          </cell>
          <cell r="Q1569" t="str">
            <v>TRADICIONAL</v>
          </cell>
          <cell r="R1569" t="str">
            <v>Vía Pública General - Santiago</v>
          </cell>
          <cell r="S1569" t="str">
            <v>VPCC</v>
          </cell>
          <cell r="T1569" t="str">
            <v>Supersite</v>
          </cell>
          <cell r="U1569">
            <v>1</v>
          </cell>
          <cell r="V1569" t="str">
            <v>3.36 * 5.00</v>
          </cell>
        </row>
        <row r="1570">
          <cell r="A1570" t="str">
            <v>PACE0001A</v>
          </cell>
          <cell r="B1570" t="str">
            <v>Vía Pública General</v>
          </cell>
          <cell r="D1570" t="str">
            <v>Pasarelas</v>
          </cell>
          <cell r="E1570" t="str">
            <v>FRONTLIGHT</v>
          </cell>
          <cell r="F1570" t="str">
            <v>7.50 * 2.50</v>
          </cell>
          <cell r="G1570" t="str">
            <v>7.50 * 2.50</v>
          </cell>
          <cell r="K1570">
            <v>100000</v>
          </cell>
          <cell r="L1570">
            <v>2400000</v>
          </cell>
          <cell r="M1570" t="str">
            <v>Avenida del Parque acceso a Américo Vespucio Américo Vespucio</v>
          </cell>
          <cell r="N1570" t="str">
            <v>Norte</v>
          </cell>
          <cell r="P1570" t="str">
            <v>HUECHURABA</v>
          </cell>
          <cell r="Q1570" t="str">
            <v>TRADICIONAL</v>
          </cell>
          <cell r="R1570" t="str">
            <v>Vía Pública Pasarelas - Santiago</v>
          </cell>
          <cell r="S1570" t="str">
            <v>Municipalidad de Huechuraba</v>
          </cell>
          <cell r="T1570" t="str">
            <v>Pasarelas</v>
          </cell>
          <cell r="U1570">
            <v>1</v>
          </cell>
          <cell r="V1570" t="str">
            <v>7.50 * 2.50</v>
          </cell>
        </row>
        <row r="1571">
          <cell r="A1571" t="str">
            <v>AVBR0001A</v>
          </cell>
          <cell r="B1571" t="str">
            <v>Vía Pública General</v>
          </cell>
          <cell r="D1571" t="str">
            <v>Unipoles</v>
          </cell>
          <cell r="E1571" t="str">
            <v>Unipoles</v>
          </cell>
          <cell r="F1571" t="str">
            <v>12.00 * 8.00</v>
          </cell>
          <cell r="G1571" t="str">
            <v>12.30 * 8.30</v>
          </cell>
          <cell r="J1571">
            <v>0</v>
          </cell>
          <cell r="K1571">
            <v>120000</v>
          </cell>
          <cell r="L1571">
            <v>1500000</v>
          </cell>
          <cell r="M1571" t="str">
            <v>AVBR Américo vespucio km 17.100 cruce Costanera Norte pudahuel COSTANERA NORTE</v>
          </cell>
          <cell r="N1571" t="str">
            <v>Noroeste</v>
          </cell>
          <cell r="P1571" t="str">
            <v>PUDAHUEL</v>
          </cell>
          <cell r="Q1571" t="str">
            <v>TRADICIONAL</v>
          </cell>
          <cell r="R1571" t="str">
            <v>Vía Pública General - Santiago</v>
          </cell>
          <cell r="S1571" t="str">
            <v>BROWN - Costanera Norte y AV</v>
          </cell>
          <cell r="T1571" t="str">
            <v>Unipoles</v>
          </cell>
          <cell r="U1571">
            <v>1</v>
          </cell>
          <cell r="V1571" t="str">
            <v>12.00 * 8.00</v>
          </cell>
        </row>
        <row r="1572">
          <cell r="A1572" t="str">
            <v>AVSM0001A</v>
          </cell>
          <cell r="B1572" t="str">
            <v>Vía Pública General</v>
          </cell>
          <cell r="D1572" t="str">
            <v>Vallas</v>
          </cell>
          <cell r="E1572" t="str">
            <v>CIERRE DE OBRAS</v>
          </cell>
          <cell r="F1572" t="str">
            <v>18.00 * 3.00</v>
          </cell>
          <cell r="G1572" t="str">
            <v>18.30 * 3.30</v>
          </cell>
          <cell r="H1572" t="str">
            <v>X</v>
          </cell>
          <cell r="I1572" t="str">
            <v>EXTERIORES</v>
          </cell>
          <cell r="J1572">
            <v>0</v>
          </cell>
          <cell r="K1572">
            <v>540000</v>
          </cell>
          <cell r="L1572">
            <v>1900000</v>
          </cell>
          <cell r="M1572" t="str">
            <v>AVSM</v>
          </cell>
          <cell r="P1572" t="str">
            <v>VITACURA</v>
          </cell>
          <cell r="Q1572" t="str">
            <v>TRADICIONAL</v>
          </cell>
          <cell r="R1572" t="str">
            <v>Vía Pública General - Santiago</v>
          </cell>
          <cell r="S1572" t="str">
            <v>AVSM</v>
          </cell>
          <cell r="T1572" t="str">
            <v>Vallas</v>
          </cell>
          <cell r="U1572">
            <v>1</v>
          </cell>
          <cell r="V1572" t="str">
            <v>18.00 * 3.00</v>
          </cell>
        </row>
        <row r="1573">
          <cell r="A1573" t="str">
            <v>AVSM0002A</v>
          </cell>
          <cell r="B1573" t="str">
            <v>Vía Pública General</v>
          </cell>
          <cell r="D1573" t="str">
            <v>Vallas</v>
          </cell>
          <cell r="E1573" t="str">
            <v>CIERRE DE OBRAS</v>
          </cell>
          <cell r="F1573" t="str">
            <v>18.00 * 3.00</v>
          </cell>
          <cell r="G1573" t="str">
            <v>18.30 * 3.30</v>
          </cell>
          <cell r="H1573" t="str">
            <v>X</v>
          </cell>
          <cell r="I1573" t="str">
            <v>EXTERIORES</v>
          </cell>
          <cell r="J1573">
            <v>0</v>
          </cell>
          <cell r="K1573">
            <v>540000</v>
          </cell>
          <cell r="L1573">
            <v>1900000</v>
          </cell>
          <cell r="M1573" t="str">
            <v>AVSM</v>
          </cell>
          <cell r="P1573" t="str">
            <v>VITACURA</v>
          </cell>
          <cell r="Q1573" t="str">
            <v>TRADICIONAL</v>
          </cell>
          <cell r="R1573" t="str">
            <v>Vía Pública General - Santiago</v>
          </cell>
          <cell r="S1573" t="str">
            <v>AVSM</v>
          </cell>
          <cell r="T1573" t="str">
            <v>Vallas</v>
          </cell>
          <cell r="U1573">
            <v>1</v>
          </cell>
          <cell r="V1573" t="str">
            <v>18.00 * 3.00</v>
          </cell>
        </row>
        <row r="1574">
          <cell r="A1574" t="str">
            <v>AVSM0003A</v>
          </cell>
          <cell r="B1574" t="str">
            <v>Vía Pública General</v>
          </cell>
          <cell r="D1574" t="str">
            <v>Vallas</v>
          </cell>
          <cell r="E1574" t="str">
            <v>CIERRE DE OBRAS</v>
          </cell>
          <cell r="F1574" t="str">
            <v>18.00 * 3.00</v>
          </cell>
          <cell r="G1574" t="str">
            <v>18.30 * 3.30</v>
          </cell>
          <cell r="H1574" t="str">
            <v>X</v>
          </cell>
          <cell r="I1574" t="str">
            <v>EXTERIORES</v>
          </cell>
          <cell r="J1574">
            <v>0</v>
          </cell>
          <cell r="K1574">
            <v>540000</v>
          </cell>
          <cell r="L1574">
            <v>1900000</v>
          </cell>
          <cell r="M1574" t="str">
            <v>AVSM</v>
          </cell>
          <cell r="P1574" t="str">
            <v>VITACURA</v>
          </cell>
          <cell r="Q1574" t="str">
            <v>TRADICIONAL</v>
          </cell>
          <cell r="R1574" t="str">
            <v>Vía Pública General - Santiago</v>
          </cell>
          <cell r="S1574" t="str">
            <v>AVSM</v>
          </cell>
          <cell r="T1574" t="str">
            <v>Vallas</v>
          </cell>
          <cell r="U1574">
            <v>1</v>
          </cell>
          <cell r="V1574" t="str">
            <v>18.00 * 3.00</v>
          </cell>
        </row>
        <row r="1575">
          <cell r="A1575" t="str">
            <v>AVSM0004A</v>
          </cell>
          <cell r="B1575" t="str">
            <v>Vía Pública General</v>
          </cell>
          <cell r="D1575" t="str">
            <v>Vallas</v>
          </cell>
          <cell r="E1575" t="str">
            <v>CIERRE DE OBRAS</v>
          </cell>
          <cell r="F1575" t="str">
            <v>18.00 * 3.00</v>
          </cell>
          <cell r="G1575" t="str">
            <v>18.30 * 3.30</v>
          </cell>
          <cell r="H1575" t="str">
            <v>X</v>
          </cell>
          <cell r="I1575" t="str">
            <v>EXTERIORES</v>
          </cell>
          <cell r="J1575">
            <v>0</v>
          </cell>
          <cell r="K1575">
            <v>540000</v>
          </cell>
          <cell r="L1575">
            <v>1900000</v>
          </cell>
          <cell r="M1575" t="str">
            <v>AVSM</v>
          </cell>
          <cell r="P1575" t="str">
            <v>VITACURA</v>
          </cell>
          <cell r="Q1575" t="str">
            <v>TRADICIONAL</v>
          </cell>
          <cell r="R1575" t="str">
            <v>Vía Pública General - Santiago</v>
          </cell>
          <cell r="S1575" t="str">
            <v>AVSM</v>
          </cell>
          <cell r="T1575" t="str">
            <v>Vallas</v>
          </cell>
          <cell r="U1575">
            <v>1</v>
          </cell>
          <cell r="V1575" t="str">
            <v>18.00 * 3.00</v>
          </cell>
        </row>
        <row r="1576">
          <cell r="A1576" t="str">
            <v>AVSM0005A</v>
          </cell>
          <cell r="B1576" t="str">
            <v>Vía Pública General</v>
          </cell>
          <cell r="D1576" t="str">
            <v>Vallas</v>
          </cell>
          <cell r="E1576" t="str">
            <v>CIERRE DE OBRAS</v>
          </cell>
          <cell r="F1576" t="str">
            <v>18.00 * 3.00</v>
          </cell>
          <cell r="G1576" t="str">
            <v>18.30 * 3.30</v>
          </cell>
          <cell r="H1576" t="str">
            <v>X</v>
          </cell>
          <cell r="I1576" t="str">
            <v>EXTERIORES</v>
          </cell>
          <cell r="J1576">
            <v>0</v>
          </cell>
          <cell r="K1576">
            <v>540000</v>
          </cell>
          <cell r="L1576">
            <v>1900000</v>
          </cell>
          <cell r="M1576" t="str">
            <v>AVSM</v>
          </cell>
          <cell r="P1576" t="str">
            <v>VITACURA</v>
          </cell>
          <cell r="Q1576" t="str">
            <v>TRADICIONAL</v>
          </cell>
          <cell r="R1576" t="str">
            <v>Vía Pública General - Santiago</v>
          </cell>
          <cell r="S1576" t="str">
            <v>AVSM</v>
          </cell>
          <cell r="T1576" t="str">
            <v>Vallas</v>
          </cell>
          <cell r="U1576">
            <v>1</v>
          </cell>
          <cell r="V1576" t="str">
            <v>18.00 * 3.00</v>
          </cell>
        </row>
        <row r="1577">
          <cell r="A1577" t="str">
            <v>AVSM0006A</v>
          </cell>
          <cell r="B1577" t="str">
            <v>Vía Pública General</v>
          </cell>
          <cell r="D1577" t="str">
            <v>Vallas</v>
          </cell>
          <cell r="E1577" t="str">
            <v>CIERRE DE OBRAS</v>
          </cell>
          <cell r="F1577" t="str">
            <v>18.00 * 3.00</v>
          </cell>
          <cell r="G1577" t="str">
            <v>18.30 * 3.30</v>
          </cell>
          <cell r="H1577" t="str">
            <v>X</v>
          </cell>
          <cell r="I1577" t="str">
            <v>EXTERIORES</v>
          </cell>
          <cell r="J1577">
            <v>0</v>
          </cell>
          <cell r="K1577">
            <v>540000</v>
          </cell>
          <cell r="L1577">
            <v>1900000</v>
          </cell>
          <cell r="M1577" t="str">
            <v>AVSM</v>
          </cell>
          <cell r="P1577" t="str">
            <v>VITACURA</v>
          </cell>
          <cell r="Q1577" t="str">
            <v>TRADICIONAL</v>
          </cell>
          <cell r="R1577" t="str">
            <v>Vía Pública General - Santiago</v>
          </cell>
          <cell r="S1577" t="str">
            <v>AVSM</v>
          </cell>
          <cell r="T1577" t="str">
            <v>Vallas</v>
          </cell>
          <cell r="U1577">
            <v>1</v>
          </cell>
          <cell r="V1577" t="str">
            <v>18.00 * 3.00</v>
          </cell>
        </row>
        <row r="1578">
          <cell r="A1578" t="str">
            <v>VPPI0001A</v>
          </cell>
          <cell r="B1578" t="str">
            <v>Vía Pública General</v>
          </cell>
          <cell r="D1578" t="str">
            <v>Unipoles</v>
          </cell>
          <cell r="E1578" t="str">
            <v>Unipoles</v>
          </cell>
          <cell r="F1578" t="str">
            <v>12.00 * 8.00</v>
          </cell>
          <cell r="G1578" t="str">
            <v>12.30 * 8.30</v>
          </cell>
          <cell r="H1578" t="str">
            <v>X</v>
          </cell>
          <cell r="I1578" t="str">
            <v>EXTERIORES</v>
          </cell>
          <cell r="J1578">
            <v>0</v>
          </cell>
          <cell r="K1578">
            <v>117000</v>
          </cell>
          <cell r="L1578">
            <v>1350000</v>
          </cell>
          <cell r="M1578" t="str">
            <v>VPPI</v>
          </cell>
          <cell r="P1578" t="str">
            <v>HUECHURABA</v>
          </cell>
          <cell r="Q1578" t="str">
            <v>TRADICIONAL</v>
          </cell>
          <cell r="R1578" t="str">
            <v>Vía Pública General - Santiago</v>
          </cell>
          <cell r="S1578" t="str">
            <v>VPPI</v>
          </cell>
          <cell r="T1578" t="str">
            <v>Unipoles</v>
          </cell>
          <cell r="U1578">
            <v>1</v>
          </cell>
          <cell r="V1578" t="str">
            <v>12.00 * 8.00</v>
          </cell>
        </row>
        <row r="1579">
          <cell r="A1579" t="str">
            <v>VPPI0004A</v>
          </cell>
          <cell r="B1579" t="str">
            <v>Vía Pública General</v>
          </cell>
          <cell r="D1579" t="str">
            <v>NO VENDIBLE</v>
          </cell>
          <cell r="E1579" t="str">
            <v>Unipoles</v>
          </cell>
          <cell r="F1579" t="str">
            <v>12.00 * 4.00</v>
          </cell>
          <cell r="G1579" t="str">
            <v>12.30 * 4.30</v>
          </cell>
          <cell r="H1579" t="str">
            <v>X</v>
          </cell>
          <cell r="I1579" t="str">
            <v>EXTERIOR</v>
          </cell>
          <cell r="J1579">
            <v>0</v>
          </cell>
          <cell r="K1579">
            <v>117000</v>
          </cell>
          <cell r="L1579">
            <v>1350000</v>
          </cell>
          <cell r="M1579" t="str">
            <v>AMERICO VESPUCIO</v>
          </cell>
          <cell r="O1579" t="str">
            <v>Sí</v>
          </cell>
          <cell r="P1579" t="str">
            <v>HUECHURABA</v>
          </cell>
          <cell r="Q1579" t="str">
            <v>TRADICIONAL</v>
          </cell>
          <cell r="R1579" t="str">
            <v>Vía Pública General - Santiago</v>
          </cell>
          <cell r="S1579" t="str">
            <v>VPPI</v>
          </cell>
          <cell r="T1579" t="str">
            <v>Unipoles</v>
          </cell>
          <cell r="U1579">
            <v>1</v>
          </cell>
          <cell r="V1579" t="str">
            <v>12.00 * 4.00</v>
          </cell>
        </row>
        <row r="1580">
          <cell r="A1580" t="str">
            <v>VPBV0001A</v>
          </cell>
          <cell r="B1580" t="str">
            <v>Vía Pública General</v>
          </cell>
          <cell r="D1580" t="str">
            <v>Monumentales</v>
          </cell>
          <cell r="E1580" t="str">
            <v>Monumentales</v>
          </cell>
          <cell r="F1580" t="str">
            <v>12.00 * 8.00</v>
          </cell>
          <cell r="G1580" t="str">
            <v>12.30 * 8.30</v>
          </cell>
          <cell r="H1580" t="str">
            <v>N</v>
          </cell>
          <cell r="I1580" t="str">
            <v>NORTE</v>
          </cell>
          <cell r="J1580">
            <v>0</v>
          </cell>
          <cell r="K1580">
            <v>127424</v>
          </cell>
          <cell r="L1580">
            <v>1250000</v>
          </cell>
          <cell r="M1580" t="str">
            <v>xxxxxxxxx</v>
          </cell>
          <cell r="N1580" t="str">
            <v>Norte</v>
          </cell>
          <cell r="P1580" t="str">
            <v>PUDAHUEL</v>
          </cell>
          <cell r="Q1580" t="str">
            <v>TRADICIONAL</v>
          </cell>
          <cell r="R1580" t="str">
            <v>Vía Pública General - Santiago</v>
          </cell>
          <cell r="S1580" t="str">
            <v>VPBV</v>
          </cell>
          <cell r="T1580" t="str">
            <v>Monumentales</v>
          </cell>
          <cell r="U1580">
            <v>1</v>
          </cell>
          <cell r="V1580" t="str">
            <v>12.00 * 8.00</v>
          </cell>
        </row>
        <row r="1581">
          <cell r="A1581" t="str">
            <v>VPBV0002A</v>
          </cell>
          <cell r="B1581" t="str">
            <v>Vía Pública General</v>
          </cell>
          <cell r="D1581" t="str">
            <v>Monumentales</v>
          </cell>
          <cell r="E1581" t="str">
            <v>Monumentales</v>
          </cell>
          <cell r="F1581" t="str">
            <v>12.00 * 8.00</v>
          </cell>
          <cell r="G1581" t="str">
            <v>12.30 * 8.30</v>
          </cell>
          <cell r="H1581" t="str">
            <v>N</v>
          </cell>
          <cell r="I1581" t="str">
            <v>NORTE</v>
          </cell>
          <cell r="J1581">
            <v>0</v>
          </cell>
          <cell r="K1581">
            <v>127424</v>
          </cell>
          <cell r="L1581">
            <v>1250000</v>
          </cell>
          <cell r="M1581" t="str">
            <v>VPBV</v>
          </cell>
          <cell r="N1581" t="str">
            <v>Norte</v>
          </cell>
          <cell r="P1581" t="str">
            <v>PUDAHUEL</v>
          </cell>
          <cell r="Q1581" t="str">
            <v>TRADICIONAL</v>
          </cell>
          <cell r="R1581" t="str">
            <v>Vía Pública General - Santiago</v>
          </cell>
          <cell r="S1581" t="str">
            <v>VPBV</v>
          </cell>
          <cell r="T1581" t="str">
            <v>Monumentales</v>
          </cell>
          <cell r="U1581">
            <v>1</v>
          </cell>
          <cell r="V1581" t="str">
            <v>12.00 * 8.00</v>
          </cell>
        </row>
        <row r="1582">
          <cell r="A1582" t="str">
            <v>VPBV0003A</v>
          </cell>
          <cell r="B1582" t="str">
            <v>Vía Pública General</v>
          </cell>
          <cell r="D1582" t="str">
            <v>Monumentales</v>
          </cell>
          <cell r="E1582" t="str">
            <v>Monumentales</v>
          </cell>
          <cell r="F1582" t="str">
            <v>12.00 * 8.00</v>
          </cell>
          <cell r="G1582" t="str">
            <v>12.30 * 8.30</v>
          </cell>
          <cell r="H1582" t="str">
            <v>N</v>
          </cell>
          <cell r="I1582" t="str">
            <v>NORTE</v>
          </cell>
          <cell r="J1582">
            <v>0</v>
          </cell>
          <cell r="K1582">
            <v>127424</v>
          </cell>
          <cell r="L1582">
            <v>1250000</v>
          </cell>
          <cell r="M1582" t="str">
            <v>VPBV</v>
          </cell>
          <cell r="N1582" t="str">
            <v>Norte</v>
          </cell>
          <cell r="P1582" t="str">
            <v>PUDAHUEL</v>
          </cell>
          <cell r="Q1582" t="str">
            <v>TRADICIONAL</v>
          </cell>
          <cell r="R1582" t="str">
            <v>Vía Pública General - Santiago</v>
          </cell>
          <cell r="S1582" t="str">
            <v>VPBV</v>
          </cell>
          <cell r="T1582" t="str">
            <v>Monumentales</v>
          </cell>
          <cell r="U1582">
            <v>1</v>
          </cell>
          <cell r="V1582" t="str">
            <v>12.00 * 8.00</v>
          </cell>
        </row>
        <row r="1583">
          <cell r="A1583" t="str">
            <v>VPBV0004A</v>
          </cell>
          <cell r="B1583" t="str">
            <v>Vía Pública General</v>
          </cell>
          <cell r="D1583" t="str">
            <v>Monumentales</v>
          </cell>
          <cell r="E1583" t="str">
            <v>Monumentales</v>
          </cell>
          <cell r="F1583" t="str">
            <v>12.00 * 8.00</v>
          </cell>
          <cell r="G1583" t="str">
            <v>12.30 * 8.30</v>
          </cell>
          <cell r="H1583" t="str">
            <v>N</v>
          </cell>
          <cell r="I1583" t="str">
            <v>NORTE</v>
          </cell>
          <cell r="J1583">
            <v>0</v>
          </cell>
          <cell r="K1583">
            <v>127424</v>
          </cell>
          <cell r="L1583">
            <v>1250000</v>
          </cell>
          <cell r="M1583" t="str">
            <v>VPBV</v>
          </cell>
          <cell r="N1583" t="str">
            <v>Norte</v>
          </cell>
          <cell r="P1583" t="str">
            <v>PUDAHUEL</v>
          </cell>
          <cell r="Q1583" t="str">
            <v>TRADICIONAL</v>
          </cell>
          <cell r="R1583" t="str">
            <v>Vía Pública General - Santiago</v>
          </cell>
          <cell r="S1583" t="str">
            <v>VPBV</v>
          </cell>
          <cell r="T1583" t="str">
            <v>Monumentales</v>
          </cell>
          <cell r="U1583">
            <v>1</v>
          </cell>
          <cell r="V1583" t="str">
            <v>12.00 * 8.00</v>
          </cell>
        </row>
        <row r="1584">
          <cell r="A1584" t="str">
            <v>VPBV0005A</v>
          </cell>
          <cell r="B1584" t="str">
            <v>Vía Pública General</v>
          </cell>
          <cell r="D1584" t="str">
            <v>Monumentales</v>
          </cell>
          <cell r="E1584" t="str">
            <v>Monumentales</v>
          </cell>
          <cell r="F1584" t="str">
            <v>12.00 * 8.00</v>
          </cell>
          <cell r="G1584" t="str">
            <v>12.30 * 8.30</v>
          </cell>
          <cell r="H1584" t="str">
            <v>N</v>
          </cell>
          <cell r="I1584" t="str">
            <v>NORTE</v>
          </cell>
          <cell r="J1584">
            <v>0</v>
          </cell>
          <cell r="K1584">
            <v>127424</v>
          </cell>
          <cell r="L1584">
            <v>1250000</v>
          </cell>
          <cell r="M1584" t="str">
            <v>VPBV</v>
          </cell>
          <cell r="N1584" t="str">
            <v>Norte</v>
          </cell>
          <cell r="P1584" t="str">
            <v>PUDAHUEL</v>
          </cell>
          <cell r="Q1584" t="str">
            <v>TRADICIONAL</v>
          </cell>
          <cell r="R1584" t="str">
            <v>Vía Pública General - Santiago</v>
          </cell>
          <cell r="S1584" t="str">
            <v>VPBV</v>
          </cell>
          <cell r="T1584" t="str">
            <v>Monumentales</v>
          </cell>
          <cell r="U1584">
            <v>1</v>
          </cell>
          <cell r="V1584" t="str">
            <v>12.00 * 8.00</v>
          </cell>
        </row>
        <row r="1585">
          <cell r="A1585" t="str">
            <v>VPBV0006A</v>
          </cell>
          <cell r="B1585" t="str">
            <v>Vía Pública General</v>
          </cell>
          <cell r="D1585" t="str">
            <v>Monumentales</v>
          </cell>
          <cell r="E1585" t="str">
            <v>Monumentales</v>
          </cell>
          <cell r="F1585" t="str">
            <v>12.00 * 8.00</v>
          </cell>
          <cell r="G1585" t="str">
            <v>12.30 * 8.30</v>
          </cell>
          <cell r="H1585" t="str">
            <v>N</v>
          </cell>
          <cell r="I1585" t="str">
            <v>NORTE</v>
          </cell>
          <cell r="J1585">
            <v>0</v>
          </cell>
          <cell r="K1585">
            <v>127424</v>
          </cell>
          <cell r="L1585">
            <v>1250000</v>
          </cell>
          <cell r="M1585" t="str">
            <v>VPBV</v>
          </cell>
          <cell r="N1585" t="str">
            <v>Norte</v>
          </cell>
          <cell r="P1585" t="str">
            <v>PUDAHUEL</v>
          </cell>
          <cell r="Q1585" t="str">
            <v>TRADICIONAL</v>
          </cell>
          <cell r="R1585" t="str">
            <v>Vía Pública General - Santiago</v>
          </cell>
          <cell r="S1585" t="str">
            <v>VPBV</v>
          </cell>
          <cell r="T1585" t="str">
            <v>Monumentales</v>
          </cell>
          <cell r="U1585">
            <v>1</v>
          </cell>
          <cell r="V1585" t="str">
            <v>12.00 * 8.00</v>
          </cell>
        </row>
        <row r="1586">
          <cell r="A1586" t="str">
            <v>VPBV0007A</v>
          </cell>
          <cell r="B1586" t="str">
            <v>Vía Pública General</v>
          </cell>
          <cell r="D1586" t="str">
            <v>Monumentales</v>
          </cell>
          <cell r="E1586" t="str">
            <v>Monumentales</v>
          </cell>
          <cell r="F1586" t="str">
            <v>12.00 * 8.00</v>
          </cell>
          <cell r="G1586" t="str">
            <v>12.30 * 8.30</v>
          </cell>
          <cell r="H1586" t="str">
            <v>N</v>
          </cell>
          <cell r="I1586" t="str">
            <v>NORTE</v>
          </cell>
          <cell r="J1586">
            <v>0</v>
          </cell>
          <cell r="K1586">
            <v>127424</v>
          </cell>
          <cell r="L1586">
            <v>1250000</v>
          </cell>
          <cell r="M1586" t="str">
            <v>VPBV</v>
          </cell>
          <cell r="N1586" t="str">
            <v>Norte</v>
          </cell>
          <cell r="P1586" t="str">
            <v>PUDAHUEL</v>
          </cell>
          <cell r="Q1586" t="str">
            <v>TRADICIONAL</v>
          </cell>
          <cell r="R1586" t="str">
            <v>Vía Pública General - Santiago</v>
          </cell>
          <cell r="S1586" t="str">
            <v>VPBV</v>
          </cell>
          <cell r="T1586" t="str">
            <v>Monumentales</v>
          </cell>
          <cell r="U1586">
            <v>1</v>
          </cell>
          <cell r="V1586" t="str">
            <v>12.00 * 8.00</v>
          </cell>
        </row>
        <row r="1587">
          <cell r="A1587" t="str">
            <v>VPBV0008A</v>
          </cell>
          <cell r="B1587" t="str">
            <v>Vía Pública General</v>
          </cell>
          <cell r="D1587" t="str">
            <v>Monumentales</v>
          </cell>
          <cell r="E1587" t="str">
            <v>Monumentales</v>
          </cell>
          <cell r="F1587" t="str">
            <v>12.00 * 8.00</v>
          </cell>
          <cell r="G1587" t="str">
            <v>12.30 * 8.30</v>
          </cell>
          <cell r="H1587" t="str">
            <v>N</v>
          </cell>
          <cell r="I1587" t="str">
            <v>NORTE</v>
          </cell>
          <cell r="J1587">
            <v>0</v>
          </cell>
          <cell r="K1587">
            <v>127424</v>
          </cell>
          <cell r="L1587">
            <v>1250000</v>
          </cell>
          <cell r="M1587" t="str">
            <v>VPBV</v>
          </cell>
          <cell r="N1587" t="str">
            <v>Norte</v>
          </cell>
          <cell r="P1587" t="str">
            <v>PUDAHUEL</v>
          </cell>
          <cell r="Q1587" t="str">
            <v>TRADICIONAL</v>
          </cell>
          <cell r="R1587" t="str">
            <v>Vía Pública General - Santiago</v>
          </cell>
          <cell r="S1587" t="str">
            <v>VPBV</v>
          </cell>
          <cell r="T1587" t="str">
            <v>Monumentales</v>
          </cell>
          <cell r="U1587">
            <v>1</v>
          </cell>
          <cell r="V1587" t="str">
            <v>12.00 * 8.00</v>
          </cell>
        </row>
        <row r="1588">
          <cell r="A1588" t="str">
            <v>VPBV0009A</v>
          </cell>
          <cell r="B1588" t="str">
            <v>Vía Pública General</v>
          </cell>
          <cell r="D1588" t="str">
            <v>Monumentales</v>
          </cell>
          <cell r="E1588" t="str">
            <v>Monumentales</v>
          </cell>
          <cell r="F1588" t="str">
            <v>12.00 * 8.00</v>
          </cell>
          <cell r="G1588" t="str">
            <v>12.30 * 8.30</v>
          </cell>
          <cell r="H1588" t="str">
            <v>N</v>
          </cell>
          <cell r="I1588" t="str">
            <v>NORTE</v>
          </cell>
          <cell r="J1588">
            <v>0</v>
          </cell>
          <cell r="K1588">
            <v>127424</v>
          </cell>
          <cell r="L1588">
            <v>1250000</v>
          </cell>
          <cell r="M1588" t="str">
            <v>VPBV</v>
          </cell>
          <cell r="N1588" t="str">
            <v>Norte</v>
          </cell>
          <cell r="P1588" t="str">
            <v>PUDAHUEL</v>
          </cell>
          <cell r="Q1588" t="str">
            <v>TRADICIONAL</v>
          </cell>
          <cell r="R1588" t="str">
            <v>Vía Pública General - Santiago</v>
          </cell>
          <cell r="S1588" t="str">
            <v>VPBV</v>
          </cell>
          <cell r="T1588" t="str">
            <v>Monumentales</v>
          </cell>
          <cell r="U1588">
            <v>1</v>
          </cell>
          <cell r="V1588" t="str">
            <v>12.00 * 8.00</v>
          </cell>
        </row>
        <row r="1589">
          <cell r="A1589" t="str">
            <v>VPBV0010A</v>
          </cell>
          <cell r="B1589" t="str">
            <v>Vía Pública General</v>
          </cell>
          <cell r="D1589" t="str">
            <v>Monumentales</v>
          </cell>
          <cell r="E1589" t="str">
            <v>Monumentales</v>
          </cell>
          <cell r="F1589" t="str">
            <v>12.00 * 8.00</v>
          </cell>
          <cell r="G1589" t="str">
            <v>12.30 * 8.30</v>
          </cell>
          <cell r="H1589" t="str">
            <v>N</v>
          </cell>
          <cell r="I1589" t="str">
            <v>NORTE</v>
          </cell>
          <cell r="J1589">
            <v>0</v>
          </cell>
          <cell r="K1589">
            <v>127424</v>
          </cell>
          <cell r="L1589">
            <v>1250000</v>
          </cell>
          <cell r="M1589" t="str">
            <v>VPBV</v>
          </cell>
          <cell r="N1589" t="str">
            <v>Norte</v>
          </cell>
          <cell r="P1589" t="str">
            <v>PUDAHUEL</v>
          </cell>
          <cell r="Q1589" t="str">
            <v>TRADICIONAL</v>
          </cell>
          <cell r="R1589" t="str">
            <v>Vía Pública General - Santiago</v>
          </cell>
          <cell r="S1589" t="str">
            <v>VPBV</v>
          </cell>
          <cell r="T1589" t="str">
            <v>Monumentales</v>
          </cell>
          <cell r="U1589">
            <v>1</v>
          </cell>
          <cell r="V1589" t="str">
            <v>12.00 * 8.00</v>
          </cell>
        </row>
        <row r="1590">
          <cell r="A1590" t="str">
            <v>VPBV0011A</v>
          </cell>
          <cell r="B1590" t="str">
            <v>Vía Pública General</v>
          </cell>
          <cell r="D1590" t="str">
            <v>Monumentales</v>
          </cell>
          <cell r="E1590" t="str">
            <v>Monumentales</v>
          </cell>
          <cell r="F1590" t="str">
            <v>12.00 * 8.00</v>
          </cell>
          <cell r="G1590" t="str">
            <v>12.30 * 8.30</v>
          </cell>
          <cell r="H1590" t="str">
            <v>N</v>
          </cell>
          <cell r="I1590" t="str">
            <v>NORTE</v>
          </cell>
          <cell r="J1590">
            <v>0</v>
          </cell>
          <cell r="K1590">
            <v>127424</v>
          </cell>
          <cell r="L1590">
            <v>1250000</v>
          </cell>
          <cell r="M1590" t="str">
            <v>VPBV</v>
          </cell>
          <cell r="N1590" t="str">
            <v>Norte</v>
          </cell>
          <cell r="P1590" t="str">
            <v>PUDAHUEL</v>
          </cell>
          <cell r="Q1590" t="str">
            <v>TRADICIONAL</v>
          </cell>
          <cell r="R1590" t="str">
            <v>Vía Pública General - Santiago</v>
          </cell>
          <cell r="S1590" t="str">
            <v>VPBV</v>
          </cell>
          <cell r="T1590" t="str">
            <v>Monumentales</v>
          </cell>
          <cell r="U1590">
            <v>1</v>
          </cell>
          <cell r="V1590" t="str">
            <v>12.00 * 8.00</v>
          </cell>
        </row>
        <row r="1591">
          <cell r="A1591" t="str">
            <v>VPBV0012A</v>
          </cell>
          <cell r="B1591" t="str">
            <v>Vía Pública General</v>
          </cell>
          <cell r="D1591" t="str">
            <v>Monumentales</v>
          </cell>
          <cell r="E1591" t="str">
            <v>Monumentales</v>
          </cell>
          <cell r="F1591" t="str">
            <v>12.00 * 8.00</v>
          </cell>
          <cell r="G1591" t="str">
            <v>12.30 * 8.30</v>
          </cell>
          <cell r="H1591" t="str">
            <v>N</v>
          </cell>
          <cell r="I1591" t="str">
            <v>NORTE</v>
          </cell>
          <cell r="J1591">
            <v>0</v>
          </cell>
          <cell r="K1591">
            <v>127424</v>
          </cell>
          <cell r="L1591">
            <v>1250000</v>
          </cell>
          <cell r="M1591" t="str">
            <v>VPBV</v>
          </cell>
          <cell r="N1591" t="str">
            <v>Norte</v>
          </cell>
          <cell r="P1591" t="str">
            <v>PUDAHUEL</v>
          </cell>
          <cell r="Q1591" t="str">
            <v>TRADICIONAL</v>
          </cell>
          <cell r="R1591" t="str">
            <v>Vía Pública General - Santiago</v>
          </cell>
          <cell r="S1591" t="str">
            <v>VPBV</v>
          </cell>
          <cell r="T1591" t="str">
            <v>Monumentales</v>
          </cell>
          <cell r="U1591">
            <v>1</v>
          </cell>
          <cell r="V1591" t="str">
            <v>12.00 * 8.00</v>
          </cell>
        </row>
        <row r="1592">
          <cell r="A1592" t="str">
            <v>VPBV0013A</v>
          </cell>
          <cell r="B1592" t="str">
            <v>Vía Pública General</v>
          </cell>
          <cell r="D1592" t="str">
            <v>Monumentales</v>
          </cell>
          <cell r="E1592" t="str">
            <v>Monumentales</v>
          </cell>
          <cell r="F1592" t="str">
            <v>12.00 * 8.00</v>
          </cell>
          <cell r="G1592" t="str">
            <v>12.30 * 8.30</v>
          </cell>
          <cell r="H1592" t="str">
            <v>N</v>
          </cell>
          <cell r="I1592" t="str">
            <v>NORTE</v>
          </cell>
          <cell r="J1592">
            <v>0</v>
          </cell>
          <cell r="K1592">
            <v>127424</v>
          </cell>
          <cell r="L1592">
            <v>1250000</v>
          </cell>
          <cell r="M1592" t="str">
            <v>VPBV</v>
          </cell>
          <cell r="N1592" t="str">
            <v>Norte</v>
          </cell>
          <cell r="P1592" t="str">
            <v>PUDAHUEL</v>
          </cell>
          <cell r="Q1592" t="str">
            <v>TRADICIONAL</v>
          </cell>
          <cell r="R1592" t="str">
            <v>Vía Pública General - Santiago</v>
          </cell>
          <cell r="S1592" t="str">
            <v>VPBV</v>
          </cell>
          <cell r="T1592" t="str">
            <v>Monumentales</v>
          </cell>
          <cell r="U1592">
            <v>1</v>
          </cell>
          <cell r="V1592" t="str">
            <v>12.00 * 8.00</v>
          </cell>
        </row>
        <row r="1593">
          <cell r="A1593" t="str">
            <v>VPBV0014A</v>
          </cell>
          <cell r="B1593" t="str">
            <v>Vía Pública General</v>
          </cell>
          <cell r="D1593" t="str">
            <v>NO VENDIBLE</v>
          </cell>
          <cell r="E1593" t="str">
            <v>Monumentales</v>
          </cell>
          <cell r="F1593" t="str">
            <v>12.00 * 8.00</v>
          </cell>
          <cell r="G1593" t="str">
            <v>12.30 * 8.30</v>
          </cell>
          <cell r="H1593" t="str">
            <v>N</v>
          </cell>
          <cell r="I1593" t="str">
            <v>NORTE</v>
          </cell>
          <cell r="J1593">
            <v>0</v>
          </cell>
          <cell r="K1593">
            <v>120000</v>
          </cell>
          <cell r="L1593">
            <v>1250000</v>
          </cell>
          <cell r="M1593" t="str">
            <v>VPBV</v>
          </cell>
          <cell r="N1593" t="str">
            <v>Norte</v>
          </cell>
          <cell r="O1593" t="str">
            <v>Sí</v>
          </cell>
          <cell r="P1593" t="str">
            <v>PUDAHUEL</v>
          </cell>
          <cell r="Q1593" t="str">
            <v>TRADICIONAL</v>
          </cell>
          <cell r="R1593" t="str">
            <v>Vía Pública General - Santiago</v>
          </cell>
          <cell r="S1593" t="str">
            <v>VPBV</v>
          </cell>
          <cell r="T1593" t="str">
            <v>Monumentales</v>
          </cell>
          <cell r="U1593">
            <v>1</v>
          </cell>
          <cell r="V1593" t="str">
            <v>12.00 * 8.00</v>
          </cell>
        </row>
        <row r="1594">
          <cell r="A1594" t="str">
            <v>VPBV0015A</v>
          </cell>
          <cell r="B1594" t="str">
            <v>Vía Pública General</v>
          </cell>
          <cell r="D1594" t="str">
            <v>NO VENDIBLE</v>
          </cell>
          <cell r="E1594" t="str">
            <v>Monumentales</v>
          </cell>
          <cell r="F1594" t="str">
            <v>12.00 * 8.00</v>
          </cell>
          <cell r="G1594" t="str">
            <v>12.30 * 8.30</v>
          </cell>
          <cell r="H1594" t="str">
            <v>N</v>
          </cell>
          <cell r="I1594" t="str">
            <v>NORTE</v>
          </cell>
          <cell r="J1594">
            <v>0</v>
          </cell>
          <cell r="K1594">
            <v>120000</v>
          </cell>
          <cell r="L1594">
            <v>1250000</v>
          </cell>
          <cell r="M1594" t="str">
            <v>VPBV</v>
          </cell>
          <cell r="N1594" t="str">
            <v>Norte</v>
          </cell>
          <cell r="O1594" t="str">
            <v>Sí</v>
          </cell>
          <cell r="P1594" t="str">
            <v>PUDAHUEL</v>
          </cell>
          <cell r="Q1594" t="str">
            <v>TRADICIONAL</v>
          </cell>
          <cell r="R1594" t="str">
            <v>Vía Pública General - Santiago</v>
          </cell>
          <cell r="S1594" t="str">
            <v>VPBV</v>
          </cell>
          <cell r="T1594" t="str">
            <v>Monumentales</v>
          </cell>
          <cell r="U1594">
            <v>1</v>
          </cell>
          <cell r="V1594" t="str">
            <v>12.00 * 8.00</v>
          </cell>
        </row>
        <row r="1595">
          <cell r="A1595" t="str">
            <v>VPBV0016A</v>
          </cell>
          <cell r="B1595" t="str">
            <v>Vía Pública General</v>
          </cell>
          <cell r="D1595" t="str">
            <v>NO VENDIBLE</v>
          </cell>
          <cell r="E1595" t="str">
            <v>Monumentales</v>
          </cell>
          <cell r="F1595" t="str">
            <v>12.00 * 8.00</v>
          </cell>
          <cell r="G1595" t="str">
            <v>12.30 * 8.30</v>
          </cell>
          <cell r="H1595" t="str">
            <v>U</v>
          </cell>
          <cell r="I1595" t="str">
            <v>SUR</v>
          </cell>
          <cell r="J1595">
            <v>0</v>
          </cell>
          <cell r="K1595">
            <v>120000</v>
          </cell>
          <cell r="L1595">
            <v>1250000</v>
          </cell>
          <cell r="M1595" t="str">
            <v>VPBV</v>
          </cell>
          <cell r="N1595" t="str">
            <v>Sur</v>
          </cell>
          <cell r="O1595" t="str">
            <v>Sí</v>
          </cell>
          <cell r="P1595" t="str">
            <v>PUDAHUEL</v>
          </cell>
          <cell r="Q1595" t="str">
            <v>TRADICIONAL</v>
          </cell>
          <cell r="R1595" t="str">
            <v>Vía Pública General - Santiago</v>
          </cell>
          <cell r="S1595" t="str">
            <v>VPBV</v>
          </cell>
          <cell r="T1595" t="str">
            <v>Monumentales</v>
          </cell>
          <cell r="U1595">
            <v>1</v>
          </cell>
          <cell r="V1595" t="str">
            <v>12.00 * 8.00</v>
          </cell>
        </row>
        <row r="1596">
          <cell r="A1596" t="str">
            <v>VPBV0017A</v>
          </cell>
          <cell r="B1596" t="str">
            <v>Vía Pública General</v>
          </cell>
          <cell r="D1596" t="str">
            <v>NO VENDIBLE</v>
          </cell>
          <cell r="E1596" t="str">
            <v>Monumentales</v>
          </cell>
          <cell r="F1596" t="str">
            <v>12.00 * 8.00</v>
          </cell>
          <cell r="G1596" t="str">
            <v>12.30 * 8.30</v>
          </cell>
          <cell r="H1596" t="str">
            <v>U</v>
          </cell>
          <cell r="I1596" t="str">
            <v>SUR</v>
          </cell>
          <cell r="J1596">
            <v>0</v>
          </cell>
          <cell r="K1596">
            <v>120000</v>
          </cell>
          <cell r="L1596">
            <v>1250000</v>
          </cell>
          <cell r="M1596" t="str">
            <v>VPBV</v>
          </cell>
          <cell r="N1596" t="str">
            <v>Sur</v>
          </cell>
          <cell r="O1596" t="str">
            <v>Sí</v>
          </cell>
          <cell r="P1596" t="str">
            <v>PUDAHUEL</v>
          </cell>
          <cell r="Q1596" t="str">
            <v>TRADICIONAL</v>
          </cell>
          <cell r="R1596" t="str">
            <v>Vía Pública General - Santiago</v>
          </cell>
          <cell r="S1596" t="str">
            <v>VPBV</v>
          </cell>
          <cell r="T1596" t="str">
            <v>Monumentales</v>
          </cell>
          <cell r="U1596">
            <v>1</v>
          </cell>
          <cell r="V1596" t="str">
            <v>12.00 * 8.00</v>
          </cell>
        </row>
        <row r="1597">
          <cell r="A1597" t="str">
            <v>VPBV0018A</v>
          </cell>
          <cell r="B1597" t="str">
            <v>Vía Pública General</v>
          </cell>
          <cell r="D1597" t="str">
            <v>NO VENDIBLE</v>
          </cell>
          <cell r="E1597" t="str">
            <v>Monumentales</v>
          </cell>
          <cell r="F1597" t="str">
            <v>12.00 * 8.00</v>
          </cell>
          <cell r="G1597" t="str">
            <v>12.30 * 8.30</v>
          </cell>
          <cell r="H1597" t="str">
            <v>U</v>
          </cell>
          <cell r="I1597" t="str">
            <v>SUR</v>
          </cell>
          <cell r="J1597">
            <v>0</v>
          </cell>
          <cell r="K1597">
            <v>120000</v>
          </cell>
          <cell r="L1597">
            <v>1250000</v>
          </cell>
          <cell r="M1597" t="str">
            <v>VPBV</v>
          </cell>
          <cell r="N1597" t="str">
            <v>Sur</v>
          </cell>
          <cell r="O1597" t="str">
            <v>Sí</v>
          </cell>
          <cell r="P1597" t="str">
            <v>PUDAHUEL</v>
          </cell>
          <cell r="Q1597" t="str">
            <v>TRADICIONAL</v>
          </cell>
          <cell r="R1597" t="str">
            <v>Vía Pública General - Santiago</v>
          </cell>
          <cell r="S1597" t="str">
            <v>VPBV</v>
          </cell>
          <cell r="T1597" t="str">
            <v>Monumentales</v>
          </cell>
          <cell r="U1597">
            <v>1</v>
          </cell>
          <cell r="V1597" t="str">
            <v>12.00 * 8.00</v>
          </cell>
        </row>
        <row r="1598">
          <cell r="A1598" t="str">
            <v>VPBV0019A</v>
          </cell>
          <cell r="B1598" t="str">
            <v>Vía Pública General</v>
          </cell>
          <cell r="D1598" t="str">
            <v>NO VENDIBLE</v>
          </cell>
          <cell r="E1598" t="str">
            <v>Monumentales</v>
          </cell>
          <cell r="F1598" t="str">
            <v>12.00 * 8.00</v>
          </cell>
          <cell r="G1598" t="str">
            <v>12.30 * 8.30</v>
          </cell>
          <cell r="H1598" t="str">
            <v>U</v>
          </cell>
          <cell r="I1598" t="str">
            <v>SUR</v>
          </cell>
          <cell r="J1598">
            <v>0</v>
          </cell>
          <cell r="K1598">
            <v>120000</v>
          </cell>
          <cell r="L1598">
            <v>1250000</v>
          </cell>
          <cell r="M1598" t="str">
            <v>VPBV</v>
          </cell>
          <cell r="N1598" t="str">
            <v>Sur</v>
          </cell>
          <cell r="O1598" t="str">
            <v>Sí</v>
          </cell>
          <cell r="P1598" t="str">
            <v>PUDAHUEL</v>
          </cell>
          <cell r="Q1598" t="str">
            <v>TRADICIONAL</v>
          </cell>
          <cell r="R1598" t="str">
            <v>Vía Pública General - Santiago</v>
          </cell>
          <cell r="S1598" t="str">
            <v>VPBV</v>
          </cell>
          <cell r="T1598" t="str">
            <v>Monumentales</v>
          </cell>
          <cell r="U1598">
            <v>1</v>
          </cell>
          <cell r="V1598" t="str">
            <v>12.00 * 8.00</v>
          </cell>
        </row>
        <row r="1599">
          <cell r="A1599" t="str">
            <v>VPBV0020A</v>
          </cell>
          <cell r="B1599" t="str">
            <v>Vía Pública General</v>
          </cell>
          <cell r="D1599" t="str">
            <v>NO VENDIBLE</v>
          </cell>
          <cell r="E1599" t="str">
            <v>Monumentales</v>
          </cell>
          <cell r="F1599" t="str">
            <v>12.00 * 8.00</v>
          </cell>
          <cell r="G1599" t="str">
            <v>12.30 * 8.30</v>
          </cell>
          <cell r="H1599" t="str">
            <v>U</v>
          </cell>
          <cell r="I1599" t="str">
            <v>SUR</v>
          </cell>
          <cell r="J1599">
            <v>0</v>
          </cell>
          <cell r="K1599">
            <v>120000</v>
          </cell>
          <cell r="L1599">
            <v>1250000</v>
          </cell>
          <cell r="M1599" t="str">
            <v>VPBV</v>
          </cell>
          <cell r="N1599" t="str">
            <v>Sur</v>
          </cell>
          <cell r="O1599" t="str">
            <v>Sí</v>
          </cell>
          <cell r="P1599" t="str">
            <v>PUDAHUEL</v>
          </cell>
          <cell r="Q1599" t="str">
            <v>TRADICIONAL</v>
          </cell>
          <cell r="R1599" t="str">
            <v>Vía Pública General - Santiago</v>
          </cell>
          <cell r="S1599" t="str">
            <v>VPBV</v>
          </cell>
          <cell r="T1599" t="str">
            <v>Monumentales</v>
          </cell>
          <cell r="U1599">
            <v>1</v>
          </cell>
          <cell r="V1599" t="str">
            <v>12.00 * 8.00</v>
          </cell>
        </row>
        <row r="1600">
          <cell r="A1600" t="str">
            <v>VPBV0021A</v>
          </cell>
          <cell r="B1600" t="str">
            <v>Vía Pública General</v>
          </cell>
          <cell r="D1600" t="str">
            <v>Monumentales</v>
          </cell>
          <cell r="E1600" t="str">
            <v>Monumentales</v>
          </cell>
          <cell r="F1600" t="str">
            <v>12.00 * 8.00</v>
          </cell>
          <cell r="G1600" t="str">
            <v>12.30 * 8.30</v>
          </cell>
          <cell r="H1600" t="str">
            <v>U</v>
          </cell>
          <cell r="I1600" t="str">
            <v>SUR</v>
          </cell>
          <cell r="J1600">
            <v>0</v>
          </cell>
          <cell r="K1600">
            <v>127424</v>
          </cell>
          <cell r="L1600">
            <v>1250000</v>
          </cell>
          <cell r="M1600" t="str">
            <v>VPBV</v>
          </cell>
          <cell r="N1600" t="str">
            <v>Sur</v>
          </cell>
          <cell r="P1600" t="str">
            <v>PUDAHUEL</v>
          </cell>
          <cell r="Q1600" t="str">
            <v>TRADICIONAL</v>
          </cell>
          <cell r="R1600" t="str">
            <v>Vía Pública General - Santiago</v>
          </cell>
          <cell r="S1600" t="str">
            <v>VPBV</v>
          </cell>
          <cell r="T1600" t="str">
            <v>Monumentales</v>
          </cell>
          <cell r="U1600">
            <v>1</v>
          </cell>
          <cell r="V1600" t="str">
            <v>12.00 * 8.00</v>
          </cell>
        </row>
        <row r="1601">
          <cell r="A1601" t="str">
            <v>VPBV0022A</v>
          </cell>
          <cell r="B1601" t="str">
            <v>Vía Pública General</v>
          </cell>
          <cell r="D1601" t="str">
            <v>Monumentales</v>
          </cell>
          <cell r="E1601" t="str">
            <v>Monumentales</v>
          </cell>
          <cell r="F1601" t="str">
            <v>12.00 * 8.00</v>
          </cell>
          <cell r="G1601" t="str">
            <v>12.30 * 8.30</v>
          </cell>
          <cell r="H1601" t="str">
            <v>U</v>
          </cell>
          <cell r="I1601" t="str">
            <v>SUR</v>
          </cell>
          <cell r="J1601">
            <v>0</v>
          </cell>
          <cell r="K1601">
            <v>127424</v>
          </cell>
          <cell r="L1601">
            <v>1250000</v>
          </cell>
          <cell r="M1601" t="str">
            <v>VPBV</v>
          </cell>
          <cell r="N1601" t="str">
            <v>Sur</v>
          </cell>
          <cell r="P1601" t="str">
            <v>PUDAHUEL</v>
          </cell>
          <cell r="Q1601" t="str">
            <v>TRADICIONAL</v>
          </cell>
          <cell r="R1601" t="str">
            <v>Vía Pública General - Santiago</v>
          </cell>
          <cell r="S1601" t="str">
            <v>VPBV</v>
          </cell>
          <cell r="T1601" t="str">
            <v>Monumentales</v>
          </cell>
          <cell r="U1601">
            <v>1</v>
          </cell>
          <cell r="V1601" t="str">
            <v>12.00 * 8.00</v>
          </cell>
        </row>
        <row r="1602">
          <cell r="A1602" t="str">
            <v>VPBV0023A</v>
          </cell>
          <cell r="B1602" t="str">
            <v>Vía Pública General</v>
          </cell>
          <cell r="D1602" t="str">
            <v>Monumentales</v>
          </cell>
          <cell r="E1602" t="str">
            <v>Monumentales</v>
          </cell>
          <cell r="F1602" t="str">
            <v>12.00 * 8.00</v>
          </cell>
          <cell r="G1602" t="str">
            <v>12.30 * 8.30</v>
          </cell>
          <cell r="H1602" t="str">
            <v>U</v>
          </cell>
          <cell r="I1602" t="str">
            <v>SUR</v>
          </cell>
          <cell r="J1602">
            <v>0</v>
          </cell>
          <cell r="K1602">
            <v>127424</v>
          </cell>
          <cell r="L1602">
            <v>1250000</v>
          </cell>
          <cell r="M1602" t="str">
            <v>VPBV</v>
          </cell>
          <cell r="N1602" t="str">
            <v>Sur</v>
          </cell>
          <cell r="P1602" t="str">
            <v>PUDAHUEL</v>
          </cell>
          <cell r="Q1602" t="str">
            <v>TRADICIONAL</v>
          </cell>
          <cell r="R1602" t="str">
            <v>Vía Pública General - Santiago</v>
          </cell>
          <cell r="S1602" t="str">
            <v>VPBV</v>
          </cell>
          <cell r="T1602" t="str">
            <v>Monumentales</v>
          </cell>
          <cell r="U1602">
            <v>1</v>
          </cell>
          <cell r="V1602" t="str">
            <v>12.00 * 8.00</v>
          </cell>
        </row>
        <row r="1603">
          <cell r="A1603" t="str">
            <v>VPBV0024A</v>
          </cell>
          <cell r="B1603" t="str">
            <v>Vía Pública General</v>
          </cell>
          <cell r="D1603" t="str">
            <v>Monumentales</v>
          </cell>
          <cell r="E1603" t="str">
            <v>Monumentales</v>
          </cell>
          <cell r="F1603" t="str">
            <v>12.00 * 8.00</v>
          </cell>
          <cell r="G1603" t="str">
            <v>12.30 * 8.30</v>
          </cell>
          <cell r="H1603" t="str">
            <v>U</v>
          </cell>
          <cell r="I1603" t="str">
            <v>SUR</v>
          </cell>
          <cell r="J1603">
            <v>0</v>
          </cell>
          <cell r="K1603">
            <v>127424</v>
          </cell>
          <cell r="L1603">
            <v>1250000</v>
          </cell>
          <cell r="M1603" t="str">
            <v>VPBV</v>
          </cell>
          <cell r="N1603" t="str">
            <v>Sur</v>
          </cell>
          <cell r="P1603" t="str">
            <v>PUDAHUEL</v>
          </cell>
          <cell r="Q1603" t="str">
            <v>TRADICIONAL</v>
          </cell>
          <cell r="R1603" t="str">
            <v>Vía Pública General - Santiago</v>
          </cell>
          <cell r="S1603" t="str">
            <v>VPBV</v>
          </cell>
          <cell r="T1603" t="str">
            <v>Monumentales</v>
          </cell>
          <cell r="U1603">
            <v>1</v>
          </cell>
          <cell r="V1603" t="str">
            <v>12.00 * 8.00</v>
          </cell>
        </row>
        <row r="1604">
          <cell r="A1604" t="str">
            <v>VPBV0025A</v>
          </cell>
          <cell r="B1604" t="str">
            <v>Vía Pública General</v>
          </cell>
          <cell r="D1604" t="str">
            <v>Monumentales</v>
          </cell>
          <cell r="E1604" t="str">
            <v>Monumentales</v>
          </cell>
          <cell r="F1604" t="str">
            <v>12.00 * 8.00</v>
          </cell>
          <cell r="G1604" t="str">
            <v>12.30 * 8.30</v>
          </cell>
          <cell r="H1604" t="str">
            <v>U</v>
          </cell>
          <cell r="I1604" t="str">
            <v>SUR</v>
          </cell>
          <cell r="J1604">
            <v>0</v>
          </cell>
          <cell r="K1604">
            <v>127424</v>
          </cell>
          <cell r="L1604">
            <v>1250000</v>
          </cell>
          <cell r="M1604" t="str">
            <v>VPBV</v>
          </cell>
          <cell r="N1604" t="str">
            <v>Sur</v>
          </cell>
          <cell r="P1604" t="str">
            <v>PUDAHUEL</v>
          </cell>
          <cell r="Q1604" t="str">
            <v>TRADICIONAL</v>
          </cell>
          <cell r="R1604" t="str">
            <v>Vía Pública General - Santiago</v>
          </cell>
          <cell r="S1604" t="str">
            <v>VPBV</v>
          </cell>
          <cell r="T1604" t="str">
            <v>Monumentales</v>
          </cell>
          <cell r="U1604">
            <v>1</v>
          </cell>
          <cell r="V1604" t="str">
            <v>12.00 * 8.00</v>
          </cell>
        </row>
        <row r="1605">
          <cell r="A1605" t="str">
            <v>VPBV0026A</v>
          </cell>
          <cell r="B1605" t="str">
            <v>Vía Pública General</v>
          </cell>
          <cell r="D1605" t="str">
            <v>Monumentales</v>
          </cell>
          <cell r="E1605" t="str">
            <v>Monumentales</v>
          </cell>
          <cell r="F1605" t="str">
            <v>12.00 * 8.00</v>
          </cell>
          <cell r="G1605" t="str">
            <v>12.30 * 8.30</v>
          </cell>
          <cell r="H1605" t="str">
            <v>U</v>
          </cell>
          <cell r="I1605" t="str">
            <v>SUR</v>
          </cell>
          <cell r="J1605">
            <v>0</v>
          </cell>
          <cell r="K1605">
            <v>127424</v>
          </cell>
          <cell r="L1605">
            <v>1250000</v>
          </cell>
          <cell r="M1605" t="str">
            <v>VPBV</v>
          </cell>
          <cell r="N1605" t="str">
            <v>Sur</v>
          </cell>
          <cell r="P1605" t="str">
            <v>PUDAHUEL</v>
          </cell>
          <cell r="Q1605" t="str">
            <v>TRADICIONAL</v>
          </cell>
          <cell r="R1605" t="str">
            <v>Vía Pública General - Santiago</v>
          </cell>
          <cell r="S1605" t="str">
            <v>VPBV</v>
          </cell>
          <cell r="T1605" t="str">
            <v>Monumentales</v>
          </cell>
          <cell r="U1605">
            <v>1</v>
          </cell>
          <cell r="V1605" t="str">
            <v>12.00 * 8.00</v>
          </cell>
        </row>
        <row r="1606">
          <cell r="A1606" t="str">
            <v>VPBV0027A</v>
          </cell>
          <cell r="B1606" t="str">
            <v>Vía Pública General</v>
          </cell>
          <cell r="D1606" t="str">
            <v>Monumentales</v>
          </cell>
          <cell r="E1606" t="str">
            <v>Monumentales</v>
          </cell>
          <cell r="F1606" t="str">
            <v>12.00 * 8.00</v>
          </cell>
          <cell r="G1606" t="str">
            <v>12.30 * 8.30</v>
          </cell>
          <cell r="H1606" t="str">
            <v>U</v>
          </cell>
          <cell r="I1606" t="str">
            <v>SUR</v>
          </cell>
          <cell r="J1606">
            <v>0</v>
          </cell>
          <cell r="K1606">
            <v>127424</v>
          </cell>
          <cell r="L1606">
            <v>1250000</v>
          </cell>
          <cell r="M1606" t="str">
            <v>VPBV</v>
          </cell>
          <cell r="N1606" t="str">
            <v>Sur</v>
          </cell>
          <cell r="P1606" t="str">
            <v>PUDAHUEL</v>
          </cell>
          <cell r="Q1606" t="str">
            <v>TRADICIONAL</v>
          </cell>
          <cell r="R1606" t="str">
            <v>Vía Pública General - Santiago</v>
          </cell>
          <cell r="S1606" t="str">
            <v>VPBV</v>
          </cell>
          <cell r="T1606" t="str">
            <v>Monumentales</v>
          </cell>
          <cell r="U1606">
            <v>1</v>
          </cell>
          <cell r="V1606" t="str">
            <v>12.00 * 8.00</v>
          </cell>
        </row>
        <row r="1607">
          <cell r="A1607" t="str">
            <v>VPBV0028A</v>
          </cell>
          <cell r="B1607" t="str">
            <v>Vía Pública General</v>
          </cell>
          <cell r="D1607" t="str">
            <v>NO VENDIBLE</v>
          </cell>
          <cell r="E1607" t="str">
            <v>Monumentales</v>
          </cell>
          <cell r="F1607" t="str">
            <v>12.00 * 8.00</v>
          </cell>
          <cell r="G1607" t="str">
            <v>12.30 * 8.30</v>
          </cell>
          <cell r="H1607" t="str">
            <v>U</v>
          </cell>
          <cell r="I1607" t="str">
            <v>SUR</v>
          </cell>
          <cell r="J1607">
            <v>0</v>
          </cell>
          <cell r="K1607">
            <v>120000</v>
          </cell>
          <cell r="L1607">
            <v>1250000</v>
          </cell>
          <cell r="M1607" t="str">
            <v>VPBV</v>
          </cell>
          <cell r="N1607" t="str">
            <v>Sur</v>
          </cell>
          <cell r="O1607" t="str">
            <v>Sí</v>
          </cell>
          <cell r="P1607" t="str">
            <v>PUDAHUEL</v>
          </cell>
          <cell r="Q1607" t="str">
            <v>TRADICIONAL</v>
          </cell>
          <cell r="R1607" t="str">
            <v>Vía Pública General - Santiago</v>
          </cell>
          <cell r="S1607" t="str">
            <v>VPBV</v>
          </cell>
          <cell r="T1607" t="str">
            <v>Monumentales</v>
          </cell>
          <cell r="U1607">
            <v>1</v>
          </cell>
          <cell r="V1607" t="str">
            <v>12.00 * 8.00</v>
          </cell>
        </row>
        <row r="1608">
          <cell r="A1608" t="str">
            <v>VPBV0029A</v>
          </cell>
          <cell r="B1608" t="str">
            <v>Vía Pública General</v>
          </cell>
          <cell r="D1608" t="str">
            <v>NO VENDIBLE</v>
          </cell>
          <cell r="E1608" t="str">
            <v>Monumentales</v>
          </cell>
          <cell r="F1608" t="str">
            <v>12.00 * 8.00</v>
          </cell>
          <cell r="G1608" t="str">
            <v>12.30 * 8.30</v>
          </cell>
          <cell r="H1608" t="str">
            <v>U</v>
          </cell>
          <cell r="I1608" t="str">
            <v>SUR</v>
          </cell>
          <cell r="J1608">
            <v>0</v>
          </cell>
          <cell r="K1608">
            <v>120000</v>
          </cell>
          <cell r="L1608">
            <v>1250000</v>
          </cell>
          <cell r="M1608" t="str">
            <v>VPBV</v>
          </cell>
          <cell r="N1608" t="str">
            <v>Sur</v>
          </cell>
          <cell r="O1608" t="str">
            <v>Sí</v>
          </cell>
          <cell r="P1608" t="str">
            <v>PUDAHUEL</v>
          </cell>
          <cell r="Q1608" t="str">
            <v>TRADICIONAL</v>
          </cell>
          <cell r="R1608" t="str">
            <v>Vía Pública General - Santiago</v>
          </cell>
          <cell r="S1608" t="str">
            <v>VPBV</v>
          </cell>
          <cell r="T1608" t="str">
            <v>Monumentales</v>
          </cell>
          <cell r="U1608">
            <v>1</v>
          </cell>
          <cell r="V1608" t="str">
            <v>12.00 * 8.00</v>
          </cell>
        </row>
        <row r="1609">
          <cell r="A1609" t="str">
            <v>VPBV0030A</v>
          </cell>
          <cell r="B1609" t="str">
            <v>Vía Pública General</v>
          </cell>
          <cell r="D1609" t="str">
            <v>Monumentales</v>
          </cell>
          <cell r="E1609" t="str">
            <v>Monumentales</v>
          </cell>
          <cell r="F1609" t="str">
            <v>12.00 * 8.00</v>
          </cell>
          <cell r="G1609" t="str">
            <v>12.30 * 8.30</v>
          </cell>
          <cell r="H1609" t="str">
            <v>U</v>
          </cell>
          <cell r="I1609" t="str">
            <v>SUR</v>
          </cell>
          <cell r="J1609">
            <v>0</v>
          </cell>
          <cell r="K1609">
            <v>127424</v>
          </cell>
          <cell r="L1609">
            <v>1250000</v>
          </cell>
          <cell r="M1609" t="str">
            <v>VPBV</v>
          </cell>
          <cell r="N1609" t="str">
            <v>Sur</v>
          </cell>
          <cell r="P1609" t="str">
            <v>PUDAHUEL</v>
          </cell>
          <cell r="Q1609" t="str">
            <v>TRADICIONAL</v>
          </cell>
          <cell r="R1609" t="str">
            <v>Vía Pública General - Santiago</v>
          </cell>
          <cell r="S1609" t="str">
            <v>VPBV</v>
          </cell>
          <cell r="T1609" t="str">
            <v>Monumentales</v>
          </cell>
          <cell r="U1609">
            <v>1</v>
          </cell>
          <cell r="V1609" t="str">
            <v>12.00 * 8.00</v>
          </cell>
        </row>
        <row r="1610">
          <cell r="A1610" t="str">
            <v>VPBV0031A</v>
          </cell>
          <cell r="B1610" t="str">
            <v>Vía Pública General</v>
          </cell>
          <cell r="D1610" t="str">
            <v>NO VENDIBLE</v>
          </cell>
          <cell r="E1610" t="str">
            <v>Monumentales</v>
          </cell>
          <cell r="F1610" t="str">
            <v>12.00 * 8.00</v>
          </cell>
          <cell r="G1610" t="str">
            <v>12.30 * 8.30</v>
          </cell>
          <cell r="H1610" t="str">
            <v>U</v>
          </cell>
          <cell r="I1610" t="str">
            <v>SUR</v>
          </cell>
          <cell r="J1610">
            <v>0</v>
          </cell>
          <cell r="K1610">
            <v>120000</v>
          </cell>
          <cell r="L1610">
            <v>1250000</v>
          </cell>
          <cell r="M1610" t="str">
            <v>VPBV</v>
          </cell>
          <cell r="N1610" t="str">
            <v>Sur</v>
          </cell>
          <cell r="O1610" t="str">
            <v>Sí</v>
          </cell>
          <cell r="P1610" t="str">
            <v>PUDAHUEL</v>
          </cell>
          <cell r="Q1610" t="str">
            <v>TRADICIONAL</v>
          </cell>
          <cell r="R1610" t="str">
            <v>Vía Pública General - Santiago</v>
          </cell>
          <cell r="S1610" t="str">
            <v>VPBV</v>
          </cell>
          <cell r="T1610" t="str">
            <v>Monumentales</v>
          </cell>
          <cell r="U1610">
            <v>1</v>
          </cell>
          <cell r="V1610" t="str">
            <v>12.00 * 8.00</v>
          </cell>
        </row>
        <row r="1611">
          <cell r="A1611" t="str">
            <v>VPBV0032A</v>
          </cell>
          <cell r="B1611" t="str">
            <v>Vía Pública General</v>
          </cell>
          <cell r="D1611" t="str">
            <v>NO VENDIBLE</v>
          </cell>
          <cell r="E1611" t="str">
            <v>Monumentales</v>
          </cell>
          <cell r="F1611" t="str">
            <v>12.00 * 8.00</v>
          </cell>
          <cell r="G1611" t="str">
            <v>12.30 * 8.30</v>
          </cell>
          <cell r="H1611" t="str">
            <v>U</v>
          </cell>
          <cell r="I1611" t="str">
            <v>SUR</v>
          </cell>
          <cell r="J1611">
            <v>0</v>
          </cell>
          <cell r="K1611">
            <v>120000</v>
          </cell>
          <cell r="L1611">
            <v>1250000</v>
          </cell>
          <cell r="M1611" t="str">
            <v>VPBV</v>
          </cell>
          <cell r="N1611" t="str">
            <v>Sur</v>
          </cell>
          <cell r="O1611" t="str">
            <v>Sí</v>
          </cell>
          <cell r="P1611" t="str">
            <v>PUDAHUEL</v>
          </cell>
          <cell r="Q1611" t="str">
            <v>TRADICIONAL</v>
          </cell>
          <cell r="R1611" t="str">
            <v>Vía Pública General - Santiago</v>
          </cell>
          <cell r="S1611" t="str">
            <v>VPBV</v>
          </cell>
          <cell r="T1611" t="str">
            <v>Monumentales</v>
          </cell>
          <cell r="U1611">
            <v>1</v>
          </cell>
          <cell r="V1611" t="str">
            <v>12.00 * 8.00</v>
          </cell>
        </row>
        <row r="1612">
          <cell r="A1612" t="str">
            <v>BARR0001A</v>
          </cell>
          <cell r="B1612" t="str">
            <v>Vía Pública General</v>
          </cell>
          <cell r="D1612" t="str">
            <v>Totem</v>
          </cell>
          <cell r="E1612" t="str">
            <v>POSTE - CORPOREO</v>
          </cell>
          <cell r="F1612" t="str">
            <v>NA</v>
          </cell>
          <cell r="G1612" t="str">
            <v>NA</v>
          </cell>
          <cell r="H1612" t="str">
            <v>X</v>
          </cell>
          <cell r="I1612" t="str">
            <v>EXTERIORES</v>
          </cell>
          <cell r="J1612">
            <v>0</v>
          </cell>
          <cell r="K1612">
            <v>140000</v>
          </cell>
          <cell r="L1612">
            <v>1500000</v>
          </cell>
          <cell r="M1612" t="str">
            <v>Av. Vitacura 7990</v>
          </cell>
          <cell r="P1612" t="str">
            <v>VITACURA</v>
          </cell>
          <cell r="Q1612" t="str">
            <v>TRADICIONAL</v>
          </cell>
          <cell r="R1612" t="str">
            <v>Vía Pública General - Santiago</v>
          </cell>
          <cell r="S1612" t="str">
            <v>BARR</v>
          </cell>
          <cell r="T1612" t="str">
            <v>Totem</v>
          </cell>
          <cell r="U1612">
            <v>1</v>
          </cell>
          <cell r="V1612" t="str">
            <v>NA</v>
          </cell>
        </row>
        <row r="1613">
          <cell r="A1613" t="str">
            <v>VPPI0002A</v>
          </cell>
          <cell r="B1613" t="str">
            <v>Vía Pública General</v>
          </cell>
          <cell r="D1613" t="str">
            <v>Unipoles</v>
          </cell>
          <cell r="E1613" t="str">
            <v>Unipoles</v>
          </cell>
          <cell r="F1613" t="str">
            <v>10.00 * 6.00</v>
          </cell>
          <cell r="G1613" t="str">
            <v>10.30 * 6.30</v>
          </cell>
          <cell r="H1613" t="str">
            <v>X</v>
          </cell>
          <cell r="I1613" t="str">
            <v>EXTERIORES</v>
          </cell>
          <cell r="J1613">
            <v>0</v>
          </cell>
          <cell r="K1613">
            <v>144000</v>
          </cell>
          <cell r="L1613">
            <v>1350000</v>
          </cell>
          <cell r="M1613" t="str">
            <v>VPPI</v>
          </cell>
          <cell r="P1613" t="str">
            <v>HUECHURABA</v>
          </cell>
          <cell r="Q1613" t="str">
            <v>TRADICIONAL</v>
          </cell>
          <cell r="R1613" t="str">
            <v>Vía Pública General - Santiago</v>
          </cell>
          <cell r="S1613" t="str">
            <v>VPPI</v>
          </cell>
          <cell r="T1613" t="str">
            <v>Unipoles</v>
          </cell>
          <cell r="U1613">
            <v>1</v>
          </cell>
          <cell r="V1613" t="str">
            <v>10.00 * 6.00</v>
          </cell>
        </row>
        <row r="1614">
          <cell r="A1614" t="str">
            <v>CNLY0001A</v>
          </cell>
          <cell r="B1614" t="str">
            <v>Vía Pública General</v>
          </cell>
          <cell r="D1614" t="str">
            <v>Monumentales</v>
          </cell>
          <cell r="F1614" t="str">
            <v>12.00*18.00</v>
          </cell>
          <cell r="G1614" t="str">
            <v>12.30*18.30</v>
          </cell>
          <cell r="I1614" t="str">
            <v>EXTERIORES</v>
          </cell>
          <cell r="J1614">
            <v>0</v>
          </cell>
          <cell r="K1614">
            <v>520000</v>
          </cell>
          <cell r="L1614">
            <v>2300000</v>
          </cell>
          <cell r="M1614" t="str">
            <v>Costanera, km 19,465 (sector poniente)</v>
          </cell>
          <cell r="P1614" t="str">
            <v>RENCA, Región metropolitana</v>
          </cell>
          <cell r="Q1614" t="str">
            <v>TRADICIONAL</v>
          </cell>
          <cell r="R1614" t="str">
            <v>Vía Pública General - Santiago</v>
          </cell>
          <cell r="S1614" t="str">
            <v>CNLY</v>
          </cell>
          <cell r="T1614" t="str">
            <v>Monumentales</v>
          </cell>
          <cell r="U1614">
            <v>1</v>
          </cell>
          <cell r="V1614" t="str">
            <v>12.00 * 18.00</v>
          </cell>
        </row>
        <row r="1615">
          <cell r="A1615" t="str">
            <v>VPPB0001A</v>
          </cell>
          <cell r="B1615" t="str">
            <v>Vía Pública General</v>
          </cell>
          <cell r="D1615" t="str">
            <v>Monumentales</v>
          </cell>
          <cell r="E1615" t="str">
            <v>Monumentales</v>
          </cell>
          <cell r="F1615" t="str">
            <v>20.00 * 10.00</v>
          </cell>
          <cell r="G1615" t="str">
            <v>20.30 * 10.30</v>
          </cell>
          <cell r="H1615" t="str">
            <v>X</v>
          </cell>
          <cell r="I1615" t="str">
            <v>EXTERIORES</v>
          </cell>
          <cell r="J1615">
            <v>0</v>
          </cell>
          <cell r="K1615">
            <v>2045000</v>
          </cell>
          <cell r="L1615">
            <v>5000000</v>
          </cell>
          <cell r="M1615" t="str">
            <v>Arturo Merino Benitez, Parque Bicentenario</v>
          </cell>
          <cell r="P1615" t="str">
            <v>VITACURA</v>
          </cell>
          <cell r="Q1615" t="str">
            <v>TRADICIONAL</v>
          </cell>
          <cell r="R1615" t="str">
            <v>Vía Pública General - Santiago</v>
          </cell>
          <cell r="S1615" t="str">
            <v>Coop. Cultural de Vitacura 2</v>
          </cell>
          <cell r="T1615" t="str">
            <v>Monumentales</v>
          </cell>
          <cell r="U1615">
            <v>1</v>
          </cell>
          <cell r="V1615" t="str">
            <v>20.00 * 10.00</v>
          </cell>
        </row>
        <row r="1616">
          <cell r="A1616" t="str">
            <v>VPIN0001A</v>
          </cell>
          <cell r="B1616" t="str">
            <v>Vía Pública General</v>
          </cell>
          <cell r="D1616" t="str">
            <v>Monumentales</v>
          </cell>
          <cell r="E1616" t="str">
            <v>Monumentales</v>
          </cell>
          <cell r="F1616" t="str">
            <v>16.00 * 8.00</v>
          </cell>
          <cell r="H1616" t="str">
            <v>X</v>
          </cell>
          <cell r="I1616" t="str">
            <v>EXTERIORES</v>
          </cell>
          <cell r="J1616">
            <v>0</v>
          </cell>
          <cell r="K1616">
            <v>9.9990000000000006</v>
          </cell>
          <cell r="L1616">
            <v>3500000</v>
          </cell>
          <cell r="M1616" t="str">
            <v>VPIN AMERICO VESPUCIO 2300 INDEPENDENCIA</v>
          </cell>
          <cell r="P1616" t="str">
            <v>QUILICURA, Región Metropolitan</v>
          </cell>
          <cell r="Q1616" t="str">
            <v>TRADICIONAL</v>
          </cell>
          <cell r="R1616" t="str">
            <v>Vía Pública General - Santiago</v>
          </cell>
          <cell r="S1616" t="str">
            <v>Lider</v>
          </cell>
          <cell r="T1616" t="str">
            <v>Monumentales</v>
          </cell>
          <cell r="U1616">
            <v>1</v>
          </cell>
          <cell r="V1616" t="str">
            <v>16.00 * 8.00</v>
          </cell>
        </row>
        <row r="1617">
          <cell r="A1617" t="str">
            <v>MULC0001AB</v>
          </cell>
          <cell r="B1617" t="str">
            <v>Vía Pública Mobiliarios</v>
          </cell>
          <cell r="D1617" t="str">
            <v>Paletas</v>
          </cell>
          <cell r="E1617" t="str">
            <v>PARADERO</v>
          </cell>
          <cell r="F1617" t="str">
            <v>1.04 * 1.37</v>
          </cell>
          <cell r="G1617" t="str">
            <v>1.08 * 1.42</v>
          </cell>
          <cell r="H1617" t="str">
            <v>X</v>
          </cell>
          <cell r="I1617" t="str">
            <v>Apoquindo</v>
          </cell>
          <cell r="L1617">
            <v>670000</v>
          </cell>
          <cell r="M1617" t="str">
            <v>Av. Apoquindo N-O - El Bosque</v>
          </cell>
          <cell r="N1617" t="str">
            <v>Noreste</v>
          </cell>
          <cell r="P1617" t="str">
            <v>LAS CONDES</v>
          </cell>
          <cell r="Q1617" t="str">
            <v>TRADICIONAL</v>
          </cell>
          <cell r="R1617" t="str">
            <v>Vía Pública Mobiliarios - Santiago</v>
          </cell>
          <cell r="S1617" t="str">
            <v>MULC - Municipalidad de las Condes</v>
          </cell>
          <cell r="T1617" t="str">
            <v>Paletas</v>
          </cell>
          <cell r="U1617">
            <v>2</v>
          </cell>
          <cell r="V1617" t="str">
            <v>1.04 * 1.37</v>
          </cell>
        </row>
        <row r="1618">
          <cell r="A1618" t="str">
            <v>MULC0002AB</v>
          </cell>
          <cell r="B1618" t="str">
            <v>Vía Pública Mobiliarios</v>
          </cell>
          <cell r="D1618" t="str">
            <v>Paletas</v>
          </cell>
          <cell r="E1618" t="str">
            <v>PARADERO</v>
          </cell>
          <cell r="F1618" t="str">
            <v>1.04 * 1.37</v>
          </cell>
          <cell r="G1618" t="str">
            <v>1.08 * 1.42</v>
          </cell>
          <cell r="H1618" t="str">
            <v>X</v>
          </cell>
          <cell r="I1618" t="str">
            <v>Apoquindo</v>
          </cell>
          <cell r="L1618">
            <v>670000</v>
          </cell>
          <cell r="M1618" t="str">
            <v>Av. Apoquindo S-P - Augusto Leguia</v>
          </cell>
          <cell r="N1618" t="str">
            <v>Sudoeste</v>
          </cell>
          <cell r="P1618" t="str">
            <v>LAS CONDES</v>
          </cell>
          <cell r="Q1618" t="str">
            <v>TRADICIONAL</v>
          </cell>
          <cell r="R1618" t="str">
            <v>Vía Pública Mobiliarios - Santiago</v>
          </cell>
          <cell r="S1618" t="str">
            <v>MULC - Municipalidad de las Condes</v>
          </cell>
          <cell r="T1618" t="str">
            <v>Paletas</v>
          </cell>
          <cell r="U1618">
            <v>2</v>
          </cell>
          <cell r="V1618" t="str">
            <v>1.04 * 1.37</v>
          </cell>
        </row>
        <row r="1619">
          <cell r="A1619" t="str">
            <v>MULC0003AB</v>
          </cell>
          <cell r="B1619" t="str">
            <v>Vía Pública Mobiliarios</v>
          </cell>
          <cell r="D1619" t="str">
            <v>Paletas</v>
          </cell>
          <cell r="E1619" t="str">
            <v>PARADERO</v>
          </cell>
          <cell r="F1619" t="str">
            <v>1.04 * 1.37</v>
          </cell>
          <cell r="G1619" t="str">
            <v>1.08 * 1.42</v>
          </cell>
          <cell r="H1619" t="str">
            <v>X</v>
          </cell>
          <cell r="I1619" t="str">
            <v>Apoquindo</v>
          </cell>
          <cell r="L1619">
            <v>670000</v>
          </cell>
          <cell r="M1619" t="str">
            <v>Av. Apoquindo S-P - El Regidor</v>
          </cell>
          <cell r="N1619" t="str">
            <v>Sudoeste</v>
          </cell>
          <cell r="P1619" t="str">
            <v>LAS CONDES</v>
          </cell>
          <cell r="Q1619" t="str">
            <v>TRADICIONAL</v>
          </cell>
          <cell r="R1619" t="str">
            <v>Vía Pública Mobiliarios - Santiago</v>
          </cell>
          <cell r="S1619" t="str">
            <v>MULC - Municipalidad de las Condes</v>
          </cell>
          <cell r="T1619" t="str">
            <v>Paletas</v>
          </cell>
          <cell r="U1619">
            <v>2</v>
          </cell>
          <cell r="V1619" t="str">
            <v>1.04 * 1.37</v>
          </cell>
        </row>
        <row r="1620">
          <cell r="A1620" t="str">
            <v>MULC0004AB</v>
          </cell>
          <cell r="B1620" t="str">
            <v>Vía Pública Mobiliarios</v>
          </cell>
          <cell r="D1620" t="str">
            <v>Paletas</v>
          </cell>
          <cell r="E1620" t="str">
            <v>PARADERO</v>
          </cell>
          <cell r="F1620" t="str">
            <v>1.04 * 1.37</v>
          </cell>
          <cell r="G1620" t="str">
            <v>1.08 * 1.42</v>
          </cell>
          <cell r="H1620" t="str">
            <v>X</v>
          </cell>
          <cell r="I1620" t="str">
            <v>Apoquindo</v>
          </cell>
          <cell r="L1620">
            <v>670000</v>
          </cell>
          <cell r="M1620" t="str">
            <v>Av. Apoquindo N-O - El Regidor</v>
          </cell>
          <cell r="N1620" t="str">
            <v>Noreste</v>
          </cell>
          <cell r="P1620" t="str">
            <v>LAS CONDES</v>
          </cell>
          <cell r="Q1620" t="str">
            <v>TRADICIONAL</v>
          </cell>
          <cell r="R1620" t="str">
            <v>Vía Pública Mobiliarios - Santiago</v>
          </cell>
          <cell r="S1620" t="str">
            <v>MULC - Municipalidad de las Condes</v>
          </cell>
          <cell r="T1620" t="str">
            <v>Paletas</v>
          </cell>
          <cell r="U1620">
            <v>2</v>
          </cell>
          <cell r="V1620" t="str">
            <v>1.04 * 1.37</v>
          </cell>
        </row>
        <row r="1621">
          <cell r="A1621" t="str">
            <v>MULC0005AB</v>
          </cell>
          <cell r="B1621" t="str">
            <v>Vía Pública Mobiliarios</v>
          </cell>
          <cell r="D1621" t="str">
            <v>Paletas</v>
          </cell>
          <cell r="E1621" t="str">
            <v>PARADERO</v>
          </cell>
          <cell r="F1621" t="str">
            <v>1.04 * 1.37</v>
          </cell>
          <cell r="G1621" t="str">
            <v>1.08 * 1.42</v>
          </cell>
          <cell r="H1621" t="str">
            <v>X</v>
          </cell>
          <cell r="I1621" t="str">
            <v>Apoquindo</v>
          </cell>
          <cell r="L1621">
            <v>670000</v>
          </cell>
          <cell r="M1621" t="str">
            <v>Av. Apoquindo S-P - Enrique Foster</v>
          </cell>
          <cell r="N1621" t="str">
            <v>Sudoeste</v>
          </cell>
          <cell r="P1621" t="str">
            <v>LAS CONDES</v>
          </cell>
          <cell r="Q1621" t="str">
            <v>TRADICIONAL</v>
          </cell>
          <cell r="R1621" t="str">
            <v>Vía Pública Mobiliarios - Santiago</v>
          </cell>
          <cell r="S1621" t="str">
            <v>MULC - Municipalidad de las Condes</v>
          </cell>
          <cell r="T1621" t="str">
            <v>Paletas</v>
          </cell>
          <cell r="U1621">
            <v>2</v>
          </cell>
          <cell r="V1621" t="str">
            <v>1.04 * 1.37</v>
          </cell>
        </row>
        <row r="1622">
          <cell r="A1622" t="str">
            <v>MULC0006AB</v>
          </cell>
          <cell r="B1622" t="str">
            <v>Vía Pública Mobiliarios</v>
          </cell>
          <cell r="D1622" t="str">
            <v>Paletas</v>
          </cell>
          <cell r="E1622" t="str">
            <v>PARADERO</v>
          </cell>
          <cell r="F1622" t="str">
            <v>1.04 * 1.37</v>
          </cell>
          <cell r="G1622" t="str">
            <v>1.08 * 1.42</v>
          </cell>
          <cell r="H1622" t="str">
            <v>X</v>
          </cell>
          <cell r="I1622" t="str">
            <v>Apoquindo</v>
          </cell>
          <cell r="L1622">
            <v>670000</v>
          </cell>
          <cell r="M1622" t="str">
            <v>Av. Apoquindo N-O - Enrique Foster</v>
          </cell>
          <cell r="N1622" t="str">
            <v>Noreste</v>
          </cell>
          <cell r="P1622" t="str">
            <v>LAS CONDES</v>
          </cell>
          <cell r="Q1622" t="str">
            <v>TRADICIONAL</v>
          </cell>
          <cell r="R1622" t="str">
            <v>Vía Pública Mobiliarios - Santiago</v>
          </cell>
          <cell r="S1622" t="str">
            <v>MULC - Municipalidad de las Condes</v>
          </cell>
          <cell r="T1622" t="str">
            <v>Paletas</v>
          </cell>
          <cell r="U1622">
            <v>2</v>
          </cell>
          <cell r="V1622" t="str">
            <v>1.04 * 1.37</v>
          </cell>
        </row>
        <row r="1623">
          <cell r="A1623" t="str">
            <v>MULC0007AB</v>
          </cell>
          <cell r="B1623" t="str">
            <v>Vía Pública Mobiliarios</v>
          </cell>
          <cell r="D1623" t="str">
            <v>Paletas</v>
          </cell>
          <cell r="E1623" t="str">
            <v>PARADERO</v>
          </cell>
          <cell r="F1623" t="str">
            <v>1.04 * 1.37</v>
          </cell>
          <cell r="G1623" t="str">
            <v>1.08 * 1.42</v>
          </cell>
          <cell r="H1623" t="str">
            <v>X</v>
          </cell>
          <cell r="I1623" t="str">
            <v>Apoquindo</v>
          </cell>
          <cell r="L1623">
            <v>670000</v>
          </cell>
          <cell r="M1623" t="str">
            <v>Av. Apoquindo S-P - Alcantara</v>
          </cell>
          <cell r="N1623" t="str">
            <v>Sudoeste</v>
          </cell>
          <cell r="P1623" t="str">
            <v>LAS CONDES</v>
          </cell>
          <cell r="Q1623" t="str">
            <v>TRADICIONAL</v>
          </cell>
          <cell r="R1623" t="str">
            <v>Vía Pública Mobiliarios - Santiago</v>
          </cell>
          <cell r="S1623" t="str">
            <v>MULC - Municipalidad de las Condes</v>
          </cell>
          <cell r="T1623" t="str">
            <v>Paletas</v>
          </cell>
          <cell r="U1623">
            <v>2</v>
          </cell>
          <cell r="V1623" t="str">
            <v>1.04 * 1.37</v>
          </cell>
        </row>
        <row r="1624">
          <cell r="A1624" t="str">
            <v>MULC0008AB</v>
          </cell>
          <cell r="B1624" t="str">
            <v>Vía Pública Mobiliarios</v>
          </cell>
          <cell r="D1624" t="str">
            <v>Paletas</v>
          </cell>
          <cell r="E1624" t="str">
            <v>PARADERO Paleta PARALELA</v>
          </cell>
          <cell r="F1624" t="str">
            <v>1.04 * 1.37</v>
          </cell>
          <cell r="G1624" t="str">
            <v>1.08 * 1.42</v>
          </cell>
          <cell r="H1624" t="str">
            <v>X</v>
          </cell>
          <cell r="I1624" t="str">
            <v>Apoquindo</v>
          </cell>
          <cell r="L1624">
            <v>670000</v>
          </cell>
          <cell r="M1624" t="str">
            <v>Av. Apoquindo Norte - Frente Alcantara</v>
          </cell>
          <cell r="N1624" t="str">
            <v>Norte</v>
          </cell>
          <cell r="P1624" t="str">
            <v>LAS CONDES</v>
          </cell>
          <cell r="Q1624" t="str">
            <v>TRADICIONAL</v>
          </cell>
          <cell r="R1624" t="str">
            <v>Vía Pública Mobiliarios - Santiago</v>
          </cell>
          <cell r="S1624" t="str">
            <v>MULC - Municipalidad de las Condes</v>
          </cell>
          <cell r="T1624" t="str">
            <v>Paletas</v>
          </cell>
          <cell r="U1624">
            <v>2</v>
          </cell>
          <cell r="V1624" t="str">
            <v>1.04 * 1.37</v>
          </cell>
        </row>
        <row r="1625">
          <cell r="A1625" t="str">
            <v>MULC0009AB</v>
          </cell>
          <cell r="B1625" t="str">
            <v>Vía Pública Mobiliarios</v>
          </cell>
          <cell r="D1625" t="str">
            <v>Paletas</v>
          </cell>
          <cell r="E1625" t="str">
            <v>PARADERO</v>
          </cell>
          <cell r="F1625" t="str">
            <v>1.04 * 1.37</v>
          </cell>
          <cell r="G1625" t="str">
            <v>1.08 * 1.42</v>
          </cell>
          <cell r="H1625" t="str">
            <v>X</v>
          </cell>
          <cell r="I1625" t="str">
            <v>Apoquindo</v>
          </cell>
          <cell r="L1625">
            <v>670000</v>
          </cell>
          <cell r="M1625" t="str">
            <v>Av. Apoquindo S-P - Malaga</v>
          </cell>
          <cell r="N1625" t="str">
            <v>Sudeste</v>
          </cell>
          <cell r="P1625" t="str">
            <v>LAS CONDES</v>
          </cell>
          <cell r="Q1625" t="str">
            <v>TRADICIONAL</v>
          </cell>
          <cell r="R1625" t="str">
            <v>Vía Pública Mobiliarios - Santiago</v>
          </cell>
          <cell r="S1625" t="str">
            <v>MULC - Municipalidad de las Condes</v>
          </cell>
          <cell r="T1625" t="str">
            <v>Paletas</v>
          </cell>
          <cell r="U1625">
            <v>2</v>
          </cell>
          <cell r="V1625" t="str">
            <v>1.04 * 1.37</v>
          </cell>
        </row>
        <row r="1626">
          <cell r="A1626" t="str">
            <v>MULC0010AB</v>
          </cell>
          <cell r="B1626" t="str">
            <v>Vía Pública Mobiliarios</v>
          </cell>
          <cell r="D1626" t="str">
            <v>Paletas</v>
          </cell>
          <cell r="E1626" t="str">
            <v>PARADERO</v>
          </cell>
          <cell r="F1626" t="str">
            <v>1.04 * 1.37</v>
          </cell>
          <cell r="G1626" t="str">
            <v>1.08 * 1.42</v>
          </cell>
          <cell r="H1626" t="str">
            <v>X</v>
          </cell>
          <cell r="I1626" t="str">
            <v>Apoquindo</v>
          </cell>
          <cell r="L1626">
            <v>670000</v>
          </cell>
          <cell r="M1626" t="str">
            <v>Av. Apoquindo N-O - Golda Meir</v>
          </cell>
          <cell r="N1626" t="str">
            <v>Noreste</v>
          </cell>
          <cell r="P1626" t="str">
            <v>LAS CONDES</v>
          </cell>
          <cell r="Q1626" t="str">
            <v>TRADICIONAL</v>
          </cell>
          <cell r="R1626" t="str">
            <v>Vía Pública Mobiliarios - Santiago</v>
          </cell>
          <cell r="S1626" t="str">
            <v>MULC - Municipalidad de las Condes</v>
          </cell>
          <cell r="T1626" t="str">
            <v>Paletas</v>
          </cell>
          <cell r="U1626">
            <v>2</v>
          </cell>
          <cell r="V1626" t="str">
            <v>1.04 * 1.37</v>
          </cell>
        </row>
        <row r="1627">
          <cell r="A1627" t="str">
            <v>MULC0014AB</v>
          </cell>
          <cell r="B1627" t="str">
            <v>Vía Pública Mobiliarios</v>
          </cell>
          <cell r="D1627" t="str">
            <v>Paletas</v>
          </cell>
          <cell r="E1627" t="str">
            <v>PARADERO Paleta PARALELA</v>
          </cell>
          <cell r="F1627" t="str">
            <v>1.04 * 1.37</v>
          </cell>
          <cell r="G1627" t="str">
            <v>1.08 * 1.42</v>
          </cell>
          <cell r="H1627" t="str">
            <v>X</v>
          </cell>
          <cell r="I1627" t="str">
            <v>Apoquindo</v>
          </cell>
          <cell r="L1627">
            <v>670000</v>
          </cell>
          <cell r="M1627" t="str">
            <v>Av. Apoquindo Norte - Fte San Pascual Ref. 1</v>
          </cell>
          <cell r="N1627" t="str">
            <v>Noreste</v>
          </cell>
          <cell r="P1627" t="str">
            <v>LAS CONDES</v>
          </cell>
          <cell r="Q1627" t="str">
            <v>TRADICIONAL</v>
          </cell>
          <cell r="R1627" t="str">
            <v>Vía Pública Mobiliarios - Santiago</v>
          </cell>
          <cell r="S1627" t="str">
            <v>MULC - Municipalidad de las Condes</v>
          </cell>
          <cell r="T1627" t="str">
            <v>Paletas</v>
          </cell>
          <cell r="U1627">
            <v>2</v>
          </cell>
          <cell r="V1627" t="str">
            <v>1.04 * 1.37</v>
          </cell>
        </row>
        <row r="1628">
          <cell r="A1628" t="str">
            <v>MULC0015AB</v>
          </cell>
          <cell r="B1628" t="str">
            <v>Vía Pública Mobiliarios</v>
          </cell>
          <cell r="D1628" t="str">
            <v>Paletas</v>
          </cell>
          <cell r="E1628" t="str">
            <v>PARADERO</v>
          </cell>
          <cell r="F1628" t="str">
            <v>1.04 * 1.37</v>
          </cell>
          <cell r="G1628" t="str">
            <v>1.08 * 1.42</v>
          </cell>
          <cell r="H1628" t="str">
            <v>X</v>
          </cell>
          <cell r="I1628" t="str">
            <v>Apoquindo</v>
          </cell>
          <cell r="L1628">
            <v>670000</v>
          </cell>
          <cell r="M1628" t="str">
            <v>Av. Apoquindo Norte - Fte San Pascual Ref. 2</v>
          </cell>
          <cell r="N1628" t="str">
            <v>Noreste</v>
          </cell>
          <cell r="P1628" t="str">
            <v>LAS CONDES</v>
          </cell>
          <cell r="Q1628" t="str">
            <v>TRADICIONAL</v>
          </cell>
          <cell r="R1628" t="str">
            <v>Vía Pública Mobiliarios - Santiago</v>
          </cell>
          <cell r="S1628" t="str">
            <v>MULC - Municipalidad de las Condes</v>
          </cell>
          <cell r="T1628" t="str">
            <v>Paletas</v>
          </cell>
          <cell r="U1628">
            <v>2</v>
          </cell>
          <cell r="V1628" t="str">
            <v>1.04 * 1.37</v>
          </cell>
        </row>
        <row r="1629">
          <cell r="A1629" t="str">
            <v>MULC0016AB</v>
          </cell>
          <cell r="B1629" t="str">
            <v>Vía Pública Mobiliarios</v>
          </cell>
          <cell r="D1629" t="str">
            <v>Paletas</v>
          </cell>
          <cell r="E1629" t="str">
            <v>PARADERO</v>
          </cell>
          <cell r="F1629" t="str">
            <v>1.04 * 1.37</v>
          </cell>
          <cell r="G1629" t="str">
            <v>1.08 * 1.42</v>
          </cell>
          <cell r="H1629" t="str">
            <v>X</v>
          </cell>
          <cell r="I1629" t="str">
            <v>Apoquindo</v>
          </cell>
          <cell r="L1629">
            <v>670000</v>
          </cell>
          <cell r="M1629" t="str">
            <v>Av. Apoquindo N-O - Orinoco</v>
          </cell>
          <cell r="N1629" t="str">
            <v>Noreste</v>
          </cell>
          <cell r="P1629" t="str">
            <v>LAS CONDES</v>
          </cell>
          <cell r="Q1629" t="str">
            <v>TRADICIONAL</v>
          </cell>
          <cell r="R1629" t="str">
            <v>Vía Pública Mobiliarios - Santiago</v>
          </cell>
          <cell r="S1629" t="str">
            <v>MULC - Municipalidad de las Condes</v>
          </cell>
          <cell r="T1629" t="str">
            <v>Paletas</v>
          </cell>
          <cell r="U1629">
            <v>2</v>
          </cell>
          <cell r="V1629" t="str">
            <v>1.04 * 1.37</v>
          </cell>
        </row>
        <row r="1630">
          <cell r="A1630" t="str">
            <v>MULC0017AB</v>
          </cell>
          <cell r="B1630" t="str">
            <v>Vía Pública Mobiliarios</v>
          </cell>
          <cell r="D1630" t="str">
            <v>Paletas</v>
          </cell>
          <cell r="E1630" t="str">
            <v>PARADERO</v>
          </cell>
          <cell r="F1630" t="str">
            <v>1.04 * 1.37</v>
          </cell>
          <cell r="G1630" t="str">
            <v>1.08 * 1.42</v>
          </cell>
          <cell r="H1630" t="str">
            <v>X</v>
          </cell>
          <cell r="I1630" t="str">
            <v>Apoquindo</v>
          </cell>
          <cell r="L1630">
            <v>670000</v>
          </cell>
          <cell r="M1630" t="str">
            <v>Av. Apoquindo N-O - La Gloria</v>
          </cell>
          <cell r="N1630" t="str">
            <v>Noreste</v>
          </cell>
          <cell r="P1630" t="str">
            <v>LAS CONDES</v>
          </cell>
          <cell r="Q1630" t="str">
            <v>TRADICIONAL</v>
          </cell>
          <cell r="R1630" t="str">
            <v>Vía Pública Mobiliarios - Santiago</v>
          </cell>
          <cell r="S1630" t="str">
            <v>MULC - Municipalidad de las Condes</v>
          </cell>
          <cell r="T1630" t="str">
            <v>Paletas</v>
          </cell>
          <cell r="U1630">
            <v>2</v>
          </cell>
          <cell r="V1630" t="str">
            <v>1.04 * 1.37</v>
          </cell>
        </row>
        <row r="1631">
          <cell r="A1631" t="str">
            <v>MULC0018AB</v>
          </cell>
          <cell r="B1631" t="str">
            <v>Vía Pública Mobiliarios</v>
          </cell>
          <cell r="D1631" t="str">
            <v>Paletas</v>
          </cell>
          <cell r="E1631" t="str">
            <v>PARADERO</v>
          </cell>
          <cell r="F1631" t="str">
            <v>1.04 * 1.37</v>
          </cell>
          <cell r="G1631" t="str">
            <v>1.08 * 1.42</v>
          </cell>
          <cell r="H1631" t="str">
            <v>X</v>
          </cell>
          <cell r="I1631" t="str">
            <v>Apoquindo</v>
          </cell>
          <cell r="L1631">
            <v>670000</v>
          </cell>
          <cell r="M1631" t="str">
            <v>Av. Apoquindo S-P - Jorge VI</v>
          </cell>
          <cell r="N1631" t="str">
            <v>Sudeste</v>
          </cell>
          <cell r="P1631" t="str">
            <v>LAS CONDES</v>
          </cell>
          <cell r="Q1631" t="str">
            <v>TRADICIONAL</v>
          </cell>
          <cell r="R1631" t="str">
            <v>Vía Pública Mobiliarios - Santiago</v>
          </cell>
          <cell r="S1631" t="str">
            <v>MULC - Municipalidad de las Condes</v>
          </cell>
          <cell r="T1631" t="str">
            <v>Paletas</v>
          </cell>
          <cell r="U1631">
            <v>2</v>
          </cell>
          <cell r="V1631" t="str">
            <v>1.04 * 1.37</v>
          </cell>
        </row>
        <row r="1632">
          <cell r="A1632" t="str">
            <v>MULC0019AB</v>
          </cell>
          <cell r="B1632" t="str">
            <v>Vía Pública Mobiliarios</v>
          </cell>
          <cell r="D1632" t="str">
            <v>Paletas</v>
          </cell>
          <cell r="E1632" t="str">
            <v>PARADERO</v>
          </cell>
          <cell r="F1632" t="str">
            <v>1.04 * 1.37</v>
          </cell>
          <cell r="G1632" t="str">
            <v>1.08 * 1.42</v>
          </cell>
          <cell r="H1632" t="str">
            <v>X</v>
          </cell>
          <cell r="I1632" t="str">
            <v>Apoquindo</v>
          </cell>
          <cell r="L1632">
            <v>670000</v>
          </cell>
          <cell r="M1632" t="str">
            <v>Av. Apoquindo S-P - La Capitania</v>
          </cell>
          <cell r="N1632" t="str">
            <v>Sudeste</v>
          </cell>
          <cell r="P1632" t="str">
            <v>LAS CONDES</v>
          </cell>
          <cell r="Q1632" t="str">
            <v>TRADICIONAL</v>
          </cell>
          <cell r="R1632" t="str">
            <v>Vía Pública Mobiliarios - Santiago</v>
          </cell>
          <cell r="S1632" t="str">
            <v>MULC - Municipalidad de las Condes</v>
          </cell>
          <cell r="T1632" t="str">
            <v>Paletas</v>
          </cell>
          <cell r="U1632">
            <v>2</v>
          </cell>
          <cell r="V1632" t="str">
            <v>1.04 * 1.37</v>
          </cell>
        </row>
        <row r="1633">
          <cell r="A1633" t="str">
            <v>MULC0020AB</v>
          </cell>
          <cell r="B1633" t="str">
            <v>Vía Pública Mobiliarios</v>
          </cell>
          <cell r="D1633" t="str">
            <v>Paletas</v>
          </cell>
          <cell r="E1633" t="str">
            <v>PARADERO</v>
          </cell>
          <cell r="F1633" t="str">
            <v>1.04 * 1.37</v>
          </cell>
          <cell r="G1633" t="str">
            <v>1.08 * 1.42</v>
          </cell>
          <cell r="H1633" t="str">
            <v>X</v>
          </cell>
          <cell r="I1633" t="str">
            <v>Apoquindo</v>
          </cell>
          <cell r="L1633">
            <v>670000</v>
          </cell>
          <cell r="M1633" t="str">
            <v>Av. Apoquindo N-O - Badajoz</v>
          </cell>
          <cell r="N1633" t="str">
            <v>Sudeste</v>
          </cell>
          <cell r="P1633" t="str">
            <v>LAS CONDES</v>
          </cell>
          <cell r="Q1633" t="str">
            <v>TRADICIONAL</v>
          </cell>
          <cell r="R1633" t="str">
            <v>Vía Pública Mobiliarios - Santiago</v>
          </cell>
          <cell r="S1633" t="str">
            <v>MULC - Municipalidad de las Condes</v>
          </cell>
          <cell r="T1633" t="str">
            <v>Paletas</v>
          </cell>
          <cell r="U1633">
            <v>2</v>
          </cell>
          <cell r="V1633" t="str">
            <v>1.04 * 1.37</v>
          </cell>
        </row>
        <row r="1634">
          <cell r="A1634" t="str">
            <v>MULC0021AB</v>
          </cell>
          <cell r="B1634" t="str">
            <v>Vía Pública Mobiliarios</v>
          </cell>
          <cell r="D1634" t="str">
            <v>Paletas</v>
          </cell>
          <cell r="E1634" t="str">
            <v>PARADERO</v>
          </cell>
          <cell r="F1634" t="str">
            <v>1.04 * 1.37</v>
          </cell>
          <cell r="G1634" t="str">
            <v>1.08 * 1.42</v>
          </cell>
          <cell r="H1634" t="str">
            <v>X</v>
          </cell>
          <cell r="I1634" t="str">
            <v>Apoquindo</v>
          </cell>
          <cell r="L1634">
            <v>670000</v>
          </cell>
          <cell r="M1634" t="str">
            <v>Av. Apoquindo N-O - Rosario Norte</v>
          </cell>
          <cell r="N1634" t="str">
            <v>Noreste</v>
          </cell>
          <cell r="P1634" t="str">
            <v>LAS CONDES</v>
          </cell>
          <cell r="Q1634" t="str">
            <v>TRADICIONAL</v>
          </cell>
          <cell r="R1634" t="str">
            <v>Vía Pública Mobiliarios - Santiago</v>
          </cell>
          <cell r="S1634" t="str">
            <v>MULC - Municipalidad de las Condes</v>
          </cell>
          <cell r="T1634" t="str">
            <v>Paletas</v>
          </cell>
          <cell r="U1634">
            <v>2</v>
          </cell>
          <cell r="V1634" t="str">
            <v>1.04 * 1.37</v>
          </cell>
        </row>
        <row r="1635">
          <cell r="A1635" t="str">
            <v>MULC0022AB</v>
          </cell>
          <cell r="B1635" t="str">
            <v>Vía Pública Mobiliarios</v>
          </cell>
          <cell r="D1635" t="str">
            <v>Paletas</v>
          </cell>
          <cell r="E1635" t="str">
            <v>PARADERO</v>
          </cell>
          <cell r="F1635" t="str">
            <v>1.04 * 1.37</v>
          </cell>
          <cell r="G1635" t="str">
            <v>1.08 * 1.42</v>
          </cell>
          <cell r="H1635" t="str">
            <v>X</v>
          </cell>
          <cell r="I1635" t="str">
            <v>Apoquindo</v>
          </cell>
          <cell r="L1635">
            <v>670000</v>
          </cell>
          <cell r="M1635" t="str">
            <v>Av. Apoquindo S-P - Rosario Sur</v>
          </cell>
          <cell r="N1635" t="str">
            <v>Sudeste</v>
          </cell>
          <cell r="P1635" t="str">
            <v>LAS CONDES</v>
          </cell>
          <cell r="Q1635" t="str">
            <v>TRADICIONAL</v>
          </cell>
          <cell r="R1635" t="str">
            <v>Vía Pública Mobiliarios - Santiago</v>
          </cell>
          <cell r="S1635" t="str">
            <v>MULC - Municipalidad de las Condes</v>
          </cell>
          <cell r="T1635" t="str">
            <v>Paletas</v>
          </cell>
          <cell r="U1635">
            <v>2</v>
          </cell>
          <cell r="V1635" t="str">
            <v>1.04 * 1.37</v>
          </cell>
        </row>
        <row r="1636">
          <cell r="A1636" t="str">
            <v>MULC0023AB</v>
          </cell>
          <cell r="B1636" t="str">
            <v>Vía Pública Mobiliarios</v>
          </cell>
          <cell r="D1636" t="str">
            <v>Paletas</v>
          </cell>
          <cell r="E1636" t="str">
            <v>PARADERO</v>
          </cell>
          <cell r="F1636" t="str">
            <v>1.04 * 1.37</v>
          </cell>
          <cell r="G1636" t="str">
            <v>1.08 * 1.42</v>
          </cell>
          <cell r="H1636" t="str">
            <v>X</v>
          </cell>
          <cell r="I1636" t="str">
            <v>Apoquindo</v>
          </cell>
          <cell r="L1636">
            <v>670000</v>
          </cell>
          <cell r="M1636" t="str">
            <v>Av. Apoquindo - Rosario Sur</v>
          </cell>
          <cell r="N1636" t="str">
            <v>Sudeste</v>
          </cell>
          <cell r="P1636" t="str">
            <v>LAS CONDES</v>
          </cell>
          <cell r="Q1636" t="str">
            <v>TRADICIONAL</v>
          </cell>
          <cell r="R1636" t="str">
            <v>Vía Pública Mobiliarios - Santiago</v>
          </cell>
          <cell r="S1636" t="str">
            <v>MULC - Municipalidad de las Condes</v>
          </cell>
          <cell r="T1636" t="str">
            <v>Paletas</v>
          </cell>
          <cell r="U1636">
            <v>2</v>
          </cell>
          <cell r="V1636" t="str">
            <v>1.04 * 1.37</v>
          </cell>
        </row>
        <row r="1637">
          <cell r="A1637" t="str">
            <v>MULC0027AB</v>
          </cell>
          <cell r="B1637" t="str">
            <v>Vía Pública Mobiliarios</v>
          </cell>
          <cell r="D1637" t="str">
            <v>Paletas</v>
          </cell>
          <cell r="E1637" t="str">
            <v>PARADERO</v>
          </cell>
          <cell r="F1637" t="str">
            <v>1.04 * 1.37</v>
          </cell>
          <cell r="G1637" t="str">
            <v>1.08 * 1.42</v>
          </cell>
          <cell r="H1637" t="str">
            <v>X</v>
          </cell>
          <cell r="I1637" t="str">
            <v>Apoquindo</v>
          </cell>
          <cell r="L1637">
            <v>670000</v>
          </cell>
          <cell r="M1637" t="str">
            <v>Av. Apoquindo S-P - Esteban Dellï Orto</v>
          </cell>
          <cell r="N1637" t="str">
            <v>Sudeste</v>
          </cell>
          <cell r="P1637" t="str">
            <v>LAS CONDES</v>
          </cell>
          <cell r="Q1637" t="str">
            <v>TRADICIONAL</v>
          </cell>
          <cell r="R1637" t="str">
            <v>Vía Pública Mobiliarios - Santiago</v>
          </cell>
          <cell r="S1637" t="str">
            <v>MULC - Municipalidad de las Condes</v>
          </cell>
          <cell r="T1637" t="str">
            <v>Paletas</v>
          </cell>
          <cell r="U1637">
            <v>2</v>
          </cell>
          <cell r="V1637" t="str">
            <v>1.04 * 1.37</v>
          </cell>
        </row>
        <row r="1638">
          <cell r="A1638" t="str">
            <v>MULC0028AB</v>
          </cell>
          <cell r="B1638" t="str">
            <v>Vía Pública Mobiliarios</v>
          </cell>
          <cell r="D1638" t="str">
            <v>Paletas</v>
          </cell>
          <cell r="E1638" t="str">
            <v>PARADERO</v>
          </cell>
          <cell r="F1638" t="str">
            <v>1.04 * 1.37</v>
          </cell>
          <cell r="G1638" t="str">
            <v>1.08 * 1.42</v>
          </cell>
          <cell r="H1638" t="str">
            <v>X</v>
          </cell>
          <cell r="I1638" t="str">
            <v>Apoquindo</v>
          </cell>
          <cell r="L1638">
            <v>670000</v>
          </cell>
          <cell r="M1638" t="str">
            <v>Av. Apoquindo Norte - Plazuela Las Condes</v>
          </cell>
          <cell r="N1638" t="str">
            <v>Noreste</v>
          </cell>
          <cell r="P1638" t="str">
            <v>LAS CONDES</v>
          </cell>
          <cell r="Q1638" t="str">
            <v>TRADICIONAL</v>
          </cell>
          <cell r="R1638" t="str">
            <v>Vía Pública Mobiliarios - Santiago</v>
          </cell>
          <cell r="S1638" t="str">
            <v>MULC - Municipalidad de las Condes</v>
          </cell>
          <cell r="T1638" t="str">
            <v>Paletas</v>
          </cell>
          <cell r="U1638">
            <v>2</v>
          </cell>
          <cell r="V1638" t="str">
            <v>1.04 * 1.37</v>
          </cell>
        </row>
        <row r="1639">
          <cell r="A1639" t="str">
            <v>MULC0029AB</v>
          </cell>
          <cell r="B1639" t="str">
            <v>Vía Pública Mobiliarios</v>
          </cell>
          <cell r="D1639" t="str">
            <v>Paletas</v>
          </cell>
          <cell r="E1639" t="str">
            <v>PARADERO</v>
          </cell>
          <cell r="F1639" t="str">
            <v>1.04 * 1.37</v>
          </cell>
          <cell r="G1639" t="str">
            <v>1.08 * 1.42</v>
          </cell>
          <cell r="H1639" t="str">
            <v>X</v>
          </cell>
          <cell r="I1639" t="str">
            <v>Apoquindo</v>
          </cell>
          <cell r="L1639">
            <v>670000</v>
          </cell>
          <cell r="M1639" t="str">
            <v>Av. Apoquindo Sur - Costado Estadio Italiano</v>
          </cell>
          <cell r="N1639" t="str">
            <v>Sudeste</v>
          </cell>
          <cell r="P1639" t="str">
            <v>LAS CONDES</v>
          </cell>
          <cell r="Q1639" t="str">
            <v>TRADICIONAL</v>
          </cell>
          <cell r="R1639" t="str">
            <v>Vía Pública Mobiliarios - Santiago</v>
          </cell>
          <cell r="S1639" t="str">
            <v>MULC - Municipalidad de las Condes</v>
          </cell>
          <cell r="T1639" t="str">
            <v>Paletas</v>
          </cell>
          <cell r="U1639">
            <v>2</v>
          </cell>
          <cell r="V1639" t="str">
            <v>1.04 * 1.37</v>
          </cell>
        </row>
        <row r="1640">
          <cell r="A1640" t="str">
            <v>MULC0030AB</v>
          </cell>
          <cell r="B1640" t="str">
            <v>Vía Pública Mobiliarios</v>
          </cell>
          <cell r="D1640" t="str">
            <v>Paletas</v>
          </cell>
          <cell r="E1640" t="str">
            <v>PARADERO</v>
          </cell>
          <cell r="F1640" t="str">
            <v>1.04 * 1.37</v>
          </cell>
          <cell r="G1640" t="str">
            <v>1.08 * 1.42</v>
          </cell>
          <cell r="H1640" t="str">
            <v>X</v>
          </cell>
          <cell r="I1640" t="str">
            <v>Apoquindo</v>
          </cell>
          <cell r="L1640">
            <v>670000</v>
          </cell>
          <cell r="M1640" t="str">
            <v>Av. Apoquindo N-O - Gral. Carol Urzua</v>
          </cell>
          <cell r="N1640" t="str">
            <v>Noreste</v>
          </cell>
          <cell r="P1640" t="str">
            <v>LAS CONDES</v>
          </cell>
          <cell r="Q1640" t="str">
            <v>TRADICIONAL</v>
          </cell>
          <cell r="R1640" t="str">
            <v>Vía Pública Mobiliarios - Santiago</v>
          </cell>
          <cell r="S1640" t="str">
            <v>MULC - Municipalidad de las Condes</v>
          </cell>
          <cell r="T1640" t="str">
            <v>Paletas</v>
          </cell>
          <cell r="U1640">
            <v>2</v>
          </cell>
          <cell r="V1640" t="str">
            <v>1.04 * 1.37</v>
          </cell>
        </row>
        <row r="1641">
          <cell r="A1641" t="str">
            <v>MULC0031AB</v>
          </cell>
          <cell r="B1641" t="str">
            <v>Vía Pública Mobiliarios</v>
          </cell>
          <cell r="D1641" t="str">
            <v>Paletas</v>
          </cell>
          <cell r="E1641" t="str">
            <v>PARADERO Paleta PARALELA</v>
          </cell>
          <cell r="F1641" t="str">
            <v>1.04 * 1.37</v>
          </cell>
          <cell r="G1641" t="str">
            <v>1.08 * 1.42</v>
          </cell>
          <cell r="H1641" t="str">
            <v>X</v>
          </cell>
          <cell r="I1641" t="str">
            <v>Apoquindo</v>
          </cell>
          <cell r="L1641">
            <v>670000</v>
          </cell>
          <cell r="M1641" t="str">
            <v>Av. Apoquindo N-P - Chesterton (Fte a Unimarc</v>
          </cell>
          <cell r="N1641" t="str">
            <v>Norte</v>
          </cell>
          <cell r="P1641" t="str">
            <v>LAS CONDES</v>
          </cell>
          <cell r="Q1641" t="str">
            <v>TRADICIONAL</v>
          </cell>
          <cell r="R1641" t="str">
            <v>Vía Pública Mobiliarios - Santiago</v>
          </cell>
          <cell r="S1641" t="str">
            <v>MULC - Municipalidad de las Condes</v>
          </cell>
          <cell r="T1641" t="str">
            <v>Paletas</v>
          </cell>
          <cell r="U1641">
            <v>2</v>
          </cell>
          <cell r="V1641" t="str">
            <v>1.04 * 1.37</v>
          </cell>
        </row>
        <row r="1642">
          <cell r="A1642" t="str">
            <v>MULC0032AB</v>
          </cell>
          <cell r="B1642" t="str">
            <v>Vía Pública Mobiliarios</v>
          </cell>
          <cell r="D1642" t="str">
            <v>Paletas</v>
          </cell>
          <cell r="E1642" t="str">
            <v>PARADERO</v>
          </cell>
          <cell r="F1642" t="str">
            <v>1.04 * 1.37</v>
          </cell>
          <cell r="G1642" t="str">
            <v>1.08 * 1.42</v>
          </cell>
          <cell r="H1642" t="str">
            <v>X</v>
          </cell>
          <cell r="I1642" t="str">
            <v>Apoquindo</v>
          </cell>
          <cell r="L1642">
            <v>670000</v>
          </cell>
          <cell r="M1642" t="str">
            <v>Av. Apoquindo - Tomas Moro</v>
          </cell>
          <cell r="N1642" t="str">
            <v>Sudeste</v>
          </cell>
          <cell r="P1642" t="str">
            <v>LAS CONDES</v>
          </cell>
          <cell r="Q1642" t="str">
            <v>TRADICIONAL</v>
          </cell>
          <cell r="R1642" t="str">
            <v>Vía Pública Mobiliarios - Santiago</v>
          </cell>
          <cell r="S1642" t="str">
            <v>MULC - Municipalidad de las Condes</v>
          </cell>
          <cell r="T1642" t="str">
            <v>Paletas</v>
          </cell>
          <cell r="U1642">
            <v>2</v>
          </cell>
          <cell r="V1642" t="str">
            <v>1.04 * 1.37</v>
          </cell>
        </row>
        <row r="1643">
          <cell r="A1643" t="str">
            <v>MULC0033AB</v>
          </cell>
          <cell r="B1643" t="str">
            <v>Vía Pública Mobiliarios</v>
          </cell>
          <cell r="D1643" t="str">
            <v>Paletas</v>
          </cell>
          <cell r="E1643" t="str">
            <v>PARADERO</v>
          </cell>
          <cell r="F1643" t="str">
            <v>1.04 * 1.37</v>
          </cell>
          <cell r="G1643" t="str">
            <v>1.08 * 1.42</v>
          </cell>
          <cell r="H1643" t="str">
            <v>X</v>
          </cell>
          <cell r="I1643" t="str">
            <v>Apoquindo</v>
          </cell>
          <cell r="L1643">
            <v>670000</v>
          </cell>
          <cell r="M1643" t="str">
            <v>Av. Apoquindo N-O - Chesterton</v>
          </cell>
          <cell r="N1643" t="str">
            <v>Noreste</v>
          </cell>
          <cell r="P1643" t="str">
            <v>LAS CONDES</v>
          </cell>
          <cell r="Q1643" t="str">
            <v>TRADICIONAL</v>
          </cell>
          <cell r="R1643" t="str">
            <v>Vía Pública Mobiliarios - Santiago</v>
          </cell>
          <cell r="S1643" t="str">
            <v>MULC - Municipalidad de las Condes</v>
          </cell>
          <cell r="T1643" t="str">
            <v>Paletas</v>
          </cell>
          <cell r="U1643">
            <v>2</v>
          </cell>
          <cell r="V1643" t="str">
            <v>1.04 * 1.37</v>
          </cell>
        </row>
        <row r="1644">
          <cell r="A1644" t="str">
            <v>MULC0034AB</v>
          </cell>
          <cell r="B1644" t="str">
            <v>Vía Pública Mobiliarios</v>
          </cell>
          <cell r="D1644" t="str">
            <v>Paletas</v>
          </cell>
          <cell r="E1644" t="str">
            <v>PARADERO</v>
          </cell>
          <cell r="F1644" t="str">
            <v>1.04 * 1.37</v>
          </cell>
          <cell r="G1644" t="str">
            <v>1.08 * 1.42</v>
          </cell>
          <cell r="H1644" t="str">
            <v>X</v>
          </cell>
          <cell r="I1644" t="str">
            <v>Apoquindo</v>
          </cell>
          <cell r="L1644">
            <v>670000</v>
          </cell>
          <cell r="M1644" t="str">
            <v>Av. Apoquindo N-O - Zanzibar</v>
          </cell>
          <cell r="N1644" t="str">
            <v>Noreste</v>
          </cell>
          <cell r="P1644" t="str">
            <v>LAS CONDES</v>
          </cell>
          <cell r="Q1644" t="str">
            <v>TRADICIONAL</v>
          </cell>
          <cell r="R1644" t="str">
            <v>Vía Pública Mobiliarios - Santiago</v>
          </cell>
          <cell r="S1644" t="str">
            <v>MULC - Municipalidad de las Condes</v>
          </cell>
          <cell r="T1644" t="str">
            <v>Paletas</v>
          </cell>
          <cell r="U1644">
            <v>2</v>
          </cell>
          <cell r="V1644" t="str">
            <v>1.04 * 1.37</v>
          </cell>
        </row>
        <row r="1645">
          <cell r="A1645" t="str">
            <v>MULC0035AB</v>
          </cell>
          <cell r="B1645" t="str">
            <v>Vía Pública Mobiliarios</v>
          </cell>
          <cell r="D1645" t="str">
            <v>Paletas</v>
          </cell>
          <cell r="E1645" t="str">
            <v>PARADERO</v>
          </cell>
          <cell r="F1645" t="str">
            <v>1.04 * 1.37</v>
          </cell>
          <cell r="G1645" t="str">
            <v>1.08 * 1.42</v>
          </cell>
          <cell r="H1645" t="str">
            <v>X</v>
          </cell>
          <cell r="I1645" t="str">
            <v>Apoquindo</v>
          </cell>
          <cell r="L1645">
            <v>670000</v>
          </cell>
          <cell r="M1645" t="str">
            <v>Av. Apoquindo S-P - Torremolinos</v>
          </cell>
          <cell r="N1645" t="str">
            <v>Sudeste</v>
          </cell>
          <cell r="P1645" t="str">
            <v>LAS CONDES</v>
          </cell>
          <cell r="Q1645" t="str">
            <v>TRADICIONAL</v>
          </cell>
          <cell r="R1645" t="str">
            <v>Vía Pública Mobiliarios - Santiago</v>
          </cell>
          <cell r="S1645" t="str">
            <v>MULC - Municipalidad de las Condes</v>
          </cell>
          <cell r="T1645" t="str">
            <v>Paletas</v>
          </cell>
          <cell r="U1645">
            <v>2</v>
          </cell>
          <cell r="V1645" t="str">
            <v>1.04 * 1.37</v>
          </cell>
        </row>
        <row r="1646">
          <cell r="A1646" t="str">
            <v>MULC0036AB</v>
          </cell>
          <cell r="B1646" t="str">
            <v>Vía Pública Mobiliarios</v>
          </cell>
          <cell r="D1646" t="str">
            <v>Paletas</v>
          </cell>
          <cell r="E1646" t="str">
            <v>PARADERO</v>
          </cell>
          <cell r="F1646" t="str">
            <v>1.04 * 1.37</v>
          </cell>
          <cell r="G1646" t="str">
            <v>1.08 * 1.42</v>
          </cell>
          <cell r="H1646" t="str">
            <v>X</v>
          </cell>
          <cell r="I1646" t="str">
            <v>Las Condes</v>
          </cell>
          <cell r="L1646">
            <v>670000</v>
          </cell>
          <cell r="M1646" t="str">
            <v>Av. Las Condes N-O - Nuestra Se¤ora Del Rosar</v>
          </cell>
          <cell r="N1646" t="str">
            <v>Sudeste</v>
          </cell>
          <cell r="P1646" t="str">
            <v>LAS CONDES</v>
          </cell>
          <cell r="Q1646" t="str">
            <v>TRADICIONAL</v>
          </cell>
          <cell r="R1646" t="str">
            <v>Vía Pública Mobiliarios - Santiago</v>
          </cell>
          <cell r="S1646" t="str">
            <v>MULC - Municipalidad de las Condes</v>
          </cell>
          <cell r="T1646" t="str">
            <v>Paletas</v>
          </cell>
          <cell r="U1646">
            <v>2</v>
          </cell>
          <cell r="V1646" t="str">
            <v>1.04 * 1.37</v>
          </cell>
        </row>
        <row r="1647">
          <cell r="A1647" t="str">
            <v>MULC0037AB</v>
          </cell>
          <cell r="B1647" t="str">
            <v>Vía Pública Mobiliarios</v>
          </cell>
          <cell r="D1647" t="str">
            <v>Paletas</v>
          </cell>
          <cell r="E1647" t="str">
            <v>PARADERO Paleta PARALELA</v>
          </cell>
          <cell r="F1647" t="str">
            <v>1.04 * 1.37</v>
          </cell>
          <cell r="G1647" t="str">
            <v>1.08 * 1.42</v>
          </cell>
          <cell r="H1647" t="str">
            <v>X</v>
          </cell>
          <cell r="I1647" t="str">
            <v>Las Condes</v>
          </cell>
          <cell r="L1647">
            <v>670000</v>
          </cell>
          <cell r="M1647" t="str">
            <v>Av. Las Condes S-P - Montalvo</v>
          </cell>
          <cell r="N1647" t="str">
            <v>Sur</v>
          </cell>
          <cell r="P1647" t="str">
            <v>LAS CONDES</v>
          </cell>
          <cell r="Q1647" t="str">
            <v>TRADICIONAL</v>
          </cell>
          <cell r="R1647" t="str">
            <v>Vía Pública Mobiliarios - Santiago</v>
          </cell>
          <cell r="S1647" t="str">
            <v>MULC - Municipalidad de las Condes</v>
          </cell>
          <cell r="T1647" t="str">
            <v>Paletas</v>
          </cell>
          <cell r="U1647">
            <v>2</v>
          </cell>
          <cell r="V1647" t="str">
            <v>1.04 * 1.37</v>
          </cell>
        </row>
        <row r="1648">
          <cell r="A1648" t="str">
            <v>MULC0038AB</v>
          </cell>
          <cell r="B1648" t="str">
            <v>Vía Pública Mobiliarios</v>
          </cell>
          <cell r="D1648" t="str">
            <v>Paletas</v>
          </cell>
          <cell r="E1648" t="str">
            <v>PARADERO</v>
          </cell>
          <cell r="F1648" t="str">
            <v>1.04 * 1.37</v>
          </cell>
          <cell r="G1648" t="str">
            <v>1.08 * 1.42</v>
          </cell>
          <cell r="H1648" t="str">
            <v>X</v>
          </cell>
          <cell r="I1648" t="str">
            <v>Las Condes</v>
          </cell>
          <cell r="L1648">
            <v>670000</v>
          </cell>
          <cell r="M1648" t="str">
            <v>Av. Las Condes N-O - Las Clarisas</v>
          </cell>
          <cell r="N1648" t="str">
            <v>Noreste</v>
          </cell>
          <cell r="P1648" t="str">
            <v>LAS CONDES</v>
          </cell>
          <cell r="Q1648" t="str">
            <v>TRADICIONAL</v>
          </cell>
          <cell r="R1648" t="str">
            <v>Vía Pública Mobiliarios - Santiago</v>
          </cell>
          <cell r="S1648" t="str">
            <v>MULC - Municipalidad de las Condes</v>
          </cell>
          <cell r="T1648" t="str">
            <v>Paletas</v>
          </cell>
          <cell r="U1648">
            <v>2</v>
          </cell>
          <cell r="V1648" t="str">
            <v>1.04 * 1.37</v>
          </cell>
        </row>
        <row r="1649">
          <cell r="A1649" t="str">
            <v>MULC0039AB</v>
          </cell>
          <cell r="B1649" t="str">
            <v>Vía Pública Mobiliarios</v>
          </cell>
          <cell r="D1649" t="str">
            <v>Paletas</v>
          </cell>
          <cell r="E1649" t="str">
            <v>PARADERO</v>
          </cell>
          <cell r="F1649" t="str">
            <v>1.04 * 1.37</v>
          </cell>
          <cell r="G1649" t="str">
            <v>1.08 * 1.42</v>
          </cell>
          <cell r="H1649" t="str">
            <v>X</v>
          </cell>
          <cell r="I1649" t="str">
            <v>Las Condes</v>
          </cell>
          <cell r="L1649">
            <v>670000</v>
          </cell>
          <cell r="M1649" t="str">
            <v>Av. Las Condes S-P - Gral. Carol Urzua</v>
          </cell>
          <cell r="N1649" t="str">
            <v>Sudeste</v>
          </cell>
          <cell r="P1649" t="str">
            <v>LAS CONDES</v>
          </cell>
          <cell r="Q1649" t="str">
            <v>TRADICIONAL</v>
          </cell>
          <cell r="R1649" t="str">
            <v>Vía Pública Mobiliarios - Santiago</v>
          </cell>
          <cell r="S1649" t="str">
            <v>MULC - Municipalidad de las Condes</v>
          </cell>
          <cell r="T1649" t="str">
            <v>Paletas</v>
          </cell>
          <cell r="U1649">
            <v>2</v>
          </cell>
          <cell r="V1649" t="str">
            <v>1.04 * 1.37</v>
          </cell>
        </row>
        <row r="1650">
          <cell r="A1650" t="str">
            <v>MULC0040AB</v>
          </cell>
          <cell r="B1650" t="str">
            <v>Vía Pública Mobiliarios</v>
          </cell>
          <cell r="D1650" t="str">
            <v>Paletas</v>
          </cell>
          <cell r="E1650" t="str">
            <v>PARADERO</v>
          </cell>
          <cell r="F1650" t="str">
            <v>1.04 * 1.37</v>
          </cell>
          <cell r="G1650" t="str">
            <v>1.08 * 1.42</v>
          </cell>
          <cell r="H1650" t="str">
            <v>X</v>
          </cell>
          <cell r="I1650" t="str">
            <v>Las Condes</v>
          </cell>
          <cell r="L1650">
            <v>670000</v>
          </cell>
          <cell r="M1650" t="str">
            <v>Av. Las Condes N-O - Belen</v>
          </cell>
          <cell r="N1650" t="str">
            <v>Noreste</v>
          </cell>
          <cell r="P1650" t="str">
            <v>LAS CONDES</v>
          </cell>
          <cell r="Q1650" t="str">
            <v>TRADICIONAL</v>
          </cell>
          <cell r="R1650" t="str">
            <v>Vía Pública Mobiliarios - Santiago</v>
          </cell>
          <cell r="S1650" t="str">
            <v>MULC - Municipalidad de las Condes</v>
          </cell>
          <cell r="T1650" t="str">
            <v>Paletas</v>
          </cell>
          <cell r="U1650">
            <v>2</v>
          </cell>
          <cell r="V1650" t="str">
            <v>1.04 * 1.37</v>
          </cell>
        </row>
        <row r="1651">
          <cell r="A1651" t="str">
            <v>MULC0041AB</v>
          </cell>
          <cell r="B1651" t="str">
            <v>Vía Pública Mobiliarios</v>
          </cell>
          <cell r="D1651" t="str">
            <v>Paletas</v>
          </cell>
          <cell r="E1651" t="str">
            <v>PARADERO Paleta PARALELA</v>
          </cell>
          <cell r="F1651" t="str">
            <v>1.04 * 1.37</v>
          </cell>
          <cell r="G1651" t="str">
            <v>1.08 * 1.42</v>
          </cell>
          <cell r="H1651" t="str">
            <v>X</v>
          </cell>
          <cell r="I1651" t="str">
            <v>Las Condes</v>
          </cell>
          <cell r="L1651">
            <v>670000</v>
          </cell>
          <cell r="M1651" t="str">
            <v>Av. Las Condes N-O - Los Barvechos</v>
          </cell>
          <cell r="N1651" t="str">
            <v>Norte</v>
          </cell>
          <cell r="P1651" t="str">
            <v>LAS CONDES</v>
          </cell>
          <cell r="Q1651" t="str">
            <v>TRADICIONAL</v>
          </cell>
          <cell r="R1651" t="str">
            <v>Vía Pública Mobiliarios - Santiago</v>
          </cell>
          <cell r="S1651" t="str">
            <v>MULC - Municipalidad de las Condes</v>
          </cell>
          <cell r="T1651" t="str">
            <v>Paletas</v>
          </cell>
          <cell r="U1651">
            <v>2</v>
          </cell>
          <cell r="V1651" t="str">
            <v>1.04 * 1.37</v>
          </cell>
        </row>
        <row r="1652">
          <cell r="A1652" t="str">
            <v>MULC0042AB</v>
          </cell>
          <cell r="B1652" t="str">
            <v>Vía Pública Mobiliarios</v>
          </cell>
          <cell r="D1652" t="str">
            <v>Paletas</v>
          </cell>
          <cell r="E1652" t="str">
            <v>PARADERO</v>
          </cell>
          <cell r="F1652" t="str">
            <v>1.04 * 1.37</v>
          </cell>
          <cell r="G1652" t="str">
            <v>1.08 * 1.42</v>
          </cell>
          <cell r="H1652" t="str">
            <v>X</v>
          </cell>
          <cell r="I1652" t="str">
            <v>Las Condes</v>
          </cell>
          <cell r="L1652">
            <v>670000</v>
          </cell>
          <cell r="M1652" t="str">
            <v>Av. Las Condes N-O - Las Tranqueras</v>
          </cell>
          <cell r="N1652" t="str">
            <v>Noreste</v>
          </cell>
          <cell r="P1652" t="str">
            <v>LAS CONDES</v>
          </cell>
          <cell r="Q1652" t="str">
            <v>TRADICIONAL</v>
          </cell>
          <cell r="R1652" t="str">
            <v>Vía Pública Mobiliarios - Santiago</v>
          </cell>
          <cell r="S1652" t="str">
            <v>MULC - Municipalidad de las Condes</v>
          </cell>
          <cell r="T1652" t="str">
            <v>Paletas</v>
          </cell>
          <cell r="U1652">
            <v>2</v>
          </cell>
          <cell r="V1652" t="str">
            <v>1.04 * 1.37</v>
          </cell>
        </row>
        <row r="1653">
          <cell r="A1653" t="str">
            <v>MULC0043AB</v>
          </cell>
          <cell r="B1653" t="str">
            <v>Vía Pública Mobiliarios</v>
          </cell>
          <cell r="D1653" t="str">
            <v>Paletas</v>
          </cell>
          <cell r="E1653" t="str">
            <v>PARADERO</v>
          </cell>
          <cell r="F1653" t="str">
            <v>1.04 * 1.37</v>
          </cell>
          <cell r="G1653" t="str">
            <v>1.08 * 1.42</v>
          </cell>
          <cell r="H1653" t="str">
            <v>X</v>
          </cell>
          <cell r="I1653" t="str">
            <v>Las Condes</v>
          </cell>
          <cell r="L1653">
            <v>670000</v>
          </cell>
          <cell r="M1653" t="str">
            <v>Av. Las Condes S-O - Lorenzo de Medicis</v>
          </cell>
          <cell r="N1653" t="str">
            <v>Sudeste</v>
          </cell>
          <cell r="P1653" t="str">
            <v>LAS CONDES</v>
          </cell>
          <cell r="Q1653" t="str">
            <v>TRADICIONAL</v>
          </cell>
          <cell r="R1653" t="str">
            <v>Vía Pública Mobiliarios - Santiago</v>
          </cell>
          <cell r="S1653" t="str">
            <v>MULC - Municipalidad de las Condes</v>
          </cell>
          <cell r="T1653" t="str">
            <v>Paletas</v>
          </cell>
          <cell r="U1653">
            <v>2</v>
          </cell>
          <cell r="V1653" t="str">
            <v>1.04 * 1.37</v>
          </cell>
        </row>
        <row r="1654">
          <cell r="A1654" t="str">
            <v>MULC0044AB</v>
          </cell>
          <cell r="B1654" t="str">
            <v>Vía Pública Mobiliarios</v>
          </cell>
          <cell r="D1654" t="str">
            <v>Paletas</v>
          </cell>
          <cell r="E1654" t="str">
            <v>PARADERO</v>
          </cell>
          <cell r="F1654" t="str">
            <v>1.04 * 1.37</v>
          </cell>
          <cell r="G1654" t="str">
            <v>1.08 * 1.42</v>
          </cell>
          <cell r="H1654" t="str">
            <v>X</v>
          </cell>
          <cell r="I1654" t="str">
            <v>Las Condes</v>
          </cell>
          <cell r="L1654">
            <v>670000</v>
          </cell>
          <cell r="M1654" t="str">
            <v>Av. Las Condes N-O - Los Illanes</v>
          </cell>
          <cell r="N1654" t="str">
            <v>Noreste</v>
          </cell>
          <cell r="P1654" t="str">
            <v>LAS CONDES</v>
          </cell>
          <cell r="Q1654" t="str">
            <v>TRADICIONAL</v>
          </cell>
          <cell r="R1654" t="str">
            <v>Vía Pública Mobiliarios - Santiago</v>
          </cell>
          <cell r="S1654" t="str">
            <v>MULC - Municipalidad de las Condes</v>
          </cell>
          <cell r="T1654" t="str">
            <v>Paletas</v>
          </cell>
          <cell r="U1654">
            <v>2</v>
          </cell>
          <cell r="V1654" t="str">
            <v>1.04 * 1.37</v>
          </cell>
        </row>
        <row r="1655">
          <cell r="A1655" t="str">
            <v>MULC0045AB</v>
          </cell>
          <cell r="B1655" t="str">
            <v>Vía Pública Mobiliarios</v>
          </cell>
          <cell r="D1655" t="str">
            <v>Paletas</v>
          </cell>
          <cell r="E1655" t="str">
            <v>PARADERO</v>
          </cell>
          <cell r="F1655" t="str">
            <v>1.04 * 1.37</v>
          </cell>
          <cell r="G1655" t="str">
            <v>1.08 * 1.42</v>
          </cell>
          <cell r="H1655" t="str">
            <v>X</v>
          </cell>
          <cell r="I1655" t="str">
            <v>Las Condes</v>
          </cell>
          <cell r="L1655">
            <v>670000</v>
          </cell>
          <cell r="M1655" t="str">
            <v>Av. Las Condes S-P - Bocaccio</v>
          </cell>
          <cell r="N1655" t="str">
            <v>Sudeste</v>
          </cell>
          <cell r="P1655" t="str">
            <v>LAS CONDES</v>
          </cell>
          <cell r="Q1655" t="str">
            <v>TRADICIONAL</v>
          </cell>
          <cell r="R1655" t="str">
            <v>Vía Pública Mobiliarios - Santiago</v>
          </cell>
          <cell r="S1655" t="str">
            <v>MULC - Municipalidad de las Condes</v>
          </cell>
          <cell r="T1655" t="str">
            <v>Paletas</v>
          </cell>
          <cell r="U1655">
            <v>2</v>
          </cell>
          <cell r="V1655" t="str">
            <v>1.04 * 1.37</v>
          </cell>
        </row>
        <row r="1656">
          <cell r="A1656" t="str">
            <v>MULC0046AB</v>
          </cell>
          <cell r="B1656" t="str">
            <v>Vía Pública Mobiliarios</v>
          </cell>
          <cell r="D1656" t="str">
            <v>Paletas</v>
          </cell>
          <cell r="E1656" t="str">
            <v>PARADERO Paleta PARALELA</v>
          </cell>
          <cell r="F1656" t="str">
            <v>1.04 * 1.37</v>
          </cell>
          <cell r="G1656" t="str">
            <v>1.08 * 1.42</v>
          </cell>
          <cell r="H1656" t="str">
            <v>X</v>
          </cell>
          <cell r="I1656" t="str">
            <v>Las Condes</v>
          </cell>
          <cell r="L1656">
            <v>670000</v>
          </cell>
          <cell r="M1656" t="str">
            <v>Av. Las Condes N-O - Vicente Huidobro</v>
          </cell>
          <cell r="N1656" t="str">
            <v>Norte</v>
          </cell>
          <cell r="P1656" t="str">
            <v>LAS CONDES</v>
          </cell>
          <cell r="Q1656" t="str">
            <v>TRADICIONAL</v>
          </cell>
          <cell r="R1656" t="str">
            <v>Vía Pública Mobiliarios - Santiago</v>
          </cell>
          <cell r="S1656" t="str">
            <v>MULC - Municipalidad de las Condes</v>
          </cell>
          <cell r="T1656" t="str">
            <v>Paletas</v>
          </cell>
          <cell r="U1656">
            <v>2</v>
          </cell>
          <cell r="V1656" t="str">
            <v>1.04 * 1.37</v>
          </cell>
        </row>
        <row r="1657">
          <cell r="A1657" t="str">
            <v>MULC0047AB</v>
          </cell>
          <cell r="B1657" t="str">
            <v>Vía Pública Mobiliarios</v>
          </cell>
          <cell r="D1657" t="str">
            <v>Paletas</v>
          </cell>
          <cell r="E1657" t="str">
            <v>PARADERO</v>
          </cell>
          <cell r="F1657" t="str">
            <v>1.04 * 1.37</v>
          </cell>
          <cell r="G1657" t="str">
            <v>1.08 * 1.42</v>
          </cell>
          <cell r="H1657" t="str">
            <v>X</v>
          </cell>
          <cell r="I1657" t="str">
            <v>Las Condes</v>
          </cell>
          <cell r="L1657">
            <v>670000</v>
          </cell>
          <cell r="M1657" t="str">
            <v>Av. Las Condes Sur - Costado Estadio Israelit</v>
          </cell>
          <cell r="N1657" t="str">
            <v>Sudeste</v>
          </cell>
          <cell r="P1657" t="str">
            <v>LAS CONDES</v>
          </cell>
          <cell r="Q1657" t="str">
            <v>TRADICIONAL</v>
          </cell>
          <cell r="R1657" t="str">
            <v>Vía Pública Mobiliarios - Santiago</v>
          </cell>
          <cell r="S1657" t="str">
            <v>MULC - Municipalidad de las Condes</v>
          </cell>
          <cell r="T1657" t="str">
            <v>Paletas</v>
          </cell>
          <cell r="U1657">
            <v>2</v>
          </cell>
          <cell r="V1657" t="str">
            <v>1.04 * 1.37</v>
          </cell>
        </row>
        <row r="1658">
          <cell r="A1658" t="str">
            <v>MULC0048AB</v>
          </cell>
          <cell r="B1658" t="str">
            <v>Vía Pública Mobiliarios</v>
          </cell>
          <cell r="D1658" t="str">
            <v>Paletas</v>
          </cell>
          <cell r="E1658" t="str">
            <v>PARADERO</v>
          </cell>
          <cell r="F1658" t="str">
            <v>1.04 * 1.37</v>
          </cell>
          <cell r="G1658" t="str">
            <v>1.08 * 1.42</v>
          </cell>
          <cell r="H1658" t="str">
            <v>X</v>
          </cell>
          <cell r="I1658" t="str">
            <v>Las Condes</v>
          </cell>
          <cell r="L1658">
            <v>670000</v>
          </cell>
          <cell r="M1658" t="str">
            <v>Av. Las Condes N-O - Las Azaleas</v>
          </cell>
          <cell r="N1658" t="str">
            <v>Noreste</v>
          </cell>
          <cell r="P1658" t="str">
            <v>LAS CONDES</v>
          </cell>
          <cell r="Q1658" t="str">
            <v>TRADICIONAL</v>
          </cell>
          <cell r="R1658" t="str">
            <v>Vía Pública Mobiliarios - Santiago</v>
          </cell>
          <cell r="S1658" t="str">
            <v>MULC - Municipalidad de las Condes</v>
          </cell>
          <cell r="T1658" t="str">
            <v>Paletas</v>
          </cell>
          <cell r="U1658">
            <v>2</v>
          </cell>
          <cell r="V1658" t="str">
            <v>1.04 * 1.37</v>
          </cell>
        </row>
        <row r="1659">
          <cell r="A1659" t="str">
            <v>MULC0049AB</v>
          </cell>
          <cell r="B1659" t="str">
            <v>Vía Pública Mobiliarios</v>
          </cell>
          <cell r="D1659" t="str">
            <v>Paletas</v>
          </cell>
          <cell r="E1659" t="str">
            <v>PARADERO</v>
          </cell>
          <cell r="F1659" t="str">
            <v>1.04 * 1.37</v>
          </cell>
          <cell r="G1659" t="str">
            <v>1.08 * 1.42</v>
          </cell>
          <cell r="H1659" t="str">
            <v>X</v>
          </cell>
          <cell r="I1659" t="str">
            <v>Las Condes</v>
          </cell>
          <cell r="L1659">
            <v>670000</v>
          </cell>
          <cell r="M1659" t="str">
            <v>Av. Las Condes N-O - Rosario Rosales</v>
          </cell>
          <cell r="N1659" t="str">
            <v>Noreste</v>
          </cell>
          <cell r="P1659" t="str">
            <v>LAS CONDES</v>
          </cell>
          <cell r="Q1659" t="str">
            <v>TRADICIONAL</v>
          </cell>
          <cell r="R1659" t="str">
            <v>Vía Pública Mobiliarios - Santiago</v>
          </cell>
          <cell r="S1659" t="str">
            <v>MULC - Municipalidad de las Condes</v>
          </cell>
          <cell r="T1659" t="str">
            <v>Paletas</v>
          </cell>
          <cell r="U1659">
            <v>2</v>
          </cell>
          <cell r="V1659" t="str">
            <v>1.04 * 1.37</v>
          </cell>
        </row>
        <row r="1660">
          <cell r="A1660" t="str">
            <v>MULC0050AB</v>
          </cell>
          <cell r="B1660" t="str">
            <v>Vía Pública Mobiliarios</v>
          </cell>
          <cell r="D1660" t="str">
            <v>Paletas</v>
          </cell>
          <cell r="E1660" t="str">
            <v>PARADERO</v>
          </cell>
          <cell r="F1660" t="str">
            <v>1.04 * 1.37</v>
          </cell>
          <cell r="G1660" t="str">
            <v>1.08 * 1.42</v>
          </cell>
          <cell r="H1660" t="str">
            <v>X</v>
          </cell>
          <cell r="I1660" t="str">
            <v>Las Condes</v>
          </cell>
          <cell r="L1660">
            <v>670000</v>
          </cell>
          <cell r="M1660" t="str">
            <v>Av. Las Condes Sur - Acera Hospital Fach</v>
          </cell>
          <cell r="N1660" t="str">
            <v>Sudeste</v>
          </cell>
          <cell r="P1660" t="str">
            <v>LAS CONDES</v>
          </cell>
          <cell r="Q1660" t="str">
            <v>TRADICIONAL</v>
          </cell>
          <cell r="R1660" t="str">
            <v>Vía Pública Mobiliarios - Santiago</v>
          </cell>
          <cell r="S1660" t="str">
            <v>MULC - Municipalidad de las Condes</v>
          </cell>
          <cell r="T1660" t="str">
            <v>Paletas</v>
          </cell>
          <cell r="U1660">
            <v>2</v>
          </cell>
          <cell r="V1660" t="str">
            <v>1.04 * 1.37</v>
          </cell>
        </row>
        <row r="1661">
          <cell r="A1661" t="str">
            <v>MULC0051AB</v>
          </cell>
          <cell r="B1661" t="str">
            <v>Vía Pública Mobiliarios</v>
          </cell>
          <cell r="D1661" t="str">
            <v>Paletas</v>
          </cell>
          <cell r="E1661" t="str">
            <v>PARADERO</v>
          </cell>
          <cell r="F1661" t="str">
            <v>1.04 * 1.37</v>
          </cell>
          <cell r="G1661" t="str">
            <v>1.08 * 1.42</v>
          </cell>
          <cell r="H1661" t="str">
            <v>X</v>
          </cell>
          <cell r="I1661" t="str">
            <v>Las Condes</v>
          </cell>
          <cell r="L1661">
            <v>670000</v>
          </cell>
          <cell r="M1661" t="str">
            <v>Av. Las Condes S-P - Padre Hurtado</v>
          </cell>
          <cell r="N1661" t="str">
            <v>Sudeste</v>
          </cell>
          <cell r="P1661" t="str">
            <v>LAS CONDES</v>
          </cell>
          <cell r="Q1661" t="str">
            <v>TRADICIONAL</v>
          </cell>
          <cell r="R1661" t="str">
            <v>Vía Pública Mobiliarios - Santiago</v>
          </cell>
          <cell r="S1661" t="str">
            <v>MULC - Municipalidad de las Condes</v>
          </cell>
          <cell r="T1661" t="str">
            <v>Paletas</v>
          </cell>
          <cell r="U1661">
            <v>2</v>
          </cell>
          <cell r="V1661" t="str">
            <v>1.04 * 1.37</v>
          </cell>
        </row>
        <row r="1662">
          <cell r="A1662" t="str">
            <v>MULC0052AB</v>
          </cell>
          <cell r="B1662" t="str">
            <v>Vía Pública Mobiliarios</v>
          </cell>
          <cell r="D1662" t="str">
            <v>Paletas</v>
          </cell>
          <cell r="E1662" t="str">
            <v>PARADERO Paleta PARALELA</v>
          </cell>
          <cell r="F1662" t="str">
            <v>1.04 * 1.37</v>
          </cell>
          <cell r="G1662" t="str">
            <v>1.08 * 1.42</v>
          </cell>
          <cell r="H1662" t="str">
            <v>X</v>
          </cell>
          <cell r="I1662" t="str">
            <v>Las Condes</v>
          </cell>
          <cell r="L1662">
            <v>670000</v>
          </cell>
          <cell r="M1662" t="str">
            <v>Av. Las Condes N-O - Padre Hurtado</v>
          </cell>
          <cell r="N1662" t="str">
            <v>Norte</v>
          </cell>
          <cell r="P1662" t="str">
            <v>LAS CONDES</v>
          </cell>
          <cell r="Q1662" t="str">
            <v>TRADICIONAL</v>
          </cell>
          <cell r="R1662" t="str">
            <v>Vía Pública Mobiliarios - Santiago</v>
          </cell>
          <cell r="S1662" t="str">
            <v>MULC - Municipalidad de las Condes</v>
          </cell>
          <cell r="T1662" t="str">
            <v>Paletas</v>
          </cell>
          <cell r="U1662">
            <v>2</v>
          </cell>
          <cell r="V1662" t="str">
            <v>1.04 * 1.37</v>
          </cell>
        </row>
        <row r="1663">
          <cell r="A1663" t="str">
            <v>MULC0053AB</v>
          </cell>
          <cell r="B1663" t="str">
            <v>Vía Pública Mobiliarios</v>
          </cell>
          <cell r="D1663" t="str">
            <v>Paletas</v>
          </cell>
          <cell r="E1663" t="str">
            <v>PARADERO</v>
          </cell>
          <cell r="F1663" t="str">
            <v>1.04 * 1.37</v>
          </cell>
          <cell r="G1663" t="str">
            <v>1.08 * 1.42</v>
          </cell>
          <cell r="H1663" t="str">
            <v>X</v>
          </cell>
          <cell r="I1663" t="str">
            <v>Las Condes</v>
          </cell>
          <cell r="L1663">
            <v>670000</v>
          </cell>
          <cell r="M1663" t="str">
            <v>Av. Las Condes Norte - Frente Abadia</v>
          </cell>
          <cell r="N1663" t="str">
            <v>Noreste</v>
          </cell>
          <cell r="P1663" t="str">
            <v>LAS CONDES</v>
          </cell>
          <cell r="Q1663" t="str">
            <v>TRADICIONAL</v>
          </cell>
          <cell r="R1663" t="str">
            <v>Vía Pública Mobiliarios - Santiago</v>
          </cell>
          <cell r="S1663" t="str">
            <v>MULC - Municipalidad de las Condes</v>
          </cell>
          <cell r="T1663" t="str">
            <v>Paletas</v>
          </cell>
          <cell r="U1663">
            <v>2</v>
          </cell>
          <cell r="V1663" t="str">
            <v>1.04 * 1.37</v>
          </cell>
        </row>
        <row r="1664">
          <cell r="A1664" t="str">
            <v>MULC0054AB</v>
          </cell>
          <cell r="B1664" t="str">
            <v>Vía Pública Mobiliarios</v>
          </cell>
          <cell r="D1664" t="str">
            <v>Paletas</v>
          </cell>
          <cell r="E1664" t="str">
            <v>PARADERO Paleta PARALELA</v>
          </cell>
          <cell r="F1664" t="str">
            <v>1.04 * 1.37</v>
          </cell>
          <cell r="G1664" t="str">
            <v>1.08 * 1.42</v>
          </cell>
          <cell r="H1664" t="str">
            <v>X</v>
          </cell>
          <cell r="I1664" t="str">
            <v>Las Condes</v>
          </cell>
          <cell r="L1664">
            <v>670000</v>
          </cell>
          <cell r="M1664" t="str">
            <v>Av. Las Condes S-O - Abadia</v>
          </cell>
          <cell r="N1664" t="str">
            <v>Sur</v>
          </cell>
          <cell r="P1664" t="str">
            <v>LAS CONDES</v>
          </cell>
          <cell r="Q1664" t="str">
            <v>TRADICIONAL</v>
          </cell>
          <cell r="R1664" t="str">
            <v>Vía Pública Mobiliarios - Santiago</v>
          </cell>
          <cell r="S1664" t="str">
            <v>MULC - Municipalidad de las Condes</v>
          </cell>
          <cell r="T1664" t="str">
            <v>Paletas</v>
          </cell>
          <cell r="U1664">
            <v>2</v>
          </cell>
          <cell r="V1664" t="str">
            <v>1.04 * 1.37</v>
          </cell>
        </row>
        <row r="1665">
          <cell r="A1665" t="str">
            <v>MULC0055AB</v>
          </cell>
          <cell r="B1665" t="str">
            <v>Vía Pública Mobiliarios</v>
          </cell>
          <cell r="D1665" t="str">
            <v>Paletas</v>
          </cell>
          <cell r="E1665" t="str">
            <v>PARADERO</v>
          </cell>
          <cell r="F1665" t="str">
            <v>1.04 * 1.37</v>
          </cell>
          <cell r="G1665" t="str">
            <v>1.08 * 1.42</v>
          </cell>
          <cell r="H1665" t="str">
            <v>X</v>
          </cell>
          <cell r="I1665" t="str">
            <v>Las Condes</v>
          </cell>
          <cell r="L1665">
            <v>670000</v>
          </cell>
          <cell r="M1665" t="str">
            <v>Av. Las Condes Norte - Fte Angostura Inglesa</v>
          </cell>
          <cell r="N1665" t="str">
            <v>Noreste</v>
          </cell>
          <cell r="P1665" t="str">
            <v>LAS CONDES</v>
          </cell>
          <cell r="Q1665" t="str">
            <v>TRADICIONAL</v>
          </cell>
          <cell r="R1665" t="str">
            <v>Vía Pública Mobiliarios - Santiago</v>
          </cell>
          <cell r="S1665" t="str">
            <v>MULC - Municipalidad de las Condes</v>
          </cell>
          <cell r="T1665" t="str">
            <v>Paletas</v>
          </cell>
          <cell r="U1665">
            <v>2</v>
          </cell>
          <cell r="V1665" t="str">
            <v>1.04 * 1.37</v>
          </cell>
        </row>
        <row r="1666">
          <cell r="A1666" t="str">
            <v>MULC0056AB</v>
          </cell>
          <cell r="B1666" t="str">
            <v>Vía Pública Mobiliarios</v>
          </cell>
          <cell r="D1666" t="str">
            <v>Paletas</v>
          </cell>
          <cell r="E1666" t="str">
            <v>PARADERO</v>
          </cell>
          <cell r="F1666" t="str">
            <v>1.04 * 1.37</v>
          </cell>
          <cell r="G1666" t="str">
            <v>1.08 * 1.42</v>
          </cell>
          <cell r="H1666" t="str">
            <v>X</v>
          </cell>
          <cell r="I1666" t="str">
            <v>Las Condes</v>
          </cell>
          <cell r="L1666">
            <v>670000</v>
          </cell>
          <cell r="M1666" t="str">
            <v>Av. Las Condes S-P - Cerro Sombrero</v>
          </cell>
          <cell r="N1666" t="str">
            <v>Sudeste</v>
          </cell>
          <cell r="P1666" t="str">
            <v>LAS CONDES</v>
          </cell>
          <cell r="Q1666" t="str">
            <v>TRADICIONAL</v>
          </cell>
          <cell r="R1666" t="str">
            <v>Vía Pública Mobiliarios - Santiago</v>
          </cell>
          <cell r="S1666" t="str">
            <v>MULC - Municipalidad de las Condes</v>
          </cell>
          <cell r="T1666" t="str">
            <v>Paletas</v>
          </cell>
          <cell r="U1666">
            <v>2</v>
          </cell>
          <cell r="V1666" t="str">
            <v>1.04 * 1.37</v>
          </cell>
        </row>
        <row r="1667">
          <cell r="A1667" t="str">
            <v>MULC0059AB</v>
          </cell>
          <cell r="B1667" t="str">
            <v>Vía Pública Mobiliarios</v>
          </cell>
          <cell r="D1667" t="str">
            <v>Paletas</v>
          </cell>
          <cell r="E1667" t="str">
            <v>PARADERO</v>
          </cell>
          <cell r="F1667" t="str">
            <v>1.04 * 1.37</v>
          </cell>
          <cell r="G1667" t="str">
            <v>1.08 * 1.42</v>
          </cell>
          <cell r="H1667" t="str">
            <v>X</v>
          </cell>
          <cell r="I1667" t="str">
            <v>Las Condes</v>
          </cell>
          <cell r="L1667">
            <v>670000</v>
          </cell>
          <cell r="M1667" t="str">
            <v>Av. Las Condes S-P - Valle Alegre</v>
          </cell>
          <cell r="N1667" t="str">
            <v>Sudeste</v>
          </cell>
          <cell r="P1667" t="str">
            <v>LAS CONDES</v>
          </cell>
          <cell r="Q1667" t="str">
            <v>TRADICIONAL</v>
          </cell>
          <cell r="R1667" t="str">
            <v>Vía Pública Mobiliarios - Santiago</v>
          </cell>
          <cell r="S1667" t="str">
            <v>MULC - Municipalidad de las Condes</v>
          </cell>
          <cell r="T1667" t="str">
            <v>Paletas</v>
          </cell>
          <cell r="U1667">
            <v>2</v>
          </cell>
          <cell r="V1667" t="str">
            <v>1.04 * 1.37</v>
          </cell>
        </row>
        <row r="1668">
          <cell r="A1668" t="str">
            <v>MULC0060AB</v>
          </cell>
          <cell r="B1668" t="str">
            <v>Vía Pública Mobiliarios</v>
          </cell>
          <cell r="D1668" t="str">
            <v>Paletas</v>
          </cell>
          <cell r="E1668" t="str">
            <v>PARADERO</v>
          </cell>
          <cell r="F1668" t="str">
            <v>1.04 * 1.37</v>
          </cell>
          <cell r="G1668" t="str">
            <v>1.08 * 1.42</v>
          </cell>
          <cell r="H1668" t="str">
            <v>X</v>
          </cell>
          <cell r="I1668" t="str">
            <v>Las Condes</v>
          </cell>
          <cell r="L1668">
            <v>670000</v>
          </cell>
          <cell r="M1668" t="str">
            <v>Av. Las Condes S-P - San Damian</v>
          </cell>
          <cell r="N1668" t="str">
            <v>Sudeste</v>
          </cell>
          <cell r="P1668" t="str">
            <v>LAS CONDES</v>
          </cell>
          <cell r="Q1668" t="str">
            <v>TRADICIONAL</v>
          </cell>
          <cell r="R1668" t="str">
            <v>Vía Pública Mobiliarios - Santiago</v>
          </cell>
          <cell r="S1668" t="str">
            <v>MULC - Municipalidad de las Condes</v>
          </cell>
          <cell r="T1668" t="str">
            <v>Paletas</v>
          </cell>
          <cell r="U1668">
            <v>2</v>
          </cell>
          <cell r="V1668" t="str">
            <v>1.04 * 1.37</v>
          </cell>
        </row>
        <row r="1669">
          <cell r="A1669" t="str">
            <v>MULC0061AB</v>
          </cell>
          <cell r="B1669" t="str">
            <v>Vía Pública Mobiliarios</v>
          </cell>
          <cell r="D1669" t="str">
            <v>Paletas</v>
          </cell>
          <cell r="E1669" t="str">
            <v>PARADERO</v>
          </cell>
          <cell r="F1669" t="str">
            <v>1.04 * 1.37</v>
          </cell>
          <cell r="G1669" t="str">
            <v>1.08 * 1.42</v>
          </cell>
          <cell r="H1669" t="str">
            <v>X</v>
          </cell>
          <cell r="I1669" t="str">
            <v>Las Condes</v>
          </cell>
          <cell r="L1669">
            <v>670000</v>
          </cell>
          <cell r="M1669" t="str">
            <v>Av. Las Condes - Costado Colegio Dunalaster</v>
          </cell>
          <cell r="N1669" t="str">
            <v>Sudeste</v>
          </cell>
          <cell r="P1669" t="str">
            <v>LAS CONDES</v>
          </cell>
          <cell r="Q1669" t="str">
            <v>TRADICIONAL</v>
          </cell>
          <cell r="R1669" t="str">
            <v>Vía Pública Mobiliarios - Santiago</v>
          </cell>
          <cell r="S1669" t="str">
            <v>MULC - Municipalidad de las Condes</v>
          </cell>
          <cell r="T1669" t="str">
            <v>Paletas</v>
          </cell>
          <cell r="U1669">
            <v>2</v>
          </cell>
          <cell r="V1669" t="str">
            <v>1.04 * 1.37</v>
          </cell>
        </row>
        <row r="1670">
          <cell r="A1670" t="str">
            <v>MULC0062AB</v>
          </cell>
          <cell r="B1670" t="str">
            <v>Vía Pública Mobiliarios</v>
          </cell>
          <cell r="D1670" t="str">
            <v>Paletas</v>
          </cell>
          <cell r="E1670" t="str">
            <v>PARADERO</v>
          </cell>
          <cell r="F1670" t="str">
            <v>1.04 * 1.37</v>
          </cell>
          <cell r="G1670" t="str">
            <v>1.08 * 1.42</v>
          </cell>
          <cell r="H1670" t="str">
            <v>X</v>
          </cell>
          <cell r="I1670" t="str">
            <v>Las Condes</v>
          </cell>
          <cell r="L1670">
            <v>670000</v>
          </cell>
          <cell r="M1670" t="str">
            <v>Av. Las Condes S-P - San Jose de la Sierra</v>
          </cell>
          <cell r="N1670" t="str">
            <v>Sudeste</v>
          </cell>
          <cell r="P1670" t="str">
            <v>LAS CONDES</v>
          </cell>
          <cell r="Q1670" t="str">
            <v>TRADICIONAL</v>
          </cell>
          <cell r="R1670" t="str">
            <v>Vía Pública Mobiliarios - Santiago</v>
          </cell>
          <cell r="S1670" t="str">
            <v>MULC - Municipalidad de las Condes</v>
          </cell>
          <cell r="T1670" t="str">
            <v>Paletas</v>
          </cell>
          <cell r="U1670">
            <v>2</v>
          </cell>
          <cell r="V1670" t="str">
            <v>1.04 * 1.37</v>
          </cell>
        </row>
        <row r="1671">
          <cell r="A1671" t="str">
            <v>MULC0063AB</v>
          </cell>
          <cell r="B1671" t="str">
            <v>Vía Pública Mobiliarios</v>
          </cell>
          <cell r="D1671" t="str">
            <v>NO VENDIBLE</v>
          </cell>
          <cell r="E1671" t="str">
            <v>PARADERO</v>
          </cell>
          <cell r="F1671" t="str">
            <v>1.04 * 1.37</v>
          </cell>
          <cell r="G1671" t="str">
            <v>1.08 * 1.42</v>
          </cell>
          <cell r="H1671" t="str">
            <v>X</v>
          </cell>
          <cell r="I1671" t="str">
            <v>Cmno Farellones</v>
          </cell>
          <cell r="L1671">
            <v>670000</v>
          </cell>
          <cell r="M1671" t="str">
            <v>Camino Farellones - A. Del Monte</v>
          </cell>
          <cell r="O1671" t="str">
            <v>Sí</v>
          </cell>
          <cell r="P1671" t="str">
            <v>LAS CONDES</v>
          </cell>
          <cell r="Q1671" t="str">
            <v>TRADICIONAL</v>
          </cell>
          <cell r="R1671" t="str">
            <v>Vía Pública Mobiliarios - Santiago</v>
          </cell>
          <cell r="S1671" t="str">
            <v>MULC - Municipalidad de las Condes</v>
          </cell>
          <cell r="T1671" t="str">
            <v>Paletas</v>
          </cell>
          <cell r="U1671">
            <v>2</v>
          </cell>
          <cell r="V1671" t="str">
            <v>1.04 * 1.37</v>
          </cell>
        </row>
        <row r="1672">
          <cell r="A1672" t="str">
            <v>MULC0064AB</v>
          </cell>
          <cell r="B1672" t="str">
            <v>Vía Pública Mobiliarios</v>
          </cell>
          <cell r="D1672" t="str">
            <v>Paletas</v>
          </cell>
          <cell r="E1672" t="str">
            <v>PARADERO</v>
          </cell>
          <cell r="F1672" t="str">
            <v>1.04 * 1.37</v>
          </cell>
          <cell r="G1672" t="str">
            <v>1.08 * 1.42</v>
          </cell>
          <cell r="H1672" t="str">
            <v>X</v>
          </cell>
          <cell r="I1672" t="str">
            <v>Cmno Las Flores</v>
          </cell>
          <cell r="L1672">
            <v>670000</v>
          </cell>
          <cell r="M1672" t="str">
            <v>Camino Las Flores Norte - Fte. Camino Mirasol</v>
          </cell>
          <cell r="N1672" t="str">
            <v>Norte</v>
          </cell>
          <cell r="P1672" t="str">
            <v>LAS CONDES</v>
          </cell>
          <cell r="Q1672" t="str">
            <v>TRADICIONAL</v>
          </cell>
          <cell r="R1672" t="str">
            <v>Vía Pública Mobiliarios - Santiago</v>
          </cell>
          <cell r="S1672" t="str">
            <v>MULC - Municipalidad de las Condes</v>
          </cell>
          <cell r="T1672" t="str">
            <v>Paletas</v>
          </cell>
          <cell r="U1672">
            <v>2</v>
          </cell>
          <cell r="V1672" t="str">
            <v>1.04 * 1.37</v>
          </cell>
        </row>
        <row r="1673">
          <cell r="A1673" t="str">
            <v>MULC0065AB</v>
          </cell>
          <cell r="B1673" t="str">
            <v>Vía Pública Mobiliarios</v>
          </cell>
          <cell r="D1673" t="str">
            <v>Paletas</v>
          </cell>
          <cell r="E1673" t="str">
            <v>PARADERO</v>
          </cell>
          <cell r="F1673" t="str">
            <v>1.04 * 1.37</v>
          </cell>
          <cell r="G1673" t="str">
            <v>1.08 * 1.42</v>
          </cell>
          <cell r="H1673" t="str">
            <v>X</v>
          </cell>
          <cell r="I1673" t="str">
            <v>Cmno Otonal</v>
          </cell>
          <cell r="L1673">
            <v>670000</v>
          </cell>
          <cell r="M1673" t="str">
            <v>Camino Oto¤al - Republica de Honduras</v>
          </cell>
          <cell r="N1673" t="str">
            <v>Noreste</v>
          </cell>
          <cell r="P1673" t="str">
            <v>LAS CONDES</v>
          </cell>
          <cell r="Q1673" t="str">
            <v>TRADICIONAL</v>
          </cell>
          <cell r="R1673" t="str">
            <v>Vía Pública Mobiliarios - Santiago</v>
          </cell>
          <cell r="S1673" t="str">
            <v>MULC - Municipalidad de las Condes</v>
          </cell>
          <cell r="T1673" t="str">
            <v>Paletas</v>
          </cell>
          <cell r="U1673">
            <v>2</v>
          </cell>
          <cell r="V1673" t="str">
            <v>1.04 * 1.37</v>
          </cell>
        </row>
        <row r="1674">
          <cell r="A1674" t="str">
            <v>MULC0066AB</v>
          </cell>
          <cell r="B1674" t="str">
            <v>Vía Pública Mobiliarios</v>
          </cell>
          <cell r="D1674" t="str">
            <v>Paletas</v>
          </cell>
          <cell r="E1674" t="str">
            <v>PARADERO</v>
          </cell>
          <cell r="F1674" t="str">
            <v>1.04 * 1.37</v>
          </cell>
          <cell r="G1674" t="str">
            <v>1.08 * 1.42</v>
          </cell>
          <cell r="H1674" t="str">
            <v>X</v>
          </cell>
          <cell r="I1674" t="str">
            <v>F.Bulnes Correa</v>
          </cell>
          <cell r="L1674">
            <v>670000</v>
          </cell>
          <cell r="M1674" t="str">
            <v>Francisco Bulnes Correa N-P - Camino Las FLor</v>
          </cell>
          <cell r="N1674" t="str">
            <v>Sudeste</v>
          </cell>
          <cell r="P1674" t="str">
            <v>LAS CONDES</v>
          </cell>
          <cell r="Q1674" t="str">
            <v>TRADICIONAL</v>
          </cell>
          <cell r="R1674" t="str">
            <v>Vía Pública Mobiliarios - Santiago</v>
          </cell>
          <cell r="S1674" t="str">
            <v>MULC - Municipalidad de las Condes</v>
          </cell>
          <cell r="T1674" t="str">
            <v>Paletas</v>
          </cell>
          <cell r="U1674">
            <v>2</v>
          </cell>
          <cell r="V1674" t="str">
            <v>1.04 * 1.37</v>
          </cell>
        </row>
        <row r="1675">
          <cell r="A1675" t="str">
            <v>MULC0067AB</v>
          </cell>
          <cell r="B1675" t="str">
            <v>Vía Pública Mobiliarios</v>
          </cell>
          <cell r="D1675" t="str">
            <v>Paletas</v>
          </cell>
          <cell r="E1675" t="str">
            <v>PARADERO</v>
          </cell>
          <cell r="F1675" t="str">
            <v>1.04 * 1.37</v>
          </cell>
          <cell r="G1675" t="str">
            <v>1.08 * 1.42</v>
          </cell>
          <cell r="H1675" t="str">
            <v>X</v>
          </cell>
          <cell r="I1675" t="str">
            <v>Cmno Las Flores</v>
          </cell>
          <cell r="L1675">
            <v>670000</v>
          </cell>
          <cell r="M1675" t="str">
            <v>Camino Las Flores N-O - Francisco Bulnes Corr</v>
          </cell>
          <cell r="N1675" t="str">
            <v>Noreste</v>
          </cell>
          <cell r="P1675" t="str">
            <v>LAS CONDES</v>
          </cell>
          <cell r="Q1675" t="str">
            <v>TRADICIONAL</v>
          </cell>
          <cell r="R1675" t="str">
            <v>Vía Pública Mobiliarios - Santiago</v>
          </cell>
          <cell r="S1675" t="str">
            <v>MULC - Municipalidad de las Condes</v>
          </cell>
          <cell r="T1675" t="str">
            <v>Paletas</v>
          </cell>
          <cell r="U1675">
            <v>2</v>
          </cell>
          <cell r="V1675" t="str">
            <v>1.04 * 1.37</v>
          </cell>
        </row>
        <row r="1676">
          <cell r="A1676" t="str">
            <v>MULC0068AB</v>
          </cell>
          <cell r="B1676" t="str">
            <v>Vía Pública Mobiliarios</v>
          </cell>
          <cell r="D1676" t="str">
            <v>Paletas</v>
          </cell>
          <cell r="E1676" t="str">
            <v>PARADERO</v>
          </cell>
          <cell r="F1676" t="str">
            <v>1.04 * 1.37</v>
          </cell>
          <cell r="G1676" t="str">
            <v>1.08 * 1.42</v>
          </cell>
          <cell r="H1676" t="str">
            <v>X</v>
          </cell>
          <cell r="I1676" t="str">
            <v>Cmno Las Flores</v>
          </cell>
          <cell r="L1676">
            <v>670000</v>
          </cell>
          <cell r="M1676" t="str">
            <v>Camino Las Flores N-O - Camino Las Vertientes</v>
          </cell>
          <cell r="N1676" t="str">
            <v>Noreste</v>
          </cell>
          <cell r="P1676" t="str">
            <v>LAS CONDES</v>
          </cell>
          <cell r="Q1676" t="str">
            <v>TRADICIONAL</v>
          </cell>
          <cell r="R1676" t="str">
            <v>Vía Pública Mobiliarios - Santiago</v>
          </cell>
          <cell r="S1676" t="str">
            <v>MULC - Municipalidad de las Condes</v>
          </cell>
          <cell r="T1676" t="str">
            <v>Paletas</v>
          </cell>
          <cell r="U1676">
            <v>2</v>
          </cell>
          <cell r="V1676" t="str">
            <v>1.04 * 1.37</v>
          </cell>
        </row>
        <row r="1677">
          <cell r="A1677" t="str">
            <v>MULC0069AB</v>
          </cell>
          <cell r="B1677" t="str">
            <v>Vía Pública Mobiliarios</v>
          </cell>
          <cell r="D1677" t="str">
            <v>Paletas</v>
          </cell>
          <cell r="E1677" t="str">
            <v>PARADERO</v>
          </cell>
          <cell r="F1677" t="str">
            <v>1.04 * 1.37</v>
          </cell>
          <cell r="G1677" t="str">
            <v>1.08 * 1.42</v>
          </cell>
          <cell r="H1677" t="str">
            <v>X</v>
          </cell>
          <cell r="I1677" t="str">
            <v>Cmno Las Flores</v>
          </cell>
          <cell r="L1677">
            <v>670000</v>
          </cell>
          <cell r="M1677" t="str">
            <v>Camino Las Flores N-P - La Plaza</v>
          </cell>
          <cell r="N1677" t="str">
            <v>Noroeste</v>
          </cell>
          <cell r="P1677" t="str">
            <v>LAS CONDES</v>
          </cell>
          <cell r="Q1677" t="str">
            <v>TRADICIONAL</v>
          </cell>
          <cell r="R1677" t="str">
            <v>Vía Pública Mobiliarios - Santiago</v>
          </cell>
          <cell r="S1677" t="str">
            <v>MULC - Municipalidad de las Condes</v>
          </cell>
          <cell r="T1677" t="str">
            <v>Paletas</v>
          </cell>
          <cell r="U1677">
            <v>2</v>
          </cell>
          <cell r="V1677" t="str">
            <v>1.04 * 1.37</v>
          </cell>
        </row>
        <row r="1678">
          <cell r="A1678" t="str">
            <v>MULC0070AB</v>
          </cell>
          <cell r="B1678" t="str">
            <v>Vía Pública Mobiliarios</v>
          </cell>
          <cell r="D1678" t="str">
            <v>NO VENDIBLE</v>
          </cell>
          <cell r="E1678" t="str">
            <v>PARADERO</v>
          </cell>
          <cell r="F1678" t="str">
            <v>1.04 * 1.37</v>
          </cell>
          <cell r="G1678" t="str">
            <v>1.08 * 1.42</v>
          </cell>
          <cell r="H1678" t="str">
            <v>X</v>
          </cell>
          <cell r="I1678" t="str">
            <v>Cmno El Alba</v>
          </cell>
          <cell r="L1678">
            <v>670000</v>
          </cell>
          <cell r="M1678" t="str">
            <v>Camino El Alba - San Carlos de Apoquindo</v>
          </cell>
          <cell r="O1678" t="str">
            <v>Sí</v>
          </cell>
          <cell r="P1678" t="str">
            <v>LAS CONDES</v>
          </cell>
          <cell r="Q1678" t="str">
            <v>TRADICIONAL</v>
          </cell>
          <cell r="R1678" t="str">
            <v>Vía Pública Mobiliarios - Santiago</v>
          </cell>
          <cell r="S1678" t="str">
            <v>MULC - Municipalidad de las Condes</v>
          </cell>
          <cell r="T1678" t="str">
            <v>Paletas</v>
          </cell>
          <cell r="U1678">
            <v>2</v>
          </cell>
          <cell r="V1678" t="str">
            <v>1.04 * 1.37</v>
          </cell>
        </row>
        <row r="1679">
          <cell r="A1679" t="str">
            <v>MULC0071AB</v>
          </cell>
          <cell r="B1679" t="str">
            <v>Vía Pública Mobiliarios</v>
          </cell>
          <cell r="D1679" t="str">
            <v>Paletas</v>
          </cell>
          <cell r="E1679" t="str">
            <v>PARADERO Paleta PARALELA</v>
          </cell>
          <cell r="F1679" t="str">
            <v>1.04 * 1.37</v>
          </cell>
          <cell r="G1679" t="str">
            <v>1.08 * 1.42</v>
          </cell>
          <cell r="H1679" t="str">
            <v>X</v>
          </cell>
          <cell r="I1679" t="str">
            <v>Cmno El Algarrob</v>
          </cell>
          <cell r="L1679">
            <v>670000</v>
          </cell>
          <cell r="M1679" t="str">
            <v>Camino El Algarrobo - Los Pintores</v>
          </cell>
          <cell r="N1679" t="str">
            <v>Norte</v>
          </cell>
          <cell r="P1679" t="str">
            <v>LAS CONDES</v>
          </cell>
          <cell r="Q1679" t="str">
            <v>TRADICIONAL</v>
          </cell>
          <cell r="R1679" t="str">
            <v>Vía Pública Mobiliarios - Santiago</v>
          </cell>
          <cell r="S1679" t="str">
            <v>MULC - Municipalidad de las Condes</v>
          </cell>
          <cell r="T1679" t="str">
            <v>Paletas</v>
          </cell>
          <cell r="U1679">
            <v>2</v>
          </cell>
          <cell r="V1679" t="str">
            <v>1.04 * 1.37</v>
          </cell>
        </row>
        <row r="1680">
          <cell r="A1680" t="str">
            <v>MULC0072AB</v>
          </cell>
          <cell r="B1680" t="str">
            <v>Vía Pública Mobiliarios</v>
          </cell>
          <cell r="D1680" t="str">
            <v>Paletas</v>
          </cell>
          <cell r="E1680" t="str">
            <v>PARADERO</v>
          </cell>
          <cell r="F1680" t="str">
            <v>1.04 * 1.37</v>
          </cell>
          <cell r="G1680" t="str">
            <v>1.08 * 1.42</v>
          </cell>
          <cell r="H1680" t="str">
            <v>X</v>
          </cell>
          <cell r="I1680" t="str">
            <v>Cmno El Alba</v>
          </cell>
          <cell r="L1680">
            <v>670000</v>
          </cell>
          <cell r="M1680" t="str">
            <v>Camino El Alba Norte - Fte Vital Apoquindo</v>
          </cell>
          <cell r="N1680" t="str">
            <v>Noreste</v>
          </cell>
          <cell r="P1680" t="str">
            <v>LAS CONDES</v>
          </cell>
          <cell r="Q1680" t="str">
            <v>TRADICIONAL</v>
          </cell>
          <cell r="R1680" t="str">
            <v>Vía Pública Mobiliarios - Santiago</v>
          </cell>
          <cell r="S1680" t="str">
            <v>MULC - Municipalidad de las Condes</v>
          </cell>
          <cell r="T1680" t="str">
            <v>Paletas</v>
          </cell>
          <cell r="U1680">
            <v>2</v>
          </cell>
          <cell r="V1680" t="str">
            <v>1.04 * 1.37</v>
          </cell>
        </row>
        <row r="1681">
          <cell r="A1681" t="str">
            <v>MULC0073AB</v>
          </cell>
          <cell r="B1681" t="str">
            <v>Vía Pública Mobiliarios</v>
          </cell>
          <cell r="D1681" t="str">
            <v>Paletas</v>
          </cell>
          <cell r="E1681" t="str">
            <v>PARADERO</v>
          </cell>
          <cell r="F1681" t="str">
            <v>1.04 * 1.37</v>
          </cell>
          <cell r="G1681" t="str">
            <v>1.08 * 1.42</v>
          </cell>
          <cell r="H1681" t="str">
            <v>X</v>
          </cell>
          <cell r="I1681" t="str">
            <v>Cmno El Alba</v>
          </cell>
          <cell r="L1681">
            <v>670000</v>
          </cell>
          <cell r="M1681" t="str">
            <v>Camino El Alba Norte - Camino El Observatorio</v>
          </cell>
          <cell r="N1681" t="str">
            <v>Noreste</v>
          </cell>
          <cell r="P1681" t="str">
            <v>LAS CONDES</v>
          </cell>
          <cell r="Q1681" t="str">
            <v>TRADICIONAL</v>
          </cell>
          <cell r="R1681" t="str">
            <v>Vía Pública Mobiliarios - Santiago</v>
          </cell>
          <cell r="S1681" t="str">
            <v>MULC - Municipalidad de las Condes</v>
          </cell>
          <cell r="T1681" t="str">
            <v>Paletas</v>
          </cell>
          <cell r="U1681">
            <v>2</v>
          </cell>
          <cell r="V1681" t="str">
            <v>1.04 * 1.37</v>
          </cell>
        </row>
        <row r="1682">
          <cell r="A1682" t="str">
            <v>MULC0074AB</v>
          </cell>
          <cell r="B1682" t="str">
            <v>Vía Pública Mobiliarios</v>
          </cell>
          <cell r="D1682" t="str">
            <v>Paletas</v>
          </cell>
          <cell r="E1682" t="str">
            <v>PARADERO</v>
          </cell>
          <cell r="F1682" t="str">
            <v>1.04 * 1.37</v>
          </cell>
          <cell r="G1682" t="str">
            <v>1.08 * 1.42</v>
          </cell>
          <cell r="H1682" t="str">
            <v>X</v>
          </cell>
          <cell r="I1682" t="str">
            <v>Cmno El Alba</v>
          </cell>
          <cell r="L1682">
            <v>670000</v>
          </cell>
          <cell r="M1682" t="str">
            <v>Camino El Alba S-P - Paul Harris</v>
          </cell>
          <cell r="N1682" t="str">
            <v>Sudoeste</v>
          </cell>
          <cell r="P1682" t="str">
            <v>LAS CONDES</v>
          </cell>
          <cell r="Q1682" t="str">
            <v>TRADICIONAL</v>
          </cell>
          <cell r="R1682" t="str">
            <v>Vía Pública Mobiliarios - Santiago</v>
          </cell>
          <cell r="S1682" t="str">
            <v>MULC - Municipalidad de las Condes</v>
          </cell>
          <cell r="T1682" t="str">
            <v>Paletas</v>
          </cell>
          <cell r="U1682">
            <v>2</v>
          </cell>
          <cell r="V1682" t="str">
            <v>1.04 * 1.37</v>
          </cell>
        </row>
        <row r="1683">
          <cell r="A1683" t="str">
            <v>MULC0075AB</v>
          </cell>
          <cell r="B1683" t="str">
            <v>Vía Pública Mobiliarios</v>
          </cell>
          <cell r="D1683" t="str">
            <v>Paletas</v>
          </cell>
          <cell r="E1683" t="str">
            <v>PARADERO</v>
          </cell>
          <cell r="F1683" t="str">
            <v>1.04 * 1.37</v>
          </cell>
          <cell r="G1683" t="str">
            <v>1.08 * 1.42</v>
          </cell>
          <cell r="H1683" t="str">
            <v>X</v>
          </cell>
          <cell r="I1683" t="str">
            <v>Cmno El Alba</v>
          </cell>
          <cell r="L1683">
            <v>670000</v>
          </cell>
          <cell r="M1683" t="str">
            <v>Camino El Alba N-O - Waterloo</v>
          </cell>
          <cell r="N1683" t="str">
            <v>Noreste</v>
          </cell>
          <cell r="P1683" t="str">
            <v>LAS CONDES</v>
          </cell>
          <cell r="Q1683" t="str">
            <v>TRADICIONAL</v>
          </cell>
          <cell r="R1683" t="str">
            <v>Vía Pública Mobiliarios - Santiago</v>
          </cell>
          <cell r="S1683" t="str">
            <v>MULC - Municipalidad de las Condes</v>
          </cell>
          <cell r="T1683" t="str">
            <v>Paletas</v>
          </cell>
          <cell r="U1683">
            <v>2</v>
          </cell>
          <cell r="V1683" t="str">
            <v>1.04 * 1.37</v>
          </cell>
        </row>
        <row r="1684">
          <cell r="A1684" t="str">
            <v>MULC0076AB</v>
          </cell>
          <cell r="B1684" t="str">
            <v>Vía Pública Mobiliarios</v>
          </cell>
          <cell r="D1684" t="str">
            <v>Paletas</v>
          </cell>
          <cell r="E1684" t="str">
            <v>PARADERO</v>
          </cell>
          <cell r="F1684" t="str">
            <v>1.04 * 1.37</v>
          </cell>
          <cell r="G1684" t="str">
            <v>1.08 * 1.42</v>
          </cell>
          <cell r="H1684" t="str">
            <v>X</v>
          </cell>
          <cell r="I1684" t="str">
            <v>Cmno El Alba</v>
          </cell>
          <cell r="L1684">
            <v>670000</v>
          </cell>
          <cell r="M1684" t="str">
            <v>Camino El Alba Sur - Padre Hurtado</v>
          </cell>
          <cell r="N1684" t="str">
            <v>Sudoeste</v>
          </cell>
          <cell r="P1684" t="str">
            <v>LAS CONDES</v>
          </cell>
          <cell r="Q1684" t="str">
            <v>TRADICIONAL</v>
          </cell>
          <cell r="R1684" t="str">
            <v>Vía Pública Mobiliarios - Santiago</v>
          </cell>
          <cell r="S1684" t="str">
            <v>MULC - Municipalidad de las Condes</v>
          </cell>
          <cell r="T1684" t="str">
            <v>Paletas</v>
          </cell>
          <cell r="U1684">
            <v>2</v>
          </cell>
          <cell r="V1684" t="str">
            <v>1.04 * 1.37</v>
          </cell>
        </row>
        <row r="1685">
          <cell r="A1685" t="str">
            <v>MULC0077AB</v>
          </cell>
          <cell r="B1685" t="str">
            <v>Vía Pública Mobiliarios</v>
          </cell>
          <cell r="D1685" t="str">
            <v>Paletas</v>
          </cell>
          <cell r="E1685" t="str">
            <v>PARADERO</v>
          </cell>
          <cell r="F1685" t="str">
            <v>1.04 * 1.37</v>
          </cell>
          <cell r="G1685" t="str">
            <v>1.08 * 1.42</v>
          </cell>
          <cell r="H1685" t="str">
            <v>X</v>
          </cell>
          <cell r="I1685" t="str">
            <v>Cmno El Alba</v>
          </cell>
          <cell r="L1685">
            <v>670000</v>
          </cell>
          <cell r="M1685" t="str">
            <v>Camino El Alba N-O - Padre Hurtado</v>
          </cell>
          <cell r="N1685" t="str">
            <v>Noreste</v>
          </cell>
          <cell r="P1685" t="str">
            <v>LAS CONDES</v>
          </cell>
          <cell r="Q1685" t="str">
            <v>TRADICIONAL</v>
          </cell>
          <cell r="R1685" t="str">
            <v>Vía Pública Mobiliarios - Santiago</v>
          </cell>
          <cell r="S1685" t="str">
            <v>MULC - Municipalidad de las Condes</v>
          </cell>
          <cell r="T1685" t="str">
            <v>Paletas</v>
          </cell>
          <cell r="U1685">
            <v>2</v>
          </cell>
          <cell r="V1685" t="str">
            <v>1.04 * 1.37</v>
          </cell>
        </row>
        <row r="1686">
          <cell r="A1686" t="str">
            <v>MULC0078AB</v>
          </cell>
          <cell r="B1686" t="str">
            <v>Vía Pública Mobiliarios</v>
          </cell>
          <cell r="D1686" t="str">
            <v>Paletas</v>
          </cell>
          <cell r="E1686" t="str">
            <v>PARADERO</v>
          </cell>
          <cell r="F1686" t="str">
            <v>1.04 * 1.37</v>
          </cell>
          <cell r="G1686" t="str">
            <v>1.08 * 1.42</v>
          </cell>
          <cell r="H1686" t="str">
            <v>X</v>
          </cell>
          <cell r="I1686" t="str">
            <v>Padre Hurtado</v>
          </cell>
          <cell r="L1686">
            <v>670000</v>
          </cell>
          <cell r="M1686" t="str">
            <v>Padre Hurtado N-P - Edimburgo</v>
          </cell>
          <cell r="N1686" t="str">
            <v>Sudeste</v>
          </cell>
          <cell r="P1686" t="str">
            <v>LAS CONDES</v>
          </cell>
          <cell r="Q1686" t="str">
            <v>TRADICIONAL</v>
          </cell>
          <cell r="R1686" t="str">
            <v>Vía Pública Mobiliarios - Santiago</v>
          </cell>
          <cell r="S1686" t="str">
            <v>MULC - Municipalidad de las Condes</v>
          </cell>
          <cell r="T1686" t="str">
            <v>Paletas</v>
          </cell>
          <cell r="U1686">
            <v>2</v>
          </cell>
          <cell r="V1686" t="str">
            <v>1.04 * 1.37</v>
          </cell>
        </row>
        <row r="1687">
          <cell r="A1687" t="str">
            <v>MULC0079AB</v>
          </cell>
          <cell r="B1687" t="str">
            <v>Vía Pública Mobiliarios</v>
          </cell>
          <cell r="D1687" t="str">
            <v>Paletas</v>
          </cell>
          <cell r="E1687" t="str">
            <v>PARADERO</v>
          </cell>
          <cell r="F1687" t="str">
            <v>1.04 * 1.37</v>
          </cell>
          <cell r="G1687" t="str">
            <v>1.08 * 1.42</v>
          </cell>
          <cell r="H1687" t="str">
            <v>X</v>
          </cell>
          <cell r="I1687" t="str">
            <v>Padre Hurtado</v>
          </cell>
          <cell r="L1687">
            <v>670000</v>
          </cell>
          <cell r="M1687" t="str">
            <v>Padre Hurtado N-P - Bocaccio</v>
          </cell>
          <cell r="N1687" t="str">
            <v>Sudeste</v>
          </cell>
          <cell r="P1687" t="str">
            <v>LAS CONDES</v>
          </cell>
          <cell r="Q1687" t="str">
            <v>TRADICIONAL</v>
          </cell>
          <cell r="R1687" t="str">
            <v>Vía Pública Mobiliarios - Santiago</v>
          </cell>
          <cell r="S1687" t="str">
            <v>MULC - Municipalidad de las Condes</v>
          </cell>
          <cell r="T1687" t="str">
            <v>Paletas</v>
          </cell>
          <cell r="U1687">
            <v>2</v>
          </cell>
          <cell r="V1687" t="str">
            <v>1.04 * 1.37</v>
          </cell>
        </row>
        <row r="1688">
          <cell r="A1688" t="str">
            <v>MULC0080AB</v>
          </cell>
          <cell r="B1688" t="str">
            <v>Vía Pública Mobiliarios</v>
          </cell>
          <cell r="D1688" t="str">
            <v>Paletas</v>
          </cell>
          <cell r="E1688" t="str">
            <v>PARADERO</v>
          </cell>
          <cell r="F1688" t="str">
            <v>1.04 * 1.37</v>
          </cell>
          <cell r="G1688" t="str">
            <v>1.08 * 1.42</v>
          </cell>
          <cell r="H1688" t="str">
            <v>X</v>
          </cell>
          <cell r="I1688" t="str">
            <v>Cmno El Alba</v>
          </cell>
          <cell r="L1688">
            <v>670000</v>
          </cell>
          <cell r="M1688" t="str">
            <v>Camino El Alba - Apoquindo</v>
          </cell>
          <cell r="N1688" t="str">
            <v>Sudeste</v>
          </cell>
          <cell r="P1688" t="str">
            <v>LAS CONDES</v>
          </cell>
          <cell r="Q1688" t="str">
            <v>TRADICIONAL</v>
          </cell>
          <cell r="R1688" t="str">
            <v>Vía Pública Mobiliarios - Santiago</v>
          </cell>
          <cell r="S1688" t="str">
            <v>MULC - Municipalidad de las Condes</v>
          </cell>
          <cell r="T1688" t="str">
            <v>Paletas</v>
          </cell>
          <cell r="U1688">
            <v>2</v>
          </cell>
          <cell r="V1688" t="str">
            <v>1.04 * 1.37</v>
          </cell>
        </row>
        <row r="1689">
          <cell r="A1689" t="str">
            <v>MULC0081AB</v>
          </cell>
          <cell r="B1689" t="str">
            <v>Vía Pública Mobiliarios</v>
          </cell>
          <cell r="D1689" t="str">
            <v>NO VENDIBLE</v>
          </cell>
          <cell r="E1689" t="str">
            <v>PARADERO</v>
          </cell>
          <cell r="F1689" t="str">
            <v>1.04 * 1.37</v>
          </cell>
          <cell r="G1689" t="str">
            <v>1.08 * 1.42</v>
          </cell>
          <cell r="H1689" t="str">
            <v>X</v>
          </cell>
          <cell r="I1689" t="str">
            <v>Talavera de la R</v>
          </cell>
          <cell r="L1689">
            <v>670000</v>
          </cell>
          <cell r="M1689" t="str">
            <v>Talavera de la Reina - Los Dominicos</v>
          </cell>
          <cell r="O1689" t="str">
            <v>Sí</v>
          </cell>
          <cell r="P1689" t="str">
            <v>LAS CONDES</v>
          </cell>
          <cell r="Q1689" t="str">
            <v>TRADICIONAL</v>
          </cell>
          <cell r="R1689" t="str">
            <v>Vía Pública Mobiliarios - Santiago</v>
          </cell>
          <cell r="S1689" t="str">
            <v>MULC - Municipalidad de las Condes</v>
          </cell>
          <cell r="T1689" t="str">
            <v>Paletas</v>
          </cell>
          <cell r="U1689">
            <v>2</v>
          </cell>
          <cell r="V1689" t="str">
            <v>1.04 * 1.37</v>
          </cell>
        </row>
        <row r="1690">
          <cell r="A1690" t="str">
            <v>MULC0082AB</v>
          </cell>
          <cell r="B1690" t="str">
            <v>Vía Pública Mobiliarios</v>
          </cell>
          <cell r="D1690" t="str">
            <v>Paletas</v>
          </cell>
          <cell r="E1690" t="str">
            <v>PARADERO</v>
          </cell>
          <cell r="F1690" t="str">
            <v>1.04 * 1.37</v>
          </cell>
          <cell r="G1690" t="str">
            <v>1.08 * 1.42</v>
          </cell>
          <cell r="H1690" t="str">
            <v>X</v>
          </cell>
          <cell r="I1690" t="str">
            <v>Paul Harris</v>
          </cell>
          <cell r="L1690">
            <v>670000</v>
          </cell>
          <cell r="M1690" t="str">
            <v>Paul Harris S-O - General Blanche</v>
          </cell>
          <cell r="N1690" t="str">
            <v>Sudeste</v>
          </cell>
          <cell r="P1690" t="str">
            <v>LAS CONDES</v>
          </cell>
          <cell r="Q1690" t="str">
            <v>TRADICIONAL</v>
          </cell>
          <cell r="R1690" t="str">
            <v>Vía Pública Mobiliarios - Santiago</v>
          </cell>
          <cell r="S1690" t="str">
            <v>MULC - Municipalidad de las Condes</v>
          </cell>
          <cell r="T1690" t="str">
            <v>Paletas</v>
          </cell>
          <cell r="U1690">
            <v>2</v>
          </cell>
          <cell r="V1690" t="str">
            <v>1.04 * 1.37</v>
          </cell>
        </row>
        <row r="1691">
          <cell r="A1691" t="str">
            <v>MULC0083AB</v>
          </cell>
          <cell r="B1691" t="str">
            <v>Vía Pública Mobiliarios</v>
          </cell>
          <cell r="D1691" t="str">
            <v>Paletas</v>
          </cell>
          <cell r="E1691" t="str">
            <v>PARADERO</v>
          </cell>
          <cell r="F1691" t="str">
            <v>1.04 * 1.37</v>
          </cell>
          <cell r="G1691" t="str">
            <v>1.08 * 1.42</v>
          </cell>
          <cell r="H1691" t="str">
            <v>X</v>
          </cell>
          <cell r="I1691" t="str">
            <v>Paul Harris</v>
          </cell>
          <cell r="L1691">
            <v>670000</v>
          </cell>
          <cell r="M1691" t="str">
            <v>Paul Harris N-P - Rio Guadiana</v>
          </cell>
          <cell r="N1691" t="str">
            <v>Sudeste</v>
          </cell>
          <cell r="P1691" t="str">
            <v>LAS CONDES</v>
          </cell>
          <cell r="Q1691" t="str">
            <v>TRADICIONAL</v>
          </cell>
          <cell r="R1691" t="str">
            <v>Vía Pública Mobiliarios - Santiago</v>
          </cell>
          <cell r="S1691" t="str">
            <v>MULC - Municipalidad de las Condes</v>
          </cell>
          <cell r="T1691" t="str">
            <v>Paletas</v>
          </cell>
          <cell r="U1691">
            <v>2</v>
          </cell>
          <cell r="V1691" t="str">
            <v>1.04 * 1.37</v>
          </cell>
        </row>
        <row r="1692">
          <cell r="A1692" t="str">
            <v>MULC0084AB</v>
          </cell>
          <cell r="B1692" t="str">
            <v>Vía Pública Mobiliarios</v>
          </cell>
          <cell r="D1692" t="str">
            <v>Paletas</v>
          </cell>
          <cell r="E1692" t="str">
            <v>PARADERO</v>
          </cell>
          <cell r="F1692" t="str">
            <v>1.04 * 1.37</v>
          </cell>
          <cell r="G1692" t="str">
            <v>1.08 * 1.42</v>
          </cell>
          <cell r="H1692" t="str">
            <v>X</v>
          </cell>
          <cell r="I1692" t="str">
            <v>Paul Harris</v>
          </cell>
          <cell r="L1692">
            <v>670000</v>
          </cell>
          <cell r="M1692" t="str">
            <v>Paul Harris S-O - Rio Guadiana</v>
          </cell>
          <cell r="N1692" t="str">
            <v>Noroeste</v>
          </cell>
          <cell r="P1692" t="str">
            <v>LAS CONDES</v>
          </cell>
          <cell r="Q1692" t="str">
            <v>TRADICIONAL</v>
          </cell>
          <cell r="R1692" t="str">
            <v>Vía Pública Mobiliarios - Santiago</v>
          </cell>
          <cell r="S1692" t="str">
            <v>MULC - Municipalidad de las Condes</v>
          </cell>
          <cell r="T1692" t="str">
            <v>Paletas</v>
          </cell>
          <cell r="U1692">
            <v>2</v>
          </cell>
          <cell r="V1692" t="str">
            <v>1.04 * 1.37</v>
          </cell>
        </row>
        <row r="1693">
          <cell r="A1693" t="str">
            <v>MULC0085AB</v>
          </cell>
          <cell r="B1693" t="str">
            <v>Vía Pública Mobiliarios</v>
          </cell>
          <cell r="D1693" t="str">
            <v>Paletas</v>
          </cell>
          <cell r="E1693" t="str">
            <v>PARADERO</v>
          </cell>
          <cell r="F1693" t="str">
            <v>1.04 * 1.37</v>
          </cell>
          <cell r="G1693" t="str">
            <v>1.08 * 1.42</v>
          </cell>
          <cell r="H1693" t="str">
            <v>X</v>
          </cell>
          <cell r="I1693" t="str">
            <v>Paul Harris</v>
          </cell>
          <cell r="L1693">
            <v>670000</v>
          </cell>
          <cell r="M1693" t="str">
            <v>Paul Harris N-P - Cristobal Colon</v>
          </cell>
          <cell r="N1693" t="str">
            <v>Sudeste</v>
          </cell>
          <cell r="P1693" t="str">
            <v>LAS CONDES</v>
          </cell>
          <cell r="Q1693" t="str">
            <v>TRADICIONAL</v>
          </cell>
          <cell r="R1693" t="str">
            <v>Vía Pública Mobiliarios - Santiago</v>
          </cell>
          <cell r="S1693" t="str">
            <v>MULC - Municipalidad de las Condes</v>
          </cell>
          <cell r="T1693" t="str">
            <v>Paletas</v>
          </cell>
          <cell r="U1693">
            <v>2</v>
          </cell>
          <cell r="V1693" t="str">
            <v>1.04 * 1.37</v>
          </cell>
        </row>
        <row r="1694">
          <cell r="A1694" t="str">
            <v>MULC0086AB</v>
          </cell>
          <cell r="B1694" t="str">
            <v>Vía Pública Mobiliarios</v>
          </cell>
          <cell r="D1694" t="str">
            <v>NO VENDIBLE</v>
          </cell>
          <cell r="E1694" t="str">
            <v>PARADERO</v>
          </cell>
          <cell r="F1694" t="str">
            <v>1.04 * 1.37</v>
          </cell>
          <cell r="G1694" t="str">
            <v>1.08 * 1.42</v>
          </cell>
          <cell r="H1694" t="str">
            <v>X</v>
          </cell>
          <cell r="I1694" t="str">
            <v>C.Col¢n</v>
          </cell>
          <cell r="L1694">
            <v>670000</v>
          </cell>
          <cell r="M1694" t="str">
            <v>Cristobal Colon S-P - Paul Harris</v>
          </cell>
          <cell r="N1694" t="str">
            <v>Sudoeste</v>
          </cell>
          <cell r="O1694" t="str">
            <v>Sí</v>
          </cell>
          <cell r="P1694" t="str">
            <v>LAS CONDES</v>
          </cell>
          <cell r="Q1694" t="str">
            <v>TRADICIONAL</v>
          </cell>
          <cell r="R1694" t="str">
            <v>Vía Pública Mobiliarios - Santiago</v>
          </cell>
          <cell r="S1694" t="str">
            <v>MULC - Municipalidad de las Condes</v>
          </cell>
          <cell r="T1694" t="str">
            <v>Paletas</v>
          </cell>
          <cell r="U1694">
            <v>2</v>
          </cell>
          <cell r="V1694" t="str">
            <v>1.04 * 1.37</v>
          </cell>
        </row>
        <row r="1695">
          <cell r="A1695" t="str">
            <v>MULC0087AB</v>
          </cell>
          <cell r="B1695" t="str">
            <v>Vía Pública Mobiliarios</v>
          </cell>
          <cell r="D1695" t="str">
            <v>Paletas</v>
          </cell>
          <cell r="E1695" t="str">
            <v>PARADERO</v>
          </cell>
          <cell r="F1695" t="str">
            <v>1.04 * 1.37</v>
          </cell>
          <cell r="G1695" t="str">
            <v>1.08 * 1.42</v>
          </cell>
          <cell r="H1695" t="str">
            <v>X</v>
          </cell>
          <cell r="I1695" t="str">
            <v>Paul Harris</v>
          </cell>
          <cell r="L1695">
            <v>670000</v>
          </cell>
          <cell r="M1695" t="str">
            <v>Paul Harris S-O - Cristobal Colon</v>
          </cell>
          <cell r="N1695" t="str">
            <v>Noroeste</v>
          </cell>
          <cell r="P1695" t="str">
            <v>LAS CONDES</v>
          </cell>
          <cell r="Q1695" t="str">
            <v>TRADICIONAL</v>
          </cell>
          <cell r="R1695" t="str">
            <v>Vía Pública Mobiliarios - Santiago</v>
          </cell>
          <cell r="S1695" t="str">
            <v>MULC - Municipalidad de las Condes</v>
          </cell>
          <cell r="T1695" t="str">
            <v>Paletas</v>
          </cell>
          <cell r="U1695">
            <v>2</v>
          </cell>
          <cell r="V1695" t="str">
            <v>1.04 * 1.37</v>
          </cell>
        </row>
        <row r="1696">
          <cell r="A1696" t="str">
            <v>MULC0088AB</v>
          </cell>
          <cell r="B1696" t="str">
            <v>Vía Pública Mobiliarios</v>
          </cell>
          <cell r="D1696" t="str">
            <v>NO VENDIBLE</v>
          </cell>
          <cell r="E1696" t="str">
            <v>PARADERO</v>
          </cell>
          <cell r="F1696" t="str">
            <v>1.04 * 1.37</v>
          </cell>
          <cell r="G1696" t="str">
            <v>1.08 * 1.42</v>
          </cell>
          <cell r="H1696" t="str">
            <v>X</v>
          </cell>
          <cell r="I1696" t="str">
            <v>Vital Apoquindo</v>
          </cell>
          <cell r="L1696">
            <v>670000</v>
          </cell>
          <cell r="M1696" t="str">
            <v>Vital Apoquindo - Yolanda</v>
          </cell>
          <cell r="O1696" t="str">
            <v>Sí</v>
          </cell>
          <cell r="P1696" t="str">
            <v>LAS CONDES</v>
          </cell>
          <cell r="Q1696" t="str">
            <v>TRADICIONAL</v>
          </cell>
          <cell r="R1696" t="str">
            <v>Vía Pública Mobiliarios - Santiago</v>
          </cell>
          <cell r="S1696" t="str">
            <v>MULC - Municipalidad de las Condes</v>
          </cell>
          <cell r="T1696" t="str">
            <v>Paletas</v>
          </cell>
          <cell r="U1696">
            <v>2</v>
          </cell>
          <cell r="V1696" t="str">
            <v>1.04 * 1.37</v>
          </cell>
        </row>
        <row r="1697">
          <cell r="A1697" t="str">
            <v>MULC0089AB</v>
          </cell>
          <cell r="B1697" t="str">
            <v>Vía Pública Mobiliarios</v>
          </cell>
          <cell r="D1697" t="str">
            <v>NO VENDIBLE</v>
          </cell>
          <cell r="E1697" t="str">
            <v>PARADERO</v>
          </cell>
          <cell r="F1697" t="str">
            <v>1.04 * 1.37</v>
          </cell>
          <cell r="G1697" t="str">
            <v>1.08 * 1.42</v>
          </cell>
          <cell r="H1697" t="str">
            <v>X</v>
          </cell>
          <cell r="I1697" t="str">
            <v>Vital Apoquindo</v>
          </cell>
          <cell r="L1697">
            <v>670000</v>
          </cell>
          <cell r="M1697" t="str">
            <v>Vital Apoquindo S-O - Santa Olga</v>
          </cell>
          <cell r="N1697" t="str">
            <v>Sudeste</v>
          </cell>
          <cell r="O1697" t="str">
            <v>Sí</v>
          </cell>
          <cell r="P1697" t="str">
            <v>LAS CONDES</v>
          </cell>
          <cell r="Q1697" t="str">
            <v>TRADICIONAL</v>
          </cell>
          <cell r="R1697" t="str">
            <v>Vía Pública Mobiliarios - Santiago</v>
          </cell>
          <cell r="S1697" t="str">
            <v>MULC - Municipalidad de las Condes</v>
          </cell>
          <cell r="T1697" t="str">
            <v>Paletas</v>
          </cell>
          <cell r="U1697">
            <v>2</v>
          </cell>
          <cell r="V1697" t="str">
            <v>1.04 * 1.37</v>
          </cell>
        </row>
        <row r="1698">
          <cell r="A1698" t="str">
            <v>MULC0090AB</v>
          </cell>
          <cell r="B1698" t="str">
            <v>Vía Pública Mobiliarios</v>
          </cell>
          <cell r="D1698" t="str">
            <v>Paletas</v>
          </cell>
          <cell r="E1698" t="str">
            <v>PARADERO</v>
          </cell>
          <cell r="F1698" t="str">
            <v>1.04 * 1.37</v>
          </cell>
          <cell r="G1698" t="str">
            <v>1.08 * 1.42</v>
          </cell>
          <cell r="H1698" t="str">
            <v>X</v>
          </cell>
          <cell r="I1698" t="str">
            <v>Alejandro Flemin</v>
          </cell>
          <cell r="L1698">
            <v>670000</v>
          </cell>
          <cell r="M1698" t="str">
            <v>Alejandro Fleming S-P - Santa Zita</v>
          </cell>
          <cell r="N1698" t="str">
            <v>Sudoeste</v>
          </cell>
          <cell r="P1698" t="str">
            <v>LAS CONDES</v>
          </cell>
          <cell r="Q1698" t="str">
            <v>TRADICIONAL</v>
          </cell>
          <cell r="R1698" t="str">
            <v>Vía Pública Mobiliarios - Santiago</v>
          </cell>
          <cell r="S1698" t="str">
            <v>MULC - Municipalidad de las Condes</v>
          </cell>
          <cell r="T1698" t="str">
            <v>Paletas</v>
          </cell>
          <cell r="U1698">
            <v>2</v>
          </cell>
          <cell r="V1698" t="str">
            <v>1.04 * 1.37</v>
          </cell>
        </row>
        <row r="1699">
          <cell r="A1699" t="str">
            <v>MULC0091AB</v>
          </cell>
          <cell r="B1699" t="str">
            <v>Vía Pública Mobiliarios</v>
          </cell>
          <cell r="D1699" t="str">
            <v>Paletas</v>
          </cell>
          <cell r="E1699" t="str">
            <v>PARADERO</v>
          </cell>
          <cell r="F1699" t="str">
            <v>1.04 * 1.37</v>
          </cell>
          <cell r="G1699" t="str">
            <v>1.08 * 1.42</v>
          </cell>
          <cell r="H1699" t="str">
            <v>X</v>
          </cell>
          <cell r="I1699" t="str">
            <v>Alejandro Flemin</v>
          </cell>
          <cell r="L1699">
            <v>670000</v>
          </cell>
          <cell r="M1699" t="str">
            <v>Alejandro Fleming - Totoralillo</v>
          </cell>
          <cell r="N1699" t="str">
            <v>Noroeste</v>
          </cell>
          <cell r="P1699" t="str">
            <v>LAS CONDES</v>
          </cell>
          <cell r="Q1699" t="str">
            <v>TRADICIONAL</v>
          </cell>
          <cell r="R1699" t="str">
            <v>Vía Pública Mobiliarios - Santiago</v>
          </cell>
          <cell r="S1699" t="str">
            <v>MULC - Municipalidad de las Condes</v>
          </cell>
          <cell r="T1699" t="str">
            <v>Paletas</v>
          </cell>
          <cell r="U1699">
            <v>2</v>
          </cell>
          <cell r="V1699" t="str">
            <v>1.04 * 1.37</v>
          </cell>
        </row>
        <row r="1700">
          <cell r="A1700" t="str">
            <v>MULC0092AB</v>
          </cell>
          <cell r="B1700" t="str">
            <v>Vía Pública Mobiliarios</v>
          </cell>
          <cell r="D1700" t="str">
            <v>Paletas</v>
          </cell>
          <cell r="E1700" t="str">
            <v>PARADERO</v>
          </cell>
          <cell r="F1700" t="str">
            <v>1.04 * 1.37</v>
          </cell>
          <cell r="G1700" t="str">
            <v>1.08 * 1.42</v>
          </cell>
          <cell r="H1700" t="str">
            <v>X</v>
          </cell>
          <cell r="I1700" t="str">
            <v>Padre Hurtado</v>
          </cell>
          <cell r="L1700">
            <v>670000</v>
          </cell>
          <cell r="M1700" t="str">
            <v>Padre Hurtado S-O - Via Lactea 1815</v>
          </cell>
          <cell r="N1700" t="str">
            <v>Noreste</v>
          </cell>
          <cell r="P1700" t="str">
            <v>LAS CONDES</v>
          </cell>
          <cell r="Q1700" t="str">
            <v>TRADICIONAL</v>
          </cell>
          <cell r="R1700" t="str">
            <v>Vía Pública Mobiliarios - Santiago</v>
          </cell>
          <cell r="S1700" t="str">
            <v>MULC - Municipalidad de las Condes</v>
          </cell>
          <cell r="T1700" t="str">
            <v>Paletas</v>
          </cell>
          <cell r="U1700">
            <v>2</v>
          </cell>
          <cell r="V1700" t="str">
            <v>1.04 * 1.37</v>
          </cell>
        </row>
        <row r="1701">
          <cell r="A1701" t="str">
            <v>MULC0093AB</v>
          </cell>
          <cell r="B1701" t="str">
            <v>Vía Pública Mobiliarios</v>
          </cell>
          <cell r="D1701" t="str">
            <v>Paletas</v>
          </cell>
          <cell r="E1701" t="str">
            <v>PARADERO</v>
          </cell>
          <cell r="F1701" t="str">
            <v>1.04 * 1.37</v>
          </cell>
          <cell r="G1701" t="str">
            <v>1.08 * 1.42</v>
          </cell>
          <cell r="H1701" t="str">
            <v>X</v>
          </cell>
          <cell r="I1701" t="str">
            <v>C.Col¢n</v>
          </cell>
          <cell r="L1701">
            <v>670000</v>
          </cell>
          <cell r="M1701" t="str">
            <v>Cristobal Colon S-P - Padre Hurtado</v>
          </cell>
          <cell r="N1701" t="str">
            <v>Sudeste</v>
          </cell>
          <cell r="P1701" t="str">
            <v>LAS CONDES</v>
          </cell>
          <cell r="Q1701" t="str">
            <v>TRADICIONAL</v>
          </cell>
          <cell r="R1701" t="str">
            <v>Vía Pública Mobiliarios - Santiago</v>
          </cell>
          <cell r="S1701" t="str">
            <v>MULC - Municipalidad de las Condes</v>
          </cell>
          <cell r="T1701" t="str">
            <v>Paletas</v>
          </cell>
          <cell r="U1701">
            <v>2</v>
          </cell>
          <cell r="V1701" t="str">
            <v>1.04 * 1.37</v>
          </cell>
        </row>
        <row r="1702">
          <cell r="A1702" t="str">
            <v>MULC0094AB</v>
          </cell>
          <cell r="B1702" t="str">
            <v>Vía Pública Mobiliarios</v>
          </cell>
          <cell r="D1702" t="str">
            <v>NO VENDIBLE</v>
          </cell>
          <cell r="E1702" t="str">
            <v>PARADERO</v>
          </cell>
          <cell r="F1702" t="str">
            <v>1.04 * 1.37</v>
          </cell>
          <cell r="G1702" t="str">
            <v>1.08 * 1.42</v>
          </cell>
          <cell r="H1702" t="str">
            <v>X</v>
          </cell>
          <cell r="I1702" t="str">
            <v>C.Col¢n</v>
          </cell>
          <cell r="L1702">
            <v>670000</v>
          </cell>
          <cell r="M1702" t="str">
            <v>Cristobal Colon N-O - Talavera de la Reina</v>
          </cell>
          <cell r="N1702" t="str">
            <v>Noreste</v>
          </cell>
          <cell r="O1702" t="str">
            <v>Sí</v>
          </cell>
          <cell r="P1702" t="str">
            <v>LAS CONDES</v>
          </cell>
          <cell r="Q1702" t="str">
            <v>TRADICIONAL</v>
          </cell>
          <cell r="R1702" t="str">
            <v>Vía Pública Mobiliarios - Santiago</v>
          </cell>
          <cell r="S1702" t="str">
            <v>MULC - Municipalidad de las Condes</v>
          </cell>
          <cell r="T1702" t="str">
            <v>Paletas</v>
          </cell>
          <cell r="U1702">
            <v>2</v>
          </cell>
          <cell r="V1702" t="str">
            <v>1.04 * 1.37</v>
          </cell>
        </row>
        <row r="1703">
          <cell r="A1703" t="str">
            <v>MULC0096AB</v>
          </cell>
          <cell r="B1703" t="str">
            <v>Vía Pública Mobiliarios</v>
          </cell>
          <cell r="D1703" t="str">
            <v>Paletas</v>
          </cell>
          <cell r="E1703" t="str">
            <v>PARADERO</v>
          </cell>
          <cell r="F1703" t="str">
            <v>1.04 * 1.37</v>
          </cell>
          <cell r="G1703" t="str">
            <v>1.08 * 1.42</v>
          </cell>
          <cell r="H1703" t="str">
            <v>X</v>
          </cell>
          <cell r="I1703" t="str">
            <v>C.Col¢n</v>
          </cell>
          <cell r="L1703">
            <v>670000</v>
          </cell>
          <cell r="M1703" t="str">
            <v>Cristobal Colon N-O - Rio Guadiana</v>
          </cell>
          <cell r="N1703" t="str">
            <v>Noreste</v>
          </cell>
          <cell r="P1703" t="str">
            <v>LAS CONDES</v>
          </cell>
          <cell r="Q1703" t="str">
            <v>TRADICIONAL</v>
          </cell>
          <cell r="R1703" t="str">
            <v>Vía Pública Mobiliarios - Santiago</v>
          </cell>
          <cell r="S1703" t="str">
            <v>MULC - Municipalidad de las Condes</v>
          </cell>
          <cell r="T1703" t="str">
            <v>Paletas</v>
          </cell>
          <cell r="U1703">
            <v>2</v>
          </cell>
          <cell r="V1703" t="str">
            <v>1.04 * 1.37</v>
          </cell>
        </row>
        <row r="1704">
          <cell r="A1704" t="str">
            <v>MULC0097AB</v>
          </cell>
          <cell r="B1704" t="str">
            <v>Vía Pública Mobiliarios</v>
          </cell>
          <cell r="D1704" t="str">
            <v>Paletas</v>
          </cell>
          <cell r="E1704" t="str">
            <v>PARADERO</v>
          </cell>
          <cell r="F1704" t="str">
            <v>1.04 * 1.37</v>
          </cell>
          <cell r="G1704" t="str">
            <v>1.08 * 1.42</v>
          </cell>
          <cell r="H1704" t="str">
            <v>X</v>
          </cell>
          <cell r="I1704" t="str">
            <v>C.Col¢n</v>
          </cell>
          <cell r="L1704">
            <v>670000</v>
          </cell>
          <cell r="M1704" t="str">
            <v>Cristobal Colon S-P - Toconao</v>
          </cell>
          <cell r="N1704" t="str">
            <v>Sudeste</v>
          </cell>
          <cell r="P1704" t="str">
            <v>LAS CONDES</v>
          </cell>
          <cell r="Q1704" t="str">
            <v>TRADICIONAL</v>
          </cell>
          <cell r="R1704" t="str">
            <v>Vía Pública Mobiliarios - Santiago</v>
          </cell>
          <cell r="S1704" t="str">
            <v>MULC - Municipalidad de las Condes</v>
          </cell>
          <cell r="T1704" t="str">
            <v>Paletas</v>
          </cell>
          <cell r="U1704">
            <v>2</v>
          </cell>
          <cell r="V1704" t="str">
            <v>1.04 * 1.37</v>
          </cell>
        </row>
        <row r="1705">
          <cell r="A1705" t="str">
            <v>MULC0098AB</v>
          </cell>
          <cell r="B1705" t="str">
            <v>Vía Pública Mobiliarios</v>
          </cell>
          <cell r="D1705" t="str">
            <v>Paletas</v>
          </cell>
          <cell r="E1705" t="str">
            <v>PARADERO</v>
          </cell>
          <cell r="F1705" t="str">
            <v>1.04 * 1.37</v>
          </cell>
          <cell r="G1705" t="str">
            <v>1.08 * 1.42</v>
          </cell>
          <cell r="H1705" t="str">
            <v>X</v>
          </cell>
          <cell r="I1705" t="str">
            <v>C.Col¢n</v>
          </cell>
          <cell r="L1705">
            <v>670000</v>
          </cell>
          <cell r="M1705" t="str">
            <v>Cristobal Colon N-O - Imperial</v>
          </cell>
          <cell r="N1705" t="str">
            <v>Noreste</v>
          </cell>
          <cell r="P1705" t="str">
            <v>LAS CONDES</v>
          </cell>
          <cell r="Q1705" t="str">
            <v>TRADICIONAL</v>
          </cell>
          <cell r="R1705" t="str">
            <v>Vía Pública Mobiliarios - Santiago</v>
          </cell>
          <cell r="S1705" t="str">
            <v>MULC - Municipalidad de las Condes</v>
          </cell>
          <cell r="T1705" t="str">
            <v>Paletas</v>
          </cell>
          <cell r="U1705">
            <v>2</v>
          </cell>
          <cell r="V1705" t="str">
            <v>1.04 * 1.37</v>
          </cell>
        </row>
        <row r="1706">
          <cell r="A1706" t="str">
            <v>MULC0099AB</v>
          </cell>
          <cell r="B1706" t="str">
            <v>Vía Pública Mobiliarios</v>
          </cell>
          <cell r="D1706" t="str">
            <v>Paletas</v>
          </cell>
          <cell r="E1706" t="str">
            <v>PARADERO</v>
          </cell>
          <cell r="F1706" t="str">
            <v>1.04 * 1.37</v>
          </cell>
          <cell r="G1706" t="str">
            <v>1.08 * 1.42</v>
          </cell>
          <cell r="H1706" t="str">
            <v>X</v>
          </cell>
          <cell r="I1706" t="str">
            <v>C.Col¢n</v>
          </cell>
          <cell r="L1706">
            <v>670000</v>
          </cell>
          <cell r="M1706" t="str">
            <v>Cristobal Colon Norte - Fte a Viscaya</v>
          </cell>
          <cell r="N1706" t="str">
            <v>Noreste</v>
          </cell>
          <cell r="P1706" t="str">
            <v>LAS CONDES</v>
          </cell>
          <cell r="Q1706" t="str">
            <v>TRADICIONAL</v>
          </cell>
          <cell r="R1706" t="str">
            <v>Vía Pública Mobiliarios - Santiago</v>
          </cell>
          <cell r="S1706" t="str">
            <v>MULC - Municipalidad de las Condes</v>
          </cell>
          <cell r="T1706" t="str">
            <v>Paletas</v>
          </cell>
          <cell r="U1706">
            <v>2</v>
          </cell>
          <cell r="V1706" t="str">
            <v>1.04 * 1.37</v>
          </cell>
        </row>
        <row r="1707">
          <cell r="A1707" t="str">
            <v>MULC0100AB</v>
          </cell>
          <cell r="B1707" t="str">
            <v>Vía Pública Mobiliarios</v>
          </cell>
          <cell r="D1707" t="str">
            <v>Paletas</v>
          </cell>
          <cell r="E1707" t="str">
            <v>PARADERO Paleta PARALELA</v>
          </cell>
          <cell r="F1707" t="str">
            <v>1.04 * 1.37</v>
          </cell>
          <cell r="G1707" t="str">
            <v>1.08 * 1.42</v>
          </cell>
          <cell r="H1707" t="str">
            <v>X</v>
          </cell>
          <cell r="I1707" t="str">
            <v>C.Col¢n</v>
          </cell>
          <cell r="L1707">
            <v>670000</v>
          </cell>
          <cell r="M1707" t="str">
            <v>Cristobal Colon N-P - Choapa</v>
          </cell>
          <cell r="N1707" t="str">
            <v>Norte</v>
          </cell>
          <cell r="P1707" t="str">
            <v>LAS CONDES</v>
          </cell>
          <cell r="Q1707" t="str">
            <v>TRADICIONAL</v>
          </cell>
          <cell r="R1707" t="str">
            <v>Vía Pública Mobiliarios - Santiago</v>
          </cell>
          <cell r="S1707" t="str">
            <v>MULC - Municipalidad de las Condes</v>
          </cell>
          <cell r="T1707" t="str">
            <v>Paletas</v>
          </cell>
          <cell r="U1707">
            <v>2</v>
          </cell>
          <cell r="V1707" t="str">
            <v>1.04 * 1.37</v>
          </cell>
        </row>
        <row r="1708">
          <cell r="A1708" t="str">
            <v>MULC0101AB</v>
          </cell>
          <cell r="B1708" t="str">
            <v>Vía Pública Mobiliarios</v>
          </cell>
          <cell r="D1708" t="str">
            <v>Paletas</v>
          </cell>
          <cell r="E1708" t="str">
            <v>PARADERO</v>
          </cell>
          <cell r="F1708" t="str">
            <v>1.04 * 1.37</v>
          </cell>
          <cell r="G1708" t="str">
            <v>1.08 * 1.42</v>
          </cell>
          <cell r="H1708" t="str">
            <v>X</v>
          </cell>
          <cell r="I1708" t="str">
            <v>Tomas Moro</v>
          </cell>
          <cell r="L1708">
            <v>670000</v>
          </cell>
          <cell r="M1708" t="str">
            <v>Tomas Moro - Monroe</v>
          </cell>
          <cell r="N1708" t="str">
            <v>Sudeste</v>
          </cell>
          <cell r="P1708" t="str">
            <v>LAS CONDES</v>
          </cell>
          <cell r="Q1708" t="str">
            <v>TRADICIONAL</v>
          </cell>
          <cell r="R1708" t="str">
            <v>Vía Pública Mobiliarios - Santiago</v>
          </cell>
          <cell r="S1708" t="str">
            <v>MULC - Municipalidad de las Condes</v>
          </cell>
          <cell r="T1708" t="str">
            <v>Paletas</v>
          </cell>
          <cell r="U1708">
            <v>2</v>
          </cell>
          <cell r="V1708" t="str">
            <v>1.04 * 1.37</v>
          </cell>
        </row>
        <row r="1709">
          <cell r="A1709" t="str">
            <v>MULC0102AB</v>
          </cell>
          <cell r="B1709" t="str">
            <v>Vía Pública Mobiliarios</v>
          </cell>
          <cell r="D1709" t="str">
            <v>Paletas</v>
          </cell>
          <cell r="E1709" t="str">
            <v>PARADERO Paleta PARALELA</v>
          </cell>
          <cell r="F1709" t="str">
            <v>1.04 * 1.37</v>
          </cell>
          <cell r="G1709" t="str">
            <v>1.08 * 1.42</v>
          </cell>
          <cell r="H1709" t="str">
            <v>X</v>
          </cell>
          <cell r="I1709" t="str">
            <v>Tomas Moro</v>
          </cell>
          <cell r="L1709">
            <v>670000</v>
          </cell>
          <cell r="M1709" t="str">
            <v>Tomas Moro N-P - Cristobal Colon</v>
          </cell>
          <cell r="N1709" t="str">
            <v>Este</v>
          </cell>
          <cell r="P1709" t="str">
            <v>LAS CONDES</v>
          </cell>
          <cell r="Q1709" t="str">
            <v>TRADICIONAL</v>
          </cell>
          <cell r="R1709" t="str">
            <v>Vía Pública Mobiliarios - Santiago</v>
          </cell>
          <cell r="S1709" t="str">
            <v>MULC - Municipalidad de las Condes</v>
          </cell>
          <cell r="T1709" t="str">
            <v>Paletas</v>
          </cell>
          <cell r="U1709">
            <v>2</v>
          </cell>
          <cell r="V1709" t="str">
            <v>1.04 * 1.37</v>
          </cell>
        </row>
        <row r="1710">
          <cell r="A1710" t="str">
            <v>MULC0103AB</v>
          </cell>
          <cell r="B1710" t="str">
            <v>Vía Pública Mobiliarios</v>
          </cell>
          <cell r="D1710" t="str">
            <v>Paletas</v>
          </cell>
          <cell r="E1710" t="str">
            <v>PARADERO Paleta PARALELA</v>
          </cell>
          <cell r="F1710" t="str">
            <v>1.04 * 1.37</v>
          </cell>
          <cell r="G1710" t="str">
            <v>1.08 * 1.42</v>
          </cell>
          <cell r="H1710" t="str">
            <v>X</v>
          </cell>
          <cell r="I1710" t="str">
            <v>C.Col¢n</v>
          </cell>
          <cell r="L1710">
            <v>670000</v>
          </cell>
          <cell r="M1710" t="str">
            <v>Cristobal Colon S-P - Guanabara</v>
          </cell>
          <cell r="N1710" t="str">
            <v>Sur</v>
          </cell>
          <cell r="P1710" t="str">
            <v>LAS CONDES</v>
          </cell>
          <cell r="Q1710" t="str">
            <v>TRADICIONAL</v>
          </cell>
          <cell r="R1710" t="str">
            <v>Vía Pública Mobiliarios - Santiago</v>
          </cell>
          <cell r="S1710" t="str">
            <v>MULC - Municipalidad de las Condes</v>
          </cell>
          <cell r="T1710" t="str">
            <v>Paletas</v>
          </cell>
          <cell r="U1710">
            <v>2</v>
          </cell>
          <cell r="V1710" t="str">
            <v>1.04 * 1.37</v>
          </cell>
        </row>
        <row r="1711">
          <cell r="A1711" t="str">
            <v>MULC0104AB</v>
          </cell>
          <cell r="B1711" t="str">
            <v>Vía Pública Mobiliarios</v>
          </cell>
          <cell r="D1711" t="str">
            <v>Paletas</v>
          </cell>
          <cell r="E1711" t="str">
            <v>PARADERO</v>
          </cell>
          <cell r="F1711" t="str">
            <v>1.04 * 1.37</v>
          </cell>
          <cell r="G1711" t="str">
            <v>1.08 * 1.42</v>
          </cell>
          <cell r="H1711" t="str">
            <v>X</v>
          </cell>
          <cell r="I1711" t="str">
            <v>C.Col¢n</v>
          </cell>
          <cell r="L1711">
            <v>670000</v>
          </cell>
          <cell r="M1711" t="str">
            <v>Cristobal Colon Sur - Pontevedra</v>
          </cell>
          <cell r="N1711" t="str">
            <v>Sudeste</v>
          </cell>
          <cell r="P1711" t="str">
            <v>LAS CONDES</v>
          </cell>
          <cell r="Q1711" t="str">
            <v>TRADICIONAL</v>
          </cell>
          <cell r="R1711" t="str">
            <v>Vía Pública Mobiliarios - Santiago</v>
          </cell>
          <cell r="S1711" t="str">
            <v>MULC - Municipalidad de las Condes</v>
          </cell>
          <cell r="T1711" t="str">
            <v>Paletas</v>
          </cell>
          <cell r="U1711">
            <v>2</v>
          </cell>
          <cell r="V1711" t="str">
            <v>1.04 * 1.37</v>
          </cell>
        </row>
        <row r="1712">
          <cell r="A1712" t="str">
            <v>MULC0105AB</v>
          </cell>
          <cell r="B1712" t="str">
            <v>Vía Pública Mobiliarios</v>
          </cell>
          <cell r="D1712" t="str">
            <v>Paletas</v>
          </cell>
          <cell r="E1712" t="str">
            <v>PARADERO</v>
          </cell>
          <cell r="F1712" t="str">
            <v>1.04 * 1.37</v>
          </cell>
          <cell r="G1712" t="str">
            <v>1.08 * 1.42</v>
          </cell>
          <cell r="H1712" t="str">
            <v>X</v>
          </cell>
          <cell r="I1712" t="str">
            <v>C.Col¢n</v>
          </cell>
          <cell r="L1712">
            <v>670000</v>
          </cell>
          <cell r="M1712" t="str">
            <v>Cristobal Colon S-P - Piacenza</v>
          </cell>
          <cell r="N1712" t="str">
            <v>Sudeste</v>
          </cell>
          <cell r="P1712" t="str">
            <v>LAS CONDES</v>
          </cell>
          <cell r="Q1712" t="str">
            <v>TRADICIONAL</v>
          </cell>
          <cell r="R1712" t="str">
            <v>Vía Pública Mobiliarios - Santiago</v>
          </cell>
          <cell r="S1712" t="str">
            <v>MULC - Municipalidad de las Condes</v>
          </cell>
          <cell r="T1712" t="str">
            <v>Paletas</v>
          </cell>
          <cell r="U1712">
            <v>2</v>
          </cell>
          <cell r="V1712" t="str">
            <v>1.04 * 1.37</v>
          </cell>
        </row>
        <row r="1713">
          <cell r="A1713" t="str">
            <v>MULC0106AB</v>
          </cell>
          <cell r="B1713" t="str">
            <v>Vía Pública Mobiliarios</v>
          </cell>
          <cell r="D1713" t="str">
            <v>Paletas</v>
          </cell>
          <cell r="E1713" t="str">
            <v>PARADERO</v>
          </cell>
          <cell r="F1713" t="str">
            <v>1.04 * 1.37</v>
          </cell>
          <cell r="G1713" t="str">
            <v>1.08 * 1.42</v>
          </cell>
          <cell r="H1713" t="str">
            <v>X</v>
          </cell>
          <cell r="I1713" t="str">
            <v>C.Col¢n</v>
          </cell>
          <cell r="L1713">
            <v>670000</v>
          </cell>
          <cell r="M1713" t="str">
            <v>Cristobal Colon N-O - Hernando de Magallanes</v>
          </cell>
          <cell r="N1713" t="str">
            <v>Noreste</v>
          </cell>
          <cell r="P1713" t="str">
            <v>LAS CONDES</v>
          </cell>
          <cell r="Q1713" t="str">
            <v>TRADICIONAL</v>
          </cell>
          <cell r="R1713" t="str">
            <v>Vía Pública Mobiliarios - Santiago</v>
          </cell>
          <cell r="S1713" t="str">
            <v>MULC - Municipalidad de las Condes</v>
          </cell>
          <cell r="T1713" t="str">
            <v>Paletas</v>
          </cell>
          <cell r="U1713">
            <v>2</v>
          </cell>
          <cell r="V1713" t="str">
            <v>1.04 * 1.37</v>
          </cell>
        </row>
        <row r="1714">
          <cell r="A1714" t="str">
            <v>MULC0107AB</v>
          </cell>
          <cell r="B1714" t="str">
            <v>Vía Pública Mobiliarios</v>
          </cell>
          <cell r="D1714" t="str">
            <v>Paletas</v>
          </cell>
          <cell r="E1714" t="str">
            <v>PARADERO</v>
          </cell>
          <cell r="F1714" t="str">
            <v>1.04 * 1.37</v>
          </cell>
          <cell r="G1714" t="str">
            <v>1.08 * 1.42</v>
          </cell>
          <cell r="H1714" t="str">
            <v>X</v>
          </cell>
          <cell r="I1714" t="str">
            <v>C.Col¢n</v>
          </cell>
          <cell r="L1714">
            <v>670000</v>
          </cell>
          <cell r="M1714" t="str">
            <v>Cristobal Colon S-P - Hernando de Magallanes</v>
          </cell>
          <cell r="N1714" t="str">
            <v>Sudeste</v>
          </cell>
          <cell r="P1714" t="str">
            <v>LAS CONDES</v>
          </cell>
          <cell r="Q1714" t="str">
            <v>TRADICIONAL</v>
          </cell>
          <cell r="R1714" t="str">
            <v>Vía Pública Mobiliarios - Santiago</v>
          </cell>
          <cell r="S1714" t="str">
            <v>MULC - Municipalidad de las Condes</v>
          </cell>
          <cell r="T1714" t="str">
            <v>Paletas</v>
          </cell>
          <cell r="U1714">
            <v>2</v>
          </cell>
          <cell r="V1714" t="str">
            <v>1.04 * 1.37</v>
          </cell>
        </row>
        <row r="1715">
          <cell r="A1715" t="str">
            <v>MULC0108AB</v>
          </cell>
          <cell r="B1715" t="str">
            <v>Vía Pública Mobiliarios</v>
          </cell>
          <cell r="D1715" t="str">
            <v>Paletas</v>
          </cell>
          <cell r="E1715" t="str">
            <v>PARADERO</v>
          </cell>
          <cell r="F1715" t="str">
            <v>1.04 * 1.37</v>
          </cell>
          <cell r="G1715" t="str">
            <v>1.08 * 1.42</v>
          </cell>
          <cell r="H1715" t="str">
            <v>X</v>
          </cell>
          <cell r="I1715" t="str">
            <v>C.Col¢n</v>
          </cell>
          <cell r="L1715">
            <v>670000</v>
          </cell>
          <cell r="M1715" t="str">
            <v>Cristobal Colon N-O - Manquehue</v>
          </cell>
          <cell r="N1715" t="str">
            <v>Noreste</v>
          </cell>
          <cell r="P1715" t="str">
            <v>LAS CONDES</v>
          </cell>
          <cell r="Q1715" t="str">
            <v>TRADICIONAL</v>
          </cell>
          <cell r="R1715" t="str">
            <v>Vía Pública Mobiliarios - Santiago</v>
          </cell>
          <cell r="S1715" t="str">
            <v>MULC - Municipalidad de las Condes</v>
          </cell>
          <cell r="T1715" t="str">
            <v>Paletas</v>
          </cell>
          <cell r="U1715">
            <v>2</v>
          </cell>
          <cell r="V1715" t="str">
            <v>1.04 * 1.37</v>
          </cell>
        </row>
        <row r="1716">
          <cell r="A1716" t="str">
            <v>MULC0109AB</v>
          </cell>
          <cell r="B1716" t="str">
            <v>Vía Pública Mobiliarios</v>
          </cell>
          <cell r="D1716" t="str">
            <v>Paletas</v>
          </cell>
          <cell r="E1716" t="str">
            <v>PARADERO</v>
          </cell>
          <cell r="F1716" t="str">
            <v>1.04 * 1.37</v>
          </cell>
          <cell r="G1716" t="str">
            <v>1.08 * 1.42</v>
          </cell>
          <cell r="H1716" t="str">
            <v>X</v>
          </cell>
          <cell r="I1716" t="str">
            <v>C.Col¢n</v>
          </cell>
          <cell r="L1716">
            <v>670000</v>
          </cell>
          <cell r="M1716" t="str">
            <v>Cristobal Colon S-P - Manquehue</v>
          </cell>
          <cell r="N1716" t="str">
            <v>Sudeste</v>
          </cell>
          <cell r="P1716" t="str">
            <v>LAS CONDES</v>
          </cell>
          <cell r="Q1716" t="str">
            <v>TRADICIONAL</v>
          </cell>
          <cell r="R1716" t="str">
            <v>Vía Pública Mobiliarios - Santiago</v>
          </cell>
          <cell r="S1716" t="str">
            <v>MULC - Municipalidad de las Condes</v>
          </cell>
          <cell r="T1716" t="str">
            <v>Paletas</v>
          </cell>
          <cell r="U1716">
            <v>2</v>
          </cell>
          <cell r="V1716" t="str">
            <v>1.04 * 1.37</v>
          </cell>
        </row>
        <row r="1717">
          <cell r="A1717" t="str">
            <v>MULC0110AB</v>
          </cell>
          <cell r="B1717" t="str">
            <v>Vía Pública Mobiliarios</v>
          </cell>
          <cell r="D1717" t="str">
            <v>Paletas</v>
          </cell>
          <cell r="E1717" t="str">
            <v>PARADERO</v>
          </cell>
          <cell r="F1717" t="str">
            <v>1.04 * 1.37</v>
          </cell>
          <cell r="G1717" t="str">
            <v>1.08 * 1.42</v>
          </cell>
          <cell r="H1717" t="str">
            <v>X</v>
          </cell>
          <cell r="I1717" t="str">
            <v>C.Col¢n</v>
          </cell>
          <cell r="L1717">
            <v>670000</v>
          </cell>
          <cell r="M1717" t="str">
            <v>Cristobal Colon N-O - La Capitania</v>
          </cell>
          <cell r="N1717" t="str">
            <v>Noreste</v>
          </cell>
          <cell r="P1717" t="str">
            <v>LAS CONDES</v>
          </cell>
          <cell r="Q1717" t="str">
            <v>TRADICIONAL</v>
          </cell>
          <cell r="R1717" t="str">
            <v>Vía Pública Mobiliarios - Santiago</v>
          </cell>
          <cell r="S1717" t="str">
            <v>MULC - Municipalidad de las Condes</v>
          </cell>
          <cell r="T1717" t="str">
            <v>Paletas</v>
          </cell>
          <cell r="U1717">
            <v>2</v>
          </cell>
          <cell r="V1717" t="str">
            <v>1.04 * 1.37</v>
          </cell>
        </row>
        <row r="1718">
          <cell r="A1718" t="str">
            <v>MULC0111AB</v>
          </cell>
          <cell r="B1718" t="str">
            <v>Vía Pública Mobiliarios</v>
          </cell>
          <cell r="D1718" t="str">
            <v>Paletas</v>
          </cell>
          <cell r="E1718" t="str">
            <v>PARADERO</v>
          </cell>
          <cell r="F1718" t="str">
            <v>1.04 * 1.37</v>
          </cell>
          <cell r="G1718" t="str">
            <v>1.08 * 1.42</v>
          </cell>
          <cell r="H1718" t="str">
            <v>X</v>
          </cell>
          <cell r="I1718" t="str">
            <v>C.Col¢n</v>
          </cell>
          <cell r="L1718">
            <v>670000</v>
          </cell>
          <cell r="M1718" t="str">
            <v>Cristobal Colon N-O - Domingo Bondi</v>
          </cell>
          <cell r="N1718" t="str">
            <v>Noreste</v>
          </cell>
          <cell r="P1718" t="str">
            <v>LAS CONDES</v>
          </cell>
          <cell r="Q1718" t="str">
            <v>TRADICIONAL</v>
          </cell>
          <cell r="R1718" t="str">
            <v>Vía Pública Mobiliarios - Santiago</v>
          </cell>
          <cell r="S1718" t="str">
            <v>MULC - Municipalidad de las Condes</v>
          </cell>
          <cell r="T1718" t="str">
            <v>Paletas</v>
          </cell>
          <cell r="U1718">
            <v>2</v>
          </cell>
          <cell r="V1718" t="str">
            <v>1.04 * 1.37</v>
          </cell>
        </row>
        <row r="1719">
          <cell r="A1719" t="str">
            <v>MULC0112AB</v>
          </cell>
          <cell r="B1719" t="str">
            <v>Vía Pública Mobiliarios</v>
          </cell>
          <cell r="D1719" t="str">
            <v>Paletas</v>
          </cell>
          <cell r="E1719" t="str">
            <v>PARADERO</v>
          </cell>
          <cell r="F1719" t="str">
            <v>1.04 * 1.37</v>
          </cell>
          <cell r="G1719" t="str">
            <v>1.08 * 1.42</v>
          </cell>
          <cell r="H1719" t="str">
            <v>X</v>
          </cell>
          <cell r="I1719" t="str">
            <v>C.Col¢n</v>
          </cell>
          <cell r="L1719">
            <v>670000</v>
          </cell>
          <cell r="M1719" t="str">
            <v>Cristobal Colon S-P - Domingo Bondi</v>
          </cell>
          <cell r="N1719" t="str">
            <v>Sudeste</v>
          </cell>
          <cell r="P1719" t="str">
            <v>LAS CONDES</v>
          </cell>
          <cell r="Q1719" t="str">
            <v>TRADICIONAL</v>
          </cell>
          <cell r="R1719" t="str">
            <v>Vía Pública Mobiliarios - Santiago</v>
          </cell>
          <cell r="S1719" t="str">
            <v>MULC - Municipalidad de las Condes</v>
          </cell>
          <cell r="T1719" t="str">
            <v>Paletas</v>
          </cell>
          <cell r="U1719">
            <v>2</v>
          </cell>
          <cell r="V1719" t="str">
            <v>1.04 * 1.37</v>
          </cell>
        </row>
        <row r="1720">
          <cell r="A1720" t="str">
            <v>MULC0113AB</v>
          </cell>
          <cell r="B1720" t="str">
            <v>Vía Pública Mobiliarios</v>
          </cell>
          <cell r="D1720" t="str">
            <v>Paletas</v>
          </cell>
          <cell r="E1720" t="str">
            <v>PARADERO</v>
          </cell>
          <cell r="F1720" t="str">
            <v>1.04 * 1.37</v>
          </cell>
          <cell r="G1720" t="str">
            <v>1.08 * 1.42</v>
          </cell>
          <cell r="H1720" t="str">
            <v>X</v>
          </cell>
          <cell r="I1720" t="str">
            <v>C.Col¢n</v>
          </cell>
          <cell r="L1720">
            <v>670000</v>
          </cell>
          <cell r="M1720" t="str">
            <v>Cristobal Colon S-O - Sebastian Elcano</v>
          </cell>
          <cell r="N1720" t="str">
            <v>Sudeste</v>
          </cell>
          <cell r="P1720" t="str">
            <v>LAS CONDES</v>
          </cell>
          <cell r="Q1720" t="str">
            <v>TRADICIONAL</v>
          </cell>
          <cell r="R1720" t="str">
            <v>Vía Pública Mobiliarios - Santiago</v>
          </cell>
          <cell r="S1720" t="str">
            <v>MULC - Municipalidad de las Condes</v>
          </cell>
          <cell r="T1720" t="str">
            <v>Paletas</v>
          </cell>
          <cell r="U1720">
            <v>2</v>
          </cell>
          <cell r="V1720" t="str">
            <v>1.04 * 1.37</v>
          </cell>
        </row>
        <row r="1721">
          <cell r="A1721" t="str">
            <v>MULC0114AB</v>
          </cell>
          <cell r="B1721" t="str">
            <v>Vía Pública Mobiliarios</v>
          </cell>
          <cell r="D1721" t="str">
            <v>Paletas</v>
          </cell>
          <cell r="E1721" t="str">
            <v>PARADERO</v>
          </cell>
          <cell r="F1721" t="str">
            <v>1.04 * 1.37</v>
          </cell>
          <cell r="G1721" t="str">
            <v>1.08 * 1.42</v>
          </cell>
          <cell r="H1721" t="str">
            <v>X</v>
          </cell>
          <cell r="I1721" t="str">
            <v>C.Col¢n</v>
          </cell>
          <cell r="L1721">
            <v>670000</v>
          </cell>
          <cell r="M1721" t="str">
            <v>Cristobal Colon N-O - Sebastian Elcano</v>
          </cell>
          <cell r="N1721" t="str">
            <v>Noreste</v>
          </cell>
          <cell r="P1721" t="str">
            <v>LAS CONDES</v>
          </cell>
          <cell r="Q1721" t="str">
            <v>TRADICIONAL</v>
          </cell>
          <cell r="R1721" t="str">
            <v>Vía Pública Mobiliarios - Santiago</v>
          </cell>
          <cell r="S1721" t="str">
            <v>MULC - Municipalidad de las Condes</v>
          </cell>
          <cell r="T1721" t="str">
            <v>Paletas</v>
          </cell>
          <cell r="U1721">
            <v>2</v>
          </cell>
          <cell r="V1721" t="str">
            <v>1.04 * 1.37</v>
          </cell>
        </row>
        <row r="1722">
          <cell r="A1722" t="str">
            <v>MULC0115AB</v>
          </cell>
          <cell r="B1722" t="str">
            <v>Vía Pública Mobiliarios</v>
          </cell>
          <cell r="D1722" t="str">
            <v>Paletas</v>
          </cell>
          <cell r="E1722" t="str">
            <v>PARADERO</v>
          </cell>
          <cell r="F1722" t="str">
            <v>1.04 * 1.37</v>
          </cell>
          <cell r="G1722" t="str">
            <v>1.08 * 1.42</v>
          </cell>
          <cell r="H1722" t="str">
            <v>X</v>
          </cell>
          <cell r="I1722" t="str">
            <v>C.Col¢n</v>
          </cell>
          <cell r="L1722">
            <v>670000</v>
          </cell>
          <cell r="M1722" t="str">
            <v>Cristobal Colon N-O - Felix de Amesti</v>
          </cell>
          <cell r="N1722" t="str">
            <v>Noreste</v>
          </cell>
          <cell r="P1722" t="str">
            <v>LAS CONDES</v>
          </cell>
          <cell r="Q1722" t="str">
            <v>TRADICIONAL</v>
          </cell>
          <cell r="R1722" t="str">
            <v>Vía Pública Mobiliarios - Santiago</v>
          </cell>
          <cell r="S1722" t="str">
            <v>MULC - Municipalidad de las Condes</v>
          </cell>
          <cell r="T1722" t="str">
            <v>Paletas</v>
          </cell>
          <cell r="U1722">
            <v>2</v>
          </cell>
          <cell r="V1722" t="str">
            <v>1.04 * 1.37</v>
          </cell>
        </row>
        <row r="1723">
          <cell r="A1723" t="str">
            <v>MULC0116AB</v>
          </cell>
          <cell r="B1723" t="str">
            <v>Vía Pública Mobiliarios</v>
          </cell>
          <cell r="D1723" t="str">
            <v>Paletas</v>
          </cell>
          <cell r="E1723" t="str">
            <v>PARADERO</v>
          </cell>
          <cell r="F1723" t="str">
            <v>1.04 * 1.37</v>
          </cell>
          <cell r="G1723" t="str">
            <v>1.08 * 1.42</v>
          </cell>
          <cell r="H1723" t="str">
            <v>X</v>
          </cell>
          <cell r="I1723" t="str">
            <v>C.Col¢n</v>
          </cell>
          <cell r="L1723">
            <v>670000</v>
          </cell>
          <cell r="M1723" t="str">
            <v>Cristobal Colon S-P - Martin Alonso Pinzon</v>
          </cell>
          <cell r="N1723" t="str">
            <v>Sudeste</v>
          </cell>
          <cell r="P1723" t="str">
            <v>LAS CONDES</v>
          </cell>
          <cell r="Q1723" t="str">
            <v>TRADICIONAL</v>
          </cell>
          <cell r="R1723" t="str">
            <v>Vía Pública Mobiliarios - Santiago</v>
          </cell>
          <cell r="S1723" t="str">
            <v>MULC - Municipalidad de las Condes</v>
          </cell>
          <cell r="T1723" t="str">
            <v>Paletas</v>
          </cell>
          <cell r="U1723">
            <v>2</v>
          </cell>
          <cell r="V1723" t="str">
            <v>1.04 * 1.37</v>
          </cell>
        </row>
        <row r="1724">
          <cell r="A1724" t="str">
            <v>MULC0117AB</v>
          </cell>
          <cell r="B1724" t="str">
            <v>Vía Pública Mobiliarios</v>
          </cell>
          <cell r="D1724" t="str">
            <v>Paletas</v>
          </cell>
          <cell r="E1724" t="str">
            <v>PARADERO</v>
          </cell>
          <cell r="F1724" t="str">
            <v>1.04 * 1.37</v>
          </cell>
          <cell r="G1724" t="str">
            <v>1.08 * 1.42</v>
          </cell>
          <cell r="H1724" t="str">
            <v>X</v>
          </cell>
          <cell r="I1724" t="str">
            <v>A.Vespucio</v>
          </cell>
          <cell r="L1724">
            <v>670000</v>
          </cell>
          <cell r="M1724" t="str">
            <v>Av. A. Vespucio S-O - Cristobal Colon</v>
          </cell>
          <cell r="N1724" t="str">
            <v>Noreste</v>
          </cell>
          <cell r="P1724" t="str">
            <v>LAS CONDES</v>
          </cell>
          <cell r="Q1724" t="str">
            <v>TRADICIONAL</v>
          </cell>
          <cell r="R1724" t="str">
            <v>Vía Pública Mobiliarios - Santiago</v>
          </cell>
          <cell r="S1724" t="str">
            <v>MULC - Municipalidad de las Condes</v>
          </cell>
          <cell r="T1724" t="str">
            <v>Paletas</v>
          </cell>
          <cell r="U1724">
            <v>2</v>
          </cell>
          <cell r="V1724" t="str">
            <v>1.04 * 1.37</v>
          </cell>
        </row>
        <row r="1725">
          <cell r="A1725" t="str">
            <v>MULC0118AB</v>
          </cell>
          <cell r="B1725" t="str">
            <v>Vía Pública Mobiliarios</v>
          </cell>
          <cell r="D1725" t="str">
            <v>Paletas</v>
          </cell>
          <cell r="E1725" t="str">
            <v>PARADERO</v>
          </cell>
          <cell r="F1725" t="str">
            <v>1.04 * 1.37</v>
          </cell>
          <cell r="G1725" t="str">
            <v>1.08 * 1.42</v>
          </cell>
          <cell r="H1725" t="str">
            <v>X</v>
          </cell>
          <cell r="I1725" t="str">
            <v>A.Vespucio</v>
          </cell>
          <cell r="L1725">
            <v>670000</v>
          </cell>
          <cell r="M1725" t="str">
            <v>Av. A. Vespucio N-P - Cristobal Colon</v>
          </cell>
          <cell r="N1725" t="str">
            <v>Sudoeste</v>
          </cell>
          <cell r="P1725" t="str">
            <v>LAS CONDES</v>
          </cell>
          <cell r="Q1725" t="str">
            <v>TRADICIONAL</v>
          </cell>
          <cell r="R1725" t="str">
            <v>Vía Pública Mobiliarios - Santiago</v>
          </cell>
          <cell r="S1725" t="str">
            <v>MULC - Municipalidad de las Condes</v>
          </cell>
          <cell r="T1725" t="str">
            <v>Paletas</v>
          </cell>
          <cell r="U1725">
            <v>2</v>
          </cell>
          <cell r="V1725" t="str">
            <v>1.04 * 1.37</v>
          </cell>
        </row>
        <row r="1726">
          <cell r="A1726" t="str">
            <v>MULC0119AB</v>
          </cell>
          <cell r="B1726" t="str">
            <v>Vía Pública Mobiliarios</v>
          </cell>
          <cell r="D1726" t="str">
            <v>Paletas</v>
          </cell>
          <cell r="E1726" t="str">
            <v>PARADERO Paleta PARALELA</v>
          </cell>
          <cell r="F1726" t="str">
            <v>1.04 * 1.37</v>
          </cell>
          <cell r="G1726" t="str">
            <v>1.08 * 1.42</v>
          </cell>
          <cell r="H1726" t="str">
            <v>X</v>
          </cell>
          <cell r="I1726" t="str">
            <v>C.Col¢n</v>
          </cell>
          <cell r="L1726">
            <v>670000</v>
          </cell>
          <cell r="M1726" t="str">
            <v>Cristobal Colon N-O - Alicante</v>
          </cell>
          <cell r="N1726" t="str">
            <v>Norte</v>
          </cell>
          <cell r="P1726" t="str">
            <v>LAS CONDES</v>
          </cell>
          <cell r="Q1726" t="str">
            <v>TRADICIONAL</v>
          </cell>
          <cell r="R1726" t="str">
            <v>Vía Pública Mobiliarios - Santiago</v>
          </cell>
          <cell r="S1726" t="str">
            <v>MULC - Municipalidad de las Condes</v>
          </cell>
          <cell r="T1726" t="str">
            <v>Paletas</v>
          </cell>
          <cell r="U1726">
            <v>2</v>
          </cell>
          <cell r="V1726" t="str">
            <v>1.04 * 1.37</v>
          </cell>
        </row>
        <row r="1727">
          <cell r="A1727" t="str">
            <v>MULC0120AB</v>
          </cell>
          <cell r="B1727" t="str">
            <v>Vía Pública Mobiliarios</v>
          </cell>
          <cell r="D1727" t="str">
            <v>Paletas</v>
          </cell>
          <cell r="E1727" t="str">
            <v>PARADERO Paleta PARALELA</v>
          </cell>
          <cell r="F1727" t="str">
            <v>1.04 * 1.37</v>
          </cell>
          <cell r="G1727" t="str">
            <v>1.08 * 1.42</v>
          </cell>
          <cell r="H1727" t="str">
            <v>X</v>
          </cell>
          <cell r="I1727" t="str">
            <v>C.Col¢n</v>
          </cell>
          <cell r="L1727">
            <v>670000</v>
          </cell>
          <cell r="M1727" t="str">
            <v>Cristobal Colon S-P - Flandes</v>
          </cell>
          <cell r="N1727" t="str">
            <v>Sur</v>
          </cell>
          <cell r="P1727" t="str">
            <v>LAS CONDES</v>
          </cell>
          <cell r="Q1727" t="str">
            <v>TRADICIONAL</v>
          </cell>
          <cell r="R1727" t="str">
            <v>Vía Pública Mobiliarios - Santiago</v>
          </cell>
          <cell r="S1727" t="str">
            <v>MULC - Municipalidad de las Condes</v>
          </cell>
          <cell r="T1727" t="str">
            <v>Paletas</v>
          </cell>
          <cell r="U1727">
            <v>2</v>
          </cell>
          <cell r="V1727" t="str">
            <v>1.04 * 1.37</v>
          </cell>
        </row>
        <row r="1728">
          <cell r="A1728" t="str">
            <v>MULC0121AB</v>
          </cell>
          <cell r="B1728" t="str">
            <v>Vía Pública Mobiliarios</v>
          </cell>
          <cell r="D1728" t="str">
            <v>Paletas</v>
          </cell>
          <cell r="E1728" t="str">
            <v>PARADERO Paleta PARALELA</v>
          </cell>
          <cell r="F1728" t="str">
            <v>1.04 * 1.37</v>
          </cell>
          <cell r="G1728" t="str">
            <v>1.08 * 1.42</v>
          </cell>
          <cell r="H1728" t="str">
            <v>X</v>
          </cell>
          <cell r="I1728" t="str">
            <v>C.Col¢n</v>
          </cell>
          <cell r="L1728">
            <v>670000</v>
          </cell>
          <cell r="M1728" t="str">
            <v>Cristobal Colon N-O - Malaga</v>
          </cell>
          <cell r="N1728" t="str">
            <v>Norte</v>
          </cell>
          <cell r="P1728" t="str">
            <v>LAS CONDES</v>
          </cell>
          <cell r="Q1728" t="str">
            <v>TRADICIONAL</v>
          </cell>
          <cell r="R1728" t="str">
            <v>Vía Pública Mobiliarios - Santiago</v>
          </cell>
          <cell r="S1728" t="str">
            <v>MULC - Municipalidad de las Condes</v>
          </cell>
          <cell r="T1728" t="str">
            <v>Paletas</v>
          </cell>
          <cell r="U1728">
            <v>2</v>
          </cell>
          <cell r="V1728" t="str">
            <v>1.04 * 1.37</v>
          </cell>
        </row>
        <row r="1729">
          <cell r="A1729" t="str">
            <v>MULC0122AB</v>
          </cell>
          <cell r="B1729" t="str">
            <v>Vía Pública Mobiliarios</v>
          </cell>
          <cell r="D1729" t="str">
            <v>Paletas</v>
          </cell>
          <cell r="E1729" t="str">
            <v>PARADERO</v>
          </cell>
          <cell r="F1729" t="str">
            <v>1.04 * 1.37</v>
          </cell>
          <cell r="G1729" t="str">
            <v>1.08 * 1.42</v>
          </cell>
          <cell r="H1729" t="str">
            <v>X</v>
          </cell>
          <cell r="I1729" t="str">
            <v>C.Col¢n</v>
          </cell>
          <cell r="L1729">
            <v>670000</v>
          </cell>
          <cell r="M1729" t="str">
            <v>Cristobal Colon N-O - Alcantara</v>
          </cell>
          <cell r="N1729" t="str">
            <v>Noreste</v>
          </cell>
          <cell r="P1729" t="str">
            <v>LAS CONDES</v>
          </cell>
          <cell r="Q1729" t="str">
            <v>TRADICIONAL</v>
          </cell>
          <cell r="R1729" t="str">
            <v>Vía Pública Mobiliarios - Santiago</v>
          </cell>
          <cell r="S1729" t="str">
            <v>MULC - Municipalidad de las Condes</v>
          </cell>
          <cell r="T1729" t="str">
            <v>Paletas</v>
          </cell>
          <cell r="U1729">
            <v>2</v>
          </cell>
          <cell r="V1729" t="str">
            <v>1.04 * 1.37</v>
          </cell>
        </row>
        <row r="1730">
          <cell r="A1730" t="str">
            <v>MULC0123AB</v>
          </cell>
          <cell r="B1730" t="str">
            <v>Vía Pública Mobiliarios</v>
          </cell>
          <cell r="D1730" t="str">
            <v>Paletas</v>
          </cell>
          <cell r="E1730" t="str">
            <v>PARADERO</v>
          </cell>
          <cell r="F1730" t="str">
            <v>1.04 * 1.37</v>
          </cell>
          <cell r="G1730" t="str">
            <v>1.08 * 1.42</v>
          </cell>
          <cell r="H1730" t="str">
            <v>X</v>
          </cell>
          <cell r="I1730" t="str">
            <v>C.Col¢n</v>
          </cell>
          <cell r="L1730">
            <v>670000</v>
          </cell>
          <cell r="M1730" t="str">
            <v>Cristobal Colon N-O - Sanchez Fontecilla</v>
          </cell>
          <cell r="N1730" t="str">
            <v>Noreste</v>
          </cell>
          <cell r="P1730" t="str">
            <v>LAS CONDES</v>
          </cell>
          <cell r="Q1730" t="str">
            <v>TRADICIONAL</v>
          </cell>
          <cell r="R1730" t="str">
            <v>Vía Pública Mobiliarios - Santiago</v>
          </cell>
          <cell r="S1730" t="str">
            <v>MULC - Municipalidad de las Condes</v>
          </cell>
          <cell r="T1730" t="str">
            <v>Paletas</v>
          </cell>
          <cell r="U1730">
            <v>2</v>
          </cell>
          <cell r="V1730" t="str">
            <v>1.04 * 1.37</v>
          </cell>
        </row>
        <row r="1731">
          <cell r="A1731" t="str">
            <v>MULC0124AB</v>
          </cell>
          <cell r="B1731" t="str">
            <v>Vía Pública Mobiliarios</v>
          </cell>
          <cell r="D1731" t="str">
            <v>Paletas</v>
          </cell>
          <cell r="E1731" t="str">
            <v>PARADERO</v>
          </cell>
          <cell r="F1731" t="str">
            <v>1.04 * 1.37</v>
          </cell>
          <cell r="G1731" t="str">
            <v>1.08 * 1.42</v>
          </cell>
          <cell r="H1731" t="str">
            <v>X</v>
          </cell>
          <cell r="I1731" t="str">
            <v>Sanchez Fontecil</v>
          </cell>
          <cell r="L1731">
            <v>670000</v>
          </cell>
          <cell r="M1731" t="str">
            <v>Sanchez Fontecilla N-P - Cristobal Colon</v>
          </cell>
          <cell r="N1731" t="str">
            <v>Sudeste</v>
          </cell>
          <cell r="P1731" t="str">
            <v>LAS CONDES</v>
          </cell>
          <cell r="Q1731" t="str">
            <v>TRADICIONAL</v>
          </cell>
          <cell r="R1731" t="str">
            <v>Vía Pública Mobiliarios - Santiago</v>
          </cell>
          <cell r="S1731" t="str">
            <v>MULC - Municipalidad de las Condes</v>
          </cell>
          <cell r="T1731" t="str">
            <v>Paletas</v>
          </cell>
          <cell r="U1731">
            <v>2</v>
          </cell>
          <cell r="V1731" t="str">
            <v>1.04 * 1.37</v>
          </cell>
        </row>
        <row r="1732">
          <cell r="A1732" t="str">
            <v>MULC0125AB</v>
          </cell>
          <cell r="B1732" t="str">
            <v>Vía Pública Mobiliarios</v>
          </cell>
          <cell r="D1732" t="str">
            <v>Paletas</v>
          </cell>
          <cell r="E1732" t="str">
            <v>PARADERO</v>
          </cell>
          <cell r="F1732" t="str">
            <v>1.04 * 1.37</v>
          </cell>
          <cell r="G1732" t="str">
            <v>1.08 * 1.42</v>
          </cell>
          <cell r="H1732" t="str">
            <v>X</v>
          </cell>
          <cell r="I1732" t="str">
            <v>Encomenderos</v>
          </cell>
          <cell r="L1732">
            <v>670000</v>
          </cell>
          <cell r="M1732" t="str">
            <v>Encomenderos - Ebro</v>
          </cell>
          <cell r="N1732" t="str">
            <v>Noroeste</v>
          </cell>
          <cell r="P1732" t="str">
            <v>LAS CONDES</v>
          </cell>
          <cell r="Q1732" t="str">
            <v>TRADICIONAL</v>
          </cell>
          <cell r="R1732" t="str">
            <v>Vía Pública Mobiliarios - Santiago</v>
          </cell>
          <cell r="S1732" t="str">
            <v>MULC - Municipalidad de las Condes</v>
          </cell>
          <cell r="T1732" t="str">
            <v>Paletas</v>
          </cell>
          <cell r="U1732">
            <v>2</v>
          </cell>
          <cell r="V1732" t="str">
            <v>1.04 * 1.37</v>
          </cell>
        </row>
        <row r="1733">
          <cell r="A1733" t="str">
            <v>MULC0126AB</v>
          </cell>
          <cell r="B1733" t="str">
            <v>Vía Pública Mobiliarios</v>
          </cell>
          <cell r="D1733" t="str">
            <v>Paletas</v>
          </cell>
          <cell r="E1733" t="str">
            <v>PARADERO</v>
          </cell>
          <cell r="F1733" t="str">
            <v>1.04 * 1.37</v>
          </cell>
          <cell r="G1733" t="str">
            <v>1.08 * 1.42</v>
          </cell>
          <cell r="H1733" t="str">
            <v>X</v>
          </cell>
          <cell r="I1733" t="str">
            <v>Vitacura</v>
          </cell>
          <cell r="L1733">
            <v>670000</v>
          </cell>
          <cell r="M1733" t="str">
            <v>Vitacura N-P - Isidora Goyenechea</v>
          </cell>
          <cell r="N1733" t="str">
            <v>Sudoeste</v>
          </cell>
          <cell r="P1733" t="str">
            <v>LAS CONDES</v>
          </cell>
          <cell r="Q1733" t="str">
            <v>TRADICIONAL</v>
          </cell>
          <cell r="R1733" t="str">
            <v>Vía Pública Mobiliarios - Santiago</v>
          </cell>
          <cell r="S1733" t="str">
            <v>MULC - Municipalidad de las Condes</v>
          </cell>
          <cell r="T1733" t="str">
            <v>Paletas</v>
          </cell>
          <cell r="U1733">
            <v>2</v>
          </cell>
          <cell r="V1733" t="str">
            <v>1.04 * 1.37</v>
          </cell>
        </row>
        <row r="1734">
          <cell r="A1734" t="str">
            <v>MULC0127AB</v>
          </cell>
          <cell r="B1734" t="str">
            <v>Vía Pública Mobiliarios</v>
          </cell>
          <cell r="D1734" t="str">
            <v>Paletas</v>
          </cell>
          <cell r="E1734" t="str">
            <v>PARADERO</v>
          </cell>
          <cell r="F1734" t="str">
            <v>1.04 * 1.37</v>
          </cell>
          <cell r="G1734" t="str">
            <v>1.08 * 1.42</v>
          </cell>
          <cell r="H1734" t="str">
            <v>X</v>
          </cell>
          <cell r="I1734" t="str">
            <v>Vitacura</v>
          </cell>
          <cell r="L1734">
            <v>670000</v>
          </cell>
          <cell r="M1734" t="str">
            <v>Vitacura N-P - Presidente Riesco</v>
          </cell>
          <cell r="N1734" t="str">
            <v>Sudoeste</v>
          </cell>
          <cell r="P1734" t="str">
            <v>LAS CONDES</v>
          </cell>
          <cell r="Q1734" t="str">
            <v>TRADICIONAL</v>
          </cell>
          <cell r="R1734" t="str">
            <v>Vía Pública Mobiliarios - Santiago</v>
          </cell>
          <cell r="S1734" t="str">
            <v>MULC - Municipalidad de las Condes</v>
          </cell>
          <cell r="T1734" t="str">
            <v>Paletas</v>
          </cell>
          <cell r="U1734">
            <v>2</v>
          </cell>
          <cell r="V1734" t="str">
            <v>1.04 * 1.37</v>
          </cell>
        </row>
        <row r="1735">
          <cell r="A1735" t="str">
            <v>MULC0128AB</v>
          </cell>
          <cell r="B1735" t="str">
            <v>Vía Pública Mobiliarios</v>
          </cell>
          <cell r="D1735" t="str">
            <v>Paletas</v>
          </cell>
          <cell r="E1735" t="str">
            <v>PARADERO</v>
          </cell>
          <cell r="F1735" t="str">
            <v>1.04 * 1.37</v>
          </cell>
          <cell r="G1735" t="str">
            <v>1.08 * 1.42</v>
          </cell>
          <cell r="H1735" t="str">
            <v>X</v>
          </cell>
          <cell r="I1735" t="str">
            <v>Vitacura</v>
          </cell>
          <cell r="L1735">
            <v>670000</v>
          </cell>
          <cell r="M1735" t="str">
            <v>Vitacura N-O - San Patricio</v>
          </cell>
          <cell r="N1735" t="str">
            <v>Noreste</v>
          </cell>
          <cell r="P1735" t="str">
            <v>LAS CONDES</v>
          </cell>
          <cell r="Q1735" t="str">
            <v>TRADICIONAL</v>
          </cell>
          <cell r="R1735" t="str">
            <v>Vía Pública Mobiliarios - Santiago</v>
          </cell>
          <cell r="S1735" t="str">
            <v>MULC - Municipalidad de las Condes</v>
          </cell>
          <cell r="T1735" t="str">
            <v>Paletas</v>
          </cell>
          <cell r="U1735">
            <v>2</v>
          </cell>
          <cell r="V1735" t="str">
            <v>1.04 * 1.37</v>
          </cell>
        </row>
        <row r="1736">
          <cell r="A1736" t="str">
            <v>MULC0129AB</v>
          </cell>
          <cell r="B1736" t="str">
            <v>Vía Pública Mobiliarios</v>
          </cell>
          <cell r="D1736" t="str">
            <v>Paletas</v>
          </cell>
          <cell r="E1736" t="str">
            <v>PARADERO</v>
          </cell>
          <cell r="F1736" t="str">
            <v>1.04 * 1.37</v>
          </cell>
          <cell r="G1736" t="str">
            <v>1.08 * 1.42</v>
          </cell>
          <cell r="H1736" t="str">
            <v>X</v>
          </cell>
          <cell r="I1736" t="str">
            <v>A.Vespucio</v>
          </cell>
          <cell r="L1736">
            <v>670000</v>
          </cell>
          <cell r="M1736" t="str">
            <v>Av. A. Vespucio N-P - Presidente Errazuriz</v>
          </cell>
          <cell r="N1736" t="str">
            <v>Sudoeste</v>
          </cell>
          <cell r="P1736" t="str">
            <v>LAS CONDES</v>
          </cell>
          <cell r="Q1736" t="str">
            <v>TRADICIONAL</v>
          </cell>
          <cell r="R1736" t="str">
            <v>Vía Pública Mobiliarios - Santiago</v>
          </cell>
          <cell r="S1736" t="str">
            <v>MULC - Municipalidad de las Condes</v>
          </cell>
          <cell r="T1736" t="str">
            <v>Paletas</v>
          </cell>
          <cell r="U1736">
            <v>2</v>
          </cell>
          <cell r="V1736" t="str">
            <v>1.04 * 1.37</v>
          </cell>
        </row>
        <row r="1737">
          <cell r="A1737" t="str">
            <v>MULC0130AB</v>
          </cell>
          <cell r="B1737" t="str">
            <v>Vía Pública Mobiliarios</v>
          </cell>
          <cell r="D1737" t="str">
            <v>Paletas</v>
          </cell>
          <cell r="E1737" t="str">
            <v>PARADERO</v>
          </cell>
          <cell r="F1737" t="str">
            <v>1.04 * 1.37</v>
          </cell>
          <cell r="G1737" t="str">
            <v>1.08 * 1.42</v>
          </cell>
          <cell r="H1737" t="str">
            <v>X</v>
          </cell>
          <cell r="I1737" t="str">
            <v>A.Vespucio</v>
          </cell>
          <cell r="L1737">
            <v>670000</v>
          </cell>
          <cell r="M1737" t="str">
            <v>Av. A. Vespucio N-P - Martin de Zamora</v>
          </cell>
          <cell r="N1737" t="str">
            <v>Sudoeste</v>
          </cell>
          <cell r="P1737" t="str">
            <v>LAS CONDES</v>
          </cell>
          <cell r="Q1737" t="str">
            <v>TRADICIONAL</v>
          </cell>
          <cell r="R1737" t="str">
            <v>Vía Pública Mobiliarios - Santiago</v>
          </cell>
          <cell r="S1737" t="str">
            <v>MULC - Municipalidad de las Condes</v>
          </cell>
          <cell r="T1737" t="str">
            <v>Paletas</v>
          </cell>
          <cell r="U1737">
            <v>2</v>
          </cell>
          <cell r="V1737" t="str">
            <v>1.04 * 1.37</v>
          </cell>
        </row>
        <row r="1738">
          <cell r="A1738" t="str">
            <v>MULC0131AB</v>
          </cell>
          <cell r="B1738" t="str">
            <v>Vía Pública Mobiliarios</v>
          </cell>
          <cell r="D1738" t="str">
            <v>Paletas</v>
          </cell>
          <cell r="E1738" t="str">
            <v>PARADERO</v>
          </cell>
          <cell r="F1738" t="str">
            <v>1.04 * 1.37</v>
          </cell>
          <cell r="G1738" t="str">
            <v>1.08 * 1.42</v>
          </cell>
          <cell r="H1738" t="str">
            <v>X</v>
          </cell>
          <cell r="I1738" t="str">
            <v>A.Vespucio</v>
          </cell>
          <cell r="L1738">
            <v>670000</v>
          </cell>
          <cell r="M1738" t="str">
            <v>Av. A. Vespucio N-P - Isabel La Catolica</v>
          </cell>
          <cell r="N1738" t="str">
            <v>Sudoeste</v>
          </cell>
          <cell r="P1738" t="str">
            <v>LAS CONDES</v>
          </cell>
          <cell r="Q1738" t="str">
            <v>TRADICIONAL</v>
          </cell>
          <cell r="R1738" t="str">
            <v>Vía Pública Mobiliarios - Santiago</v>
          </cell>
          <cell r="S1738" t="str">
            <v>MULC - Municipalidad de las Condes</v>
          </cell>
          <cell r="T1738" t="str">
            <v>Paletas</v>
          </cell>
          <cell r="U1738">
            <v>2</v>
          </cell>
          <cell r="V1738" t="str">
            <v>1.04 * 1.37</v>
          </cell>
        </row>
        <row r="1739">
          <cell r="A1739" t="str">
            <v>MULC0132AB</v>
          </cell>
          <cell r="B1739" t="str">
            <v>Vía Pública Mobiliarios</v>
          </cell>
          <cell r="D1739" t="str">
            <v>Paletas</v>
          </cell>
          <cell r="E1739" t="str">
            <v>PARADERO</v>
          </cell>
          <cell r="F1739" t="str">
            <v>1.04 * 1.37</v>
          </cell>
          <cell r="G1739" t="str">
            <v>1.08 * 1.42</v>
          </cell>
          <cell r="H1739" t="str">
            <v>X</v>
          </cell>
          <cell r="I1739" t="str">
            <v>A.Vespucio</v>
          </cell>
          <cell r="L1739">
            <v>670000</v>
          </cell>
          <cell r="M1739" t="str">
            <v>Av. A. Vespucio N-P - Latadia</v>
          </cell>
          <cell r="N1739" t="str">
            <v>Sudoeste</v>
          </cell>
          <cell r="P1739" t="str">
            <v>LAS CONDES</v>
          </cell>
          <cell r="Q1739" t="str">
            <v>TRADICIONAL</v>
          </cell>
          <cell r="R1739" t="str">
            <v>Vía Pública Mobiliarios - Santiago</v>
          </cell>
          <cell r="S1739" t="str">
            <v>MULC - Municipalidad de las Condes</v>
          </cell>
          <cell r="T1739" t="str">
            <v>Paletas</v>
          </cell>
          <cell r="U1739">
            <v>2</v>
          </cell>
          <cell r="V1739" t="str">
            <v>1.04 * 1.37</v>
          </cell>
        </row>
        <row r="1740">
          <cell r="A1740" t="str">
            <v>MULC0133AB</v>
          </cell>
          <cell r="B1740" t="str">
            <v>Vía Pública Mobiliarios</v>
          </cell>
          <cell r="D1740" t="str">
            <v>Paletas</v>
          </cell>
          <cell r="E1740" t="str">
            <v>PARADERO</v>
          </cell>
          <cell r="F1740" t="str">
            <v>1.04 * 1.37</v>
          </cell>
          <cell r="G1740" t="str">
            <v>1.08 * 1.42</v>
          </cell>
          <cell r="H1740" t="str">
            <v>X</v>
          </cell>
          <cell r="I1740" t="str">
            <v>F.Bilbao</v>
          </cell>
          <cell r="L1740">
            <v>670000</v>
          </cell>
          <cell r="M1740" t="str">
            <v>Francisco Bilbao N-O - Latadia</v>
          </cell>
          <cell r="N1740" t="str">
            <v>Noreste</v>
          </cell>
          <cell r="P1740" t="str">
            <v>LAS CONDES</v>
          </cell>
          <cell r="Q1740" t="str">
            <v>TRADICIONAL</v>
          </cell>
          <cell r="R1740" t="str">
            <v>Vía Pública Mobiliarios - Santiago</v>
          </cell>
          <cell r="S1740" t="str">
            <v>MULC - Municipalidad de las Condes</v>
          </cell>
          <cell r="T1740" t="str">
            <v>Paletas</v>
          </cell>
          <cell r="U1740">
            <v>2</v>
          </cell>
          <cell r="V1740" t="str">
            <v>1.04 * 1.37</v>
          </cell>
        </row>
        <row r="1741">
          <cell r="A1741" t="str">
            <v>MULC0134AB</v>
          </cell>
          <cell r="B1741" t="str">
            <v>Vía Pública Mobiliarios</v>
          </cell>
          <cell r="D1741" t="str">
            <v>Paletas</v>
          </cell>
          <cell r="E1741" t="str">
            <v>PARADERO</v>
          </cell>
          <cell r="F1741" t="str">
            <v>1.04 * 1.37</v>
          </cell>
          <cell r="G1741" t="str">
            <v>1.08 * 1.42</v>
          </cell>
          <cell r="H1741" t="str">
            <v>X</v>
          </cell>
          <cell r="I1741" t="str">
            <v>F.Bilbao</v>
          </cell>
          <cell r="L1741">
            <v>670000</v>
          </cell>
          <cell r="M1741" t="str">
            <v>Francisco Bilbao N-O - Alcantara</v>
          </cell>
          <cell r="N1741" t="str">
            <v>Noroeste</v>
          </cell>
          <cell r="P1741" t="str">
            <v>LAS CONDES</v>
          </cell>
          <cell r="Q1741" t="str">
            <v>TRADICIONAL</v>
          </cell>
          <cell r="R1741" t="str">
            <v>Vía Pública Mobiliarios - Santiago</v>
          </cell>
          <cell r="S1741" t="str">
            <v>MULC - Municipalidad de las Condes</v>
          </cell>
          <cell r="T1741" t="str">
            <v>Paletas</v>
          </cell>
          <cell r="U1741">
            <v>2</v>
          </cell>
          <cell r="V1741" t="str">
            <v>1.04 * 1.37</v>
          </cell>
        </row>
        <row r="1742">
          <cell r="A1742" t="str">
            <v>MULC0135AB</v>
          </cell>
          <cell r="B1742" t="str">
            <v>Vía Pública Mobiliarios</v>
          </cell>
          <cell r="D1742" t="str">
            <v>Paletas</v>
          </cell>
          <cell r="E1742" t="str">
            <v>PARADERO Paleta PARALELA</v>
          </cell>
          <cell r="F1742" t="str">
            <v>1.04 * 1.37</v>
          </cell>
          <cell r="G1742" t="str">
            <v>1.08 * 1.42</v>
          </cell>
          <cell r="H1742" t="str">
            <v>X</v>
          </cell>
          <cell r="I1742" t="str">
            <v>F.Bilbao</v>
          </cell>
          <cell r="L1742">
            <v>670000</v>
          </cell>
          <cell r="M1742" t="str">
            <v>Francisco Bilbao N-O - Sebastian Elcano</v>
          </cell>
          <cell r="N1742" t="str">
            <v>Norte</v>
          </cell>
          <cell r="P1742" t="str">
            <v>LAS CONDES</v>
          </cell>
          <cell r="Q1742" t="str">
            <v>TRADICIONAL</v>
          </cell>
          <cell r="R1742" t="str">
            <v>Vía Pública Mobiliarios - Santiago</v>
          </cell>
          <cell r="S1742" t="str">
            <v>MULC - Municipalidad de las Condes</v>
          </cell>
          <cell r="T1742" t="str">
            <v>Paletas</v>
          </cell>
          <cell r="U1742">
            <v>2</v>
          </cell>
          <cell r="V1742" t="str">
            <v>1.04 * 1.37</v>
          </cell>
        </row>
        <row r="1743">
          <cell r="A1743" t="str">
            <v>MULC0136AB</v>
          </cell>
          <cell r="B1743" t="str">
            <v>Vía Pública Mobiliarios</v>
          </cell>
          <cell r="D1743" t="str">
            <v>Paletas</v>
          </cell>
          <cell r="E1743" t="str">
            <v>PARADERO</v>
          </cell>
          <cell r="F1743" t="str">
            <v>1.04 * 1.37</v>
          </cell>
          <cell r="G1743" t="str">
            <v>1.08 * 1.42</v>
          </cell>
          <cell r="H1743" t="str">
            <v>X</v>
          </cell>
          <cell r="I1743" t="str">
            <v>A.Vespucio</v>
          </cell>
          <cell r="L1743">
            <v>670000</v>
          </cell>
          <cell r="M1743" t="str">
            <v>Av. A. Vespucio S-O - Manuel Barrios</v>
          </cell>
          <cell r="N1743" t="str">
            <v>Noreste</v>
          </cell>
          <cell r="P1743" t="str">
            <v>LAS CONDES</v>
          </cell>
          <cell r="Q1743" t="str">
            <v>TRADICIONAL</v>
          </cell>
          <cell r="R1743" t="str">
            <v>Vía Pública Mobiliarios - Santiago</v>
          </cell>
          <cell r="S1743" t="str">
            <v>MULC - Municipalidad de las Condes</v>
          </cell>
          <cell r="T1743" t="str">
            <v>Paletas</v>
          </cell>
          <cell r="U1743">
            <v>2</v>
          </cell>
          <cell r="V1743" t="str">
            <v>1.04 * 1.37</v>
          </cell>
        </row>
        <row r="1744">
          <cell r="A1744" t="str">
            <v>MULC0137AB</v>
          </cell>
          <cell r="B1744" t="str">
            <v>Vía Pública Mobiliarios</v>
          </cell>
          <cell r="D1744" t="str">
            <v>Paletas</v>
          </cell>
          <cell r="E1744" t="str">
            <v>PARADERO</v>
          </cell>
          <cell r="F1744" t="str">
            <v>1.04 * 1.37</v>
          </cell>
          <cell r="G1744" t="str">
            <v>1.08 * 1.42</v>
          </cell>
          <cell r="H1744" t="str">
            <v>X</v>
          </cell>
          <cell r="I1744" t="str">
            <v>A.Vespucio</v>
          </cell>
          <cell r="L1744">
            <v>670000</v>
          </cell>
          <cell r="M1744" t="str">
            <v>Av. A. Vespucio S-O - Isabel La Catolica</v>
          </cell>
          <cell r="N1744" t="str">
            <v>Noreste</v>
          </cell>
          <cell r="P1744" t="str">
            <v>LAS CONDES</v>
          </cell>
          <cell r="Q1744" t="str">
            <v>TRADICIONAL</v>
          </cell>
          <cell r="R1744" t="str">
            <v>Vía Pública Mobiliarios - Santiago</v>
          </cell>
          <cell r="S1744" t="str">
            <v>MULC - Municipalidad de las Condes</v>
          </cell>
          <cell r="T1744" t="str">
            <v>Paletas</v>
          </cell>
          <cell r="U1744">
            <v>2</v>
          </cell>
          <cell r="V1744" t="str">
            <v>1.04 * 1.37</v>
          </cell>
        </row>
        <row r="1745">
          <cell r="A1745" t="str">
            <v>MULC0138AB</v>
          </cell>
          <cell r="B1745" t="str">
            <v>Vía Pública Mobiliarios</v>
          </cell>
          <cell r="D1745" t="str">
            <v>Paletas</v>
          </cell>
          <cell r="E1745" t="str">
            <v>PARADERO</v>
          </cell>
          <cell r="F1745" t="str">
            <v>1.04 * 1.37</v>
          </cell>
          <cell r="G1745" t="str">
            <v>1.08 * 1.42</v>
          </cell>
          <cell r="H1745" t="str">
            <v>X</v>
          </cell>
          <cell r="I1745" t="str">
            <v>A.Vespucio</v>
          </cell>
          <cell r="L1745">
            <v>670000</v>
          </cell>
          <cell r="M1745" t="str">
            <v>Av. A. Vespucio S-O - Martin de Zamora</v>
          </cell>
          <cell r="N1745" t="str">
            <v>Noreste</v>
          </cell>
          <cell r="P1745" t="str">
            <v>LAS CONDES</v>
          </cell>
          <cell r="Q1745" t="str">
            <v>TRADICIONAL</v>
          </cell>
          <cell r="R1745" t="str">
            <v>Vía Pública Mobiliarios - Santiago</v>
          </cell>
          <cell r="S1745" t="str">
            <v>MULC - Municipalidad de las Condes</v>
          </cell>
          <cell r="T1745" t="str">
            <v>Paletas</v>
          </cell>
          <cell r="U1745">
            <v>2</v>
          </cell>
          <cell r="V1745" t="str">
            <v>1.04 * 1.37</v>
          </cell>
        </row>
        <row r="1746">
          <cell r="A1746" t="str">
            <v>MULC0139AB</v>
          </cell>
          <cell r="B1746" t="str">
            <v>Vía Pública Mobiliarios</v>
          </cell>
          <cell r="D1746" t="str">
            <v>Paletas</v>
          </cell>
          <cell r="E1746" t="str">
            <v>PARADERO</v>
          </cell>
          <cell r="F1746" t="str">
            <v>1.04 * 1.37</v>
          </cell>
          <cell r="G1746" t="str">
            <v>1.08 * 1.42</v>
          </cell>
          <cell r="H1746" t="str">
            <v>X</v>
          </cell>
          <cell r="I1746" t="str">
            <v>A.Vespucio</v>
          </cell>
          <cell r="L1746">
            <v>670000</v>
          </cell>
          <cell r="M1746" t="str">
            <v>Av. A. Vespucio Oriente - Albacete y Del Inca</v>
          </cell>
          <cell r="N1746" t="str">
            <v>Noreste</v>
          </cell>
          <cell r="P1746" t="str">
            <v>LAS CONDES</v>
          </cell>
          <cell r="Q1746" t="str">
            <v>TRADICIONAL</v>
          </cell>
          <cell r="R1746" t="str">
            <v>Vía Pública Mobiliarios - Santiago</v>
          </cell>
          <cell r="S1746" t="str">
            <v>MULC - Municipalidad de las Condes</v>
          </cell>
          <cell r="T1746" t="str">
            <v>Paletas</v>
          </cell>
          <cell r="U1746">
            <v>2</v>
          </cell>
          <cell r="V1746" t="str">
            <v>1.04 * 1.37</v>
          </cell>
        </row>
        <row r="1747">
          <cell r="A1747" t="str">
            <v>MULC0140AB</v>
          </cell>
          <cell r="B1747" t="str">
            <v>Vía Pública Mobiliarios</v>
          </cell>
          <cell r="D1747" t="str">
            <v>Paletas</v>
          </cell>
          <cell r="E1747" t="str">
            <v>PARADERO</v>
          </cell>
          <cell r="F1747" t="str">
            <v>1.04 * 1.37</v>
          </cell>
          <cell r="G1747" t="str">
            <v>1.08 * 1.42</v>
          </cell>
          <cell r="H1747" t="str">
            <v>X</v>
          </cell>
          <cell r="I1747" t="str">
            <v>A.Vespucio</v>
          </cell>
          <cell r="L1747">
            <v>670000</v>
          </cell>
          <cell r="M1747" t="str">
            <v>Av. A. Vespucio Oriente - Presidente Riesco</v>
          </cell>
          <cell r="N1747" t="str">
            <v>Noreste</v>
          </cell>
          <cell r="P1747" t="str">
            <v>LAS CONDES</v>
          </cell>
          <cell r="Q1747" t="str">
            <v>TRADICIONAL</v>
          </cell>
          <cell r="R1747" t="str">
            <v>Vía Pública Mobiliarios - Santiago</v>
          </cell>
          <cell r="S1747" t="str">
            <v>MULC - Municipalidad de las Condes</v>
          </cell>
          <cell r="T1747" t="str">
            <v>Paletas</v>
          </cell>
          <cell r="U1747">
            <v>2</v>
          </cell>
          <cell r="V1747" t="str">
            <v>1.04 * 1.37</v>
          </cell>
        </row>
        <row r="1748">
          <cell r="A1748" t="str">
            <v>MULC0141AB</v>
          </cell>
          <cell r="B1748" t="str">
            <v>Vía Pública Mobiliarios</v>
          </cell>
          <cell r="D1748" t="str">
            <v>Paletas</v>
          </cell>
          <cell r="E1748" t="str">
            <v>PARADERO</v>
          </cell>
          <cell r="F1748" t="str">
            <v>1.04 * 1.37</v>
          </cell>
          <cell r="G1748" t="str">
            <v>1.08 * 1.42</v>
          </cell>
          <cell r="H1748" t="str">
            <v>X</v>
          </cell>
          <cell r="I1748" t="str">
            <v>Lat. Kennedy</v>
          </cell>
          <cell r="L1748">
            <v>670000</v>
          </cell>
          <cell r="M1748" t="str">
            <v>Lateral Kennedy - Costado Parque Arauco</v>
          </cell>
          <cell r="N1748" t="str">
            <v>Sudeste</v>
          </cell>
          <cell r="P1748" t="str">
            <v>LAS CONDES</v>
          </cell>
          <cell r="Q1748" t="str">
            <v>TRADICIONAL</v>
          </cell>
          <cell r="R1748" t="str">
            <v>Vía Pública Mobiliarios - Santiago</v>
          </cell>
          <cell r="S1748" t="str">
            <v>MULC - Municipalidad de las Condes</v>
          </cell>
          <cell r="T1748" t="str">
            <v>Paletas</v>
          </cell>
          <cell r="U1748">
            <v>2</v>
          </cell>
          <cell r="V1748" t="str">
            <v>1.04 * 1.37</v>
          </cell>
        </row>
        <row r="1749">
          <cell r="A1749" t="str">
            <v>MULC0142AB</v>
          </cell>
          <cell r="B1749" t="str">
            <v>Vía Pública Mobiliarios</v>
          </cell>
          <cell r="D1749" t="str">
            <v>Paletas</v>
          </cell>
          <cell r="E1749" t="str">
            <v>PARADERO</v>
          </cell>
          <cell r="F1749" t="str">
            <v>1.04 * 1.37</v>
          </cell>
          <cell r="G1749" t="str">
            <v>1.08 * 1.42</v>
          </cell>
          <cell r="H1749" t="str">
            <v>X</v>
          </cell>
          <cell r="I1749" t="str">
            <v>Lat. Kennedy</v>
          </cell>
          <cell r="L1749">
            <v>670000</v>
          </cell>
          <cell r="M1749" t="str">
            <v>Lateral Kennedy - Manquehue</v>
          </cell>
          <cell r="N1749" t="str">
            <v>Sudeste</v>
          </cell>
          <cell r="P1749" t="str">
            <v>LAS CONDES</v>
          </cell>
          <cell r="Q1749" t="str">
            <v>TRADICIONAL</v>
          </cell>
          <cell r="R1749" t="str">
            <v>Vía Pública Mobiliarios - Santiago</v>
          </cell>
          <cell r="S1749" t="str">
            <v>MULC - Municipalidad de las Condes</v>
          </cell>
          <cell r="T1749" t="str">
            <v>Paletas</v>
          </cell>
          <cell r="U1749">
            <v>2</v>
          </cell>
          <cell r="V1749" t="str">
            <v>1.04 * 1.37</v>
          </cell>
        </row>
        <row r="1750">
          <cell r="A1750" t="str">
            <v>MULC0143AB</v>
          </cell>
          <cell r="B1750" t="str">
            <v>Vía Pública Mobiliarios</v>
          </cell>
          <cell r="D1750" t="str">
            <v>Paletas</v>
          </cell>
          <cell r="E1750" t="str">
            <v>PARADERO</v>
          </cell>
          <cell r="F1750" t="str">
            <v>1.04 * 1.37</v>
          </cell>
          <cell r="G1750" t="str">
            <v>1.08 * 1.42</v>
          </cell>
          <cell r="H1750" t="str">
            <v>X</v>
          </cell>
          <cell r="I1750" t="str">
            <v>Manquehue</v>
          </cell>
          <cell r="L1750">
            <v>670000</v>
          </cell>
          <cell r="M1750" t="str">
            <v>Manquehue S-P - Cerro Colorado</v>
          </cell>
          <cell r="N1750" t="str">
            <v>Sudoeste</v>
          </cell>
          <cell r="P1750" t="str">
            <v>LAS CONDES</v>
          </cell>
          <cell r="Q1750" t="str">
            <v>TRADICIONAL</v>
          </cell>
          <cell r="R1750" t="str">
            <v>Vía Pública Mobiliarios - Santiago</v>
          </cell>
          <cell r="S1750" t="str">
            <v>MULC - Municipalidad de las Condes</v>
          </cell>
          <cell r="T1750" t="str">
            <v>Paletas</v>
          </cell>
          <cell r="U1750">
            <v>2</v>
          </cell>
          <cell r="V1750" t="str">
            <v>1.04 * 1.37</v>
          </cell>
        </row>
        <row r="1751">
          <cell r="A1751" t="str">
            <v>MULC0144AB</v>
          </cell>
          <cell r="B1751" t="str">
            <v>Vía Pública Mobiliarios</v>
          </cell>
          <cell r="D1751" t="str">
            <v>Paletas</v>
          </cell>
          <cell r="E1751" t="str">
            <v>PARADERO</v>
          </cell>
          <cell r="F1751" t="str">
            <v>1.04 * 1.37</v>
          </cell>
          <cell r="G1751" t="str">
            <v>1.08 * 1.42</v>
          </cell>
          <cell r="H1751" t="str">
            <v>X</v>
          </cell>
          <cell r="I1751" t="str">
            <v>Manquehue</v>
          </cell>
          <cell r="L1751">
            <v>670000</v>
          </cell>
          <cell r="M1751" t="str">
            <v>Manquehue N-O - Cerro Colorado</v>
          </cell>
          <cell r="N1751" t="str">
            <v>Noreste</v>
          </cell>
          <cell r="P1751" t="str">
            <v>LAS CONDES</v>
          </cell>
          <cell r="Q1751" t="str">
            <v>TRADICIONAL</v>
          </cell>
          <cell r="R1751" t="str">
            <v>Vía Pública Mobiliarios - Santiago</v>
          </cell>
          <cell r="S1751" t="str">
            <v>MULC - Municipalidad de las Condes</v>
          </cell>
          <cell r="T1751" t="str">
            <v>Paletas</v>
          </cell>
          <cell r="U1751">
            <v>2</v>
          </cell>
          <cell r="V1751" t="str">
            <v>1.04 * 1.37</v>
          </cell>
        </row>
        <row r="1752">
          <cell r="A1752" t="str">
            <v>MULC0145AB</v>
          </cell>
          <cell r="B1752" t="str">
            <v>Vía Pública Mobiliarios</v>
          </cell>
          <cell r="D1752" t="str">
            <v>Paletas</v>
          </cell>
          <cell r="E1752" t="str">
            <v>PARADERO</v>
          </cell>
          <cell r="F1752" t="str">
            <v>1.04 * 1.37</v>
          </cell>
          <cell r="G1752" t="str">
            <v>1.08 * 1.42</v>
          </cell>
          <cell r="H1752" t="str">
            <v>X</v>
          </cell>
          <cell r="I1752" t="str">
            <v>Manquehue</v>
          </cell>
          <cell r="L1752">
            <v>670000</v>
          </cell>
          <cell r="M1752" t="str">
            <v>Manquehue S-O - Presidente Riesco</v>
          </cell>
          <cell r="N1752" t="str">
            <v>Noreste</v>
          </cell>
          <cell r="P1752" t="str">
            <v>LAS CONDES</v>
          </cell>
          <cell r="Q1752" t="str">
            <v>TRADICIONAL</v>
          </cell>
          <cell r="R1752" t="str">
            <v>Vía Pública Mobiliarios - Santiago</v>
          </cell>
          <cell r="S1752" t="str">
            <v>MULC - Municipalidad de las Condes</v>
          </cell>
          <cell r="T1752" t="str">
            <v>Paletas</v>
          </cell>
          <cell r="U1752">
            <v>2</v>
          </cell>
          <cell r="V1752" t="str">
            <v>1.04 * 1.37</v>
          </cell>
        </row>
        <row r="1753">
          <cell r="A1753" t="str">
            <v>MULC0146AB</v>
          </cell>
          <cell r="B1753" t="str">
            <v>Vía Pública Mobiliarios</v>
          </cell>
          <cell r="D1753" t="str">
            <v>Paletas</v>
          </cell>
          <cell r="E1753" t="str">
            <v>PARADERO</v>
          </cell>
          <cell r="F1753" t="str">
            <v>1.04 * 1.37</v>
          </cell>
          <cell r="G1753" t="str">
            <v>1.08 * 1.42</v>
          </cell>
          <cell r="H1753" t="str">
            <v>X</v>
          </cell>
          <cell r="I1753" t="str">
            <v>Manquehue</v>
          </cell>
          <cell r="L1753">
            <v>670000</v>
          </cell>
          <cell r="M1753" t="str">
            <v>Manquehue N-P - Los Militares</v>
          </cell>
          <cell r="N1753" t="str">
            <v>Sudeste</v>
          </cell>
          <cell r="P1753" t="str">
            <v>LAS CONDES</v>
          </cell>
          <cell r="Q1753" t="str">
            <v>TRADICIONAL</v>
          </cell>
          <cell r="R1753" t="str">
            <v>Vía Pública Mobiliarios - Santiago</v>
          </cell>
          <cell r="S1753" t="str">
            <v>MULC - Municipalidad de las Condes</v>
          </cell>
          <cell r="T1753" t="str">
            <v>Paletas</v>
          </cell>
          <cell r="U1753">
            <v>2</v>
          </cell>
          <cell r="V1753" t="str">
            <v>1.04 * 1.37</v>
          </cell>
        </row>
        <row r="1754">
          <cell r="A1754" t="str">
            <v>MULC0147AB</v>
          </cell>
          <cell r="B1754" t="str">
            <v>Vía Pública Mobiliarios</v>
          </cell>
          <cell r="D1754" t="str">
            <v>Paletas</v>
          </cell>
          <cell r="E1754" t="str">
            <v>PARADERO</v>
          </cell>
          <cell r="F1754" t="str">
            <v>1.04 * 1.37</v>
          </cell>
          <cell r="G1754" t="str">
            <v>1.08 * 1.42</v>
          </cell>
          <cell r="H1754" t="str">
            <v>X</v>
          </cell>
          <cell r="I1754" t="str">
            <v>Manquehue</v>
          </cell>
          <cell r="L1754">
            <v>670000</v>
          </cell>
          <cell r="M1754" t="str">
            <v>Manquehue S-O - Los Militares</v>
          </cell>
          <cell r="N1754" t="str">
            <v>Noreste</v>
          </cell>
          <cell r="P1754" t="str">
            <v>LAS CONDES</v>
          </cell>
          <cell r="Q1754" t="str">
            <v>TRADICIONAL</v>
          </cell>
          <cell r="R1754" t="str">
            <v>Vía Pública Mobiliarios - Santiago</v>
          </cell>
          <cell r="S1754" t="str">
            <v>MULC - Municipalidad de las Condes</v>
          </cell>
          <cell r="T1754" t="str">
            <v>Paletas</v>
          </cell>
          <cell r="U1754">
            <v>2</v>
          </cell>
          <cell r="V1754" t="str">
            <v>1.04 * 1.37</v>
          </cell>
        </row>
        <row r="1755">
          <cell r="A1755" t="str">
            <v>MULC0148AB</v>
          </cell>
          <cell r="B1755" t="str">
            <v>Vía Pública Mobiliarios</v>
          </cell>
          <cell r="D1755" t="str">
            <v>Paletas</v>
          </cell>
          <cell r="E1755" t="str">
            <v>PARADERO</v>
          </cell>
          <cell r="F1755" t="str">
            <v>1.04 * 1.37</v>
          </cell>
          <cell r="G1755" t="str">
            <v>1.08 * 1.42</v>
          </cell>
          <cell r="H1755" t="str">
            <v>X</v>
          </cell>
          <cell r="I1755" t="str">
            <v>Lat. Kennedy</v>
          </cell>
          <cell r="L1755">
            <v>670000</v>
          </cell>
          <cell r="M1755" t="str">
            <v>Lateral Kennedy - Brasilia</v>
          </cell>
          <cell r="N1755" t="str">
            <v>Sudeste</v>
          </cell>
          <cell r="P1755" t="str">
            <v>LAS CONDES</v>
          </cell>
          <cell r="Q1755" t="str">
            <v>TRADICIONAL</v>
          </cell>
          <cell r="R1755" t="str">
            <v>Vía Pública Mobiliarios - Santiago</v>
          </cell>
          <cell r="S1755" t="str">
            <v>MULC - Municipalidad de las Condes</v>
          </cell>
          <cell r="T1755" t="str">
            <v>Paletas</v>
          </cell>
          <cell r="U1755">
            <v>2</v>
          </cell>
          <cell r="V1755" t="str">
            <v>1.04 * 1.37</v>
          </cell>
        </row>
        <row r="1756">
          <cell r="A1756" t="str">
            <v>MULC0149AB</v>
          </cell>
          <cell r="B1756" t="str">
            <v>Vía Pública Mobiliarios</v>
          </cell>
          <cell r="D1756" t="str">
            <v>NO VENDIBLE</v>
          </cell>
          <cell r="E1756" t="str">
            <v>PARADERO</v>
          </cell>
          <cell r="F1756" t="str">
            <v>1.04 * 1.37</v>
          </cell>
          <cell r="G1756" t="str">
            <v>1.08 * 1.42</v>
          </cell>
          <cell r="H1756" t="str">
            <v>X</v>
          </cell>
          <cell r="I1756" t="str">
            <v>Lat. Kennedy</v>
          </cell>
          <cell r="L1756">
            <v>670000</v>
          </cell>
          <cell r="M1756" t="str">
            <v>Lateral Kennedy - Benito Juarez</v>
          </cell>
          <cell r="N1756" t="str">
            <v>Sudeste</v>
          </cell>
          <cell r="O1756" t="str">
            <v>Sí</v>
          </cell>
          <cell r="P1756" t="str">
            <v>LAS CONDES</v>
          </cell>
          <cell r="Q1756" t="str">
            <v>TRADICIONAL</v>
          </cell>
          <cell r="R1756" t="str">
            <v>Vía Pública Mobiliarios - Santiago</v>
          </cell>
          <cell r="S1756" t="str">
            <v>MULC - Municipalidad de las Condes</v>
          </cell>
          <cell r="T1756" t="str">
            <v>Paletas</v>
          </cell>
          <cell r="U1756">
            <v>2</v>
          </cell>
          <cell r="V1756" t="str">
            <v>1.04 * 1.37</v>
          </cell>
        </row>
        <row r="1757">
          <cell r="A1757" t="str">
            <v>MULC0150AB</v>
          </cell>
          <cell r="B1757" t="str">
            <v>Vía Pública Mobiliarios</v>
          </cell>
          <cell r="D1757" t="str">
            <v>Paletas</v>
          </cell>
          <cell r="E1757" t="str">
            <v>PARADERO</v>
          </cell>
          <cell r="F1757" t="str">
            <v>1.04 * 1.37</v>
          </cell>
          <cell r="G1757" t="str">
            <v>1.08 * 1.42</v>
          </cell>
          <cell r="H1757" t="str">
            <v>X</v>
          </cell>
          <cell r="I1757" t="str">
            <v>Lat. Kennedy</v>
          </cell>
          <cell r="L1757">
            <v>670000</v>
          </cell>
          <cell r="M1757" t="str">
            <v>Lateral Kennedy - Las Tranqueras</v>
          </cell>
          <cell r="N1757" t="str">
            <v>Sudeste</v>
          </cell>
          <cell r="P1757" t="str">
            <v>LAS CONDES</v>
          </cell>
          <cell r="Q1757" t="str">
            <v>TRADICIONAL</v>
          </cell>
          <cell r="R1757" t="str">
            <v>Vía Pública Mobiliarios - Santiago</v>
          </cell>
          <cell r="S1757" t="str">
            <v>MULC - Municipalidad de las Condes</v>
          </cell>
          <cell r="T1757" t="str">
            <v>Paletas</v>
          </cell>
          <cell r="U1757">
            <v>2</v>
          </cell>
          <cell r="V1757" t="str">
            <v>1.04 * 1.37</v>
          </cell>
        </row>
        <row r="1758">
          <cell r="A1758" t="str">
            <v>MULC0151AB</v>
          </cell>
          <cell r="B1758" t="str">
            <v>Vía Pública Mobiliarios</v>
          </cell>
          <cell r="D1758" t="str">
            <v>Paletas</v>
          </cell>
          <cell r="E1758" t="str">
            <v>PARADERO</v>
          </cell>
          <cell r="F1758" t="str">
            <v>1.04 * 1.37</v>
          </cell>
          <cell r="G1758" t="str">
            <v>1.08 * 1.42</v>
          </cell>
          <cell r="H1758" t="str">
            <v>X</v>
          </cell>
          <cell r="I1758" t="str">
            <v>Las Tranqueras</v>
          </cell>
          <cell r="L1758">
            <v>670000</v>
          </cell>
          <cell r="M1758" t="str">
            <v>Las Tranqueras S-O - Toltecas</v>
          </cell>
          <cell r="N1758" t="str">
            <v>Noreste</v>
          </cell>
          <cell r="P1758" t="str">
            <v>LAS CONDES</v>
          </cell>
          <cell r="Q1758" t="str">
            <v>TRADICIONAL</v>
          </cell>
          <cell r="R1758" t="str">
            <v>Vía Pública Mobiliarios - Santiago</v>
          </cell>
          <cell r="S1758" t="str">
            <v>MULC - Municipalidad de las Condes</v>
          </cell>
          <cell r="T1758" t="str">
            <v>Paletas</v>
          </cell>
          <cell r="U1758">
            <v>2</v>
          </cell>
          <cell r="V1758" t="str">
            <v>1.04 * 1.37</v>
          </cell>
        </row>
        <row r="1759">
          <cell r="A1759" t="str">
            <v>MULC0152AB</v>
          </cell>
          <cell r="B1759" t="str">
            <v>Vía Pública Mobiliarios</v>
          </cell>
          <cell r="D1759" t="str">
            <v>Paletas</v>
          </cell>
          <cell r="E1759" t="str">
            <v>PARADERO</v>
          </cell>
          <cell r="F1759" t="str">
            <v>1.04 * 1.37</v>
          </cell>
          <cell r="G1759" t="str">
            <v>1.08 * 1.42</v>
          </cell>
          <cell r="H1759" t="str">
            <v>X</v>
          </cell>
          <cell r="I1759" t="str">
            <v>Las Tranqueras</v>
          </cell>
          <cell r="L1759">
            <v>670000</v>
          </cell>
          <cell r="M1759" t="str">
            <v>Las Tranqueras N-P - Presidente Riesco</v>
          </cell>
          <cell r="N1759" t="str">
            <v>Sudoeste</v>
          </cell>
          <cell r="P1759" t="str">
            <v>LAS CONDES</v>
          </cell>
          <cell r="Q1759" t="str">
            <v>TRADICIONAL</v>
          </cell>
          <cell r="R1759" t="str">
            <v>Vía Pública Mobiliarios - Santiago</v>
          </cell>
          <cell r="S1759" t="str">
            <v>MULC - Municipalidad de las Condes</v>
          </cell>
          <cell r="T1759" t="str">
            <v>Paletas</v>
          </cell>
          <cell r="U1759">
            <v>2</v>
          </cell>
          <cell r="V1759" t="str">
            <v>1.04 * 1.37</v>
          </cell>
        </row>
        <row r="1760">
          <cell r="A1760" t="str">
            <v>MULC0153AB</v>
          </cell>
          <cell r="B1760" t="str">
            <v>Vía Pública Mobiliarios</v>
          </cell>
          <cell r="D1760" t="str">
            <v>Paletas</v>
          </cell>
          <cell r="E1760" t="str">
            <v>PARADERO Paleta PARALELA</v>
          </cell>
          <cell r="F1760" t="str">
            <v>1.04 * 1.37</v>
          </cell>
          <cell r="G1760" t="str">
            <v>1.08 * 1.42</v>
          </cell>
          <cell r="H1760" t="str">
            <v>X</v>
          </cell>
          <cell r="I1760" t="str">
            <v>Las Tranqueras</v>
          </cell>
          <cell r="L1760">
            <v>670000</v>
          </cell>
          <cell r="M1760" t="str">
            <v>Las Tranqueras S-O- Presidente RIesco</v>
          </cell>
          <cell r="N1760" t="str">
            <v>Este</v>
          </cell>
          <cell r="P1760" t="str">
            <v>LAS CONDES</v>
          </cell>
          <cell r="Q1760" t="str">
            <v>TRADICIONAL</v>
          </cell>
          <cell r="R1760" t="str">
            <v>Vía Pública Mobiliarios - Santiago</v>
          </cell>
          <cell r="S1760" t="str">
            <v>MULC - Municipalidad de las Condes</v>
          </cell>
          <cell r="T1760" t="str">
            <v>Paletas</v>
          </cell>
          <cell r="U1760">
            <v>2</v>
          </cell>
          <cell r="V1760" t="str">
            <v>1.04 * 1.37</v>
          </cell>
        </row>
        <row r="1761">
          <cell r="A1761" t="str">
            <v>MULC0154AB</v>
          </cell>
          <cell r="B1761" t="str">
            <v>Vía Pública Mobiliarios</v>
          </cell>
          <cell r="D1761" t="str">
            <v>Paletas</v>
          </cell>
          <cell r="E1761" t="str">
            <v>PARADERO</v>
          </cell>
          <cell r="F1761" t="str">
            <v>1.04 * 1.37</v>
          </cell>
          <cell r="G1761" t="str">
            <v>1.08 * 1.42</v>
          </cell>
          <cell r="H1761" t="str">
            <v>X</v>
          </cell>
          <cell r="I1761" t="str">
            <v>Tomas Moro</v>
          </cell>
          <cell r="L1761">
            <v>670000</v>
          </cell>
          <cell r="M1761" t="str">
            <v>Tomas Moro N-O - Sierra Blanca</v>
          </cell>
          <cell r="N1761" t="str">
            <v>Noreste</v>
          </cell>
          <cell r="P1761" t="str">
            <v>LAS CONDES</v>
          </cell>
          <cell r="Q1761" t="str">
            <v>TRADICIONAL</v>
          </cell>
          <cell r="R1761" t="str">
            <v>Vía Pública Mobiliarios - Santiago</v>
          </cell>
          <cell r="S1761" t="str">
            <v>MULC - Municipalidad de las Condes</v>
          </cell>
          <cell r="T1761" t="str">
            <v>Paletas</v>
          </cell>
          <cell r="U1761">
            <v>2</v>
          </cell>
          <cell r="V1761" t="str">
            <v>1.04 * 1.37</v>
          </cell>
        </row>
        <row r="1762">
          <cell r="A1762" t="str">
            <v>MULC0155AB</v>
          </cell>
          <cell r="B1762" t="str">
            <v>Vía Pública Mobiliarios</v>
          </cell>
          <cell r="D1762" t="str">
            <v>Paletas</v>
          </cell>
          <cell r="E1762" t="str">
            <v>PARADERO</v>
          </cell>
          <cell r="F1762" t="str">
            <v>1.04 * 1.37</v>
          </cell>
          <cell r="G1762" t="str">
            <v>1.08 * 1.42</v>
          </cell>
          <cell r="H1762" t="str">
            <v>X</v>
          </cell>
          <cell r="I1762" t="str">
            <v>Tomas Moro</v>
          </cell>
          <cell r="L1762">
            <v>670000</v>
          </cell>
          <cell r="M1762" t="str">
            <v>Tomas Moro N-P - Imperial</v>
          </cell>
          <cell r="N1762" t="str">
            <v>Noroeste</v>
          </cell>
          <cell r="P1762" t="str">
            <v>LAS CONDES</v>
          </cell>
          <cell r="Q1762" t="str">
            <v>TRADICIONAL</v>
          </cell>
          <cell r="R1762" t="str">
            <v>Vía Pública Mobiliarios - Santiago</v>
          </cell>
          <cell r="S1762" t="str">
            <v>MULC - Municipalidad de las Condes</v>
          </cell>
          <cell r="T1762" t="str">
            <v>Paletas</v>
          </cell>
          <cell r="U1762">
            <v>2</v>
          </cell>
          <cell r="V1762" t="str">
            <v>1.04 * 1.37</v>
          </cell>
        </row>
        <row r="1763">
          <cell r="A1763" t="str">
            <v>MULC0156AB</v>
          </cell>
          <cell r="B1763" t="str">
            <v>Vía Pública Mobiliarios</v>
          </cell>
          <cell r="D1763" t="str">
            <v>Paletas</v>
          </cell>
          <cell r="E1763" t="str">
            <v>PARADERO Paleta PARALELA</v>
          </cell>
          <cell r="F1763" t="str">
            <v>1.04 * 1.37</v>
          </cell>
          <cell r="G1763" t="str">
            <v>1.08 * 1.42</v>
          </cell>
          <cell r="H1763" t="str">
            <v>X</v>
          </cell>
          <cell r="I1763" t="str">
            <v>Tomas Moro</v>
          </cell>
          <cell r="L1763">
            <v>670000</v>
          </cell>
          <cell r="M1763" t="str">
            <v>Tomas Moro S-O - Imperial</v>
          </cell>
          <cell r="N1763" t="str">
            <v>Este</v>
          </cell>
          <cell r="P1763" t="str">
            <v>LAS CONDES</v>
          </cell>
          <cell r="Q1763" t="str">
            <v>TRADICIONAL</v>
          </cell>
          <cell r="R1763" t="str">
            <v>Vía Pública Mobiliarios - Santiago</v>
          </cell>
          <cell r="S1763" t="str">
            <v>MULC - Municipalidad de las Condes</v>
          </cell>
          <cell r="T1763" t="str">
            <v>Paletas</v>
          </cell>
          <cell r="U1763">
            <v>2</v>
          </cell>
          <cell r="V1763" t="str">
            <v>1.04 * 1.37</v>
          </cell>
        </row>
        <row r="1764">
          <cell r="A1764" t="str">
            <v>MULC0157AB</v>
          </cell>
          <cell r="B1764" t="str">
            <v>Vía Pública Mobiliarios</v>
          </cell>
          <cell r="D1764" t="str">
            <v>Paletas</v>
          </cell>
          <cell r="E1764" t="str">
            <v>PARADERO</v>
          </cell>
          <cell r="F1764" t="str">
            <v>1.04 * 1.37</v>
          </cell>
          <cell r="G1764" t="str">
            <v>1.08 * 1.42</v>
          </cell>
          <cell r="H1764" t="str">
            <v>X</v>
          </cell>
          <cell r="I1764" t="str">
            <v>Tomas Moro</v>
          </cell>
          <cell r="L1764">
            <v>670000</v>
          </cell>
          <cell r="M1764" t="str">
            <v>Tomas Moro N-P - Martin Alonso Pinzon</v>
          </cell>
          <cell r="N1764" t="str">
            <v>Sudoeste</v>
          </cell>
          <cell r="P1764" t="str">
            <v>LAS CONDES</v>
          </cell>
          <cell r="Q1764" t="str">
            <v>TRADICIONAL</v>
          </cell>
          <cell r="R1764" t="str">
            <v>Vía Pública Mobiliarios - Santiago</v>
          </cell>
          <cell r="S1764" t="str">
            <v>MULC - Municipalidad de las Condes</v>
          </cell>
          <cell r="T1764" t="str">
            <v>Paletas</v>
          </cell>
          <cell r="U1764">
            <v>2</v>
          </cell>
          <cell r="V1764" t="str">
            <v>1.04 * 1.37</v>
          </cell>
        </row>
        <row r="1765">
          <cell r="A1765" t="str">
            <v>MULC0158AB</v>
          </cell>
          <cell r="B1765" t="str">
            <v>Vía Pública Mobiliarios</v>
          </cell>
          <cell r="D1765" t="str">
            <v>Paletas</v>
          </cell>
          <cell r="E1765" t="str">
            <v>PARADERO</v>
          </cell>
          <cell r="F1765" t="str">
            <v>1.04 * 1.37</v>
          </cell>
          <cell r="G1765" t="str">
            <v>1.08 * 1.42</v>
          </cell>
          <cell r="H1765" t="str">
            <v>X</v>
          </cell>
          <cell r="I1765" t="str">
            <v>Tomas Moro</v>
          </cell>
          <cell r="L1765">
            <v>670000</v>
          </cell>
          <cell r="M1765" t="str">
            <v>Tomas Moro S-O - Nicosia</v>
          </cell>
          <cell r="N1765" t="str">
            <v>Noreste</v>
          </cell>
          <cell r="P1765" t="str">
            <v>LAS CONDES</v>
          </cell>
          <cell r="Q1765" t="str">
            <v>TRADICIONAL</v>
          </cell>
          <cell r="R1765" t="str">
            <v>Vía Pública Mobiliarios - Santiago</v>
          </cell>
          <cell r="S1765" t="str">
            <v>MULC - Municipalidad de las Condes</v>
          </cell>
          <cell r="T1765" t="str">
            <v>Paletas</v>
          </cell>
          <cell r="U1765">
            <v>2</v>
          </cell>
          <cell r="V1765" t="str">
            <v>1.04 * 1.37</v>
          </cell>
        </row>
        <row r="1766">
          <cell r="A1766" t="str">
            <v>MULC0159AB</v>
          </cell>
          <cell r="B1766" t="str">
            <v>Vía Pública Mobiliarios</v>
          </cell>
          <cell r="D1766" t="str">
            <v>Paletas</v>
          </cell>
          <cell r="E1766" t="str">
            <v>PARADERO</v>
          </cell>
          <cell r="F1766" t="str">
            <v>1.04 * 1.37</v>
          </cell>
          <cell r="G1766" t="str">
            <v>1.08 * 1.42</v>
          </cell>
          <cell r="H1766" t="str">
            <v>X</v>
          </cell>
          <cell r="I1766" t="str">
            <v>Tomas Moro</v>
          </cell>
          <cell r="L1766">
            <v>670000</v>
          </cell>
          <cell r="M1766" t="str">
            <v>Tomas Moro S-O - Alonso de Carmargo</v>
          </cell>
          <cell r="N1766" t="str">
            <v>Noreste</v>
          </cell>
          <cell r="P1766" t="str">
            <v>LAS CONDES</v>
          </cell>
          <cell r="Q1766" t="str">
            <v>TRADICIONAL</v>
          </cell>
          <cell r="R1766" t="str">
            <v>Vía Pública Mobiliarios - Santiago</v>
          </cell>
          <cell r="S1766" t="str">
            <v>MULC - Municipalidad de las Condes</v>
          </cell>
          <cell r="T1766" t="str">
            <v>Paletas</v>
          </cell>
          <cell r="U1766">
            <v>2</v>
          </cell>
          <cell r="V1766" t="str">
            <v>1.04 * 1.37</v>
          </cell>
        </row>
        <row r="1767">
          <cell r="A1767" t="str">
            <v>MULC0160AB</v>
          </cell>
          <cell r="B1767" t="str">
            <v>Vía Pública Mobiliarios</v>
          </cell>
          <cell r="D1767" t="str">
            <v>Paletas</v>
          </cell>
          <cell r="E1767" t="str">
            <v>PARADERO</v>
          </cell>
          <cell r="F1767" t="str">
            <v>1.04 * 1.37</v>
          </cell>
          <cell r="G1767" t="str">
            <v>1.08 * 1.42</v>
          </cell>
          <cell r="H1767" t="str">
            <v>X</v>
          </cell>
          <cell r="I1767" t="str">
            <v>Tomas Moro</v>
          </cell>
          <cell r="L1767">
            <v>670000</v>
          </cell>
          <cell r="M1767" t="str">
            <v>Tomas Moro N-P - Alejandro Fleming</v>
          </cell>
          <cell r="N1767" t="str">
            <v>Sudoeste</v>
          </cell>
          <cell r="P1767" t="str">
            <v>LAS CONDES</v>
          </cell>
          <cell r="Q1767" t="str">
            <v>TRADICIONAL</v>
          </cell>
          <cell r="R1767" t="str">
            <v>Vía Pública Mobiliarios - Santiago</v>
          </cell>
          <cell r="S1767" t="str">
            <v>MULC - Municipalidad de las Condes</v>
          </cell>
          <cell r="T1767" t="str">
            <v>Paletas</v>
          </cell>
          <cell r="U1767">
            <v>2</v>
          </cell>
          <cell r="V1767" t="str">
            <v>1.04 * 1.37</v>
          </cell>
        </row>
        <row r="1768">
          <cell r="A1768" t="str">
            <v>MULC0161AB</v>
          </cell>
          <cell r="B1768" t="str">
            <v>Vía Pública Mobiliarios</v>
          </cell>
          <cell r="D1768" t="str">
            <v>Paletas</v>
          </cell>
          <cell r="E1768" t="str">
            <v>PARADERO</v>
          </cell>
          <cell r="F1768" t="str">
            <v>1.04 * 1.37</v>
          </cell>
          <cell r="G1768" t="str">
            <v>1.08 * 1.42</v>
          </cell>
          <cell r="H1768" t="str">
            <v>X</v>
          </cell>
          <cell r="I1768" t="str">
            <v>Alejandro Flemin</v>
          </cell>
          <cell r="L1768">
            <v>670000</v>
          </cell>
          <cell r="M1768" t="str">
            <v>Alejandro Fleming N-O - Tomas Moro</v>
          </cell>
          <cell r="N1768" t="str">
            <v>Noreste</v>
          </cell>
          <cell r="P1768" t="str">
            <v>LAS CONDES</v>
          </cell>
          <cell r="Q1768" t="str">
            <v>TRADICIONAL</v>
          </cell>
          <cell r="R1768" t="str">
            <v>Vía Pública Mobiliarios - Santiago</v>
          </cell>
          <cell r="S1768" t="str">
            <v>MULC - Municipalidad de las Condes</v>
          </cell>
          <cell r="T1768" t="str">
            <v>Paletas</v>
          </cell>
          <cell r="U1768">
            <v>2</v>
          </cell>
          <cell r="V1768" t="str">
            <v>1.04 * 1.37</v>
          </cell>
        </row>
        <row r="1769">
          <cell r="A1769" t="str">
            <v>MULC0162AB</v>
          </cell>
          <cell r="B1769" t="str">
            <v>Vía Pública Mobiliarios</v>
          </cell>
          <cell r="D1769" t="str">
            <v>Paletas</v>
          </cell>
          <cell r="E1769" t="str">
            <v>PARADERO</v>
          </cell>
          <cell r="F1769" t="str">
            <v>1.04 * 1.37</v>
          </cell>
          <cell r="G1769" t="str">
            <v>1.08 * 1.42</v>
          </cell>
          <cell r="H1769" t="str">
            <v>X</v>
          </cell>
          <cell r="I1769" t="str">
            <v>Florencio Barrio</v>
          </cell>
          <cell r="L1769">
            <v>670000</v>
          </cell>
          <cell r="M1769" t="str">
            <v>Florencio Barrios N-P - Alejandro Fleming</v>
          </cell>
          <cell r="N1769" t="str">
            <v>Sudeste</v>
          </cell>
          <cell r="P1769" t="str">
            <v>LAS CONDES</v>
          </cell>
          <cell r="Q1769" t="str">
            <v>TRADICIONAL</v>
          </cell>
          <cell r="R1769" t="str">
            <v>Vía Pública Mobiliarios - Santiago</v>
          </cell>
          <cell r="S1769" t="str">
            <v>MULC - Municipalidad de las Condes</v>
          </cell>
          <cell r="T1769" t="str">
            <v>Paletas</v>
          </cell>
          <cell r="U1769">
            <v>2</v>
          </cell>
          <cell r="V1769" t="str">
            <v>1.04 * 1.37</v>
          </cell>
        </row>
        <row r="1770">
          <cell r="A1770" t="str">
            <v>MULC0163AB</v>
          </cell>
          <cell r="B1770" t="str">
            <v>Vía Pública Mobiliarios</v>
          </cell>
          <cell r="D1770" t="str">
            <v>Paletas</v>
          </cell>
          <cell r="E1770" t="str">
            <v>PARADERO</v>
          </cell>
          <cell r="F1770" t="str">
            <v>1.04 * 1.37</v>
          </cell>
          <cell r="G1770" t="str">
            <v>1.08 * 1.42</v>
          </cell>
          <cell r="H1770" t="str">
            <v>X</v>
          </cell>
          <cell r="I1770" t="str">
            <v>Alejandro Flemin</v>
          </cell>
          <cell r="L1770">
            <v>670000</v>
          </cell>
          <cell r="M1770" t="str">
            <v>Alejandro Fleming N-O - Florencio Barrios</v>
          </cell>
          <cell r="N1770" t="str">
            <v>Noreste</v>
          </cell>
          <cell r="P1770" t="str">
            <v>LAS CONDES</v>
          </cell>
          <cell r="Q1770" t="str">
            <v>TRADICIONAL</v>
          </cell>
          <cell r="R1770" t="str">
            <v>Vía Pública Mobiliarios - Santiago</v>
          </cell>
          <cell r="S1770" t="str">
            <v>MULC - Municipalidad de las Condes</v>
          </cell>
          <cell r="T1770" t="str">
            <v>Paletas</v>
          </cell>
          <cell r="U1770">
            <v>2</v>
          </cell>
          <cell r="V1770" t="str">
            <v>1.04 * 1.37</v>
          </cell>
        </row>
        <row r="1771">
          <cell r="A1771" t="str">
            <v>MULC0164AB</v>
          </cell>
          <cell r="B1771" t="str">
            <v>Vía Pública Mobiliarios</v>
          </cell>
          <cell r="D1771" t="str">
            <v>Paletas</v>
          </cell>
          <cell r="E1771" t="str">
            <v>PARADERO Paleta PARALELA</v>
          </cell>
          <cell r="F1771" t="str">
            <v>1.04 * 1.37</v>
          </cell>
          <cell r="G1771" t="str">
            <v>1.08 * 1.42</v>
          </cell>
          <cell r="H1771" t="str">
            <v>X</v>
          </cell>
          <cell r="I1771" t="str">
            <v>Tomas Moro</v>
          </cell>
          <cell r="L1771">
            <v>670000</v>
          </cell>
          <cell r="M1771" t="str">
            <v>Tomas Moro N-P - Francisco Bilbao</v>
          </cell>
          <cell r="N1771" t="str">
            <v>Sudoeste</v>
          </cell>
          <cell r="P1771" t="str">
            <v>LAS CONDES</v>
          </cell>
          <cell r="Q1771" t="str">
            <v>TRADICIONAL</v>
          </cell>
          <cell r="R1771" t="str">
            <v>Vía Pública Mobiliarios - Santiago</v>
          </cell>
          <cell r="S1771" t="str">
            <v>MULC - Municipalidad de las Condes</v>
          </cell>
          <cell r="T1771" t="str">
            <v>Paletas</v>
          </cell>
          <cell r="U1771">
            <v>2</v>
          </cell>
          <cell r="V1771" t="str">
            <v>1.04 * 1.37</v>
          </cell>
        </row>
        <row r="1772">
          <cell r="A1772" t="str">
            <v>MULC0165AB</v>
          </cell>
          <cell r="B1772" t="str">
            <v>Vía Pública Mobiliarios</v>
          </cell>
          <cell r="D1772" t="str">
            <v>Paletas</v>
          </cell>
          <cell r="E1772" t="str">
            <v>PARADERO</v>
          </cell>
          <cell r="F1772" t="str">
            <v>1.04 * 1.37</v>
          </cell>
          <cell r="G1772" t="str">
            <v>1.08 * 1.42</v>
          </cell>
          <cell r="H1772" t="str">
            <v>X</v>
          </cell>
          <cell r="I1772" t="str">
            <v>Isabel La Catoli</v>
          </cell>
          <cell r="L1772">
            <v>670000</v>
          </cell>
          <cell r="M1772" t="str">
            <v>Isabel La Catolica - Manquehue</v>
          </cell>
          <cell r="N1772" t="str">
            <v>Sudeste</v>
          </cell>
          <cell r="P1772" t="str">
            <v>LAS CONDES</v>
          </cell>
          <cell r="Q1772" t="str">
            <v>TRADICIONAL</v>
          </cell>
          <cell r="R1772" t="str">
            <v>Vía Pública Mobiliarios - Santiago</v>
          </cell>
          <cell r="S1772" t="str">
            <v>MULC - Municipalidad de las Condes</v>
          </cell>
          <cell r="T1772" t="str">
            <v>Paletas</v>
          </cell>
          <cell r="U1772">
            <v>2</v>
          </cell>
          <cell r="V1772" t="str">
            <v>1.04 * 1.37</v>
          </cell>
        </row>
        <row r="1773">
          <cell r="A1773" t="str">
            <v>MULC0166AB</v>
          </cell>
          <cell r="B1773" t="str">
            <v>Vía Pública Mobiliarios</v>
          </cell>
          <cell r="D1773" t="str">
            <v>Paletas</v>
          </cell>
          <cell r="E1773" t="str">
            <v>PARADERO</v>
          </cell>
          <cell r="F1773" t="str">
            <v>1.04 * 1.37</v>
          </cell>
          <cell r="G1773" t="str">
            <v>1.08 * 1.42</v>
          </cell>
          <cell r="H1773" t="str">
            <v>X</v>
          </cell>
          <cell r="I1773" t="str">
            <v>Alejandro Flemin</v>
          </cell>
          <cell r="L1773">
            <v>670000</v>
          </cell>
          <cell r="M1773" t="str">
            <v>Alejandro Fleming - IV Centenario</v>
          </cell>
          <cell r="N1773" t="str">
            <v>Noreste</v>
          </cell>
          <cell r="P1773" t="str">
            <v>LAS CONDES</v>
          </cell>
          <cell r="Q1773" t="str">
            <v>TRADICIONAL</v>
          </cell>
          <cell r="R1773" t="str">
            <v>Vía Pública Mobiliarios - Santiago</v>
          </cell>
          <cell r="S1773" t="str">
            <v>MULC - Municipalidad de las Condes</v>
          </cell>
          <cell r="T1773" t="str">
            <v>Paletas</v>
          </cell>
          <cell r="U1773">
            <v>2</v>
          </cell>
          <cell r="V1773" t="str">
            <v>1.04 * 1.37</v>
          </cell>
        </row>
        <row r="1774">
          <cell r="A1774" t="str">
            <v>MULC0167AB</v>
          </cell>
          <cell r="B1774" t="str">
            <v>Vía Pública Mobiliarios</v>
          </cell>
          <cell r="D1774" t="str">
            <v>Paletas</v>
          </cell>
          <cell r="E1774" t="str">
            <v>PARADERO</v>
          </cell>
          <cell r="F1774" t="str">
            <v>1.04 * 1.37</v>
          </cell>
          <cell r="G1774" t="str">
            <v>1.08 * 1.42</v>
          </cell>
          <cell r="H1774" t="str">
            <v>X</v>
          </cell>
          <cell r="I1774" t="str">
            <v>C.Col¢n</v>
          </cell>
          <cell r="L1774">
            <v>670000</v>
          </cell>
          <cell r="M1774" t="str">
            <v>Cristobal Colon N-O - Americo Vespucio</v>
          </cell>
          <cell r="N1774" t="str">
            <v>Noreste</v>
          </cell>
          <cell r="P1774" t="str">
            <v>LAS CONDES</v>
          </cell>
          <cell r="Q1774" t="str">
            <v>TRADICIONAL</v>
          </cell>
          <cell r="R1774" t="str">
            <v>Vía Pública Mobiliarios - Santiago</v>
          </cell>
          <cell r="S1774" t="str">
            <v>MULC - Municipalidad de las Condes</v>
          </cell>
          <cell r="T1774" t="str">
            <v>Paletas</v>
          </cell>
          <cell r="U1774">
            <v>2</v>
          </cell>
          <cell r="V1774" t="str">
            <v>1.04 * 1.37</v>
          </cell>
        </row>
        <row r="1775">
          <cell r="A1775" t="str">
            <v>MULC0168AB</v>
          </cell>
          <cell r="B1775" t="str">
            <v>Vía Pública Mobiliarios</v>
          </cell>
          <cell r="D1775" t="str">
            <v>Paletas</v>
          </cell>
          <cell r="E1775" t="str">
            <v>PARADERO</v>
          </cell>
          <cell r="F1775" t="str">
            <v>1.04 * 1.37</v>
          </cell>
          <cell r="G1775" t="str">
            <v>1.08 * 1.42</v>
          </cell>
          <cell r="H1775" t="str">
            <v>X</v>
          </cell>
          <cell r="I1775" t="str">
            <v>Cmno El Alba</v>
          </cell>
          <cell r="L1775">
            <v>670000</v>
          </cell>
          <cell r="M1775" t="str">
            <v>Camino El Alba - Francisco Bulnes Correa</v>
          </cell>
          <cell r="N1775" t="str">
            <v>Noroeste</v>
          </cell>
          <cell r="P1775" t="str">
            <v>LAS CONDES</v>
          </cell>
          <cell r="Q1775" t="str">
            <v>TRADICIONAL</v>
          </cell>
          <cell r="R1775" t="str">
            <v>Vía Pública Mobiliarios - Santiago</v>
          </cell>
          <cell r="S1775" t="str">
            <v>MULC - Municipalidad de las Condes</v>
          </cell>
          <cell r="T1775" t="str">
            <v>Paletas</v>
          </cell>
          <cell r="U1775">
            <v>2</v>
          </cell>
          <cell r="V1775" t="str">
            <v>1.04 * 1.37</v>
          </cell>
        </row>
        <row r="1776">
          <cell r="A1776" t="str">
            <v>MULC0169AB</v>
          </cell>
          <cell r="B1776" t="str">
            <v>Vía Pública Mobiliarios</v>
          </cell>
          <cell r="D1776" t="str">
            <v>NO VENDIBLE</v>
          </cell>
          <cell r="E1776" t="str">
            <v>PARADERO</v>
          </cell>
          <cell r="F1776" t="str">
            <v>1.04 * 1.37</v>
          </cell>
          <cell r="G1776" t="str">
            <v>1.08 * 1.42</v>
          </cell>
          <cell r="H1776" t="str">
            <v>X</v>
          </cell>
          <cell r="I1776" t="str">
            <v>Fleming</v>
          </cell>
          <cell r="L1776">
            <v>670000</v>
          </cell>
          <cell r="M1776" t="str">
            <v>Fleming - Santa Zita N-O</v>
          </cell>
          <cell r="N1776" t="str">
            <v>Noreste</v>
          </cell>
          <cell r="O1776" t="str">
            <v>Sí</v>
          </cell>
          <cell r="P1776" t="str">
            <v>LAS CONDES</v>
          </cell>
          <cell r="Q1776" t="str">
            <v>TRADICIONAL</v>
          </cell>
          <cell r="R1776" t="str">
            <v>Vía Pública Mobiliarios - Santiago</v>
          </cell>
          <cell r="S1776" t="str">
            <v>MULC - Municipalidad de las Condes</v>
          </cell>
          <cell r="T1776" t="str">
            <v>Paletas</v>
          </cell>
          <cell r="U1776">
            <v>2</v>
          </cell>
          <cell r="V1776" t="str">
            <v>1.04 * 1.37</v>
          </cell>
        </row>
        <row r="1777">
          <cell r="A1777" t="str">
            <v>MULC0170AB</v>
          </cell>
          <cell r="B1777" t="str">
            <v>Vía Pública Mobiliarios</v>
          </cell>
          <cell r="D1777" t="str">
            <v>NO VENDIBLE</v>
          </cell>
          <cell r="E1777" t="str">
            <v>PARADERO</v>
          </cell>
          <cell r="F1777" t="str">
            <v>1.04 * 1.37</v>
          </cell>
          <cell r="G1777" t="str">
            <v>1.08 * 1.42</v>
          </cell>
          <cell r="H1777" t="str">
            <v>X</v>
          </cell>
          <cell r="I1777" t="str">
            <v>Padre Hurtado</v>
          </cell>
          <cell r="L1777">
            <v>670000</v>
          </cell>
          <cell r="M1777" t="str">
            <v>Padre Hurtado / Patricia S - O</v>
          </cell>
          <cell r="N1777" t="str">
            <v>Sudeste</v>
          </cell>
          <cell r="O1777" t="str">
            <v>Sí</v>
          </cell>
          <cell r="P1777" t="str">
            <v>LAS CONDES</v>
          </cell>
          <cell r="Q1777" t="str">
            <v>TRADICIONAL</v>
          </cell>
          <cell r="R1777" t="str">
            <v>Vía Pública Mobiliarios - Santiago</v>
          </cell>
          <cell r="S1777" t="str">
            <v>MULC - Municipalidad de las Condes</v>
          </cell>
          <cell r="T1777" t="str">
            <v>Paletas</v>
          </cell>
          <cell r="U1777">
            <v>2</v>
          </cell>
          <cell r="V1777" t="str">
            <v>1.04 * 1.37</v>
          </cell>
        </row>
        <row r="1778">
          <cell r="A1778" t="str">
            <v>MULC0171AB</v>
          </cell>
          <cell r="B1778" t="str">
            <v>Vía Pública Mobiliarios</v>
          </cell>
          <cell r="D1778" t="str">
            <v>NO VENDIBLE</v>
          </cell>
          <cell r="E1778" t="str">
            <v>PARADERO</v>
          </cell>
          <cell r="F1778" t="str">
            <v>1.04 * 1.37</v>
          </cell>
          <cell r="G1778" t="str">
            <v>1.08 * 1.42</v>
          </cell>
          <cell r="H1778" t="str">
            <v>X</v>
          </cell>
          <cell r="I1778" t="str">
            <v>Padre Hurtado</v>
          </cell>
          <cell r="L1778">
            <v>670000</v>
          </cell>
          <cell r="M1778" t="str">
            <v>Padre Hurtado / Puquios S - O</v>
          </cell>
          <cell r="N1778" t="str">
            <v>Sudeste</v>
          </cell>
          <cell r="O1778" t="str">
            <v>Sí</v>
          </cell>
          <cell r="P1778" t="str">
            <v>LAS CONDES</v>
          </cell>
          <cell r="Q1778" t="str">
            <v>TRADICIONAL</v>
          </cell>
          <cell r="R1778" t="str">
            <v>Vía Pública Mobiliarios - Santiago</v>
          </cell>
          <cell r="S1778" t="str">
            <v>MULC - Municipalidad de las Condes</v>
          </cell>
          <cell r="T1778" t="str">
            <v>Paletas</v>
          </cell>
          <cell r="U1778">
            <v>2</v>
          </cell>
          <cell r="V1778" t="str">
            <v>1.04 * 1.37</v>
          </cell>
        </row>
        <row r="1779">
          <cell r="A1779" t="str">
            <v>MULC0173AB</v>
          </cell>
          <cell r="B1779" t="str">
            <v>Vía Pública Mobiliarios</v>
          </cell>
          <cell r="D1779" t="str">
            <v>Paletas</v>
          </cell>
          <cell r="E1779" t="str">
            <v>PARADERO</v>
          </cell>
          <cell r="F1779" t="str">
            <v>1.04 * 1.37</v>
          </cell>
          <cell r="G1779" t="str">
            <v>1.08 * 1.42</v>
          </cell>
          <cell r="H1779" t="str">
            <v>X</v>
          </cell>
          <cell r="I1779" t="str">
            <v>Las Condes</v>
          </cell>
          <cell r="L1779">
            <v>670000</v>
          </cell>
          <cell r="M1779" t="str">
            <v>Av. Las Condes / Fernandez Concha</v>
          </cell>
          <cell r="N1779" t="str">
            <v>Sudeste</v>
          </cell>
          <cell r="P1779" t="str">
            <v>LAS CONDES</v>
          </cell>
          <cell r="Q1779" t="str">
            <v>TRADICIONAL</v>
          </cell>
          <cell r="R1779" t="str">
            <v>Vía Pública Mobiliarios - Santiago</v>
          </cell>
          <cell r="S1779" t="str">
            <v>MULC - Municipalidad de las Condes</v>
          </cell>
          <cell r="T1779" t="str">
            <v>Paletas</v>
          </cell>
          <cell r="U1779">
            <v>2</v>
          </cell>
          <cell r="V1779" t="str">
            <v>1.04 * 1.37</v>
          </cell>
        </row>
        <row r="1780">
          <cell r="A1780" t="str">
            <v>MULC0174AB</v>
          </cell>
          <cell r="B1780" t="str">
            <v>Vía Pública Mobiliarios</v>
          </cell>
          <cell r="D1780" t="str">
            <v>NO VENDIBLE</v>
          </cell>
          <cell r="E1780" t="str">
            <v>PARADERO</v>
          </cell>
          <cell r="F1780" t="str">
            <v>1.04 * 1.37</v>
          </cell>
          <cell r="G1780" t="str">
            <v>1.08 * 1.42</v>
          </cell>
          <cell r="H1780" t="str">
            <v>X</v>
          </cell>
          <cell r="I1780" t="str">
            <v>Padre Hurtado</v>
          </cell>
          <cell r="L1780">
            <v>670000</v>
          </cell>
          <cell r="M1780" t="str">
            <v>Padre Hurtado N-O / Av. Fleming</v>
          </cell>
          <cell r="N1780" t="str">
            <v>Noreste</v>
          </cell>
          <cell r="O1780" t="str">
            <v>Sí</v>
          </cell>
          <cell r="P1780" t="str">
            <v>LAS CONDES</v>
          </cell>
          <cell r="Q1780" t="str">
            <v>TRADICIONAL</v>
          </cell>
          <cell r="R1780" t="str">
            <v>Vía Pública Mobiliarios - Santiago</v>
          </cell>
          <cell r="S1780" t="str">
            <v>MULC - Municipalidad de las Condes</v>
          </cell>
          <cell r="T1780" t="str">
            <v>Paletas</v>
          </cell>
          <cell r="U1780">
            <v>2</v>
          </cell>
          <cell r="V1780" t="str">
            <v>1.04 * 1.37</v>
          </cell>
        </row>
        <row r="1781">
          <cell r="A1781" t="str">
            <v>MULC0175AB</v>
          </cell>
          <cell r="B1781" t="str">
            <v>Vía Pública Mobiliarios</v>
          </cell>
          <cell r="D1781" t="str">
            <v>NO VENDIBLE</v>
          </cell>
          <cell r="E1781" t="str">
            <v>PARADERO</v>
          </cell>
          <cell r="F1781" t="str">
            <v>1.04 * 1.37</v>
          </cell>
          <cell r="G1781" t="str">
            <v>1.08 * 1.42</v>
          </cell>
          <cell r="H1781" t="str">
            <v>X</v>
          </cell>
          <cell r="I1781" t="str">
            <v>C.Colon</v>
          </cell>
          <cell r="L1781">
            <v>670000</v>
          </cell>
          <cell r="M1781" t="str">
            <v>C. Colon S-P / Malaga</v>
          </cell>
          <cell r="N1781" t="str">
            <v>Sudoeste</v>
          </cell>
          <cell r="O1781" t="str">
            <v>Sí</v>
          </cell>
          <cell r="P1781" t="str">
            <v>LAS CONDES</v>
          </cell>
          <cell r="Q1781" t="str">
            <v>TRADICIONAL</v>
          </cell>
          <cell r="R1781" t="str">
            <v>Vía Pública Mobiliarios - Santiago</v>
          </cell>
          <cell r="S1781" t="str">
            <v>MULC - Municipalidad de las Condes</v>
          </cell>
          <cell r="T1781" t="str">
            <v>Paletas</v>
          </cell>
          <cell r="U1781">
            <v>2</v>
          </cell>
          <cell r="V1781" t="str">
            <v>1.04 * 1.37</v>
          </cell>
        </row>
        <row r="1782">
          <cell r="A1782" t="str">
            <v>MULC0180AB</v>
          </cell>
          <cell r="B1782" t="str">
            <v>Vía Pública Mobiliarios</v>
          </cell>
          <cell r="D1782" t="str">
            <v>Paletas</v>
          </cell>
          <cell r="E1782" t="str">
            <v>PARADERO</v>
          </cell>
          <cell r="F1782" t="str">
            <v>1.04 * 1.37</v>
          </cell>
          <cell r="G1782" t="str">
            <v>1.08 * 1.42</v>
          </cell>
          <cell r="H1782" t="str">
            <v>X</v>
          </cell>
          <cell r="I1782" t="str">
            <v>L.Kennedy/Estori</v>
          </cell>
          <cell r="L1782">
            <v>670000</v>
          </cell>
          <cell r="M1782" t="str">
            <v>Lateral Kennedy / Estoril</v>
          </cell>
          <cell r="N1782" t="str">
            <v>Sudeste</v>
          </cell>
          <cell r="P1782" t="str">
            <v>LAS CONDES</v>
          </cell>
          <cell r="Q1782" t="str">
            <v>TRADICIONAL</v>
          </cell>
          <cell r="R1782" t="str">
            <v>Vía Pública Mobiliarios - Santiago</v>
          </cell>
          <cell r="S1782" t="str">
            <v>MULC - Municipalidad de las Condes</v>
          </cell>
          <cell r="T1782" t="str">
            <v>Paletas</v>
          </cell>
          <cell r="U1782">
            <v>2</v>
          </cell>
          <cell r="V1782" t="str">
            <v>1.04 * 1.37</v>
          </cell>
        </row>
        <row r="1783">
          <cell r="A1783" t="str">
            <v>MULC0181AB</v>
          </cell>
          <cell r="B1783" t="str">
            <v>Vía Pública Mobiliarios</v>
          </cell>
          <cell r="D1783" t="str">
            <v>Paletas</v>
          </cell>
          <cell r="E1783" t="str">
            <v>PARADERO</v>
          </cell>
          <cell r="F1783" t="str">
            <v>1.04 * 1.37</v>
          </cell>
          <cell r="G1783" t="str">
            <v>1.08 * 1.42</v>
          </cell>
          <cell r="H1783" t="str">
            <v>X</v>
          </cell>
          <cell r="I1783" t="str">
            <v>L.Kennedy/Estori</v>
          </cell>
          <cell r="L1783">
            <v>670000</v>
          </cell>
          <cell r="M1783" t="str">
            <v>Lateral Kennedy / Estoril</v>
          </cell>
          <cell r="P1783" t="str">
            <v>LAS CONDES</v>
          </cell>
          <cell r="Q1783" t="str">
            <v>TRADICIONAL</v>
          </cell>
          <cell r="R1783" t="str">
            <v>Vía Pública Mobiliarios - Santiago</v>
          </cell>
          <cell r="S1783" t="str">
            <v>MULC - Municipalidad de las Condes</v>
          </cell>
          <cell r="T1783" t="str">
            <v>Paletas</v>
          </cell>
          <cell r="U1783">
            <v>2</v>
          </cell>
          <cell r="V1783" t="str">
            <v>1.04 * 1.37</v>
          </cell>
        </row>
        <row r="1784">
          <cell r="A1784" t="str">
            <v>PALC0001A</v>
          </cell>
          <cell r="B1784" t="str">
            <v>Vía Pública Pasarelas</v>
          </cell>
          <cell r="D1784" t="str">
            <v>Pasarelas</v>
          </cell>
          <cell r="E1784" t="str">
            <v>PRISMA</v>
          </cell>
          <cell r="F1784" t="str">
            <v>7.50 * 2.50</v>
          </cell>
          <cell r="G1784" t="str">
            <v>7.50 * 2.50</v>
          </cell>
          <cell r="J1784">
            <v>0</v>
          </cell>
          <cell r="K1784">
            <v>0</v>
          </cell>
          <cell r="L1784">
            <v>3600000</v>
          </cell>
          <cell r="M1784" t="str">
            <v>Manquehue con Avenida Kennedy (oriente) c/c Avenida Kennedy</v>
          </cell>
          <cell r="N1784" t="str">
            <v>Noreste</v>
          </cell>
          <cell r="P1784" t="str">
            <v>LAS CONDES</v>
          </cell>
          <cell r="Q1784" t="str">
            <v>TRADICIONAL</v>
          </cell>
          <cell r="R1784" t="str">
            <v>Vía Pública Pasarelas - Santiago</v>
          </cell>
          <cell r="S1784" t="str">
            <v>PALC - Municipalidad de las Condes</v>
          </cell>
          <cell r="T1784" t="str">
            <v>Pasarelas</v>
          </cell>
          <cell r="U1784">
            <v>1</v>
          </cell>
          <cell r="V1784" t="str">
            <v>7.50 * 2.50</v>
          </cell>
        </row>
        <row r="1785">
          <cell r="A1785" t="str">
            <v>PALC0001B</v>
          </cell>
          <cell r="B1785" t="str">
            <v>Vía Pública Pasarelas</v>
          </cell>
          <cell r="D1785" t="str">
            <v>Pasarelas</v>
          </cell>
          <cell r="E1785" t="str">
            <v>PRISMA</v>
          </cell>
          <cell r="F1785" t="str">
            <v>7.50 * 2.50</v>
          </cell>
          <cell r="G1785" t="str">
            <v>7.50 * 2.50</v>
          </cell>
          <cell r="J1785">
            <v>0</v>
          </cell>
          <cell r="K1785">
            <v>0</v>
          </cell>
          <cell r="L1785">
            <v>3600000</v>
          </cell>
          <cell r="M1785" t="str">
            <v>Manquehue con Avenida Kennedy (oriente) c/c Avenida Kennedy</v>
          </cell>
          <cell r="N1785" t="str">
            <v>Noreste</v>
          </cell>
          <cell r="P1785" t="str">
            <v>LAS CONDES</v>
          </cell>
          <cell r="Q1785" t="str">
            <v>TRADICIONAL</v>
          </cell>
          <cell r="R1785" t="str">
            <v>Vía Pública Pasarelas - Santiago</v>
          </cell>
          <cell r="S1785" t="str">
            <v>PALC - Municipalidad de las Condes</v>
          </cell>
          <cell r="T1785" t="str">
            <v>Pasarelas</v>
          </cell>
          <cell r="U1785">
            <v>1</v>
          </cell>
          <cell r="V1785" t="str">
            <v>7.50 * 2.50</v>
          </cell>
        </row>
        <row r="1786">
          <cell r="A1786" t="str">
            <v>PALC0001C</v>
          </cell>
          <cell r="B1786" t="str">
            <v>Vía Pública Pasarelas</v>
          </cell>
          <cell r="D1786" t="str">
            <v>Pasarelas</v>
          </cell>
          <cell r="E1786" t="str">
            <v>PRISMA</v>
          </cell>
          <cell r="F1786" t="str">
            <v>7.50 * 2.50</v>
          </cell>
          <cell r="G1786" t="str">
            <v>7.50 * 2.50</v>
          </cell>
          <cell r="J1786">
            <v>0</v>
          </cell>
          <cell r="K1786">
            <v>0</v>
          </cell>
          <cell r="L1786">
            <v>3600000</v>
          </cell>
          <cell r="M1786" t="str">
            <v>Manquehue con Avenida Kennedy (oriente) c/c Avenida Kennedy</v>
          </cell>
          <cell r="N1786" t="str">
            <v>Noreste</v>
          </cell>
          <cell r="P1786" t="str">
            <v>LAS CONDES</v>
          </cell>
          <cell r="Q1786" t="str">
            <v>TRADICIONAL</v>
          </cell>
          <cell r="R1786" t="str">
            <v>Vía Pública Pasarelas - Santiago</v>
          </cell>
          <cell r="S1786" t="str">
            <v>PALC - Municipalidad de las Condes</v>
          </cell>
          <cell r="T1786" t="str">
            <v>Pasarelas</v>
          </cell>
          <cell r="U1786">
            <v>1</v>
          </cell>
          <cell r="V1786" t="str">
            <v>7.50 * 2.50</v>
          </cell>
        </row>
        <row r="1787">
          <cell r="A1787" t="str">
            <v>PALC0002A</v>
          </cell>
          <cell r="B1787" t="str">
            <v>Vía Pública Pasarelas</v>
          </cell>
          <cell r="D1787" t="str">
            <v>Pasarelas</v>
          </cell>
          <cell r="E1787" t="str">
            <v>PRISMA</v>
          </cell>
          <cell r="F1787" t="str">
            <v>7.50 * 2.50</v>
          </cell>
          <cell r="G1787" t="str">
            <v>7.50 * 2.50</v>
          </cell>
          <cell r="J1787">
            <v>0</v>
          </cell>
          <cell r="K1787">
            <v>0</v>
          </cell>
          <cell r="L1787">
            <v>3600000</v>
          </cell>
          <cell r="M1787" t="str">
            <v>Manquehue con Avenida Kennedy (poniente) c/c Avenida Kennedy</v>
          </cell>
          <cell r="N1787" t="str">
            <v>Noroeste</v>
          </cell>
          <cell r="P1787" t="str">
            <v>LAS CONDES</v>
          </cell>
          <cell r="Q1787" t="str">
            <v>TRADICIONAL</v>
          </cell>
          <cell r="R1787" t="str">
            <v>Vía Pública Pasarelas - Santiago</v>
          </cell>
          <cell r="S1787" t="str">
            <v>PALC - Municipalidad de las Condes</v>
          </cell>
          <cell r="T1787" t="str">
            <v>Pasarelas</v>
          </cell>
          <cell r="U1787">
            <v>1</v>
          </cell>
          <cell r="V1787" t="str">
            <v>7.50 * 2.50</v>
          </cell>
        </row>
        <row r="1788">
          <cell r="A1788" t="str">
            <v>PALC0002B</v>
          </cell>
          <cell r="B1788" t="str">
            <v>Vía Pública Pasarelas</v>
          </cell>
          <cell r="D1788" t="str">
            <v>Pasarelas</v>
          </cell>
          <cell r="E1788" t="str">
            <v>PRISMA</v>
          </cell>
          <cell r="F1788" t="str">
            <v>7.50 * 2.50</v>
          </cell>
          <cell r="G1788" t="str">
            <v>7.50 * 2.50</v>
          </cell>
          <cell r="J1788">
            <v>0</v>
          </cell>
          <cell r="K1788">
            <v>0</v>
          </cell>
          <cell r="L1788">
            <v>3600000</v>
          </cell>
          <cell r="M1788" t="str">
            <v>Manquehue con Avenida Kennedy (poniente) c/c Avenida Kennedy</v>
          </cell>
          <cell r="N1788" t="str">
            <v>Noreste</v>
          </cell>
          <cell r="P1788" t="str">
            <v>LAS CONDES</v>
          </cell>
          <cell r="Q1788" t="str">
            <v>TRADICIONAL</v>
          </cell>
          <cell r="R1788" t="str">
            <v>Vía Pública Pasarelas - Santiago</v>
          </cell>
          <cell r="S1788" t="str">
            <v>PALC - Municipalidad de las Condes</v>
          </cell>
          <cell r="T1788" t="str">
            <v>Pasarelas</v>
          </cell>
          <cell r="U1788">
            <v>1</v>
          </cell>
          <cell r="V1788" t="str">
            <v>7.50 * 2.50</v>
          </cell>
        </row>
        <row r="1789">
          <cell r="A1789" t="str">
            <v>PALC0002C</v>
          </cell>
          <cell r="B1789" t="str">
            <v>Vía Pública Pasarelas</v>
          </cell>
          <cell r="D1789" t="str">
            <v>Pasarelas</v>
          </cell>
          <cell r="E1789" t="str">
            <v>PRISMA</v>
          </cell>
          <cell r="F1789" t="str">
            <v>7.50 * 2.50</v>
          </cell>
          <cell r="G1789" t="str">
            <v>7.50 * 2.50</v>
          </cell>
          <cell r="J1789">
            <v>0</v>
          </cell>
          <cell r="K1789">
            <v>0</v>
          </cell>
          <cell r="L1789">
            <v>3600000</v>
          </cell>
          <cell r="M1789" t="str">
            <v>Manquehue con Avenida Kennedy (poniente) c/c Avenida Kennedy</v>
          </cell>
          <cell r="N1789" t="str">
            <v>Noreste</v>
          </cell>
          <cell r="P1789" t="str">
            <v>LAS CONDES</v>
          </cell>
          <cell r="Q1789" t="str">
            <v>TRADICIONAL</v>
          </cell>
          <cell r="R1789" t="str">
            <v>Vía Pública Pasarelas - Santiago</v>
          </cell>
          <cell r="S1789" t="str">
            <v>PALC - Municipalidad de las Condes</v>
          </cell>
          <cell r="T1789" t="str">
            <v>Pasarelas</v>
          </cell>
          <cell r="U1789">
            <v>1</v>
          </cell>
          <cell r="V1789" t="str">
            <v>7.50 * 2.50</v>
          </cell>
        </row>
        <row r="1790">
          <cell r="A1790" t="str">
            <v>PALC0003A</v>
          </cell>
          <cell r="B1790" t="str">
            <v>Vía Pública Pasarelas</v>
          </cell>
          <cell r="D1790" t="str">
            <v>Pasarelas</v>
          </cell>
          <cell r="E1790" t="str">
            <v>PRISMA</v>
          </cell>
          <cell r="F1790" t="str">
            <v>7.50 * 2.50</v>
          </cell>
          <cell r="G1790" t="str">
            <v>7.50 * 2.50</v>
          </cell>
          <cell r="J1790">
            <v>0</v>
          </cell>
          <cell r="K1790">
            <v>0</v>
          </cell>
          <cell r="L1790">
            <v>3600000</v>
          </cell>
          <cell r="M1790" t="str">
            <v>Paso sobre nivel A. Vespucio con Apoquindo norte (oriente)</v>
          </cell>
          <cell r="N1790" t="str">
            <v>Noreste</v>
          </cell>
          <cell r="P1790" t="str">
            <v>LAS CONDES</v>
          </cell>
          <cell r="Q1790" t="str">
            <v>TRADICIONAL</v>
          </cell>
          <cell r="R1790" t="str">
            <v>Vía Pública Pasarelas - Santiago</v>
          </cell>
          <cell r="S1790" t="str">
            <v>PALC - Municipalidad de las Condes</v>
          </cell>
          <cell r="T1790" t="str">
            <v>Pasarelas</v>
          </cell>
          <cell r="U1790">
            <v>1</v>
          </cell>
          <cell r="V1790" t="str">
            <v>7.50 * 2.50</v>
          </cell>
        </row>
        <row r="1791">
          <cell r="A1791" t="str">
            <v>PALC0003B</v>
          </cell>
          <cell r="B1791" t="str">
            <v>Vía Pública Pasarelas</v>
          </cell>
          <cell r="D1791" t="str">
            <v>Pasarelas</v>
          </cell>
          <cell r="E1791" t="str">
            <v>PRISMA</v>
          </cell>
          <cell r="F1791" t="str">
            <v>7.50 * 2.50</v>
          </cell>
          <cell r="G1791" t="str">
            <v>7.50 * 2.50</v>
          </cell>
          <cell r="J1791">
            <v>0</v>
          </cell>
          <cell r="K1791">
            <v>0</v>
          </cell>
          <cell r="L1791">
            <v>3600000</v>
          </cell>
          <cell r="M1791" t="str">
            <v>Paso sobre nivel A. Vespucio con Apoquindo norte (oriente)</v>
          </cell>
          <cell r="N1791" t="str">
            <v>Noreste</v>
          </cell>
          <cell r="P1791" t="str">
            <v>LAS CONDES</v>
          </cell>
          <cell r="Q1791" t="str">
            <v>TRADICIONAL</v>
          </cell>
          <cell r="R1791" t="str">
            <v>Vía Pública Pasarelas - Santiago</v>
          </cell>
          <cell r="S1791" t="str">
            <v>PALC - Municipalidad de las Condes</v>
          </cell>
          <cell r="T1791" t="str">
            <v>Pasarelas</v>
          </cell>
          <cell r="U1791">
            <v>1</v>
          </cell>
          <cell r="V1791" t="str">
            <v>7.50 * 2.50</v>
          </cell>
        </row>
        <row r="1792">
          <cell r="A1792" t="str">
            <v>PALC0003C</v>
          </cell>
          <cell r="B1792" t="str">
            <v>Vía Pública Pasarelas</v>
          </cell>
          <cell r="D1792" t="str">
            <v>Pasarelas</v>
          </cell>
          <cell r="E1792" t="str">
            <v>PRISMA</v>
          </cell>
          <cell r="F1792" t="str">
            <v>7.50 * 2.50</v>
          </cell>
          <cell r="G1792" t="str">
            <v>7.50 * 2.50</v>
          </cell>
          <cell r="J1792">
            <v>0</v>
          </cell>
          <cell r="K1792">
            <v>0</v>
          </cell>
          <cell r="L1792">
            <v>3600000</v>
          </cell>
          <cell r="M1792" t="str">
            <v>Paso sobre nivel A. Vespucio con Apoquindo norte (oriente)</v>
          </cell>
          <cell r="N1792" t="str">
            <v>Noreste</v>
          </cell>
          <cell r="P1792" t="str">
            <v>LAS CONDES</v>
          </cell>
          <cell r="Q1792" t="str">
            <v>TRADICIONAL</v>
          </cell>
          <cell r="R1792" t="str">
            <v>Vía Pública Pasarelas - Santiago</v>
          </cell>
          <cell r="S1792" t="str">
            <v>PALC - Municipalidad de las Condes</v>
          </cell>
          <cell r="T1792" t="str">
            <v>Pasarelas</v>
          </cell>
          <cell r="U1792">
            <v>1</v>
          </cell>
          <cell r="V1792" t="str">
            <v>7.50 * 2.50</v>
          </cell>
        </row>
        <row r="1793">
          <cell r="A1793" t="str">
            <v>PALC0004A</v>
          </cell>
          <cell r="B1793" t="str">
            <v>Vía Pública Pasarelas</v>
          </cell>
          <cell r="D1793" t="str">
            <v>Pasarelas</v>
          </cell>
          <cell r="E1793" t="str">
            <v>PRISMA</v>
          </cell>
          <cell r="F1793" t="str">
            <v>7.50 * 2.50</v>
          </cell>
          <cell r="G1793" t="str">
            <v>7.50 * 2.50</v>
          </cell>
          <cell r="J1793">
            <v>0</v>
          </cell>
          <cell r="K1793">
            <v>0</v>
          </cell>
          <cell r="L1793">
            <v>3600000</v>
          </cell>
          <cell r="M1793" t="str">
            <v>Paso sobre nivel A. Vespucio con Apoquindo norte (poniente)</v>
          </cell>
          <cell r="N1793" t="str">
            <v>Noroeste</v>
          </cell>
          <cell r="P1793" t="str">
            <v>LAS CONDES</v>
          </cell>
          <cell r="Q1793" t="str">
            <v>TRADICIONAL</v>
          </cell>
          <cell r="R1793" t="str">
            <v>Vía Pública Pasarelas - Santiago</v>
          </cell>
          <cell r="S1793" t="str">
            <v>PALC - Municipalidad de las Condes</v>
          </cell>
          <cell r="T1793" t="str">
            <v>Pasarelas</v>
          </cell>
          <cell r="U1793">
            <v>1</v>
          </cell>
          <cell r="V1793" t="str">
            <v>7.50 * 2.50</v>
          </cell>
        </row>
        <row r="1794">
          <cell r="A1794" t="str">
            <v>PALC0004B</v>
          </cell>
          <cell r="B1794" t="str">
            <v>Vía Pública Pasarelas</v>
          </cell>
          <cell r="D1794" t="str">
            <v>Pasarelas</v>
          </cell>
          <cell r="E1794" t="str">
            <v>PRISMA</v>
          </cell>
          <cell r="F1794" t="str">
            <v>7.50 * 2.50</v>
          </cell>
          <cell r="G1794" t="str">
            <v>7.50 * 2.50</v>
          </cell>
          <cell r="J1794">
            <v>0</v>
          </cell>
          <cell r="K1794">
            <v>0</v>
          </cell>
          <cell r="L1794">
            <v>3600000</v>
          </cell>
          <cell r="M1794" t="str">
            <v>Paso sobre nivel A. Vespucio con Apoquindo norte (poniente)</v>
          </cell>
          <cell r="N1794" t="str">
            <v>Noroeste</v>
          </cell>
          <cell r="P1794" t="str">
            <v>LAS CONDES</v>
          </cell>
          <cell r="Q1794" t="str">
            <v>TRADICIONAL</v>
          </cell>
          <cell r="R1794" t="str">
            <v>Vía Pública Pasarelas - Santiago</v>
          </cell>
          <cell r="S1794" t="str">
            <v>PALC - Municipalidad de las Condes</v>
          </cell>
          <cell r="T1794" t="str">
            <v>Pasarelas</v>
          </cell>
          <cell r="U1794">
            <v>1</v>
          </cell>
          <cell r="V1794" t="str">
            <v>7.50 * 2.50</v>
          </cell>
        </row>
        <row r="1795">
          <cell r="A1795" t="str">
            <v>PALC0004C</v>
          </cell>
          <cell r="B1795" t="str">
            <v>Vía Pública Pasarelas</v>
          </cell>
          <cell r="D1795" t="str">
            <v>Pasarelas</v>
          </cell>
          <cell r="E1795" t="str">
            <v>PRISMA</v>
          </cell>
          <cell r="F1795" t="str">
            <v>7.50 * 2.50</v>
          </cell>
          <cell r="G1795" t="str">
            <v>7.50 * 2.50</v>
          </cell>
          <cell r="J1795">
            <v>0</v>
          </cell>
          <cell r="K1795">
            <v>0</v>
          </cell>
          <cell r="L1795">
            <v>3600000</v>
          </cell>
          <cell r="M1795" t="str">
            <v>Paso sobre nivel A. Vespucio con Apoquindo norte (poniente)</v>
          </cell>
          <cell r="N1795" t="str">
            <v>Noroeste</v>
          </cell>
          <cell r="P1795" t="str">
            <v>LAS CONDES</v>
          </cell>
          <cell r="Q1795" t="str">
            <v>TRADICIONAL</v>
          </cell>
          <cell r="R1795" t="str">
            <v>Vía Pública Pasarelas - Santiago</v>
          </cell>
          <cell r="S1795" t="str">
            <v>PALC - Municipalidad de las Condes</v>
          </cell>
          <cell r="T1795" t="str">
            <v>Pasarelas</v>
          </cell>
          <cell r="U1795">
            <v>1</v>
          </cell>
          <cell r="V1795" t="str">
            <v>7.50 * 2.50</v>
          </cell>
        </row>
        <row r="1796">
          <cell r="A1796" t="str">
            <v>PALC0005A</v>
          </cell>
          <cell r="B1796" t="str">
            <v>Vía Pública Pasarelas</v>
          </cell>
          <cell r="D1796" t="str">
            <v>Pasarelas</v>
          </cell>
          <cell r="E1796" t="str">
            <v>PRISMA</v>
          </cell>
          <cell r="F1796" t="str">
            <v>7.50 * 2.50</v>
          </cell>
          <cell r="G1796" t="str">
            <v>7.50 * 2.50</v>
          </cell>
          <cell r="J1796">
            <v>0</v>
          </cell>
          <cell r="K1796">
            <v>0</v>
          </cell>
          <cell r="L1796">
            <v>3600000</v>
          </cell>
          <cell r="M1796" t="str">
            <v>Paso sobre nivel A. Vespucio con Apoquindo sur (oriente)</v>
          </cell>
          <cell r="N1796" t="str">
            <v>Sudeste</v>
          </cell>
          <cell r="P1796" t="str">
            <v>LAS CONDES</v>
          </cell>
          <cell r="Q1796" t="str">
            <v>TRADICIONAL</v>
          </cell>
          <cell r="R1796" t="str">
            <v>Vía Pública Pasarelas - Santiago</v>
          </cell>
          <cell r="S1796" t="str">
            <v>PALC - Municipalidad de las Condes</v>
          </cell>
          <cell r="T1796" t="str">
            <v>Pasarelas</v>
          </cell>
          <cell r="U1796">
            <v>1</v>
          </cell>
          <cell r="V1796" t="str">
            <v>7.50 * 2.50</v>
          </cell>
        </row>
        <row r="1797">
          <cell r="A1797" t="str">
            <v>PALC0005B</v>
          </cell>
          <cell r="B1797" t="str">
            <v>Vía Pública Pasarelas</v>
          </cell>
          <cell r="D1797" t="str">
            <v>Pasarelas</v>
          </cell>
          <cell r="E1797" t="str">
            <v>PRISMA</v>
          </cell>
          <cell r="F1797" t="str">
            <v>7.50 * 2.50</v>
          </cell>
          <cell r="G1797" t="str">
            <v>7.50 * 2.50</v>
          </cell>
          <cell r="J1797">
            <v>0</v>
          </cell>
          <cell r="K1797">
            <v>0</v>
          </cell>
          <cell r="L1797">
            <v>3600000</v>
          </cell>
          <cell r="M1797" t="str">
            <v>Paso sobre nivel A. Vespucio con Apoquindo sur (oriente)</v>
          </cell>
          <cell r="N1797" t="str">
            <v>Sudeste</v>
          </cell>
          <cell r="P1797" t="str">
            <v>LAS CONDES</v>
          </cell>
          <cell r="Q1797" t="str">
            <v>TRADICIONAL</v>
          </cell>
          <cell r="R1797" t="str">
            <v>Vía Pública Pasarelas - Santiago</v>
          </cell>
          <cell r="S1797" t="str">
            <v>PALC - Municipalidad de las Condes</v>
          </cell>
          <cell r="T1797" t="str">
            <v>Pasarelas</v>
          </cell>
          <cell r="U1797">
            <v>1</v>
          </cell>
          <cell r="V1797" t="str">
            <v>7.50 * 2.50</v>
          </cell>
        </row>
        <row r="1798">
          <cell r="A1798" t="str">
            <v>PALC0005C</v>
          </cell>
          <cell r="B1798" t="str">
            <v>Vía Pública Pasarelas</v>
          </cell>
          <cell r="D1798" t="str">
            <v>Pasarelas</v>
          </cell>
          <cell r="E1798" t="str">
            <v>PRISMA</v>
          </cell>
          <cell r="F1798" t="str">
            <v>7.50 * 2.50</v>
          </cell>
          <cell r="G1798" t="str">
            <v>7.50 * 2.50</v>
          </cell>
          <cell r="J1798">
            <v>0</v>
          </cell>
          <cell r="K1798">
            <v>0</v>
          </cell>
          <cell r="L1798">
            <v>3600000</v>
          </cell>
          <cell r="M1798" t="str">
            <v>Paso sobre nivel A. Vespucio con Apoquindo sur (oriente)</v>
          </cell>
          <cell r="N1798" t="str">
            <v>Sudeste</v>
          </cell>
          <cell r="P1798" t="str">
            <v>LAS CONDES</v>
          </cell>
          <cell r="Q1798" t="str">
            <v>TRADICIONAL</v>
          </cell>
          <cell r="R1798" t="str">
            <v>Vía Pública Pasarelas - Santiago</v>
          </cell>
          <cell r="S1798" t="str">
            <v>PALC - Municipalidad de las Condes</v>
          </cell>
          <cell r="T1798" t="str">
            <v>Pasarelas</v>
          </cell>
          <cell r="U1798">
            <v>1</v>
          </cell>
          <cell r="V1798" t="str">
            <v>7.50 * 2.50</v>
          </cell>
        </row>
        <row r="1799">
          <cell r="A1799" t="str">
            <v>PALC0006A</v>
          </cell>
          <cell r="B1799" t="str">
            <v>Vía Pública Pasarelas</v>
          </cell>
          <cell r="D1799" t="str">
            <v>Pasarelas</v>
          </cell>
          <cell r="E1799" t="str">
            <v>PRISMA</v>
          </cell>
          <cell r="F1799" t="str">
            <v>7.50 * 2.50</v>
          </cell>
          <cell r="G1799" t="str">
            <v>7.50 * 2.50</v>
          </cell>
          <cell r="J1799">
            <v>0</v>
          </cell>
          <cell r="K1799">
            <v>0</v>
          </cell>
          <cell r="L1799">
            <v>3600000</v>
          </cell>
          <cell r="M1799" t="str">
            <v>Paso sobre nivel A. Vespucio con Apoquindo sur (poniente)</v>
          </cell>
          <cell r="N1799" t="str">
            <v>Sudoeste</v>
          </cell>
          <cell r="P1799" t="str">
            <v>LAS CONDES</v>
          </cell>
          <cell r="Q1799" t="str">
            <v>TRADICIONAL</v>
          </cell>
          <cell r="R1799" t="str">
            <v>Vía Pública Pasarelas - Santiago</v>
          </cell>
          <cell r="S1799" t="str">
            <v>PALC - Municipalidad de las Condes</v>
          </cell>
          <cell r="T1799" t="str">
            <v>Pasarelas</v>
          </cell>
          <cell r="U1799">
            <v>1</v>
          </cell>
          <cell r="V1799" t="str">
            <v>7.50 * 2.50</v>
          </cell>
        </row>
        <row r="1800">
          <cell r="A1800" t="str">
            <v>PALC0006B</v>
          </cell>
          <cell r="B1800" t="str">
            <v>Vía Pública Pasarelas</v>
          </cell>
          <cell r="D1800" t="str">
            <v>Pasarelas</v>
          </cell>
          <cell r="E1800" t="str">
            <v>PRISMA</v>
          </cell>
          <cell r="F1800" t="str">
            <v>7.50 * 2.50</v>
          </cell>
          <cell r="G1800" t="str">
            <v>7.50 * 2.50</v>
          </cell>
          <cell r="J1800">
            <v>0</v>
          </cell>
          <cell r="K1800">
            <v>0</v>
          </cell>
          <cell r="L1800">
            <v>3600000</v>
          </cell>
          <cell r="M1800" t="str">
            <v>Paso sobre nivel A. Vespucio con Apoquindo sur (poniente)</v>
          </cell>
          <cell r="N1800" t="str">
            <v>Sudoeste</v>
          </cell>
          <cell r="P1800" t="str">
            <v>LAS CONDES</v>
          </cell>
          <cell r="Q1800" t="str">
            <v>TRADICIONAL</v>
          </cell>
          <cell r="R1800" t="str">
            <v>Vía Pública Pasarelas - Santiago</v>
          </cell>
          <cell r="S1800" t="str">
            <v>PALC - Municipalidad de las Condes</v>
          </cell>
          <cell r="T1800" t="str">
            <v>Pasarelas</v>
          </cell>
          <cell r="U1800">
            <v>1</v>
          </cell>
          <cell r="V1800" t="str">
            <v>7.50 * 2.50</v>
          </cell>
        </row>
        <row r="1801">
          <cell r="A1801" t="str">
            <v>PALC0006C</v>
          </cell>
          <cell r="B1801" t="str">
            <v>Vía Pública Pasarelas</v>
          </cell>
          <cell r="D1801" t="str">
            <v>Pasarelas</v>
          </cell>
          <cell r="E1801" t="str">
            <v>PRISMA</v>
          </cell>
          <cell r="F1801" t="str">
            <v>7.50 * 2.50</v>
          </cell>
          <cell r="G1801" t="str">
            <v>7.50 * 2.50</v>
          </cell>
          <cell r="J1801">
            <v>0</v>
          </cell>
          <cell r="K1801">
            <v>0</v>
          </cell>
          <cell r="L1801">
            <v>3600000</v>
          </cell>
          <cell r="M1801" t="str">
            <v>Paso sobre nivel A. Vespucio con Apoquindo sur (poniente)</v>
          </cell>
          <cell r="N1801" t="str">
            <v>Sudoeste</v>
          </cell>
          <cell r="P1801" t="str">
            <v>LAS CONDES</v>
          </cell>
          <cell r="Q1801" t="str">
            <v>TRADICIONAL</v>
          </cell>
          <cell r="R1801" t="str">
            <v>Vía Pública Pasarelas - Santiago</v>
          </cell>
          <cell r="S1801" t="str">
            <v>PALC - Municipalidad de las Condes</v>
          </cell>
          <cell r="T1801" t="str">
            <v>Pasarelas</v>
          </cell>
          <cell r="U1801">
            <v>1</v>
          </cell>
          <cell r="V1801" t="str">
            <v>7.50 * 2.50</v>
          </cell>
        </row>
        <row r="1802">
          <cell r="A1802" t="str">
            <v>PALC0007A</v>
          </cell>
          <cell r="B1802" t="str">
            <v>Vía Pública Pasarelas</v>
          </cell>
          <cell r="D1802" t="str">
            <v>Pasarelas</v>
          </cell>
          <cell r="E1802" t="str">
            <v>PRISMA</v>
          </cell>
          <cell r="F1802" t="str">
            <v>7.50 * 2.50</v>
          </cell>
          <cell r="G1802" t="str">
            <v>7.50 * 2.50</v>
          </cell>
          <cell r="J1802">
            <v>0</v>
          </cell>
          <cell r="K1802">
            <v>0</v>
          </cell>
          <cell r="L1802">
            <v>3200000</v>
          </cell>
          <cell r="M1802" t="str">
            <v>IV Centenario con Rotonda Atenas (n-s)</v>
          </cell>
          <cell r="N1802" t="str">
            <v>Noroeste</v>
          </cell>
          <cell r="P1802" t="str">
            <v>LAS CONDES</v>
          </cell>
          <cell r="Q1802" t="str">
            <v>TRADICIONAL</v>
          </cell>
          <cell r="R1802" t="str">
            <v>Vía Pública Pasarelas - Santiago</v>
          </cell>
          <cell r="S1802" t="str">
            <v>PALC - Municipalidad de las Condes</v>
          </cell>
          <cell r="T1802" t="str">
            <v>Pasarelas</v>
          </cell>
          <cell r="U1802">
            <v>1</v>
          </cell>
          <cell r="V1802" t="str">
            <v>7.50 * 2.50</v>
          </cell>
        </row>
        <row r="1803">
          <cell r="A1803" t="str">
            <v>PALC0007B</v>
          </cell>
          <cell r="B1803" t="str">
            <v>Vía Pública Pasarelas</v>
          </cell>
          <cell r="D1803" t="str">
            <v>Pasarelas</v>
          </cell>
          <cell r="E1803" t="str">
            <v>PRISMA</v>
          </cell>
          <cell r="F1803" t="str">
            <v>7.50 * 2.50</v>
          </cell>
          <cell r="G1803" t="str">
            <v>7.50 * 2.50</v>
          </cell>
          <cell r="J1803">
            <v>0</v>
          </cell>
          <cell r="K1803">
            <v>0</v>
          </cell>
          <cell r="L1803">
            <v>3200000</v>
          </cell>
          <cell r="M1803" t="str">
            <v>IV Centenario con Rotonda Atenas (n-s)</v>
          </cell>
          <cell r="N1803" t="str">
            <v>Noroeste</v>
          </cell>
          <cell r="P1803" t="str">
            <v>LAS CONDES</v>
          </cell>
          <cell r="Q1803" t="str">
            <v>TRADICIONAL</v>
          </cell>
          <cell r="R1803" t="str">
            <v>Vía Pública Pasarelas - Santiago</v>
          </cell>
          <cell r="S1803" t="str">
            <v>PALC - Municipalidad de las Condes</v>
          </cell>
          <cell r="T1803" t="str">
            <v>Pasarelas</v>
          </cell>
          <cell r="U1803">
            <v>1</v>
          </cell>
          <cell r="V1803" t="str">
            <v>7.50 * 2.50</v>
          </cell>
        </row>
        <row r="1804">
          <cell r="A1804" t="str">
            <v>PALC0007C</v>
          </cell>
          <cell r="B1804" t="str">
            <v>Vía Pública Pasarelas</v>
          </cell>
          <cell r="D1804" t="str">
            <v>Pasarelas</v>
          </cell>
          <cell r="E1804" t="str">
            <v>PRISMA</v>
          </cell>
          <cell r="F1804" t="str">
            <v>7.50 * 2.50</v>
          </cell>
          <cell r="G1804" t="str">
            <v>7.50 * 2.50</v>
          </cell>
          <cell r="J1804">
            <v>0</v>
          </cell>
          <cell r="K1804">
            <v>0</v>
          </cell>
          <cell r="L1804">
            <v>3200000</v>
          </cell>
          <cell r="M1804" t="str">
            <v>IV Centenario con Rotonda Atenas (n-s)</v>
          </cell>
          <cell r="N1804" t="str">
            <v>Noroeste</v>
          </cell>
          <cell r="P1804" t="str">
            <v>LAS CONDES</v>
          </cell>
          <cell r="Q1804" t="str">
            <v>TRADICIONAL</v>
          </cell>
          <cell r="R1804" t="str">
            <v>Vía Pública Pasarelas - Santiago</v>
          </cell>
          <cell r="S1804" t="str">
            <v>PALC - Municipalidad de las Condes</v>
          </cell>
          <cell r="T1804" t="str">
            <v>Pasarelas</v>
          </cell>
          <cell r="U1804">
            <v>1</v>
          </cell>
          <cell r="V1804" t="str">
            <v>7.50 * 2.50</v>
          </cell>
        </row>
        <row r="1805">
          <cell r="A1805" t="str">
            <v>PALC0008A</v>
          </cell>
          <cell r="B1805" t="str">
            <v>Vía Pública Pasarelas</v>
          </cell>
          <cell r="D1805" t="str">
            <v>Pasarelas</v>
          </cell>
          <cell r="E1805" t="str">
            <v>PRISMA</v>
          </cell>
          <cell r="F1805" t="str">
            <v>7.50 * 2.50</v>
          </cell>
          <cell r="G1805" t="str">
            <v>7.50 * 2.50</v>
          </cell>
          <cell r="J1805">
            <v>0</v>
          </cell>
          <cell r="K1805">
            <v>0</v>
          </cell>
          <cell r="L1805">
            <v>3200000</v>
          </cell>
          <cell r="M1805" t="str">
            <v>Tomás Moro con Rotonda Atenas paso bajo nivel (n-s)</v>
          </cell>
          <cell r="N1805" t="str">
            <v>Noreste</v>
          </cell>
          <cell r="P1805" t="str">
            <v>LAS CONDES</v>
          </cell>
          <cell r="Q1805" t="str">
            <v>TRADICIONAL</v>
          </cell>
          <cell r="R1805" t="str">
            <v>Vía Pública Pasarelas - Santiago</v>
          </cell>
          <cell r="S1805" t="str">
            <v>PALC - Municipalidad de las Condes</v>
          </cell>
          <cell r="T1805" t="str">
            <v>Pasarelas</v>
          </cell>
          <cell r="U1805">
            <v>1</v>
          </cell>
          <cell r="V1805" t="str">
            <v>7.50 * 2.50</v>
          </cell>
        </row>
        <row r="1806">
          <cell r="A1806" t="str">
            <v>PALC0008B</v>
          </cell>
          <cell r="B1806" t="str">
            <v>Vía Pública Pasarelas</v>
          </cell>
          <cell r="D1806" t="str">
            <v>Pasarelas</v>
          </cell>
          <cell r="E1806" t="str">
            <v>PRISMA</v>
          </cell>
          <cell r="F1806" t="str">
            <v>7.50 * 2.50</v>
          </cell>
          <cell r="G1806" t="str">
            <v>7.50 * 2.50</v>
          </cell>
          <cell r="J1806">
            <v>0</v>
          </cell>
          <cell r="K1806">
            <v>0</v>
          </cell>
          <cell r="L1806">
            <v>3200000</v>
          </cell>
          <cell r="M1806" t="str">
            <v>Tomás Moro con Rotonda Atenas paso bajo nivel (n-s)</v>
          </cell>
          <cell r="N1806" t="str">
            <v>Noreste</v>
          </cell>
          <cell r="P1806" t="str">
            <v>LAS CONDES</v>
          </cell>
          <cell r="Q1806" t="str">
            <v>TRADICIONAL</v>
          </cell>
          <cell r="R1806" t="str">
            <v>Vía Pública Pasarelas - Santiago</v>
          </cell>
          <cell r="S1806" t="str">
            <v>PALC - Municipalidad de las Condes</v>
          </cell>
          <cell r="T1806" t="str">
            <v>Pasarelas</v>
          </cell>
          <cell r="U1806">
            <v>1</v>
          </cell>
          <cell r="V1806" t="str">
            <v>7.50 * 2.50</v>
          </cell>
        </row>
        <row r="1807">
          <cell r="A1807" t="str">
            <v>PALC0008C</v>
          </cell>
          <cell r="B1807" t="str">
            <v>Vía Pública Pasarelas</v>
          </cell>
          <cell r="D1807" t="str">
            <v>Pasarelas</v>
          </cell>
          <cell r="E1807" t="str">
            <v>PRISMA</v>
          </cell>
          <cell r="F1807" t="str">
            <v>7.50 * 2.50</v>
          </cell>
          <cell r="G1807" t="str">
            <v>7.50 * 2.50</v>
          </cell>
          <cell r="J1807">
            <v>0</v>
          </cell>
          <cell r="K1807">
            <v>0</v>
          </cell>
          <cell r="L1807">
            <v>3200000</v>
          </cell>
          <cell r="M1807" t="str">
            <v>Tomás Moro con Rotonda Atenas paso bajo nivel (n-s)</v>
          </cell>
          <cell r="N1807" t="str">
            <v>Noreste</v>
          </cell>
          <cell r="P1807" t="str">
            <v>LAS CONDES</v>
          </cell>
          <cell r="Q1807" t="str">
            <v>TRADICIONAL</v>
          </cell>
          <cell r="R1807" t="str">
            <v>Vía Pública Pasarelas - Santiago</v>
          </cell>
          <cell r="S1807" t="str">
            <v>PALC - Municipalidad de las Condes</v>
          </cell>
          <cell r="T1807" t="str">
            <v>Pasarelas</v>
          </cell>
          <cell r="U1807">
            <v>1</v>
          </cell>
          <cell r="V1807" t="str">
            <v>7.50 * 2.50</v>
          </cell>
        </row>
        <row r="1808">
          <cell r="A1808" t="str">
            <v>PALC0009A</v>
          </cell>
          <cell r="B1808" t="str">
            <v>Vía Pública Pasarelas</v>
          </cell>
          <cell r="D1808" t="str">
            <v>Pasarelas</v>
          </cell>
          <cell r="E1808" t="str">
            <v>PRISMA</v>
          </cell>
          <cell r="F1808" t="str">
            <v>7.50 * 2.50</v>
          </cell>
          <cell r="G1808" t="str">
            <v>7.50 * 2.50</v>
          </cell>
          <cell r="J1808">
            <v>0</v>
          </cell>
          <cell r="K1808">
            <v>0</v>
          </cell>
          <cell r="L1808">
            <v>3200000</v>
          </cell>
          <cell r="M1808" t="str">
            <v>Tomás Moro con Rotonda Atenas paso bajo nivel (s-n)</v>
          </cell>
          <cell r="N1808" t="str">
            <v>Sudeste</v>
          </cell>
          <cell r="P1808" t="str">
            <v>LAS CONDES</v>
          </cell>
          <cell r="Q1808" t="str">
            <v>TRADICIONAL</v>
          </cell>
          <cell r="R1808" t="str">
            <v>Vía Pública Pasarelas - Santiago</v>
          </cell>
          <cell r="S1808" t="str">
            <v>PALC - Municipalidad de las Condes</v>
          </cell>
          <cell r="T1808" t="str">
            <v>Pasarelas</v>
          </cell>
          <cell r="U1808">
            <v>1</v>
          </cell>
          <cell r="V1808" t="str">
            <v>7.50 * 2.50</v>
          </cell>
        </row>
        <row r="1809">
          <cell r="A1809" t="str">
            <v>PALC0009B</v>
          </cell>
          <cell r="B1809" t="str">
            <v>Vía Pública Pasarelas</v>
          </cell>
          <cell r="D1809" t="str">
            <v>Pasarelas</v>
          </cell>
          <cell r="E1809" t="str">
            <v>PRISMA</v>
          </cell>
          <cell r="F1809" t="str">
            <v>7.50 * 2.50</v>
          </cell>
          <cell r="G1809" t="str">
            <v>7.50 * 2.50</v>
          </cell>
          <cell r="J1809">
            <v>0</v>
          </cell>
          <cell r="K1809">
            <v>0</v>
          </cell>
          <cell r="L1809">
            <v>3200000</v>
          </cell>
          <cell r="M1809" t="str">
            <v>Tomás Moro con Rotonda Atenas paso bajo nivel (s-n)</v>
          </cell>
          <cell r="N1809" t="str">
            <v>Sudeste</v>
          </cell>
          <cell r="P1809" t="str">
            <v>LAS CONDES</v>
          </cell>
          <cell r="Q1809" t="str">
            <v>TRADICIONAL</v>
          </cell>
          <cell r="R1809" t="str">
            <v>Vía Pública Pasarelas - Santiago</v>
          </cell>
          <cell r="S1809" t="str">
            <v>PALC - Municipalidad de las Condes</v>
          </cell>
          <cell r="T1809" t="str">
            <v>Pasarelas</v>
          </cell>
          <cell r="U1809">
            <v>1</v>
          </cell>
          <cell r="V1809" t="str">
            <v>7.50 * 2.50</v>
          </cell>
        </row>
        <row r="1810">
          <cell r="A1810" t="str">
            <v>PALC0009C</v>
          </cell>
          <cell r="B1810" t="str">
            <v>Vía Pública Pasarelas</v>
          </cell>
          <cell r="D1810" t="str">
            <v>Pasarelas</v>
          </cell>
          <cell r="E1810" t="str">
            <v>PRISMA</v>
          </cell>
          <cell r="F1810" t="str">
            <v>7.50 * 2.50</v>
          </cell>
          <cell r="G1810" t="str">
            <v>7.50 * 2.50</v>
          </cell>
          <cell r="J1810">
            <v>0</v>
          </cell>
          <cell r="K1810">
            <v>0</v>
          </cell>
          <cell r="L1810">
            <v>3200000</v>
          </cell>
          <cell r="M1810" t="str">
            <v>Tomás Moro con Rotonda Atenas paso bajo nivel (s-n)</v>
          </cell>
          <cell r="N1810" t="str">
            <v>Sudeste</v>
          </cell>
          <cell r="P1810" t="str">
            <v>LAS CONDES</v>
          </cell>
          <cell r="Q1810" t="str">
            <v>TRADICIONAL</v>
          </cell>
          <cell r="R1810" t="str">
            <v>Vía Pública Pasarelas - Santiago</v>
          </cell>
          <cell r="S1810" t="str">
            <v>PALC - Municipalidad de las Condes</v>
          </cell>
          <cell r="T1810" t="str">
            <v>Pasarelas</v>
          </cell>
          <cell r="U1810">
            <v>1</v>
          </cell>
          <cell r="V1810" t="str">
            <v>7.50 * 2.50</v>
          </cell>
        </row>
        <row r="1811">
          <cell r="A1811" t="str">
            <v>PALC0010A</v>
          </cell>
          <cell r="B1811" t="str">
            <v>Vía Pública Pasarelas</v>
          </cell>
          <cell r="D1811" t="str">
            <v>Pasarelas</v>
          </cell>
          <cell r="E1811" t="str">
            <v>PRISMA</v>
          </cell>
          <cell r="F1811" t="str">
            <v>7.50 * 2.50</v>
          </cell>
          <cell r="G1811" t="str">
            <v>7.50 * 2.50</v>
          </cell>
          <cell r="J1811">
            <v>0</v>
          </cell>
          <cell r="K1811">
            <v>0</v>
          </cell>
          <cell r="L1811">
            <v>3600000</v>
          </cell>
          <cell r="M1811" t="str">
            <v>Paso bajo nivel Hyatt (s-n)</v>
          </cell>
          <cell r="N1811" t="str">
            <v>Sudeste</v>
          </cell>
          <cell r="P1811" t="str">
            <v>LAS CONDES</v>
          </cell>
          <cell r="Q1811" t="str">
            <v>TRADICIONAL</v>
          </cell>
          <cell r="R1811" t="str">
            <v>Vía Pública Pasarelas - Santiago</v>
          </cell>
          <cell r="S1811" t="str">
            <v>PALC - Municipalidad de las Condes</v>
          </cell>
          <cell r="T1811" t="str">
            <v>Pasarelas</v>
          </cell>
          <cell r="U1811">
            <v>1</v>
          </cell>
          <cell r="V1811" t="str">
            <v>7.50 * 2.50</v>
          </cell>
        </row>
        <row r="1812">
          <cell r="A1812" t="str">
            <v>PALC0010B</v>
          </cell>
          <cell r="B1812" t="str">
            <v>Vía Pública Pasarelas</v>
          </cell>
          <cell r="D1812" t="str">
            <v>Pasarelas</v>
          </cell>
          <cell r="E1812" t="str">
            <v>PRISMA</v>
          </cell>
          <cell r="F1812" t="str">
            <v>7.50 * 2.50</v>
          </cell>
          <cell r="G1812" t="str">
            <v>7.50 * 2.50</v>
          </cell>
          <cell r="J1812">
            <v>0</v>
          </cell>
          <cell r="K1812">
            <v>0</v>
          </cell>
          <cell r="L1812">
            <v>3600000</v>
          </cell>
          <cell r="M1812" t="str">
            <v>Paso bajo nivel Hyatt (s-n)</v>
          </cell>
          <cell r="N1812" t="str">
            <v>Sudeste</v>
          </cell>
          <cell r="P1812" t="str">
            <v>LAS CONDES</v>
          </cell>
          <cell r="Q1812" t="str">
            <v>TRADICIONAL</v>
          </cell>
          <cell r="R1812" t="str">
            <v>Vía Pública Pasarelas - Santiago</v>
          </cell>
          <cell r="S1812" t="str">
            <v>PALC - Municipalidad de las Condes</v>
          </cell>
          <cell r="T1812" t="str">
            <v>Pasarelas</v>
          </cell>
          <cell r="U1812">
            <v>1</v>
          </cell>
          <cell r="V1812" t="str">
            <v>7.50 * 2.50</v>
          </cell>
        </row>
        <row r="1813">
          <cell r="A1813" t="str">
            <v>PALC0010C</v>
          </cell>
          <cell r="B1813" t="str">
            <v>Vía Pública Pasarelas</v>
          </cell>
          <cell r="D1813" t="str">
            <v>Pasarelas</v>
          </cell>
          <cell r="E1813" t="str">
            <v>PRISMA</v>
          </cell>
          <cell r="F1813" t="str">
            <v>7.50 * 2.50</v>
          </cell>
          <cell r="G1813" t="str">
            <v>7.50 * 2.50</v>
          </cell>
          <cell r="J1813">
            <v>0</v>
          </cell>
          <cell r="K1813">
            <v>0</v>
          </cell>
          <cell r="L1813">
            <v>3600000</v>
          </cell>
          <cell r="M1813" t="str">
            <v>Paso bajo nivel Hyatt (s-n)</v>
          </cell>
          <cell r="N1813" t="str">
            <v>Sudeste</v>
          </cell>
          <cell r="P1813" t="str">
            <v>LAS CONDES</v>
          </cell>
          <cell r="Q1813" t="str">
            <v>TRADICIONAL</v>
          </cell>
          <cell r="R1813" t="str">
            <v>Vía Pública Pasarelas - Santiago</v>
          </cell>
          <cell r="S1813" t="str">
            <v>PALC - Municipalidad de las Condes</v>
          </cell>
          <cell r="T1813" t="str">
            <v>Pasarelas</v>
          </cell>
          <cell r="U1813">
            <v>1</v>
          </cell>
          <cell r="V1813" t="str">
            <v>7.50 * 2.50</v>
          </cell>
        </row>
        <row r="1814">
          <cell r="A1814" t="str">
            <v>PALC0011A</v>
          </cell>
          <cell r="B1814" t="str">
            <v>Vía Pública Pasarelas</v>
          </cell>
          <cell r="D1814" t="str">
            <v>Pasarelas</v>
          </cell>
          <cell r="E1814" t="str">
            <v>PRISMA</v>
          </cell>
          <cell r="F1814" t="str">
            <v>7.50 * 2.50</v>
          </cell>
          <cell r="G1814" t="str">
            <v>7.50 * 2.50</v>
          </cell>
          <cell r="J1814">
            <v>0</v>
          </cell>
          <cell r="K1814">
            <v>0</v>
          </cell>
          <cell r="L1814">
            <v>3200000</v>
          </cell>
          <cell r="M1814" t="str">
            <v>IV Centenario con Rotonda Atenas (s-n)</v>
          </cell>
          <cell r="N1814" t="str">
            <v>Sudoeste</v>
          </cell>
          <cell r="P1814" t="str">
            <v>LAS CONDES</v>
          </cell>
          <cell r="Q1814" t="str">
            <v>TRADICIONAL</v>
          </cell>
          <cell r="R1814" t="str">
            <v>Vía Pública Pasarelas - Santiago</v>
          </cell>
          <cell r="S1814" t="str">
            <v>PALC - Municipalidad de las Condes</v>
          </cell>
          <cell r="T1814" t="str">
            <v>Pasarelas</v>
          </cell>
          <cell r="U1814">
            <v>1</v>
          </cell>
          <cell r="V1814" t="str">
            <v>7.50 * 2.50</v>
          </cell>
        </row>
        <row r="1815">
          <cell r="A1815" t="str">
            <v>PALC0011B</v>
          </cell>
          <cell r="B1815" t="str">
            <v>Vía Pública Pasarelas</v>
          </cell>
          <cell r="D1815" t="str">
            <v>Pasarelas</v>
          </cell>
          <cell r="E1815" t="str">
            <v>PRISMA</v>
          </cell>
          <cell r="F1815" t="str">
            <v>7.50 * 2.50</v>
          </cell>
          <cell r="G1815" t="str">
            <v>7.50 * 2.50</v>
          </cell>
          <cell r="J1815">
            <v>0</v>
          </cell>
          <cell r="K1815">
            <v>0</v>
          </cell>
          <cell r="L1815">
            <v>3200000</v>
          </cell>
          <cell r="M1815" t="str">
            <v>IV Centenario con Rotonda Atenas (s-n)</v>
          </cell>
          <cell r="N1815" t="str">
            <v>Sudoeste</v>
          </cell>
          <cell r="P1815" t="str">
            <v>LAS CONDES</v>
          </cell>
          <cell r="Q1815" t="str">
            <v>TRADICIONAL</v>
          </cell>
          <cell r="R1815" t="str">
            <v>Vía Pública Pasarelas - Santiago</v>
          </cell>
          <cell r="S1815" t="str">
            <v>PALC - Municipalidad de las Condes</v>
          </cell>
          <cell r="T1815" t="str">
            <v>Pasarelas</v>
          </cell>
          <cell r="U1815">
            <v>1</v>
          </cell>
          <cell r="V1815" t="str">
            <v>7.50 * 2.50</v>
          </cell>
        </row>
        <row r="1816">
          <cell r="A1816" t="str">
            <v>PALC0011C</v>
          </cell>
          <cell r="B1816" t="str">
            <v>Vía Pública Pasarelas</v>
          </cell>
          <cell r="D1816" t="str">
            <v>Pasarelas</v>
          </cell>
          <cell r="E1816" t="str">
            <v>PRISMA</v>
          </cell>
          <cell r="F1816" t="str">
            <v>7.50 * 2.50</v>
          </cell>
          <cell r="G1816" t="str">
            <v>7.50 * 2.50</v>
          </cell>
          <cell r="J1816">
            <v>0</v>
          </cell>
          <cell r="K1816">
            <v>0</v>
          </cell>
          <cell r="L1816">
            <v>3200000</v>
          </cell>
          <cell r="M1816" t="str">
            <v>IV Centenario con Rotonda Atenas (s-n)</v>
          </cell>
          <cell r="N1816" t="str">
            <v>Sudoeste</v>
          </cell>
          <cell r="P1816" t="str">
            <v>LAS CONDES</v>
          </cell>
          <cell r="Q1816" t="str">
            <v>TRADICIONAL</v>
          </cell>
          <cell r="R1816" t="str">
            <v>Vía Pública Pasarelas - Santiago</v>
          </cell>
          <cell r="S1816" t="str">
            <v>PALC - Municipalidad de las Condes</v>
          </cell>
          <cell r="T1816" t="str">
            <v>Pasarelas</v>
          </cell>
          <cell r="U1816">
            <v>1</v>
          </cell>
          <cell r="V1816" t="str">
            <v>7.50 * 2.50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s"/>
      <sheetName val="Salas 2"/>
      <sheetName val="Tablas"/>
      <sheetName val="caras"/>
      <sheetName val="Validar"/>
      <sheetName val="Caras Viejas"/>
      <sheetName val="Matriz"/>
      <sheetName val="Matriz prueba"/>
      <sheetName val="Matriz Vacia"/>
      <sheetName val="Matriz Vacia ex"/>
      <sheetName val="CabFact"/>
      <sheetName val="DetFact"/>
      <sheetName val="CttSitios"/>
      <sheetName val="CPro"/>
      <sheetName val="070423-LONCOLECHE"/>
      <sheetName val="Caras_Viejas"/>
      <sheetName val="Salas_2"/>
      <sheetName val="Caras_Viejas2"/>
      <sheetName val="Matriz_prueba"/>
      <sheetName val="Matriz_Vacia"/>
      <sheetName val="Matriz_Vacia_ex"/>
      <sheetName val="Caras_Viejas1"/>
      <sheetName val="Caras_Viejas3"/>
      <sheetName val="Caras_Viejas4"/>
    </sheetNames>
    <sheetDataSet>
      <sheetData sheetId="0"/>
      <sheetData sheetId="1">
        <row r="2">
          <cell r="A2" t="str">
            <v>ALC</v>
          </cell>
          <cell r="B2">
            <v>3</v>
          </cell>
          <cell r="C2" t="str">
            <v>MALL ALTO LAS CONDES</v>
          </cell>
          <cell r="D2" t="str">
            <v>SI</v>
          </cell>
          <cell r="E2" t="str">
            <v>C</v>
          </cell>
        </row>
        <row r="3">
          <cell r="A3" t="str">
            <v>AVBR</v>
          </cell>
          <cell r="B3">
            <v>3</v>
          </cell>
          <cell r="C3" t="str">
            <v>AMERICO VESPUCIO CONC.BROWN</v>
          </cell>
          <cell r="D3" t="str">
            <v>SI</v>
          </cell>
          <cell r="E3" t="str">
            <v>C</v>
          </cell>
        </row>
        <row r="4">
          <cell r="A4" t="str">
            <v>AVSM</v>
          </cell>
          <cell r="B4">
            <v>1.5</v>
          </cell>
          <cell r="C4" t="str">
            <v>SAINT GEORGE</v>
          </cell>
          <cell r="D4" t="str">
            <v>SI</v>
          </cell>
          <cell r="E4" t="str">
            <v>D</v>
          </cell>
        </row>
        <row r="5">
          <cell r="A5" t="str">
            <v>BARR</v>
          </cell>
          <cell r="B5">
            <v>3</v>
          </cell>
          <cell r="C5" t="str">
            <v>PUB "EL BARRIL"</v>
          </cell>
          <cell r="D5" t="str">
            <v>SI</v>
          </cell>
          <cell r="E5" t="str">
            <v>C</v>
          </cell>
        </row>
        <row r="6">
          <cell r="A6" t="str">
            <v>CNBR</v>
          </cell>
          <cell r="B6">
            <v>3</v>
          </cell>
          <cell r="C6" t="str">
            <v>COSTANERA NORTE BROWN</v>
          </cell>
          <cell r="D6" t="str">
            <v>SI</v>
          </cell>
          <cell r="E6" t="str">
            <v>C</v>
          </cell>
        </row>
        <row r="7">
          <cell r="A7" t="str">
            <v>CNLY</v>
          </cell>
          <cell r="B7">
            <v>3</v>
          </cell>
          <cell r="C7" t="str">
            <v>COSTANERA NORTE LOYOLA</v>
          </cell>
          <cell r="D7" t="str">
            <v>SI</v>
          </cell>
          <cell r="E7" t="str">
            <v>C</v>
          </cell>
        </row>
        <row r="8">
          <cell r="A8" t="str">
            <v>CONO</v>
          </cell>
          <cell r="B8">
            <v>3</v>
          </cell>
          <cell r="C8" t="str">
            <v>COSTANERA NORTE</v>
          </cell>
          <cell r="D8" t="str">
            <v>SI</v>
          </cell>
          <cell r="E8" t="str">
            <v>C</v>
          </cell>
        </row>
        <row r="9">
          <cell r="A9" t="str">
            <v>DUBL</v>
          </cell>
          <cell r="B9">
            <v>3</v>
          </cell>
          <cell r="C9" t="str">
            <v>PUB "DUBLIN"</v>
          </cell>
          <cell r="D9" t="str">
            <v>SI</v>
          </cell>
          <cell r="E9" t="str">
            <v>C</v>
          </cell>
        </row>
        <row r="10">
          <cell r="A10" t="str">
            <v>EA</v>
          </cell>
          <cell r="B10">
            <v>4</v>
          </cell>
          <cell r="C10" t="str">
            <v xml:space="preserve">Cadena EASY </v>
          </cell>
          <cell r="D10" t="str">
            <v>SI</v>
          </cell>
          <cell r="E10" t="str">
            <v>B</v>
          </cell>
        </row>
        <row r="11">
          <cell r="A11" t="str">
            <v>EAFC</v>
          </cell>
          <cell r="B11">
            <v>4</v>
          </cell>
          <cell r="C11" t="str">
            <v>EASY FLORIDA CENTER</v>
          </cell>
          <cell r="D11" t="str">
            <v>SI</v>
          </cell>
          <cell r="E11" t="str">
            <v>B</v>
          </cell>
        </row>
        <row r="12">
          <cell r="A12" t="str">
            <v>EALD</v>
          </cell>
          <cell r="B12">
            <v>4</v>
          </cell>
          <cell r="C12" t="str">
            <v>EASY LA DEHESA</v>
          </cell>
          <cell r="D12" t="str">
            <v>SI</v>
          </cell>
          <cell r="E12" t="str">
            <v>B</v>
          </cell>
        </row>
        <row r="13">
          <cell r="A13" t="str">
            <v>EALR</v>
          </cell>
          <cell r="B13">
            <v>4</v>
          </cell>
          <cell r="C13" t="str">
            <v>EASY LA REINA</v>
          </cell>
          <cell r="D13" t="str">
            <v>SI</v>
          </cell>
          <cell r="E13" t="str">
            <v>B</v>
          </cell>
        </row>
        <row r="14">
          <cell r="A14" t="str">
            <v>EAQU</v>
          </cell>
          <cell r="B14">
            <v>4</v>
          </cell>
          <cell r="C14" t="str">
            <v>EASY QUILIN</v>
          </cell>
          <cell r="D14" t="str">
            <v>SI</v>
          </cell>
          <cell r="E14" t="str">
            <v>B</v>
          </cell>
        </row>
        <row r="15">
          <cell r="A15" t="str">
            <v>EARA</v>
          </cell>
          <cell r="B15">
            <v>4</v>
          </cell>
          <cell r="C15" t="str">
            <v>EASY RANCAGUA</v>
          </cell>
          <cell r="D15" t="str">
            <v>SI</v>
          </cell>
          <cell r="E15" t="str">
            <v>B</v>
          </cell>
        </row>
        <row r="16">
          <cell r="A16" t="str">
            <v>EAVI</v>
          </cell>
          <cell r="B16">
            <v>4</v>
          </cell>
          <cell r="C16" t="str">
            <v>EASY VIÑA DEL MAR</v>
          </cell>
          <cell r="D16" t="str">
            <v>SI</v>
          </cell>
          <cell r="E16" t="str">
            <v>B</v>
          </cell>
        </row>
        <row r="17">
          <cell r="A17" t="str">
            <v>FA</v>
          </cell>
          <cell r="B17">
            <v>4</v>
          </cell>
          <cell r="C17" t="str">
            <v>Farmacias Ahumada (FASA)</v>
          </cell>
          <cell r="D17" t="str">
            <v>SI</v>
          </cell>
          <cell r="E17" t="str">
            <v>B</v>
          </cell>
        </row>
        <row r="18">
          <cell r="A18" t="str">
            <v>FAAP</v>
          </cell>
          <cell r="B18">
            <v>4</v>
          </cell>
          <cell r="C18" t="str">
            <v>FASA Apoquindo esq Coronel Pereira</v>
          </cell>
          <cell r="D18" t="str">
            <v>SI</v>
          </cell>
          <cell r="E18" t="str">
            <v>B</v>
          </cell>
        </row>
        <row r="19">
          <cell r="A19" t="str">
            <v>FABH</v>
          </cell>
          <cell r="B19">
            <v>4</v>
          </cell>
          <cell r="C19" t="str">
            <v>FASA F.Bilbao con Avda Holanda</v>
          </cell>
          <cell r="D19" t="str">
            <v>SI</v>
          </cell>
          <cell r="E19" t="str">
            <v>B</v>
          </cell>
        </row>
        <row r="20">
          <cell r="A20" t="str">
            <v>FAFB</v>
          </cell>
          <cell r="B20">
            <v>4</v>
          </cell>
          <cell r="C20" t="str">
            <v>FASA Francisco Bilbao 7411</v>
          </cell>
          <cell r="D20" t="str">
            <v>SI</v>
          </cell>
          <cell r="E20" t="str">
            <v>B</v>
          </cell>
        </row>
        <row r="21">
          <cell r="A21" t="str">
            <v>FAIR</v>
          </cell>
          <cell r="B21">
            <v>4</v>
          </cell>
          <cell r="C21" t="str">
            <v>FASA Irarrazabal</v>
          </cell>
          <cell r="D21" t="str">
            <v>SI</v>
          </cell>
          <cell r="E21" t="str">
            <v>B</v>
          </cell>
        </row>
        <row r="22">
          <cell r="A22" t="str">
            <v>FALC</v>
          </cell>
          <cell r="B22">
            <v>4</v>
          </cell>
          <cell r="C22" t="str">
            <v>FASA Avda Las Condes FACH</v>
          </cell>
          <cell r="D22" t="str">
            <v>SI</v>
          </cell>
          <cell r="E22" t="str">
            <v>B</v>
          </cell>
        </row>
        <row r="23">
          <cell r="A23" t="str">
            <v>FALL</v>
          </cell>
          <cell r="B23">
            <v>4</v>
          </cell>
          <cell r="C23" t="str">
            <v>FASA Eleodoro Yañez Los Leones</v>
          </cell>
          <cell r="D23" t="str">
            <v>SI</v>
          </cell>
          <cell r="E23" t="str">
            <v>B</v>
          </cell>
        </row>
        <row r="24">
          <cell r="A24" t="str">
            <v>FAPG</v>
          </cell>
          <cell r="B24">
            <v>4</v>
          </cell>
          <cell r="C24" t="str">
            <v>FASA Principe de GAles 7230</v>
          </cell>
          <cell r="D24" t="str">
            <v>SI</v>
          </cell>
          <cell r="E24" t="str">
            <v>B</v>
          </cell>
        </row>
        <row r="25">
          <cell r="A25" t="str">
            <v>FAPV</v>
          </cell>
          <cell r="B25">
            <v>4</v>
          </cell>
          <cell r="C25" t="str">
            <v>FASA Pedro de Valdivia</v>
          </cell>
          <cell r="D25" t="str">
            <v>SI</v>
          </cell>
          <cell r="E25" t="str">
            <v>B</v>
          </cell>
        </row>
        <row r="26">
          <cell r="A26" t="str">
            <v>FASD</v>
          </cell>
          <cell r="B26">
            <v>4</v>
          </cell>
          <cell r="C26" t="str">
            <v>FASA San Damian</v>
          </cell>
          <cell r="D26" t="str">
            <v>SI</v>
          </cell>
          <cell r="E26" t="str">
            <v>B</v>
          </cell>
        </row>
        <row r="27">
          <cell r="A27" t="str">
            <v>HC</v>
          </cell>
          <cell r="B27">
            <v>4</v>
          </cell>
          <cell r="C27" t="str">
            <v>Cadena HOMECENTER</v>
          </cell>
          <cell r="D27" t="str">
            <v>SI</v>
          </cell>
          <cell r="E27" t="str">
            <v>B</v>
          </cell>
        </row>
        <row r="28">
          <cell r="A28" t="str">
            <v>HCAV</v>
          </cell>
          <cell r="B28">
            <v>4</v>
          </cell>
          <cell r="C28" t="str">
            <v>HOMECENTER AMERICO VESPUCIO</v>
          </cell>
          <cell r="D28" t="str">
            <v>SI</v>
          </cell>
          <cell r="E28" t="str">
            <v>B</v>
          </cell>
        </row>
        <row r="29">
          <cell r="A29" t="str">
            <v>HCDE</v>
          </cell>
          <cell r="B29">
            <v>4</v>
          </cell>
          <cell r="C29" t="str">
            <v>HOMECENTER DEPARTAMENTAL</v>
          </cell>
          <cell r="D29" t="str">
            <v>SI</v>
          </cell>
          <cell r="E29" t="str">
            <v>B</v>
          </cell>
        </row>
        <row r="30">
          <cell r="A30" t="str">
            <v>HCKE</v>
          </cell>
          <cell r="B30">
            <v>4</v>
          </cell>
          <cell r="C30" t="str">
            <v>HOMECENTER KENNEDY</v>
          </cell>
          <cell r="D30" t="str">
            <v>SI</v>
          </cell>
          <cell r="E30" t="str">
            <v>B</v>
          </cell>
        </row>
        <row r="31">
          <cell r="A31" t="str">
            <v>HCLC</v>
          </cell>
          <cell r="B31">
            <v>4</v>
          </cell>
          <cell r="C31" t="str">
            <v>HOMECENTER LAS CONDES</v>
          </cell>
          <cell r="D31" t="str">
            <v>SI</v>
          </cell>
          <cell r="E31" t="str">
            <v>B</v>
          </cell>
        </row>
        <row r="32">
          <cell r="A32" t="str">
            <v>HCLR</v>
          </cell>
          <cell r="B32">
            <v>4</v>
          </cell>
          <cell r="C32" t="str">
            <v>HOMECENTER LA REINA</v>
          </cell>
          <cell r="D32" t="str">
            <v>SI</v>
          </cell>
          <cell r="E32" t="str">
            <v>B</v>
          </cell>
        </row>
        <row r="33">
          <cell r="A33" t="str">
            <v>HCMP</v>
          </cell>
          <cell r="B33">
            <v>4</v>
          </cell>
          <cell r="C33" t="str">
            <v>HOMECENTER MAIPU PAJARITOS</v>
          </cell>
          <cell r="D33" t="str">
            <v>SI</v>
          </cell>
          <cell r="E33" t="str">
            <v>B</v>
          </cell>
        </row>
        <row r="34">
          <cell r="A34" t="str">
            <v>HCPA</v>
          </cell>
          <cell r="B34">
            <v>4</v>
          </cell>
          <cell r="C34" t="str">
            <v>HOMECENTER PUENTE ALTO</v>
          </cell>
          <cell r="D34" t="str">
            <v>SI</v>
          </cell>
          <cell r="E34" t="str">
            <v>B</v>
          </cell>
        </row>
        <row r="35">
          <cell r="A35" t="str">
            <v>HCVM</v>
          </cell>
          <cell r="B35">
            <v>4</v>
          </cell>
          <cell r="C35" t="str">
            <v>HOMECENTER VICUÑA MACKENNA</v>
          </cell>
          <cell r="D35" t="str">
            <v>SI</v>
          </cell>
          <cell r="E35" t="str">
            <v>B</v>
          </cell>
        </row>
        <row r="36">
          <cell r="A36" t="str">
            <v>JUBI</v>
          </cell>
          <cell r="B36">
            <v>4</v>
          </cell>
          <cell r="C36" t="str">
            <v>JUMBO BILBAO</v>
          </cell>
          <cell r="D36" t="str">
            <v>SI</v>
          </cell>
          <cell r="E36" t="str">
            <v>B</v>
          </cell>
        </row>
        <row r="37">
          <cell r="A37" t="str">
            <v>JUFC</v>
          </cell>
          <cell r="B37">
            <v>4</v>
          </cell>
          <cell r="C37" t="str">
            <v>JUMBO FLORIDA CENTER</v>
          </cell>
          <cell r="D37" t="str">
            <v>SI</v>
          </cell>
          <cell r="E37" t="str">
            <v>B</v>
          </cell>
        </row>
        <row r="38">
          <cell r="A38" t="str">
            <v>JUKE</v>
          </cell>
          <cell r="B38">
            <v>4</v>
          </cell>
          <cell r="C38" t="str">
            <v>JUMBO KENNEDY</v>
          </cell>
          <cell r="D38" t="str">
            <v>SI</v>
          </cell>
          <cell r="E38" t="str">
            <v>B</v>
          </cell>
        </row>
        <row r="39">
          <cell r="A39" t="str">
            <v>JULD</v>
          </cell>
          <cell r="B39">
            <v>4</v>
          </cell>
          <cell r="C39" t="str">
            <v>JUMBO LA DEHESA</v>
          </cell>
          <cell r="D39" t="str">
            <v>SI</v>
          </cell>
          <cell r="E39" t="str">
            <v>B</v>
          </cell>
        </row>
        <row r="40">
          <cell r="A40" t="str">
            <v>JULL</v>
          </cell>
          <cell r="B40">
            <v>4</v>
          </cell>
          <cell r="C40" t="str">
            <v>JUMBO EL LLANO</v>
          </cell>
          <cell r="D40" t="str">
            <v>SI</v>
          </cell>
          <cell r="E40" t="str">
            <v>B</v>
          </cell>
        </row>
        <row r="41">
          <cell r="A41" t="str">
            <v>JULR</v>
          </cell>
          <cell r="B41">
            <v>4</v>
          </cell>
          <cell r="C41" t="str">
            <v>JUMBO PORTAL LA REINA</v>
          </cell>
          <cell r="D41" t="str">
            <v>SI</v>
          </cell>
          <cell r="E41" t="str">
            <v>B</v>
          </cell>
        </row>
        <row r="42">
          <cell r="A42" t="str">
            <v>JUMA</v>
          </cell>
          <cell r="B42">
            <v>6.5</v>
          </cell>
          <cell r="C42" t="str">
            <v>JUMBO MAIPU</v>
          </cell>
          <cell r="D42" t="str">
            <v>SI</v>
          </cell>
          <cell r="E42" t="str">
            <v>A</v>
          </cell>
        </row>
        <row r="43">
          <cell r="A43" t="str">
            <v>JUPE</v>
          </cell>
          <cell r="B43">
            <v>4</v>
          </cell>
          <cell r="C43" t="str">
            <v>JUMBO PEÑALOLEN</v>
          </cell>
          <cell r="D43" t="str">
            <v>SI</v>
          </cell>
          <cell r="E43" t="str">
            <v>B</v>
          </cell>
        </row>
        <row r="44">
          <cell r="A44" t="str">
            <v>JUVI</v>
          </cell>
          <cell r="B44">
            <v>4</v>
          </cell>
          <cell r="C44" t="str">
            <v>JUMBO VIÑA DEL MAR</v>
          </cell>
          <cell r="D44" t="str">
            <v>SI</v>
          </cell>
          <cell r="E44" t="str">
            <v>B</v>
          </cell>
        </row>
        <row r="45">
          <cell r="A45" t="str">
            <v>KE</v>
          </cell>
          <cell r="B45">
            <v>1.5</v>
          </cell>
          <cell r="C45" t="str">
            <v>PASARELAS KENNEDY</v>
          </cell>
          <cell r="D45" t="str">
            <v>SI</v>
          </cell>
          <cell r="E45" t="str">
            <v>D</v>
          </cell>
        </row>
        <row r="46">
          <cell r="A46" t="str">
            <v>LCON</v>
          </cell>
          <cell r="B46">
            <v>3</v>
          </cell>
          <cell r="C46" t="str">
            <v>LAS CONDES - INMB. OSSA Y CIA.</v>
          </cell>
          <cell r="D46" t="str">
            <v>SI</v>
          </cell>
          <cell r="E46" t="str">
            <v>C</v>
          </cell>
        </row>
        <row r="47">
          <cell r="A47" t="str">
            <v>LIAL</v>
          </cell>
          <cell r="B47">
            <v>4</v>
          </cell>
          <cell r="C47" t="str">
            <v>LIDER ALAMEDA</v>
          </cell>
          <cell r="D47" t="str">
            <v>SI</v>
          </cell>
          <cell r="E47" t="str">
            <v>B</v>
          </cell>
        </row>
        <row r="48">
          <cell r="A48" t="str">
            <v>LIAN</v>
          </cell>
          <cell r="B48">
            <v>6.5</v>
          </cell>
          <cell r="C48" t="str">
            <v>LIDER ANTOFAGASTA</v>
          </cell>
          <cell r="D48" t="str">
            <v>SI</v>
          </cell>
          <cell r="E48" t="str">
            <v>A</v>
          </cell>
        </row>
        <row r="49">
          <cell r="A49" t="str">
            <v>LIAP</v>
          </cell>
          <cell r="B49">
            <v>4</v>
          </cell>
          <cell r="C49" t="str">
            <v>LIDER APOQUINDO</v>
          </cell>
          <cell r="D49" t="str">
            <v>SI</v>
          </cell>
          <cell r="E49" t="str">
            <v>B</v>
          </cell>
        </row>
        <row r="50">
          <cell r="A50" t="str">
            <v>LIBE</v>
          </cell>
          <cell r="B50">
            <v>6.5</v>
          </cell>
          <cell r="C50" t="str">
            <v>LIDER EL BELLOTO</v>
          </cell>
          <cell r="D50" t="str">
            <v>SI</v>
          </cell>
          <cell r="E50" t="str">
            <v>A</v>
          </cell>
        </row>
        <row r="51">
          <cell r="A51" t="str">
            <v>LIBU</v>
          </cell>
          <cell r="B51">
            <v>4</v>
          </cell>
          <cell r="C51" t="str">
            <v>LIDER BUENAVENTURA</v>
          </cell>
          <cell r="D51" t="str">
            <v>SI</v>
          </cell>
          <cell r="E51" t="str">
            <v>B</v>
          </cell>
        </row>
        <row r="52">
          <cell r="A52" t="str">
            <v>LICA</v>
          </cell>
          <cell r="B52">
            <v>4</v>
          </cell>
          <cell r="C52" t="str">
            <v>LIDER MALL CALAMA</v>
          </cell>
          <cell r="D52" t="str">
            <v>SI</v>
          </cell>
          <cell r="E52" t="str">
            <v>B</v>
          </cell>
        </row>
        <row r="53">
          <cell r="A53" t="str">
            <v>LICC</v>
          </cell>
          <cell r="B53">
            <v>4</v>
          </cell>
          <cell r="C53" t="str">
            <v>LIDER CUARTO CENTENARIO</v>
          </cell>
          <cell r="D53" t="str">
            <v>SI</v>
          </cell>
          <cell r="E53" t="str">
            <v>B</v>
          </cell>
        </row>
        <row r="54">
          <cell r="A54" t="str">
            <v>LICE</v>
          </cell>
          <cell r="B54">
            <v>3</v>
          </cell>
          <cell r="C54" t="str">
            <v>LIDER Av CENTRAL</v>
          </cell>
          <cell r="D54" t="str">
            <v>SI</v>
          </cell>
          <cell r="E54" t="str">
            <v>C</v>
          </cell>
        </row>
        <row r="55">
          <cell r="A55" t="str">
            <v>LICO</v>
          </cell>
          <cell r="B55">
            <v>6.5</v>
          </cell>
          <cell r="C55" t="str">
            <v>LIDER CONCEPCION</v>
          </cell>
          <cell r="D55" t="str">
            <v>SI</v>
          </cell>
          <cell r="E55" t="str">
            <v>A</v>
          </cell>
        </row>
        <row r="56">
          <cell r="A56" t="str">
            <v>LIDE</v>
          </cell>
          <cell r="B56">
            <v>6.5</v>
          </cell>
          <cell r="C56" t="str">
            <v>LIDER DEPARTAMENTAL</v>
          </cell>
          <cell r="D56" t="str">
            <v>SI</v>
          </cell>
          <cell r="E56" t="str">
            <v>A</v>
          </cell>
        </row>
        <row r="57">
          <cell r="A57" t="str">
            <v>LIDO</v>
          </cell>
          <cell r="B57">
            <v>4</v>
          </cell>
          <cell r="C57" t="str">
            <v>LIDER LOS DOMINICOS</v>
          </cell>
          <cell r="D57" t="str">
            <v>SI</v>
          </cell>
          <cell r="E57" t="str">
            <v>B</v>
          </cell>
        </row>
        <row r="58">
          <cell r="A58" t="str">
            <v>LIES</v>
          </cell>
          <cell r="B58">
            <v>4</v>
          </cell>
          <cell r="C58" t="str">
            <v>LIDER ESTORIL</v>
          </cell>
          <cell r="D58" t="str">
            <v>SI</v>
          </cell>
          <cell r="E58" t="str">
            <v>B</v>
          </cell>
        </row>
        <row r="59">
          <cell r="A59" t="str">
            <v>LIGA</v>
          </cell>
          <cell r="B59">
            <v>6.5</v>
          </cell>
          <cell r="C59" t="str">
            <v>LIDER GRAN AVENIDA</v>
          </cell>
          <cell r="D59" t="str">
            <v>SI</v>
          </cell>
          <cell r="E59" t="str">
            <v>A</v>
          </cell>
        </row>
        <row r="60">
          <cell r="A60" t="str">
            <v>LIIN</v>
          </cell>
          <cell r="B60">
            <v>6.5</v>
          </cell>
          <cell r="C60" t="str">
            <v>LIDER INDEPENDENCIA</v>
          </cell>
          <cell r="D60" t="str">
            <v>SI</v>
          </cell>
          <cell r="E60" t="str">
            <v>A</v>
          </cell>
        </row>
        <row r="61">
          <cell r="A61" t="str">
            <v>LIIR</v>
          </cell>
          <cell r="B61">
            <v>4</v>
          </cell>
          <cell r="C61" t="str">
            <v>LIDER IRARRAZAVAL</v>
          </cell>
          <cell r="D61" t="str">
            <v>SI</v>
          </cell>
          <cell r="E61" t="str">
            <v>B</v>
          </cell>
        </row>
        <row r="62">
          <cell r="A62" t="str">
            <v>LILC</v>
          </cell>
          <cell r="B62">
            <v>4</v>
          </cell>
          <cell r="C62" t="str">
            <v>LIDER LAS CONDES</v>
          </cell>
          <cell r="D62" t="str">
            <v>SI</v>
          </cell>
          <cell r="E62" t="str">
            <v>B</v>
          </cell>
        </row>
        <row r="63">
          <cell r="A63" t="str">
            <v>LILD</v>
          </cell>
          <cell r="B63">
            <v>3</v>
          </cell>
          <cell r="C63" t="str">
            <v>LIDER LA DEHESA</v>
          </cell>
          <cell r="D63" t="str">
            <v>SI</v>
          </cell>
          <cell r="E63" t="str">
            <v>C</v>
          </cell>
        </row>
        <row r="64">
          <cell r="A64" t="str">
            <v>LIMA</v>
          </cell>
          <cell r="B64">
            <v>6.5</v>
          </cell>
          <cell r="C64" t="str">
            <v>LIDER MAIPU</v>
          </cell>
          <cell r="D64" t="str">
            <v>SI</v>
          </cell>
          <cell r="E64" t="str">
            <v>A</v>
          </cell>
        </row>
        <row r="65">
          <cell r="A65" t="str">
            <v>LIMC</v>
          </cell>
          <cell r="B65">
            <v>6.5</v>
          </cell>
          <cell r="C65" t="str">
            <v>LIDER VECINO MACUL</v>
          </cell>
          <cell r="D65" t="str">
            <v>SI</v>
          </cell>
          <cell r="E65" t="str">
            <v>A</v>
          </cell>
        </row>
        <row r="66">
          <cell r="A66" t="str">
            <v>LIME</v>
          </cell>
          <cell r="B66">
            <v>3</v>
          </cell>
          <cell r="C66" t="str">
            <v>LIDER MERCADO</v>
          </cell>
          <cell r="D66" t="str">
            <v>SI</v>
          </cell>
          <cell r="E66" t="str">
            <v>C</v>
          </cell>
        </row>
        <row r="67">
          <cell r="A67" t="str">
            <v>LIMO</v>
          </cell>
          <cell r="B67">
            <v>4</v>
          </cell>
          <cell r="C67" t="str">
            <v>LIDER LOS MORROS</v>
          </cell>
          <cell r="D67" t="str">
            <v>SI</v>
          </cell>
          <cell r="E67" t="str">
            <v>B</v>
          </cell>
        </row>
        <row r="68">
          <cell r="A68" t="str">
            <v>LIMT</v>
          </cell>
          <cell r="B68">
            <v>3</v>
          </cell>
          <cell r="C68" t="str">
            <v>LIDER MATUCANA</v>
          </cell>
          <cell r="D68" t="str">
            <v>SI</v>
          </cell>
          <cell r="E68" t="str">
            <v>C</v>
          </cell>
        </row>
        <row r="69">
          <cell r="A69" t="str">
            <v>LIOE</v>
          </cell>
          <cell r="B69">
            <v>6.5</v>
          </cell>
          <cell r="C69" t="str">
            <v>LIDER OESTE</v>
          </cell>
          <cell r="D69" t="str">
            <v>SI</v>
          </cell>
          <cell r="E69" t="str">
            <v>A</v>
          </cell>
        </row>
        <row r="70">
          <cell r="A70" t="str">
            <v>LIPA</v>
          </cell>
          <cell r="B70">
            <v>6.5</v>
          </cell>
          <cell r="C70" t="str">
            <v>LIDER PUENTE ALTO</v>
          </cell>
          <cell r="D70" t="str">
            <v>SI</v>
          </cell>
          <cell r="E70" t="str">
            <v>A</v>
          </cell>
        </row>
        <row r="71">
          <cell r="A71" t="str">
            <v>LIPJ</v>
          </cell>
          <cell r="B71">
            <v>6.5</v>
          </cell>
          <cell r="C71" t="str">
            <v>LIDER PAJARITOS</v>
          </cell>
          <cell r="D71" t="str">
            <v>SI</v>
          </cell>
          <cell r="E71" t="str">
            <v>A</v>
          </cell>
        </row>
        <row r="72">
          <cell r="A72" t="str">
            <v>LIPN</v>
          </cell>
          <cell r="B72">
            <v>3</v>
          </cell>
          <cell r="C72" t="str">
            <v>LIDER PLAZA NORTE</v>
          </cell>
          <cell r="D72" t="str">
            <v>SI</v>
          </cell>
          <cell r="E72" t="str">
            <v>C</v>
          </cell>
        </row>
        <row r="73">
          <cell r="A73" t="str">
            <v>LIPV</v>
          </cell>
          <cell r="B73">
            <v>6.5</v>
          </cell>
          <cell r="C73" t="str">
            <v>LIDER PEDRO DE VALDIVIA</v>
          </cell>
          <cell r="D73" t="str">
            <v>SI</v>
          </cell>
          <cell r="E73" t="str">
            <v>A</v>
          </cell>
        </row>
        <row r="74">
          <cell r="A74" t="str">
            <v>LIQI</v>
          </cell>
          <cell r="B74">
            <v>3</v>
          </cell>
          <cell r="C74" t="str">
            <v>LIDER QUILICURA</v>
          </cell>
          <cell r="D74" t="str">
            <v>SI</v>
          </cell>
          <cell r="E74" t="str">
            <v>C</v>
          </cell>
        </row>
        <row r="75">
          <cell r="A75" t="str">
            <v>LIQU</v>
          </cell>
          <cell r="B75">
            <v>6.5</v>
          </cell>
          <cell r="C75" t="str">
            <v>LIDER IQUIQUE</v>
          </cell>
          <cell r="D75" t="str">
            <v>SI</v>
          </cell>
          <cell r="E75" t="str">
            <v>A</v>
          </cell>
        </row>
        <row r="76">
          <cell r="A76" t="str">
            <v>LIRC</v>
          </cell>
          <cell r="B76">
            <v>6.5</v>
          </cell>
          <cell r="C76" t="str">
            <v>LIDER RECOLETA</v>
          </cell>
          <cell r="D76" t="str">
            <v>SI</v>
          </cell>
          <cell r="E76" t="str">
            <v>A</v>
          </cell>
        </row>
        <row r="77">
          <cell r="A77" t="str">
            <v>LIRE</v>
          </cell>
          <cell r="B77">
            <v>4</v>
          </cell>
          <cell r="C77" t="str">
            <v>LIDER LA REINA</v>
          </cell>
          <cell r="D77" t="str">
            <v>SI</v>
          </cell>
          <cell r="E77" t="str">
            <v>B</v>
          </cell>
        </row>
        <row r="78">
          <cell r="A78" t="str">
            <v>LIRO</v>
          </cell>
          <cell r="B78">
            <v>6.5</v>
          </cell>
          <cell r="C78" t="str">
            <v>LIDER SANTA ROSA</v>
          </cell>
          <cell r="D78" t="str">
            <v>SI</v>
          </cell>
          <cell r="E78" t="str">
            <v>A</v>
          </cell>
        </row>
        <row r="79">
          <cell r="A79" t="str">
            <v>LISA</v>
          </cell>
          <cell r="B79">
            <v>6.5</v>
          </cell>
          <cell r="C79" t="str">
            <v>LIDER SANTA AMALIA</v>
          </cell>
          <cell r="D79" t="str">
            <v>SI</v>
          </cell>
          <cell r="E79" t="str">
            <v>A</v>
          </cell>
        </row>
        <row r="80">
          <cell r="A80" t="str">
            <v>LISB</v>
          </cell>
          <cell r="B80">
            <v>3</v>
          </cell>
          <cell r="C80" t="str">
            <v>LIDER SAN BERNARDO</v>
          </cell>
          <cell r="D80" t="str">
            <v>SI</v>
          </cell>
          <cell r="E80" t="str">
            <v>C</v>
          </cell>
        </row>
        <row r="81">
          <cell r="A81" t="str">
            <v>LISE</v>
          </cell>
          <cell r="B81">
            <v>6.5</v>
          </cell>
          <cell r="C81" t="str">
            <v>LIDER LA SERENA</v>
          </cell>
          <cell r="D81" t="str">
            <v>SI</v>
          </cell>
          <cell r="E81" t="str">
            <v>A</v>
          </cell>
        </row>
        <row r="82">
          <cell r="A82" t="str">
            <v>LISM</v>
          </cell>
          <cell r="B82">
            <v>6.5</v>
          </cell>
          <cell r="C82" t="str">
            <v>LIDER SAN MIGUEL</v>
          </cell>
          <cell r="D82" t="str">
            <v>SI</v>
          </cell>
          <cell r="E82" t="str">
            <v>A</v>
          </cell>
        </row>
        <row r="83">
          <cell r="A83" t="str">
            <v>LITE</v>
          </cell>
          <cell r="B83">
            <v>6.5</v>
          </cell>
          <cell r="C83" t="str">
            <v>LIDER TEMUCO</v>
          </cell>
          <cell r="D83" t="str">
            <v>SI</v>
          </cell>
          <cell r="E83" t="str">
            <v>A</v>
          </cell>
        </row>
        <row r="84">
          <cell r="A84" t="str">
            <v>LITM</v>
          </cell>
          <cell r="B84">
            <v>4</v>
          </cell>
          <cell r="C84" t="str">
            <v>LIDER TOMAS MORO</v>
          </cell>
          <cell r="D84" t="str">
            <v>SI</v>
          </cell>
          <cell r="E84" t="str">
            <v>B</v>
          </cell>
        </row>
        <row r="85">
          <cell r="A85" t="str">
            <v>LITO</v>
          </cell>
          <cell r="B85">
            <v>6.5</v>
          </cell>
          <cell r="C85" t="str">
            <v>LIDER TOBALABA</v>
          </cell>
          <cell r="D85" t="str">
            <v>SI</v>
          </cell>
          <cell r="E85" t="str">
            <v>A</v>
          </cell>
        </row>
        <row r="86">
          <cell r="A86" t="str">
            <v>LIVF</v>
          </cell>
          <cell r="B86">
            <v>6.5</v>
          </cell>
          <cell r="C86" t="str">
            <v>LIDER VECINO LA FLORIDA</v>
          </cell>
          <cell r="D86" t="str">
            <v>SI</v>
          </cell>
          <cell r="E86" t="str">
            <v>A</v>
          </cell>
        </row>
        <row r="87">
          <cell r="A87" t="str">
            <v>LIVI</v>
          </cell>
          <cell r="B87">
            <v>4</v>
          </cell>
          <cell r="C87" t="str">
            <v>LIDER VITACURA</v>
          </cell>
          <cell r="D87" t="str">
            <v>SI</v>
          </cell>
          <cell r="E87" t="str">
            <v>B</v>
          </cell>
        </row>
        <row r="88">
          <cell r="A88" t="str">
            <v>LIVM</v>
          </cell>
          <cell r="B88">
            <v>3</v>
          </cell>
          <cell r="C88" t="str">
            <v>LIDER VIÑA DEL MAR</v>
          </cell>
          <cell r="D88" t="str">
            <v>SI</v>
          </cell>
          <cell r="E88" t="str">
            <v>C</v>
          </cell>
        </row>
        <row r="89">
          <cell r="A89" t="str">
            <v>MAAR</v>
          </cell>
          <cell r="B89">
            <v>3</v>
          </cell>
          <cell r="C89" t="str">
            <v>MALL MARINA ARAUCO</v>
          </cell>
          <cell r="D89" t="str">
            <v>SI</v>
          </cell>
          <cell r="E89" t="str">
            <v>C</v>
          </cell>
        </row>
        <row r="90">
          <cell r="A90" t="str">
            <v>MACA</v>
          </cell>
          <cell r="B90">
            <v>6.5</v>
          </cell>
          <cell r="C90" t="str">
            <v>MALL CALAMA</v>
          </cell>
          <cell r="D90" t="str">
            <v>SI</v>
          </cell>
          <cell r="E90" t="str">
            <v>A</v>
          </cell>
        </row>
        <row r="91">
          <cell r="A91" t="str">
            <v>MAFC</v>
          </cell>
          <cell r="B91">
            <v>3</v>
          </cell>
          <cell r="C91" t="str">
            <v>MALL FLORIDA CENTER</v>
          </cell>
          <cell r="D91" t="str">
            <v>SI</v>
          </cell>
          <cell r="E91" t="str">
            <v>C</v>
          </cell>
        </row>
        <row r="92">
          <cell r="A92" t="str">
            <v>MALD</v>
          </cell>
          <cell r="B92">
            <v>3</v>
          </cell>
          <cell r="C92" t="str">
            <v>SHOPING LA DEHESA</v>
          </cell>
          <cell r="D92" t="str">
            <v>SI</v>
          </cell>
          <cell r="E92" t="str">
            <v>C</v>
          </cell>
        </row>
        <row r="93">
          <cell r="A93" t="str">
            <v>MAMA</v>
          </cell>
          <cell r="B93">
            <v>6.5</v>
          </cell>
          <cell r="C93" t="str">
            <v>MALL ARAUCO MAIPU</v>
          </cell>
          <cell r="D93" t="str">
            <v>SI</v>
          </cell>
          <cell r="E93" t="str">
            <v>A</v>
          </cell>
        </row>
        <row r="94">
          <cell r="A94" t="str">
            <v>MAPA</v>
          </cell>
          <cell r="B94">
            <v>6.5</v>
          </cell>
          <cell r="C94" t="str">
            <v>MALL PANORAMICO</v>
          </cell>
          <cell r="D94" t="str">
            <v>SI</v>
          </cell>
          <cell r="E94" t="str">
            <v>A</v>
          </cell>
        </row>
        <row r="95">
          <cell r="A95" t="str">
            <v>MAPN</v>
          </cell>
          <cell r="B95">
            <v>3</v>
          </cell>
          <cell r="C95" t="str">
            <v>MALL PLAZA NORTE</v>
          </cell>
          <cell r="D95" t="str">
            <v>NO</v>
          </cell>
          <cell r="E95" t="str">
            <v>C</v>
          </cell>
        </row>
        <row r="96">
          <cell r="A96" t="str">
            <v>MAPO</v>
          </cell>
          <cell r="B96">
            <v>4</v>
          </cell>
          <cell r="C96" t="str">
            <v>MALL PLAZA OESTE</v>
          </cell>
          <cell r="D96" t="str">
            <v>NO</v>
          </cell>
          <cell r="E96" t="str">
            <v>B</v>
          </cell>
        </row>
        <row r="97">
          <cell r="A97" t="str">
            <v>MAPT</v>
          </cell>
          <cell r="B97">
            <v>4</v>
          </cell>
          <cell r="C97" t="str">
            <v>MALL PLAZA DEL TREBOL</v>
          </cell>
          <cell r="D97" t="str">
            <v>NO</v>
          </cell>
          <cell r="E97" t="str">
            <v>B</v>
          </cell>
        </row>
        <row r="98">
          <cell r="A98" t="str">
            <v>MAPV</v>
          </cell>
          <cell r="B98">
            <v>3</v>
          </cell>
          <cell r="C98" t="str">
            <v>MALL PLAZA VESPUCIO</v>
          </cell>
          <cell r="D98" t="str">
            <v>NO</v>
          </cell>
          <cell r="E98" t="str">
            <v>C</v>
          </cell>
        </row>
        <row r="99">
          <cell r="A99" t="str">
            <v>MASE</v>
          </cell>
          <cell r="B99">
            <v>6.5</v>
          </cell>
          <cell r="C99" t="str">
            <v>MALL PLAZA LA SERENA</v>
          </cell>
          <cell r="D99" t="str">
            <v>NO</v>
          </cell>
          <cell r="E99" t="str">
            <v>A</v>
          </cell>
        </row>
        <row r="100">
          <cell r="A100" t="str">
            <v>MATO</v>
          </cell>
          <cell r="B100">
            <v>6.5</v>
          </cell>
          <cell r="C100" t="str">
            <v>MALL PLAZA TOBALABA</v>
          </cell>
          <cell r="D100" t="str">
            <v>NO</v>
          </cell>
          <cell r="E100" t="str">
            <v>A</v>
          </cell>
        </row>
        <row r="101">
          <cell r="A101" t="str">
            <v>MCCU</v>
          </cell>
          <cell r="B101">
            <v>4</v>
          </cell>
          <cell r="C101" t="str">
            <v>MALL CENTER CURICO</v>
          </cell>
          <cell r="D101" t="str">
            <v>SI</v>
          </cell>
          <cell r="E101" t="str">
            <v>B</v>
          </cell>
        </row>
        <row r="102">
          <cell r="A102" t="str">
            <v>MCRA</v>
          </cell>
          <cell r="B102">
            <v>6.5</v>
          </cell>
          <cell r="C102" t="str">
            <v>MALL DEL CENTRO RANCAGUA</v>
          </cell>
          <cell r="D102" t="str">
            <v>SI</v>
          </cell>
          <cell r="E102" t="str">
            <v>A</v>
          </cell>
        </row>
        <row r="103">
          <cell r="A103" t="str">
            <v>MCSA</v>
          </cell>
          <cell r="B103">
            <v>6.5</v>
          </cell>
          <cell r="C103" t="str">
            <v>MALL DEL CENTRO SANTIAGO</v>
          </cell>
          <cell r="D103" t="str">
            <v>SI</v>
          </cell>
          <cell r="E103" t="str">
            <v>A</v>
          </cell>
        </row>
        <row r="104">
          <cell r="A104" t="str">
            <v>MPLA</v>
          </cell>
          <cell r="B104">
            <v>4</v>
          </cell>
          <cell r="C104" t="str">
            <v>MALL PLAZA LOS ANGELES</v>
          </cell>
          <cell r="D104" t="str">
            <v>NO</v>
          </cell>
          <cell r="E104" t="str">
            <v>B</v>
          </cell>
        </row>
        <row r="105">
          <cell r="A105" t="str">
            <v>MPLT</v>
          </cell>
          <cell r="B105">
            <v>3</v>
          </cell>
          <cell r="C105" t="str">
            <v>MALL PASEO LOS TRAPENSES</v>
          </cell>
          <cell r="D105" t="str">
            <v>SI</v>
          </cell>
          <cell r="E105" t="str">
            <v>C</v>
          </cell>
        </row>
        <row r="106">
          <cell r="A106" t="str">
            <v>MULC</v>
          </cell>
          <cell r="B106">
            <v>3</v>
          </cell>
          <cell r="C106" t="str">
            <v>REFUGIOS PEATONALES LAS CONDES</v>
          </cell>
          <cell r="D106" t="str">
            <v>SI</v>
          </cell>
          <cell r="E106" t="str">
            <v>C</v>
          </cell>
        </row>
        <row r="107">
          <cell r="A107" t="str">
            <v>PAAR</v>
          </cell>
          <cell r="B107">
            <v>3</v>
          </cell>
          <cell r="C107" t="str">
            <v>MALL PARQUE ARAUCO</v>
          </cell>
          <cell r="D107" t="str">
            <v>SI</v>
          </cell>
          <cell r="E107" t="str">
            <v>C</v>
          </cell>
        </row>
        <row r="108">
          <cell r="A108" t="str">
            <v>PACE</v>
          </cell>
          <cell r="B108">
            <v>1.5</v>
          </cell>
          <cell r="C108" t="str">
            <v>PASARELAS CIUDAD EMPRESARIAL</v>
          </cell>
          <cell r="D108" t="str">
            <v>SI</v>
          </cell>
          <cell r="E108" t="str">
            <v>D</v>
          </cell>
        </row>
        <row r="109">
          <cell r="A109" t="str">
            <v>PALC</v>
          </cell>
          <cell r="B109">
            <v>3</v>
          </cell>
          <cell r="C109" t="str">
            <v>PASARELAS LAS CONDES</v>
          </cell>
          <cell r="D109" t="str">
            <v>SI</v>
          </cell>
          <cell r="E109" t="str">
            <v>C</v>
          </cell>
        </row>
        <row r="110">
          <cell r="A110" t="str">
            <v>POLD</v>
          </cell>
          <cell r="B110">
            <v>3</v>
          </cell>
          <cell r="C110" t="str">
            <v>PORTAL LA DEHESA</v>
          </cell>
          <cell r="D110" t="str">
            <v>SI</v>
          </cell>
          <cell r="E110" t="str">
            <v>C</v>
          </cell>
        </row>
        <row r="111">
          <cell r="A111" t="str">
            <v>POLR</v>
          </cell>
          <cell r="B111">
            <v>4</v>
          </cell>
          <cell r="C111" t="str">
            <v>PORTAL LA REINA</v>
          </cell>
          <cell r="D111" t="str">
            <v>SI</v>
          </cell>
          <cell r="E111" t="str">
            <v>B</v>
          </cell>
        </row>
        <row r="112">
          <cell r="A112" t="str">
            <v>SB</v>
          </cell>
          <cell r="B112">
            <v>4</v>
          </cell>
          <cell r="C112" t="str">
            <v>Farmacias SALCOBRAND</v>
          </cell>
          <cell r="D112" t="str">
            <v>NO</v>
          </cell>
          <cell r="E112" t="str">
            <v>B</v>
          </cell>
        </row>
        <row r="113">
          <cell r="A113" t="str">
            <v>SBAT</v>
          </cell>
          <cell r="B113">
            <v>4</v>
          </cell>
          <cell r="C113" t="str">
            <v>SALCO BRAND APOQUINDO TOMAS MORO</v>
          </cell>
          <cell r="D113" t="str">
            <v>NO</v>
          </cell>
          <cell r="E113" t="str">
            <v>B</v>
          </cell>
        </row>
        <row r="114">
          <cell r="A114" t="str">
            <v>SBBT</v>
          </cell>
          <cell r="B114">
            <v>4</v>
          </cell>
          <cell r="C114" t="str">
            <v>SALCO BRAND BILBAO TRONCOS VIEJOS</v>
          </cell>
          <cell r="D114" t="str">
            <v>NO</v>
          </cell>
          <cell r="E114" t="str">
            <v>B</v>
          </cell>
        </row>
        <row r="115">
          <cell r="A115" t="str">
            <v>SBCH</v>
          </cell>
          <cell r="B115">
            <v>4</v>
          </cell>
          <cell r="C115" t="str">
            <v>SALCO BRAND LAS CONDES PADRE HURTADO</v>
          </cell>
          <cell r="D115" t="str">
            <v>NO</v>
          </cell>
          <cell r="E115" t="str">
            <v>B</v>
          </cell>
        </row>
        <row r="116">
          <cell r="A116" t="str">
            <v>SBCM</v>
          </cell>
          <cell r="B116">
            <v>4</v>
          </cell>
          <cell r="C116" t="str">
            <v>SALCO BRAND COLON 6064 MANQUEHUE</v>
          </cell>
          <cell r="D116" t="str">
            <v>NO</v>
          </cell>
          <cell r="E116" t="str">
            <v>B</v>
          </cell>
        </row>
        <row r="117">
          <cell r="A117" t="str">
            <v>SBCO</v>
          </cell>
          <cell r="B117">
            <v>4</v>
          </cell>
          <cell r="C117" t="str">
            <v>SALCO BRAND COLON 6720</v>
          </cell>
          <cell r="D117" t="str">
            <v>NO</v>
          </cell>
          <cell r="E117" t="str">
            <v>B</v>
          </cell>
        </row>
        <row r="118">
          <cell r="A118" t="str">
            <v>SBHB</v>
          </cell>
          <cell r="B118">
            <v>4</v>
          </cell>
          <cell r="C118" t="str">
            <v>SALCO BRAND P. HURTADO BOCACCIO</v>
          </cell>
          <cell r="D118" t="str">
            <v>NO</v>
          </cell>
          <cell r="E118" t="str">
            <v>B</v>
          </cell>
        </row>
        <row r="119">
          <cell r="A119" t="str">
            <v>SBIV</v>
          </cell>
          <cell r="B119">
            <v>4</v>
          </cell>
          <cell r="C119" t="str">
            <v>SALCO BRAND Isabel &amp; Vespucio</v>
          </cell>
          <cell r="D119" t="str">
            <v>NO</v>
          </cell>
          <cell r="E119" t="str">
            <v>B</v>
          </cell>
        </row>
        <row r="120">
          <cell r="A120" t="str">
            <v>SBLD</v>
          </cell>
          <cell r="B120">
            <v>4</v>
          </cell>
          <cell r="C120" t="str">
            <v>SALCO BRAND LAS CONDES 8231</v>
          </cell>
          <cell r="D120" t="str">
            <v>NO</v>
          </cell>
          <cell r="E120" t="str">
            <v>B</v>
          </cell>
        </row>
        <row r="121">
          <cell r="A121" t="str">
            <v>SBLR</v>
          </cell>
          <cell r="B121">
            <v>4</v>
          </cell>
          <cell r="C121" t="str">
            <v>SALCO BRAND La Reina</v>
          </cell>
          <cell r="D121" t="str">
            <v>NO</v>
          </cell>
          <cell r="E121" t="str">
            <v>B</v>
          </cell>
        </row>
        <row r="122">
          <cell r="A122" t="str">
            <v>SBMM</v>
          </cell>
          <cell r="B122">
            <v>4</v>
          </cell>
          <cell r="C122" t="str">
            <v>SALCO BRAND MANQUEHUE LOS MILITARES</v>
          </cell>
          <cell r="D122" t="str">
            <v>NO</v>
          </cell>
          <cell r="E122" t="str">
            <v>B</v>
          </cell>
        </row>
        <row r="123">
          <cell r="A123" t="str">
            <v>SBPG</v>
          </cell>
          <cell r="B123">
            <v>4</v>
          </cell>
          <cell r="C123" t="str">
            <v>SALCO BRAND PRINCIPE DE GALES 7215</v>
          </cell>
          <cell r="D123" t="str">
            <v>NO</v>
          </cell>
          <cell r="E123" t="str">
            <v>B</v>
          </cell>
        </row>
        <row r="124">
          <cell r="A124" t="str">
            <v>SBRO</v>
          </cell>
          <cell r="B124">
            <v>4</v>
          </cell>
          <cell r="C124" t="str">
            <v>SALCO BRAND EL RODEO ESQ. HINGANAL</v>
          </cell>
          <cell r="D124" t="str">
            <v>NO</v>
          </cell>
          <cell r="E124" t="str">
            <v>B</v>
          </cell>
        </row>
        <row r="125">
          <cell r="A125" t="str">
            <v>SBSB</v>
          </cell>
          <cell r="B125">
            <v>4</v>
          </cell>
          <cell r="C125" t="str">
            <v>SALCO BRAND SANTA BLANCA</v>
          </cell>
          <cell r="D125" t="str">
            <v>NO</v>
          </cell>
          <cell r="E125" t="str">
            <v>B</v>
          </cell>
        </row>
        <row r="126">
          <cell r="A126" t="str">
            <v>SBVI</v>
          </cell>
          <cell r="B126">
            <v>4</v>
          </cell>
          <cell r="C126" t="str">
            <v>SALCO BRAND VITACURA 8111 INDIANA</v>
          </cell>
          <cell r="D126" t="str">
            <v>NO</v>
          </cell>
          <cell r="E126" t="str">
            <v>B</v>
          </cell>
        </row>
        <row r="127">
          <cell r="A127" t="str">
            <v>SBAR</v>
          </cell>
          <cell r="B127">
            <v>4</v>
          </cell>
          <cell r="C127" t="str">
            <v>SALCO BRAND ALFEREZ REAL</v>
          </cell>
          <cell r="D127" t="str">
            <v>NO</v>
          </cell>
          <cell r="E127" t="str">
            <v>B</v>
          </cell>
        </row>
        <row r="128">
          <cell r="A128" t="str">
            <v>SBAV</v>
          </cell>
          <cell r="B128">
            <v>4</v>
          </cell>
          <cell r="C128" t="str">
            <v>SALCO BRAND ANTONIO VARAS</v>
          </cell>
          <cell r="D128" t="str">
            <v>NO</v>
          </cell>
          <cell r="E128" t="str">
            <v>B</v>
          </cell>
        </row>
        <row r="129">
          <cell r="A129" t="str">
            <v>SCL</v>
          </cell>
          <cell r="B129">
            <v>3</v>
          </cell>
          <cell r="C129" t="str">
            <v>Aeropuerto</v>
          </cell>
          <cell r="D129" t="str">
            <v>NO</v>
          </cell>
          <cell r="E129" t="str">
            <v>C</v>
          </cell>
        </row>
        <row r="130">
          <cell r="A130" t="str">
            <v>SO</v>
          </cell>
          <cell r="B130">
            <v>4</v>
          </cell>
          <cell r="C130" t="str">
            <v>Cadena SODIMAC</v>
          </cell>
          <cell r="D130" t="str">
            <v>SI</v>
          </cell>
          <cell r="E130" t="str">
            <v>B</v>
          </cell>
        </row>
        <row r="131">
          <cell r="A131" t="str">
            <v>SOCM</v>
          </cell>
          <cell r="B131">
            <v>4</v>
          </cell>
          <cell r="C131" t="str">
            <v>SODIMAC CERRILLOS - MAIPU</v>
          </cell>
          <cell r="D131" t="str">
            <v>SI</v>
          </cell>
          <cell r="E131" t="str">
            <v>B</v>
          </cell>
        </row>
        <row r="132">
          <cell r="A132" t="str">
            <v>SOLF</v>
          </cell>
          <cell r="B132">
            <v>4</v>
          </cell>
          <cell r="C132" t="str">
            <v>SODIMAC LA FLORIDA</v>
          </cell>
          <cell r="D132" t="str">
            <v>SI</v>
          </cell>
          <cell r="E132" t="str">
            <v>B</v>
          </cell>
        </row>
        <row r="133">
          <cell r="A133" t="str">
            <v>SOVM</v>
          </cell>
          <cell r="B133">
            <v>4</v>
          </cell>
          <cell r="C133" t="str">
            <v>SODIMAC VICUÑA MACKENNA</v>
          </cell>
          <cell r="D133" t="str">
            <v>SI</v>
          </cell>
          <cell r="E133" t="str">
            <v>B</v>
          </cell>
        </row>
        <row r="134">
          <cell r="A134" t="str">
            <v>TOLC</v>
          </cell>
          <cell r="B134">
            <v>3</v>
          </cell>
          <cell r="C134" t="str">
            <v>TOTTUS LA CALERA</v>
          </cell>
          <cell r="D134" t="str">
            <v>SI</v>
          </cell>
          <cell r="E134" t="str">
            <v>C</v>
          </cell>
        </row>
        <row r="135">
          <cell r="A135" t="str">
            <v>TONA</v>
          </cell>
          <cell r="B135">
            <v>3</v>
          </cell>
          <cell r="C135" t="str">
            <v>TOTTUS NATANIEL</v>
          </cell>
          <cell r="D135" t="str">
            <v>SI</v>
          </cell>
          <cell r="E135" t="str">
            <v>C</v>
          </cell>
        </row>
        <row r="136">
          <cell r="A136" t="str">
            <v>TOPA</v>
          </cell>
          <cell r="B136">
            <v>3</v>
          </cell>
          <cell r="C136" t="str">
            <v>TOTTUS PUENTE ALTO</v>
          </cell>
          <cell r="D136" t="str">
            <v>SI</v>
          </cell>
          <cell r="E136" t="str">
            <v>C</v>
          </cell>
        </row>
        <row r="137">
          <cell r="A137" t="str">
            <v>TOCE</v>
          </cell>
          <cell r="B137">
            <v>3</v>
          </cell>
          <cell r="C137" t="str">
            <v>TOTTUS CERRILLOS</v>
          </cell>
          <cell r="D137" t="str">
            <v>SI</v>
          </cell>
          <cell r="E137" t="str">
            <v>C</v>
          </cell>
        </row>
        <row r="138">
          <cell r="A138" t="str">
            <v>TOLF</v>
          </cell>
          <cell r="B138">
            <v>3</v>
          </cell>
          <cell r="C138" t="str">
            <v>TOTTUS LA FLORIDA</v>
          </cell>
          <cell r="D138" t="str">
            <v>SI</v>
          </cell>
          <cell r="E138" t="str">
            <v>C</v>
          </cell>
        </row>
        <row r="139">
          <cell r="A139" t="str">
            <v>TOPF</v>
          </cell>
          <cell r="B139">
            <v>3</v>
          </cell>
          <cell r="C139" t="str">
            <v>TOTTUS FONTOVA</v>
          </cell>
          <cell r="D139" t="str">
            <v>SI</v>
          </cell>
          <cell r="E139" t="str">
            <v>C</v>
          </cell>
        </row>
        <row r="140">
          <cell r="A140" t="str">
            <v>VPAR</v>
          </cell>
          <cell r="B140">
            <v>1.5</v>
          </cell>
          <cell r="C140" t="str">
            <v>VIA PUBLICA ALAMEDA / LAS REJAS</v>
          </cell>
          <cell r="D140" t="str">
            <v>SI</v>
          </cell>
          <cell r="E140" t="str">
            <v>D</v>
          </cell>
        </row>
        <row r="141">
          <cell r="A141" t="str">
            <v>VPBV</v>
          </cell>
          <cell r="B141">
            <v>3</v>
          </cell>
          <cell r="C141" t="str">
            <v>VIA PUBLICA BOULEVARD RUTA 68</v>
          </cell>
          <cell r="D141" t="str">
            <v>SI</v>
          </cell>
          <cell r="E141" t="str">
            <v>C</v>
          </cell>
        </row>
        <row r="142">
          <cell r="A142" t="str">
            <v>VPCC</v>
          </cell>
          <cell r="B142">
            <v>3</v>
          </cell>
          <cell r="C142" t="str">
            <v>VIA PUBLICA COLEGIO CRAIGHOUSE</v>
          </cell>
          <cell r="D142" t="str">
            <v>SI</v>
          </cell>
          <cell r="E142" t="str">
            <v>C</v>
          </cell>
        </row>
        <row r="143">
          <cell r="A143" t="str">
            <v>VPCN</v>
          </cell>
          <cell r="B143">
            <v>3</v>
          </cell>
          <cell r="C143" t="str">
            <v>VIA PUBLICA COSTANERA NORTE</v>
          </cell>
          <cell r="D143" t="str">
            <v>SI</v>
          </cell>
          <cell r="E143" t="str">
            <v>C</v>
          </cell>
        </row>
        <row r="144">
          <cell r="A144" t="str">
            <v>VPEM</v>
          </cell>
          <cell r="B144">
            <v>1.5</v>
          </cell>
          <cell r="C144" t="str">
            <v>Sub Centro Escuela Militar</v>
          </cell>
          <cell r="D144" t="str">
            <v>SI</v>
          </cell>
          <cell r="E144" t="str">
            <v>D</v>
          </cell>
        </row>
        <row r="145">
          <cell r="A145" t="str">
            <v>VPIN</v>
          </cell>
          <cell r="B145">
            <v>3</v>
          </cell>
          <cell r="C145" t="str">
            <v>VIA PUBLICA A.V./INDEPENDENCIA</v>
          </cell>
          <cell r="D145" t="str">
            <v>SI</v>
          </cell>
          <cell r="E145" t="str">
            <v>C</v>
          </cell>
        </row>
        <row r="146">
          <cell r="A146" t="str">
            <v>VPLT</v>
          </cell>
          <cell r="B146">
            <v>3</v>
          </cell>
          <cell r="C146" t="str">
            <v>VIA PUBLICA LOS TRAPENSES</v>
          </cell>
          <cell r="D146" t="str">
            <v>SI</v>
          </cell>
          <cell r="E146" t="str">
            <v>C</v>
          </cell>
        </row>
        <row r="147">
          <cell r="A147" t="str">
            <v>VPPB</v>
          </cell>
          <cell r="B147">
            <v>1.5</v>
          </cell>
          <cell r="C147" t="str">
            <v>PARQUE BICENTENARIO</v>
          </cell>
          <cell r="D147" t="str">
            <v>SI</v>
          </cell>
          <cell r="E147" t="str">
            <v>D</v>
          </cell>
        </row>
        <row r="148">
          <cell r="A148" t="str">
            <v>VPPI</v>
          </cell>
          <cell r="B148">
            <v>1.5</v>
          </cell>
          <cell r="C148" t="str">
            <v>VIA PUBLICA LA PIRAMIDE</v>
          </cell>
          <cell r="D148" t="str">
            <v>SI</v>
          </cell>
          <cell r="E148" t="str">
            <v>D</v>
          </cell>
        </row>
        <row r="149">
          <cell r="A149" t="str">
            <v>VPPN</v>
          </cell>
          <cell r="B149">
            <v>3</v>
          </cell>
          <cell r="C149" t="str">
            <v>MALL PLAZA NORTE</v>
          </cell>
          <cell r="D149" t="str">
            <v>NO</v>
          </cell>
          <cell r="E149" t="str">
            <v>C</v>
          </cell>
        </row>
        <row r="150">
          <cell r="A150" t="str">
            <v>VPRI</v>
          </cell>
          <cell r="B150">
            <v>3</v>
          </cell>
          <cell r="C150" t="str">
            <v>ROTONDA PUEBLO DEL INGLES</v>
          </cell>
          <cell r="D150" t="str">
            <v>SI</v>
          </cell>
          <cell r="E150" t="str">
            <v>C</v>
          </cell>
        </row>
        <row r="151">
          <cell r="A151" t="str">
            <v>VPRZ</v>
          </cell>
          <cell r="B151">
            <v>3</v>
          </cell>
          <cell r="C151" t="str">
            <v>ROTONDA PEREZ ZUKOVICH</v>
          </cell>
          <cell r="D151" t="str">
            <v>SI</v>
          </cell>
          <cell r="E151" t="str">
            <v>C</v>
          </cell>
        </row>
      </sheetData>
      <sheetData sheetId="2">
        <row r="3">
          <cell r="B3" t="str">
            <v>Cotizacíon</v>
          </cell>
          <cell r="C3" t="str">
            <v>COT</v>
          </cell>
          <cell r="E3" t="str">
            <v>Envío a Comprador</v>
          </cell>
          <cell r="I3" t="str">
            <v>Contrato</v>
          </cell>
          <cell r="K3" t="str">
            <v>Mall</v>
          </cell>
        </row>
        <row r="4">
          <cell r="B4" t="str">
            <v xml:space="preserve">OP Nueva  </v>
          </cell>
          <cell r="E4" t="str">
            <v>Envío a Agencia</v>
          </cell>
          <cell r="I4" t="str">
            <v>Orden de Compra</v>
          </cell>
          <cell r="K4" t="str">
            <v>Supermercado</v>
          </cell>
        </row>
        <row r="5">
          <cell r="B5" t="str">
            <v>Anula y Reemplaza</v>
          </cell>
          <cell r="C5" t="str">
            <v>REV</v>
          </cell>
          <cell r="E5" t="str">
            <v>Sin Facturación</v>
          </cell>
          <cell r="I5" t="str">
            <v>Correo</v>
          </cell>
          <cell r="K5" t="str">
            <v>Aeropuerto</v>
          </cell>
        </row>
        <row r="6">
          <cell r="B6" t="str">
            <v>Anula</v>
          </cell>
          <cell r="C6" t="str">
            <v>Anula</v>
          </cell>
          <cell r="E6" t="str">
            <v>Envío Especial</v>
          </cell>
          <cell r="K6" t="str">
            <v>Vía Pública General</v>
          </cell>
        </row>
        <row r="7">
          <cell r="B7" t="str">
            <v>Renovación con OP Nueva</v>
          </cell>
          <cell r="C7" t="str">
            <v>REN</v>
          </cell>
          <cell r="K7" t="str">
            <v>Vía Pública Mobiliario</v>
          </cell>
        </row>
        <row r="8">
          <cell r="B8" t="str">
            <v>Renovación sin Cambios</v>
          </cell>
          <cell r="C8" t="str">
            <v>REV</v>
          </cell>
          <cell r="K8" t="str">
            <v>Vía Pública Pasarelas</v>
          </cell>
        </row>
        <row r="9">
          <cell r="B9" t="str">
            <v>Termino anticipado</v>
          </cell>
          <cell r="C9" t="str">
            <v>MOD</v>
          </cell>
          <cell r="K9" t="str">
            <v>Tienda Hogar</v>
          </cell>
        </row>
        <row r="10">
          <cell r="B10" t="str">
            <v>Cambio de Ubicación</v>
          </cell>
          <cell r="C10" t="str">
            <v>AJ</v>
          </cell>
          <cell r="E10" t="str">
            <v>Si</v>
          </cell>
          <cell r="I10" t="str">
            <v>Si 15%</v>
          </cell>
          <cell r="K10" t="str">
            <v>Farmacia</v>
          </cell>
        </row>
        <row r="11">
          <cell r="B11" t="str">
            <v>Cambios de Gráficas</v>
          </cell>
          <cell r="C11" t="str">
            <v>CG</v>
          </cell>
          <cell r="E11" t="str">
            <v>No</v>
          </cell>
          <cell r="I11" t="str">
            <v>Si 7%</v>
          </cell>
        </row>
        <row r="12">
          <cell r="B12" t="str">
            <v>Modificación</v>
          </cell>
          <cell r="C12" t="str">
            <v>MOD</v>
          </cell>
          <cell r="I12" t="str">
            <v>No</v>
          </cell>
        </row>
        <row r="13">
          <cell r="I13" t="str">
            <v>Otro</v>
          </cell>
          <cell r="K13" t="str">
            <v>AEROPUERTO</v>
          </cell>
          <cell r="L13" t="str">
            <v>Terminales-AP</v>
          </cell>
        </row>
        <row r="14">
          <cell r="E14" t="str">
            <v>Mes</v>
          </cell>
          <cell r="K14" t="str">
            <v>ESPECIAL MALL</v>
          </cell>
          <cell r="L14" t="str">
            <v>EspeMall</v>
          </cell>
        </row>
        <row r="15">
          <cell r="E15" t="str">
            <v>Día</v>
          </cell>
          <cell r="K15" t="str">
            <v>ESPECIAL SUPERMERCADO</v>
          </cell>
          <cell r="L15" t="str">
            <v>EspeSuper</v>
          </cell>
        </row>
        <row r="16">
          <cell r="K16" t="str">
            <v>FARMACIA</v>
          </cell>
          <cell r="L16" t="str">
            <v>Farmacia</v>
          </cell>
        </row>
        <row r="17">
          <cell r="K17" t="str">
            <v>MALL</v>
          </cell>
          <cell r="L17" t="str">
            <v>Mall</v>
          </cell>
        </row>
        <row r="18">
          <cell r="K18" t="str">
            <v>PASARELA</v>
          </cell>
          <cell r="L18" t="str">
            <v>Pasarel</v>
          </cell>
        </row>
        <row r="19">
          <cell r="K19" t="str">
            <v>SUPERMERCADO</v>
          </cell>
          <cell r="L19" t="str">
            <v>SuperM</v>
          </cell>
        </row>
        <row r="20">
          <cell r="K20" t="str">
            <v>TERMINAL</v>
          </cell>
          <cell r="L20" t="str">
            <v>Terminales-AP</v>
          </cell>
        </row>
        <row r="21">
          <cell r="K21" t="str">
            <v>TIENDA HOGAR</v>
          </cell>
          <cell r="L21" t="str">
            <v>TiendaHogar</v>
          </cell>
        </row>
        <row r="22">
          <cell r="C22">
            <v>2</v>
          </cell>
          <cell r="D22" t="str">
            <v>PA</v>
          </cell>
          <cell r="E22" t="str">
            <v>Patricio Araneda</v>
          </cell>
          <cell r="F22">
            <v>0</v>
          </cell>
          <cell r="K22" t="str">
            <v>MOBILIARIO</v>
          </cell>
          <cell r="L22" t="str">
            <v>Mobiliario</v>
          </cell>
        </row>
        <row r="23">
          <cell r="C23">
            <v>5</v>
          </cell>
          <cell r="D23" t="str">
            <v>AP</v>
          </cell>
          <cell r="E23" t="str">
            <v>Anita Pinedo</v>
          </cell>
          <cell r="F23">
            <v>100</v>
          </cell>
          <cell r="K23" t="str">
            <v>VIA PUBLICA</v>
          </cell>
          <cell r="L23" t="str">
            <v>ViaPublica</v>
          </cell>
        </row>
        <row r="24">
          <cell r="C24">
            <v>6</v>
          </cell>
          <cell r="D24" t="str">
            <v>MB</v>
          </cell>
          <cell r="E24" t="str">
            <v>Monica Briones</v>
          </cell>
          <cell r="F24">
            <v>100</v>
          </cell>
        </row>
        <row r="25">
          <cell r="C25">
            <v>9</v>
          </cell>
          <cell r="D25" t="str">
            <v>CS</v>
          </cell>
          <cell r="E25" t="str">
            <v>Claudia Soto</v>
          </cell>
          <cell r="F25">
            <v>100</v>
          </cell>
        </row>
        <row r="26">
          <cell r="C26">
            <v>10</v>
          </cell>
          <cell r="D26" t="str">
            <v>DC</v>
          </cell>
          <cell r="E26" t="str">
            <v>Diego Copello</v>
          </cell>
          <cell r="F26">
            <v>100</v>
          </cell>
        </row>
        <row r="27">
          <cell r="C27">
            <v>19</v>
          </cell>
          <cell r="D27" t="str">
            <v>CU</v>
          </cell>
          <cell r="E27" t="str">
            <v>Cesar Umaday</v>
          </cell>
          <cell r="F27">
            <v>0</v>
          </cell>
          <cell r="K27" t="str">
            <v>016</v>
          </cell>
          <cell r="L27" t="str">
            <v>76</v>
          </cell>
        </row>
        <row r="28">
          <cell r="C28">
            <v>20</v>
          </cell>
          <cell r="D28" t="str">
            <v>LP</v>
          </cell>
          <cell r="E28" t="str">
            <v>Leo Paris</v>
          </cell>
          <cell r="F28">
            <v>0</v>
          </cell>
          <cell r="K28" t="str">
            <v>ALCO PUBLICIDAD</v>
          </cell>
          <cell r="L28" t="str">
            <v>41</v>
          </cell>
        </row>
        <row r="29">
          <cell r="C29">
            <v>21</v>
          </cell>
          <cell r="D29" t="str">
            <v>FM</v>
          </cell>
          <cell r="E29" t="str">
            <v>Felipe Mira</v>
          </cell>
          <cell r="F29">
            <v>100</v>
          </cell>
          <cell r="K29" t="str">
            <v>ALVAREZ Y QUINTINO</v>
          </cell>
          <cell r="L29" t="str">
            <v>01</v>
          </cell>
        </row>
        <row r="30">
          <cell r="C30">
            <v>22</v>
          </cell>
          <cell r="D30" t="str">
            <v>CC</v>
          </cell>
          <cell r="E30" t="str">
            <v>Catalina Correa</v>
          </cell>
          <cell r="F30">
            <v>0</v>
          </cell>
          <cell r="K30" t="str">
            <v>BRAVO Y BRAVO</v>
          </cell>
          <cell r="L30" t="str">
            <v>02</v>
          </cell>
        </row>
        <row r="31">
          <cell r="C31">
            <v>39</v>
          </cell>
          <cell r="D31" t="str">
            <v>NH</v>
          </cell>
          <cell r="E31" t="str">
            <v>Nicolas Holman</v>
          </cell>
          <cell r="F31">
            <v>0</v>
          </cell>
          <cell r="K31" t="str">
            <v>CABEZA</v>
          </cell>
          <cell r="L31" t="str">
            <v>38</v>
          </cell>
        </row>
        <row r="32">
          <cell r="C32">
            <v>99</v>
          </cell>
          <cell r="D32" t="str">
            <v>OF</v>
          </cell>
          <cell r="E32" t="str">
            <v>Oficina</v>
          </cell>
          <cell r="F32">
            <v>0</v>
          </cell>
          <cell r="K32" t="str">
            <v>DE RAMON</v>
          </cell>
          <cell r="L32" t="str">
            <v>03</v>
          </cell>
        </row>
        <row r="33">
          <cell r="K33" t="str">
            <v>DIRECTO</v>
          </cell>
          <cell r="L33" t="str">
            <v>CD</v>
          </cell>
        </row>
        <row r="34">
          <cell r="K34" t="str">
            <v>DOCE PUBLICIDAD</v>
          </cell>
          <cell r="L34" t="str">
            <v>04</v>
          </cell>
        </row>
        <row r="35">
          <cell r="K35" t="str">
            <v>ENLACE MARKETING</v>
          </cell>
          <cell r="L35" t="str">
            <v>05</v>
          </cell>
        </row>
        <row r="36">
          <cell r="D36" t="str">
            <v>Cajas de luz</v>
          </cell>
          <cell r="E36" t="str">
            <v>CL</v>
          </cell>
          <cell r="F36">
            <v>1</v>
          </cell>
          <cell r="K36" t="str">
            <v>GRUPO LINK</v>
          </cell>
          <cell r="L36" t="str">
            <v>06</v>
          </cell>
        </row>
        <row r="37">
          <cell r="D37" t="str">
            <v>Especiales Permanentes</v>
          </cell>
          <cell r="E37" t="str">
            <v>PE</v>
          </cell>
          <cell r="F37">
            <v>2</v>
          </cell>
          <cell r="K37" t="str">
            <v>GUBBINS</v>
          </cell>
          <cell r="L37" t="str">
            <v>07</v>
          </cell>
        </row>
        <row r="38">
          <cell r="D38" t="str">
            <v>Minipoles</v>
          </cell>
          <cell r="E38" t="str">
            <v>MI</v>
          </cell>
          <cell r="F38">
            <v>3</v>
          </cell>
          <cell r="K38" t="str">
            <v>IDB - FCB</v>
          </cell>
          <cell r="L38" t="str">
            <v>39</v>
          </cell>
        </row>
        <row r="39">
          <cell r="D39" t="str">
            <v>Monumentales</v>
          </cell>
          <cell r="E39" t="str">
            <v>MO</v>
          </cell>
          <cell r="F39">
            <v>4</v>
          </cell>
          <cell r="K39" t="str">
            <v>IMS</v>
          </cell>
          <cell r="L39" t="str">
            <v>08</v>
          </cell>
        </row>
        <row r="40">
          <cell r="D40" t="str">
            <v>Paletas</v>
          </cell>
          <cell r="E40" t="str">
            <v>PL</v>
          </cell>
          <cell r="F40">
            <v>5</v>
          </cell>
          <cell r="K40" t="str">
            <v>INITIATIVE</v>
          </cell>
          <cell r="L40" t="str">
            <v>10</v>
          </cell>
        </row>
        <row r="41">
          <cell r="D41" t="str">
            <v>Pasarelas</v>
          </cell>
          <cell r="E41" t="str">
            <v>PS</v>
          </cell>
          <cell r="F41">
            <v>6</v>
          </cell>
          <cell r="K41" t="str">
            <v>LECHE</v>
          </cell>
          <cell r="L41" t="str">
            <v>11</v>
          </cell>
        </row>
        <row r="42">
          <cell r="D42" t="str">
            <v>Pantallas Digitales</v>
          </cell>
          <cell r="E42" t="str">
            <v>PD</v>
          </cell>
          <cell r="F42">
            <v>7</v>
          </cell>
          <cell r="K42" t="str">
            <v xml:space="preserve">MACKENNA </v>
          </cell>
          <cell r="L42" t="str">
            <v>12</v>
          </cell>
        </row>
        <row r="43">
          <cell r="D43" t="str">
            <v>Productos Especiales</v>
          </cell>
          <cell r="E43" t="str">
            <v>PE</v>
          </cell>
          <cell r="F43">
            <v>8</v>
          </cell>
          <cell r="K43" t="str">
            <v>MC CANN</v>
          </cell>
          <cell r="L43" t="str">
            <v>14</v>
          </cell>
        </row>
        <row r="44">
          <cell r="D44" t="str">
            <v>Supersite</v>
          </cell>
          <cell r="E44" t="str">
            <v>SS</v>
          </cell>
          <cell r="F44">
            <v>9</v>
          </cell>
          <cell r="K44" t="str">
            <v>MC LUHAN</v>
          </cell>
          <cell r="L44" t="str">
            <v>13</v>
          </cell>
        </row>
        <row r="45">
          <cell r="D45" t="str">
            <v>Totem</v>
          </cell>
          <cell r="E45" t="str">
            <v>TO</v>
          </cell>
          <cell r="F45">
            <v>10</v>
          </cell>
          <cell r="K45" t="str">
            <v>MEDIA PLANNING</v>
          </cell>
          <cell r="L45" t="str">
            <v>16</v>
          </cell>
        </row>
        <row r="46">
          <cell r="D46" t="str">
            <v>Unipoles</v>
          </cell>
          <cell r="E46" t="str">
            <v>UN</v>
          </cell>
          <cell r="F46">
            <v>11</v>
          </cell>
          <cell r="K46" t="str">
            <v>MEDIA WISE</v>
          </cell>
          <cell r="L46" t="str">
            <v>17</v>
          </cell>
        </row>
        <row r="47">
          <cell r="D47" t="str">
            <v>Vallas</v>
          </cell>
          <cell r="E47" t="str">
            <v>VA</v>
          </cell>
          <cell r="F47">
            <v>12</v>
          </cell>
          <cell r="K47" t="str">
            <v>MEDIACOM</v>
          </cell>
          <cell r="L47" t="str">
            <v>18</v>
          </cell>
        </row>
        <row r="48">
          <cell r="K48" t="str">
            <v>MINDSHARE</v>
          </cell>
          <cell r="L48" t="str">
            <v>19</v>
          </cell>
        </row>
        <row r="49">
          <cell r="K49" t="str">
            <v xml:space="preserve">MIRA </v>
          </cell>
          <cell r="L49" t="str">
            <v>20</v>
          </cell>
        </row>
        <row r="50">
          <cell r="K50" t="str">
            <v>MURRAY Y ASOCIADOS</v>
          </cell>
          <cell r="L50" t="str">
            <v>21</v>
          </cell>
        </row>
        <row r="51">
          <cell r="D51" t="str">
            <v>02 - Patricio Araneda</v>
          </cell>
          <cell r="K51" t="str">
            <v>OJO PUBLICIDAD</v>
          </cell>
          <cell r="L51" t="str">
            <v>22</v>
          </cell>
        </row>
        <row r="52">
          <cell r="D52" t="str">
            <v>05 - Anita Pinedo</v>
          </cell>
          <cell r="K52" t="str">
            <v>OMD</v>
          </cell>
          <cell r="L52" t="str">
            <v>23</v>
          </cell>
        </row>
        <row r="53">
          <cell r="D53" t="str">
            <v>06 - Monica Briones</v>
          </cell>
          <cell r="K53" t="str">
            <v>OPTIMEDIA</v>
          </cell>
          <cell r="L53" t="str">
            <v>24</v>
          </cell>
        </row>
        <row r="54">
          <cell r="D54" t="str">
            <v>10 - Diego Copello</v>
          </cell>
          <cell r="K54" t="str">
            <v>PARTNERS</v>
          </cell>
          <cell r="L54" t="str">
            <v>25</v>
          </cell>
        </row>
        <row r="55">
          <cell r="D55" t="str">
            <v>19 - Cesar Umaday</v>
          </cell>
          <cell r="K55" t="str">
            <v>POSTER PUBLICITY</v>
          </cell>
          <cell r="L55" t="str">
            <v>27</v>
          </cell>
        </row>
        <row r="56">
          <cell r="D56" t="str">
            <v>20 - Leo Paris</v>
          </cell>
          <cell r="K56" t="str">
            <v>PROMARCA</v>
          </cell>
          <cell r="L56" t="str">
            <v>29</v>
          </cell>
        </row>
        <row r="57">
          <cell r="D57" t="str">
            <v>21 - Felipe Mira</v>
          </cell>
          <cell r="K57" t="str">
            <v>PROMOPLAN</v>
          </cell>
          <cell r="L57" t="str">
            <v>30</v>
          </cell>
        </row>
        <row r="58">
          <cell r="D58" t="str">
            <v>22 - Catalina Correa</v>
          </cell>
          <cell r="K58" t="str">
            <v>PUBLISHOP</v>
          </cell>
          <cell r="L58" t="str">
            <v>31</v>
          </cell>
        </row>
        <row r="59">
          <cell r="D59" t="str">
            <v>39 - Nicolas Holman</v>
          </cell>
          <cell r="K59" t="str">
            <v>S&amp;K PUBLICIDAD</v>
          </cell>
          <cell r="L59" t="str">
            <v>32</v>
          </cell>
        </row>
        <row r="60">
          <cell r="D60" t="str">
            <v>99 - Alicia Aguila</v>
          </cell>
          <cell r="K60" t="str">
            <v>STARCOM</v>
          </cell>
          <cell r="L60" t="str">
            <v>33</v>
          </cell>
        </row>
        <row r="61">
          <cell r="D61" t="str">
            <v>99 - Rodrigo Pavez</v>
          </cell>
          <cell r="K61" t="str">
            <v>THE MEDIA EDGE</v>
          </cell>
          <cell r="L61" t="str">
            <v>34</v>
          </cell>
        </row>
        <row r="62">
          <cell r="D62" t="str">
            <v>99 - Dominique Camino</v>
          </cell>
          <cell r="K62" t="str">
            <v>THE WHITEBOX</v>
          </cell>
          <cell r="L62" t="str">
            <v>42</v>
          </cell>
        </row>
        <row r="63">
          <cell r="D63" t="str">
            <v>99 - Julian Lopez</v>
          </cell>
          <cell r="K63" t="str">
            <v>TOTAL MEDIA</v>
          </cell>
          <cell r="L63" t="str">
            <v>35</v>
          </cell>
        </row>
        <row r="64">
          <cell r="D64" t="str">
            <v>99 - Oficina</v>
          </cell>
          <cell r="K64" t="str">
            <v>UVA TRADE</v>
          </cell>
          <cell r="L64" t="str">
            <v>36</v>
          </cell>
        </row>
        <row r="65">
          <cell r="K65" t="str">
            <v>VERITAS</v>
          </cell>
          <cell r="L65" t="str">
            <v>37</v>
          </cell>
        </row>
        <row r="66">
          <cell r="K66" t="str">
            <v>ZETA3</v>
          </cell>
          <cell r="L66" t="str">
            <v>40</v>
          </cell>
        </row>
      </sheetData>
      <sheetData sheetId="3">
        <row r="2">
          <cell r="A2" t="str">
            <v>ALC 0001A</v>
          </cell>
        </row>
      </sheetData>
      <sheetData sheetId="4">
        <row r="2">
          <cell r="A2" t="str">
            <v>ALC 0001A</v>
          </cell>
        </row>
      </sheetData>
      <sheetData sheetId="5">
        <row r="2">
          <cell r="A2" t="str">
            <v>ALC 0001A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>
        <row r="2">
          <cell r="A2" t="str">
            <v>ALC</v>
          </cell>
        </row>
      </sheetData>
      <sheetData sheetId="17">
        <row r="2">
          <cell r="A2" t="str">
            <v>ALC 0001A</v>
          </cell>
        </row>
      </sheetData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 Preferencial"/>
      <sheetName val="2DA QUINCENA"/>
      <sheetName val="Rating TVN"/>
      <sheetName val="COL"/>
      <sheetName val="Pautas 24 horas"/>
      <sheetName val="rating 24 horas"/>
      <sheetName val="bases"/>
      <sheetName val="Hoja1"/>
      <sheetName val="Cuantificador_RM"/>
      <sheetName val="Cuantificador_TP"/>
      <sheetName val="Tarifa_PLUS"/>
      <sheetName val="Tarifa_Preferencial"/>
      <sheetName val="Pauta_Preferencial"/>
      <sheetName val="2DA_QUINCENA"/>
      <sheetName val="Rating_TVN"/>
      <sheetName val="Pautas_24_horas"/>
      <sheetName val="rating_24_horas"/>
      <sheetName val="Cuantificador_RM2"/>
      <sheetName val="Cuantificador_TP2"/>
      <sheetName val="Tarifa_PLUS2"/>
      <sheetName val="Tarifa_Preferencial2"/>
      <sheetName val="Pauta_Preferencial2"/>
      <sheetName val="2DA_QUINCENA2"/>
      <sheetName val="Rating_TVN2"/>
      <sheetName val="Pautas_24_horas2"/>
      <sheetName val="rating_24_horas2"/>
      <sheetName val="Cuantificador_RM1"/>
      <sheetName val="Cuantificador_TP1"/>
      <sheetName val="Tarifa_PLUS1"/>
      <sheetName val="Tarifa_Preferencial1"/>
      <sheetName val="Pauta_Preferencial1"/>
      <sheetName val="2DA_QUINCENA1"/>
      <sheetName val="Rating_TVN1"/>
      <sheetName val="Pautas_24_horas1"/>
      <sheetName val="rating_24_horas1"/>
      <sheetName val="Cuantificador_RM3"/>
      <sheetName val="Cuantificador_TP3"/>
      <sheetName val="Tarifa_PLUS3"/>
      <sheetName val="Tarifa_Preferencial3"/>
      <sheetName val="Pauta_Preferencial3"/>
      <sheetName val="2DA_QUINCENA3"/>
      <sheetName val="Rating_TVN3"/>
      <sheetName val="Pautas_24_horas3"/>
      <sheetName val="rating_24_horas3"/>
      <sheetName val="Tablas"/>
      <sheetName val="Salas 2"/>
      <sheetName val="Cuantificador_RM4"/>
      <sheetName val="Cuantificador_TP4"/>
      <sheetName val="Tarifa_PLUS4"/>
      <sheetName val="Tarifa_Preferencial4"/>
      <sheetName val="Pauta_Preferencial4"/>
      <sheetName val="2DA_QUINCENA4"/>
      <sheetName val="Rating_TVN4"/>
      <sheetName val="Pautas_24_horas4"/>
      <sheetName val="rating_24_horas4"/>
      <sheetName val="Salas_2"/>
      <sheetName val="Cuantificador_RM5"/>
      <sheetName val="Cuantificador_TP5"/>
      <sheetName val="Tarifa_PLUS5"/>
      <sheetName val="Tarifa_Preferencial5"/>
      <sheetName val="Pauta_Preferencial5"/>
      <sheetName val="2DA_QUINCENA5"/>
      <sheetName val="Rating_TVN5"/>
      <sheetName val="Pautas_24_horas5"/>
      <sheetName val="rating_24_horas5"/>
      <sheetName val="Salas_21"/>
      <sheetName val="Cuantificador_RM6"/>
      <sheetName val="Cuantificador_TP6"/>
      <sheetName val="Tarifa_PLUS6"/>
      <sheetName val="Tarifa_Preferencial6"/>
      <sheetName val="Pauta_Preferencial6"/>
      <sheetName val="2DA_QUINCENA6"/>
      <sheetName val="Rating_TVN6"/>
      <sheetName val="Pautas_24_horas6"/>
      <sheetName val="rating_24_horas6"/>
      <sheetName val="Salas_22"/>
      <sheetName val="Cuantificador_RM8"/>
      <sheetName val="Cuantificador_TP8"/>
      <sheetName val="Tarifa_PLUS8"/>
      <sheetName val="Tarifa_Preferencial8"/>
      <sheetName val="Pauta_Preferencial8"/>
      <sheetName val="2DA_QUINCENA8"/>
      <sheetName val="Rating_TVN8"/>
      <sheetName val="Pautas_24_horas8"/>
      <sheetName val="rating_24_horas8"/>
      <sheetName val="Salas_24"/>
      <sheetName val="Cuantificador_RM7"/>
      <sheetName val="Cuantificador_TP7"/>
      <sheetName val="Tarifa_PLUS7"/>
      <sheetName val="Tarifa_Preferencial7"/>
      <sheetName val="Pauta_Preferencial7"/>
      <sheetName val="2DA_QUINCENA7"/>
      <sheetName val="Rating_TVN7"/>
      <sheetName val="Pautas_24_horas7"/>
      <sheetName val="rating_24_horas7"/>
      <sheetName val="Salas_23"/>
      <sheetName val="Cuantificador_RM9"/>
      <sheetName val="Cuantificador_TP9"/>
      <sheetName val="Tarifa_PLUS9"/>
      <sheetName val="Tarifa_Preferencial9"/>
      <sheetName val="Pauta_Preferencial9"/>
      <sheetName val="2DA_QUINCENA9"/>
      <sheetName val="Rating_TVN9"/>
      <sheetName val="Pautas_24_horas9"/>
      <sheetName val="rating_24_horas9"/>
      <sheetName val="Salas_25"/>
      <sheetName val="Cuantificador_RM10"/>
      <sheetName val="Cuantificador_TP10"/>
      <sheetName val="Tarifa_PLUS10"/>
      <sheetName val="Tarifa_Preferencial10"/>
      <sheetName val="Pauta_Preferencial10"/>
      <sheetName val="2DA_QUINCENA10"/>
      <sheetName val="Rating_TVN10"/>
      <sheetName val="Pautas_24_horas10"/>
      <sheetName val="rating_24_horas10"/>
      <sheetName val="Salas_26"/>
    </sheetNames>
    <sheetDataSet>
      <sheetData sheetId="0">
        <row r="4">
          <cell r="C4" t="str">
            <v>Zona</v>
          </cell>
        </row>
      </sheetData>
      <sheetData sheetId="1"/>
      <sheetData sheetId="2">
        <row r="4">
          <cell r="C4" t="str">
            <v>Zona</v>
          </cell>
        </row>
      </sheetData>
      <sheetData sheetId="3"/>
      <sheetData sheetId="4"/>
      <sheetData sheetId="5">
        <row r="7">
          <cell r="A7" t="str">
            <v>Valor por segundaje</v>
          </cell>
        </row>
      </sheetData>
      <sheetData sheetId="6">
        <row r="7">
          <cell r="F7">
            <v>30</v>
          </cell>
        </row>
      </sheetData>
      <sheetData sheetId="7"/>
      <sheetData sheetId="8">
        <row r="3">
          <cell r="H3" t="str">
            <v>24 HORAS A LA HORAD</v>
          </cell>
        </row>
      </sheetData>
      <sheetData sheetId="9">
        <row r="5">
          <cell r="C5">
            <v>5</v>
          </cell>
        </row>
      </sheetData>
      <sheetData sheetId="10">
        <row r="8">
          <cell r="R8">
            <v>0</v>
          </cell>
        </row>
      </sheetData>
      <sheetData sheetId="11"/>
      <sheetData sheetId="12">
        <row r="9">
          <cell r="E9" t="str">
            <v>HM 25-64 ABC</v>
          </cell>
          <cell r="F9">
            <v>3</v>
          </cell>
          <cell r="G9">
            <v>0.20895933838731906</v>
          </cell>
        </row>
        <row r="10">
          <cell r="E10" t="str">
            <v>HM 25-64 ABC1C2</v>
          </cell>
          <cell r="F10">
            <v>5</v>
          </cell>
          <cell r="G10">
            <v>0.25323257766582702</v>
          </cell>
        </row>
        <row r="11">
          <cell r="E11" t="str">
            <v>HM 25-99 ABCD</v>
          </cell>
          <cell r="F11">
            <v>7</v>
          </cell>
          <cell r="G11">
            <v>0.24177480117203845</v>
          </cell>
        </row>
        <row r="12">
          <cell r="E12" t="str">
            <v>HM 25-49 ABC1C2</v>
          </cell>
          <cell r="F12">
            <v>9</v>
          </cell>
          <cell r="G12">
            <v>0.22108575924468926</v>
          </cell>
        </row>
        <row r="13">
          <cell r="E13" t="str">
            <v>HM 13-64 ABC</v>
          </cell>
          <cell r="F13">
            <v>11</v>
          </cell>
          <cell r="G13">
            <v>0.22913769123783026</v>
          </cell>
        </row>
        <row r="14">
          <cell r="E14" t="str">
            <v>HM 18-49 ABC</v>
          </cell>
          <cell r="F14">
            <v>13</v>
          </cell>
          <cell r="G14">
            <v>0.21981642739468107</v>
          </cell>
        </row>
        <row r="15">
          <cell r="E15" t="str">
            <v>HM 18-64 ABC</v>
          </cell>
          <cell r="F15">
            <v>15</v>
          </cell>
          <cell r="G15">
            <v>0.2246756386493674</v>
          </cell>
        </row>
        <row r="16">
          <cell r="E16" t="str">
            <v>M 25-49 ABC</v>
          </cell>
          <cell r="F16">
            <v>17</v>
          </cell>
          <cell r="G16">
            <v>0.15109121432568554</v>
          </cell>
        </row>
        <row r="17">
          <cell r="E17" t="str">
            <v>M 25-64 ABC</v>
          </cell>
          <cell r="F17">
            <v>19</v>
          </cell>
          <cell r="G17">
            <v>0.17087378640776701</v>
          </cell>
        </row>
        <row r="18">
          <cell r="E18" t="str">
            <v>M 25-64 ABCD</v>
          </cell>
          <cell r="F18">
            <v>21</v>
          </cell>
          <cell r="G18">
            <v>0.23267216402941829</v>
          </cell>
        </row>
        <row r="19">
          <cell r="E19" t="str">
            <v>M 25-34 ABC</v>
          </cell>
          <cell r="F19">
            <v>23</v>
          </cell>
          <cell r="G19">
            <v>0.34589595375722543</v>
          </cell>
        </row>
        <row r="20">
          <cell r="E20" t="str">
            <v>M 25-99 C3D</v>
          </cell>
          <cell r="F20">
            <v>25</v>
          </cell>
          <cell r="G20">
            <v>0.25355696934644306</v>
          </cell>
        </row>
        <row r="21">
          <cell r="E21" t="str">
            <v>M 18-64 C2C3D</v>
          </cell>
          <cell r="F21">
            <v>27</v>
          </cell>
          <cell r="G21">
            <v>0.25326864567058638</v>
          </cell>
        </row>
        <row r="22">
          <cell r="E22" t="str">
            <v>H 25-64 ABC</v>
          </cell>
          <cell r="F22">
            <v>29</v>
          </cell>
          <cell r="G22">
            <v>0.25512325512325512</v>
          </cell>
        </row>
        <row r="23">
          <cell r="E23" t="str">
            <v>H 25-64 ABCD</v>
          </cell>
          <cell r="F23">
            <v>31</v>
          </cell>
          <cell r="G23">
            <v>0.26961538461538465</v>
          </cell>
        </row>
        <row r="24">
          <cell r="E24" t="str">
            <v>H 25-64 ABC1C2</v>
          </cell>
          <cell r="F24">
            <v>33</v>
          </cell>
          <cell r="G24">
            <v>0.30662290017377869</v>
          </cell>
        </row>
        <row r="25">
          <cell r="E25" t="str">
            <v>H 18-49 ABC</v>
          </cell>
          <cell r="F25">
            <v>35</v>
          </cell>
          <cell r="G25">
            <v>0.23444544634806128</v>
          </cell>
        </row>
        <row r="26">
          <cell r="E26" t="str">
            <v>H 25-64 C2C3D</v>
          </cell>
          <cell r="F26">
            <v>37</v>
          </cell>
          <cell r="G26">
            <v>0.26961538461538465</v>
          </cell>
        </row>
        <row r="27">
          <cell r="E27" t="str">
            <v>DDC ABC</v>
          </cell>
          <cell r="F27">
            <v>39</v>
          </cell>
          <cell r="G27">
            <v>0.1610562626382776</v>
          </cell>
        </row>
        <row r="28">
          <cell r="E28" t="str">
            <v>DDC ABCD</v>
          </cell>
          <cell r="F28">
            <v>41</v>
          </cell>
          <cell r="G28">
            <v>0</v>
          </cell>
        </row>
        <row r="29">
          <cell r="E29" t="str">
            <v>-</v>
          </cell>
        </row>
      </sheetData>
      <sheetData sheetId="13">
        <row r="5">
          <cell r="B5" t="str">
            <v>Programas</v>
          </cell>
        </row>
        <row r="11">
          <cell r="B11">
            <v>10</v>
          </cell>
          <cell r="C11">
            <v>2</v>
          </cell>
        </row>
        <row r="12">
          <cell r="B12">
            <v>15</v>
          </cell>
          <cell r="C12">
            <v>3</v>
          </cell>
        </row>
        <row r="13">
          <cell r="B13">
            <v>20</v>
          </cell>
          <cell r="C13">
            <v>4</v>
          </cell>
        </row>
        <row r="14">
          <cell r="B14">
            <v>25</v>
          </cell>
          <cell r="C14">
            <v>5</v>
          </cell>
        </row>
        <row r="15">
          <cell r="B15">
            <v>30</v>
          </cell>
          <cell r="C15">
            <v>6</v>
          </cell>
        </row>
        <row r="16">
          <cell r="B16">
            <v>35</v>
          </cell>
          <cell r="C16">
            <v>7</v>
          </cell>
        </row>
        <row r="17">
          <cell r="B17">
            <v>40</v>
          </cell>
          <cell r="C17">
            <v>8</v>
          </cell>
        </row>
        <row r="18">
          <cell r="B18">
            <v>45</v>
          </cell>
          <cell r="C18">
            <v>9</v>
          </cell>
        </row>
        <row r="19">
          <cell r="B19">
            <v>50</v>
          </cell>
          <cell r="C19">
            <v>10</v>
          </cell>
        </row>
        <row r="20">
          <cell r="B20">
            <v>55</v>
          </cell>
          <cell r="C20">
            <v>11</v>
          </cell>
        </row>
        <row r="21">
          <cell r="B21">
            <v>60</v>
          </cell>
          <cell r="C21">
            <v>12</v>
          </cell>
        </row>
      </sheetData>
      <sheetData sheetId="14"/>
      <sheetData sheetId="15"/>
      <sheetData sheetId="16"/>
      <sheetData sheetId="17">
        <row r="7">
          <cell r="A7" t="str">
            <v>Valor por segundaje</v>
          </cell>
        </row>
      </sheetData>
      <sheetData sheetId="18">
        <row r="7">
          <cell r="F7">
            <v>30</v>
          </cell>
        </row>
      </sheetData>
      <sheetData sheetId="19"/>
      <sheetData sheetId="20">
        <row r="3">
          <cell r="H3" t="str">
            <v>24 HORAS A LA HORAD</v>
          </cell>
        </row>
      </sheetData>
      <sheetData sheetId="21">
        <row r="8">
          <cell r="R8">
            <v>0</v>
          </cell>
        </row>
      </sheetData>
      <sheetData sheetId="22"/>
      <sheetData sheetId="23"/>
      <sheetData sheetId="24"/>
      <sheetData sheetId="25"/>
      <sheetData sheetId="26">
        <row r="7">
          <cell r="A7" t="str">
            <v>Valor por segundaje</v>
          </cell>
        </row>
      </sheetData>
      <sheetData sheetId="27">
        <row r="7">
          <cell r="F7">
            <v>30</v>
          </cell>
        </row>
      </sheetData>
      <sheetData sheetId="28"/>
      <sheetData sheetId="29">
        <row r="3">
          <cell r="H3" t="str">
            <v>24 HORAS A LA HORAD</v>
          </cell>
        </row>
      </sheetData>
      <sheetData sheetId="30">
        <row r="8">
          <cell r="R8">
            <v>0</v>
          </cell>
        </row>
      </sheetData>
      <sheetData sheetId="31"/>
      <sheetData sheetId="32"/>
      <sheetData sheetId="33"/>
      <sheetData sheetId="34"/>
      <sheetData sheetId="35">
        <row r="7">
          <cell r="A7" t="str">
            <v>Valor por segundaje</v>
          </cell>
        </row>
      </sheetData>
      <sheetData sheetId="36">
        <row r="7">
          <cell r="F7">
            <v>30</v>
          </cell>
        </row>
      </sheetData>
      <sheetData sheetId="37"/>
      <sheetData sheetId="38">
        <row r="3">
          <cell r="H3" t="str">
            <v>24 HORAS A LA HORAD</v>
          </cell>
        </row>
      </sheetData>
      <sheetData sheetId="39">
        <row r="8">
          <cell r="R8">
            <v>0</v>
          </cell>
        </row>
      </sheetData>
      <sheetData sheetId="40"/>
      <sheetData sheetId="41"/>
      <sheetData sheetId="42"/>
      <sheetData sheetId="43"/>
      <sheetData sheetId="44">
        <row r="7">
          <cell r="A7" t="str">
            <v>Valor por segundaje</v>
          </cell>
        </row>
      </sheetData>
      <sheetData sheetId="45">
        <row r="7">
          <cell r="F7">
            <v>30</v>
          </cell>
        </row>
      </sheetData>
      <sheetData sheetId="46"/>
      <sheetData sheetId="47">
        <row r="3">
          <cell r="H3" t="str">
            <v>24 HORAS A LA HORAD</v>
          </cell>
        </row>
      </sheetData>
      <sheetData sheetId="48">
        <row r="8">
          <cell r="R8">
            <v>0</v>
          </cell>
        </row>
      </sheetData>
      <sheetData sheetId="49"/>
      <sheetData sheetId="50" refreshError="1"/>
      <sheetData sheetId="51" refreshError="1"/>
      <sheetData sheetId="52"/>
      <sheetData sheetId="53"/>
      <sheetData sheetId="54"/>
      <sheetData sheetId="55">
        <row r="7">
          <cell r="A7" t="str">
            <v>Valor por segundaje</v>
          </cell>
        </row>
      </sheetData>
      <sheetData sheetId="56">
        <row r="7">
          <cell r="F7">
            <v>30</v>
          </cell>
        </row>
      </sheetData>
      <sheetData sheetId="57"/>
      <sheetData sheetId="58">
        <row r="3">
          <cell r="H3" t="str">
            <v>24 HORAS A LA HORAD</v>
          </cell>
        </row>
      </sheetData>
      <sheetData sheetId="59">
        <row r="8">
          <cell r="R8">
            <v>0</v>
          </cell>
        </row>
      </sheetData>
      <sheetData sheetId="60"/>
      <sheetData sheetId="61"/>
      <sheetData sheetId="62"/>
      <sheetData sheetId="63"/>
      <sheetData sheetId="64"/>
      <sheetData sheetId="65">
        <row r="7">
          <cell r="A7" t="str">
            <v>Valor por segundaje</v>
          </cell>
        </row>
      </sheetData>
      <sheetData sheetId="66">
        <row r="7">
          <cell r="F7">
            <v>30</v>
          </cell>
        </row>
      </sheetData>
      <sheetData sheetId="67"/>
      <sheetData sheetId="68">
        <row r="3">
          <cell r="H3" t="str">
            <v>24 HORAS A LA HORAD</v>
          </cell>
        </row>
      </sheetData>
      <sheetData sheetId="69">
        <row r="8">
          <cell r="R8">
            <v>0</v>
          </cell>
        </row>
      </sheetData>
      <sheetData sheetId="70"/>
      <sheetData sheetId="71"/>
      <sheetData sheetId="72"/>
      <sheetData sheetId="73"/>
      <sheetData sheetId="74"/>
      <sheetData sheetId="75">
        <row r="7">
          <cell r="A7" t="str">
            <v>Valor por segundaje</v>
          </cell>
        </row>
      </sheetData>
      <sheetData sheetId="76">
        <row r="7">
          <cell r="F7">
            <v>30</v>
          </cell>
        </row>
      </sheetData>
      <sheetData sheetId="77"/>
      <sheetData sheetId="78">
        <row r="3">
          <cell r="H3" t="str">
            <v>24 HORAS A LA HORAD</v>
          </cell>
        </row>
      </sheetData>
      <sheetData sheetId="79">
        <row r="8">
          <cell r="R8">
            <v>0</v>
          </cell>
        </row>
      </sheetData>
      <sheetData sheetId="80"/>
      <sheetData sheetId="81"/>
      <sheetData sheetId="82"/>
      <sheetData sheetId="83"/>
      <sheetData sheetId="84"/>
      <sheetData sheetId="85">
        <row r="7">
          <cell r="A7" t="str">
            <v>Valor por segundaje</v>
          </cell>
        </row>
      </sheetData>
      <sheetData sheetId="86">
        <row r="7">
          <cell r="F7">
            <v>30</v>
          </cell>
        </row>
      </sheetData>
      <sheetData sheetId="87"/>
      <sheetData sheetId="88">
        <row r="3">
          <cell r="H3" t="str">
            <v>24 HORAS A LA HORAD</v>
          </cell>
        </row>
      </sheetData>
      <sheetData sheetId="89">
        <row r="8">
          <cell r="R8">
            <v>0</v>
          </cell>
        </row>
      </sheetData>
      <sheetData sheetId="90"/>
      <sheetData sheetId="91"/>
      <sheetData sheetId="92"/>
      <sheetData sheetId="93"/>
      <sheetData sheetId="94"/>
      <sheetData sheetId="95">
        <row r="7">
          <cell r="A7" t="str">
            <v>Valor por segundaje</v>
          </cell>
        </row>
      </sheetData>
      <sheetData sheetId="96">
        <row r="7">
          <cell r="F7">
            <v>30</v>
          </cell>
        </row>
      </sheetData>
      <sheetData sheetId="97"/>
      <sheetData sheetId="98">
        <row r="3">
          <cell r="H3" t="str">
            <v>24 HORAS A LA HORAD</v>
          </cell>
        </row>
      </sheetData>
      <sheetData sheetId="99">
        <row r="8">
          <cell r="R8">
            <v>0</v>
          </cell>
        </row>
      </sheetData>
      <sheetData sheetId="100"/>
      <sheetData sheetId="101"/>
      <sheetData sheetId="102"/>
      <sheetData sheetId="103"/>
      <sheetData sheetId="104"/>
      <sheetData sheetId="105">
        <row r="7">
          <cell r="A7" t="str">
            <v>Valor por segundaje</v>
          </cell>
        </row>
      </sheetData>
      <sheetData sheetId="106">
        <row r="7">
          <cell r="F7">
            <v>30</v>
          </cell>
        </row>
      </sheetData>
      <sheetData sheetId="107"/>
      <sheetData sheetId="108">
        <row r="3">
          <cell r="H3" t="str">
            <v>24 HORAS A LA HORAD</v>
          </cell>
        </row>
      </sheetData>
      <sheetData sheetId="109">
        <row r="8">
          <cell r="R8">
            <v>0</v>
          </cell>
        </row>
      </sheetData>
      <sheetData sheetId="110"/>
      <sheetData sheetId="111"/>
      <sheetData sheetId="112"/>
      <sheetData sheetId="113"/>
      <sheetData sheetId="114"/>
      <sheetData sheetId="115">
        <row r="7">
          <cell r="A7" t="str">
            <v>Valor por segundaje</v>
          </cell>
        </row>
      </sheetData>
      <sheetData sheetId="116">
        <row r="7">
          <cell r="F7">
            <v>30</v>
          </cell>
        </row>
      </sheetData>
      <sheetData sheetId="117"/>
      <sheetData sheetId="118">
        <row r="3">
          <cell r="H3" t="str">
            <v>24 HORAS A LA HORAD</v>
          </cell>
        </row>
      </sheetData>
      <sheetData sheetId="119">
        <row r="8">
          <cell r="R8">
            <v>0</v>
          </cell>
        </row>
      </sheetData>
      <sheetData sheetId="120"/>
      <sheetData sheetId="12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Nov02"/>
      <sheetName val="datos universos"/>
      <sheetName val="rating"/>
      <sheetName val="ANEXOS"/>
      <sheetName val="Auspicios"/>
      <sheetName val="RED-N02"/>
      <sheetName val="RED-N02 (ELI)"/>
      <sheetName val="RED-N02 (DIA A DIA)"/>
      <sheetName val="RED-N02 (bdt d)"/>
      <sheetName val="RED-N02 (bdt d) (2)"/>
      <sheetName val="Tablas"/>
      <sheetName val="Caras Viejas"/>
      <sheetName val="Salas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s"/>
      <sheetName val="Base Total"/>
      <sheetName val="Mods"/>
      <sheetName val="TD Contratos"/>
      <sheetName val="Canal 13 2005"/>
      <sheetName val="Canal 13 2004 Nav"/>
      <sheetName val="Canal 7"/>
      <sheetName val="Mega 20040589"/>
      <sheetName val="Mega 23522 B"/>
      <sheetName val="Mega 20040670"/>
      <sheetName val="Chilevisión 615"/>
      <sheetName val="Mercurio 24772"/>
      <sheetName val="Mercurio factura 4739324"/>
      <sheetName val="Mercurio factura 4739324 (2)"/>
      <sheetName val="Mercurio 25936"/>
      <sheetName val="Mercurio 2005"/>
      <sheetName val="La Tercera 1007493"/>
      <sheetName val="La Cuarta 997993"/>
      <sheetName val="El Sur 10-10-02"/>
      <sheetName val="UCV"/>
      <sheetName val="La Red"/>
      <sheetName val="Prensa Factura"/>
      <sheetName val="Revista Factura"/>
      <sheetName val="Vía Pública Tienda Sop"/>
      <sheetName val="Vía Pública Tienda Agencia"/>
      <sheetName val="Factura Directa Filial"/>
      <sheetName val="Total  x Prod"/>
      <sheetName val="Total  x Prod x Medio"/>
      <sheetName val="Total  x Contrato x Campaña"/>
      <sheetName val="Dittborn"/>
      <sheetName val="Porta"/>
      <sheetName val="Porta (2)"/>
      <sheetName val="MAS"/>
      <sheetName val="Milímetro"/>
      <sheetName val="TV"/>
      <sheetName val="Radios"/>
      <sheetName val="Prensa"/>
      <sheetName val="Revistas"/>
      <sheetName val="V.Pública"/>
      <sheetName val="Resumen anual acumulado"/>
      <sheetName val="X4ORG"/>
      <sheetName val="paramPCA"/>
      <sheetName val="rating"/>
      <sheetName val="Hoja2"/>
      <sheetName val="Control"/>
      <sheetName val="Base_Total"/>
      <sheetName val="TD_Contratos"/>
      <sheetName val="Canal_13_2005"/>
      <sheetName val="Canal_13_2004_Nav"/>
      <sheetName val="Canal_7"/>
      <sheetName val="Mega_20040589"/>
      <sheetName val="Mega_23522_B"/>
      <sheetName val="Mega_20040670"/>
      <sheetName val="Chilevisión_615"/>
      <sheetName val="Mercurio_24772"/>
      <sheetName val="Mercurio_factura_4739324"/>
      <sheetName val="Mercurio_factura_4739324_(2)"/>
      <sheetName val="Mercurio_25936"/>
      <sheetName val="Mercurio_2005"/>
      <sheetName val="La_Tercera_1007493"/>
      <sheetName val="La_Cuarta_997993"/>
      <sheetName val="El_Sur_10-10-02"/>
      <sheetName val="La_Red"/>
      <sheetName val="Prensa_Factura"/>
      <sheetName val="Revista_Factura"/>
      <sheetName val="Vía_Pública_Tienda_Sop"/>
      <sheetName val="Vía_Pública_Tienda_Agencia"/>
      <sheetName val="Factura_Directa_Filial"/>
      <sheetName val="Total__x_Prod"/>
      <sheetName val="Total__x_Prod_x_Medio"/>
      <sheetName val="Total__x_Contrato_x_Campaña"/>
      <sheetName val="Porta_(2)"/>
      <sheetName val="V_Pública"/>
      <sheetName val="Resumen_anual_acumulado"/>
      <sheetName val="Base_Total2"/>
      <sheetName val="TD_Contratos2"/>
      <sheetName val="Canal_13_20052"/>
      <sheetName val="Canal_13_2004_Nav2"/>
      <sheetName val="Canal_72"/>
      <sheetName val="Mega_200405892"/>
      <sheetName val="Mega_23522_B2"/>
      <sheetName val="Mega_200406702"/>
      <sheetName val="Chilevisión_6152"/>
      <sheetName val="Mercurio_247722"/>
      <sheetName val="Mercurio_factura_47393242"/>
      <sheetName val="Mercurio_factura_4739324_(2)2"/>
      <sheetName val="Mercurio_259362"/>
      <sheetName val="Mercurio_20052"/>
      <sheetName val="La_Tercera_10074932"/>
      <sheetName val="La_Cuarta_9979932"/>
      <sheetName val="El_Sur_10-10-022"/>
      <sheetName val="La_Red2"/>
      <sheetName val="Prensa_Factura2"/>
      <sheetName val="Revista_Factura2"/>
      <sheetName val="Vía_Pública_Tienda_Sop2"/>
      <sheetName val="Vía_Pública_Tienda_Agencia2"/>
      <sheetName val="Factura_Directa_Filial2"/>
      <sheetName val="Total__x_Prod2"/>
      <sheetName val="Total__x_Prod_x_Medio2"/>
      <sheetName val="Total__x_Contrato_x_Campaña2"/>
      <sheetName val="Porta_(2)2"/>
      <sheetName val="V_Pública2"/>
      <sheetName val="Resumen_anual_acumulado2"/>
      <sheetName val="Base_Total1"/>
      <sheetName val="TD_Contratos1"/>
      <sheetName val="Canal_13_20051"/>
      <sheetName val="Canal_13_2004_Nav1"/>
      <sheetName val="Canal_71"/>
      <sheetName val="Mega_200405891"/>
      <sheetName val="Mega_23522_B1"/>
      <sheetName val="Mega_200406701"/>
      <sheetName val="Chilevisión_6151"/>
      <sheetName val="Mercurio_247721"/>
      <sheetName val="Mercurio_factura_47393241"/>
      <sheetName val="Mercurio_factura_4739324_(2)1"/>
      <sheetName val="Mercurio_259361"/>
      <sheetName val="Mercurio_20051"/>
      <sheetName val="La_Tercera_10074931"/>
      <sheetName val="La_Cuarta_9979931"/>
      <sheetName val="El_Sur_10-10-021"/>
      <sheetName val="La_Red1"/>
      <sheetName val="Prensa_Factura1"/>
      <sheetName val="Revista_Factura1"/>
      <sheetName val="Vía_Pública_Tienda_Sop1"/>
      <sheetName val="Vía_Pública_Tienda_Agencia1"/>
      <sheetName val="Factura_Directa_Filial1"/>
      <sheetName val="Total__x_Prod1"/>
      <sheetName val="Total__x_Prod_x_Medio1"/>
      <sheetName val="Total__x_Contrato_x_Campaña1"/>
      <sheetName val="Porta_(2)1"/>
      <sheetName val="V_Pública1"/>
      <sheetName val="Resumen_anual_acumulado1"/>
      <sheetName val="Base_Total4"/>
      <sheetName val="TD_Contratos4"/>
      <sheetName val="Canal_13_20054"/>
      <sheetName val="Canal_13_2004_Nav4"/>
      <sheetName val="Canal_74"/>
      <sheetName val="Mega_200405894"/>
      <sheetName val="Mega_23522_B4"/>
      <sheetName val="Mega_200406704"/>
      <sheetName val="Chilevisión_6154"/>
      <sheetName val="Mercurio_247724"/>
      <sheetName val="Mercurio_factura_47393244"/>
      <sheetName val="Mercurio_factura_4739324_(2)4"/>
      <sheetName val="Mercurio_259364"/>
      <sheetName val="Mercurio_20054"/>
      <sheetName val="La_Tercera_10074934"/>
      <sheetName val="La_Cuarta_9979934"/>
      <sheetName val="El_Sur_10-10-024"/>
      <sheetName val="La_Red4"/>
      <sheetName val="Prensa_Factura4"/>
      <sheetName val="Revista_Factura4"/>
      <sheetName val="Vía_Pública_Tienda_Sop4"/>
      <sheetName val="Vía_Pública_Tienda_Agencia4"/>
      <sheetName val="Factura_Directa_Filial4"/>
      <sheetName val="Total__x_Prod4"/>
      <sheetName val="Total__x_Prod_x_Medio4"/>
      <sheetName val="Total__x_Contrato_x_Campaña4"/>
      <sheetName val="Porta_(2)4"/>
      <sheetName val="V_Pública4"/>
      <sheetName val="Resumen_anual_acumulado4"/>
      <sheetName val="Base_Total3"/>
      <sheetName val="TD_Contratos3"/>
      <sheetName val="Canal_13_20053"/>
      <sheetName val="Canal_13_2004_Nav3"/>
      <sheetName val="Canal_73"/>
      <sheetName val="Mega_200405893"/>
      <sheetName val="Mega_23522_B3"/>
      <sheetName val="Mega_200406703"/>
      <sheetName val="Chilevisión_6153"/>
      <sheetName val="Mercurio_247723"/>
      <sheetName val="Mercurio_factura_47393243"/>
      <sheetName val="Mercurio_factura_4739324_(2)3"/>
      <sheetName val="Mercurio_259363"/>
      <sheetName val="Mercurio_20053"/>
      <sheetName val="La_Tercera_10074933"/>
      <sheetName val="La_Cuarta_9979933"/>
      <sheetName val="El_Sur_10-10-023"/>
      <sheetName val="La_Red3"/>
      <sheetName val="Prensa_Factura3"/>
      <sheetName val="Revista_Factura3"/>
      <sheetName val="Vía_Pública_Tienda_Sop3"/>
      <sheetName val="Vía_Pública_Tienda_Agencia3"/>
      <sheetName val="Factura_Directa_Filial3"/>
      <sheetName val="Total__x_Prod3"/>
      <sheetName val="Total__x_Prod_x_Medio3"/>
      <sheetName val="Total__x_Contrato_x_Campaña3"/>
      <sheetName val="Porta_(2)3"/>
      <sheetName val="V_Pública3"/>
      <sheetName val="Resumen_anual_acumulado3"/>
      <sheetName val="Base_Total5"/>
      <sheetName val="TD_Contratos5"/>
      <sheetName val="Canal_13_20055"/>
      <sheetName val="Canal_13_2004_Nav5"/>
      <sheetName val="Canal_75"/>
      <sheetName val="Mega_200405895"/>
      <sheetName val="Mega_23522_B5"/>
      <sheetName val="Mega_200406705"/>
      <sheetName val="Chilevisión_6155"/>
      <sheetName val="Mercurio_247725"/>
      <sheetName val="Mercurio_factura_47393245"/>
      <sheetName val="Mercurio_factura_4739324_(2)5"/>
      <sheetName val="Mercurio_259365"/>
      <sheetName val="Mercurio_20055"/>
      <sheetName val="La_Tercera_10074935"/>
      <sheetName val="La_Cuarta_9979935"/>
      <sheetName val="El_Sur_10-10-025"/>
      <sheetName val="La_Red5"/>
      <sheetName val="Prensa_Factura5"/>
      <sheetName val="Revista_Factura5"/>
      <sheetName val="Vía_Pública_Tienda_Sop5"/>
      <sheetName val="Vía_Pública_Tienda_Agencia5"/>
      <sheetName val="Factura_Directa_Filial5"/>
      <sheetName val="Total__x_Prod5"/>
      <sheetName val="Total__x_Prod_x_Medio5"/>
      <sheetName val="Total__x_Contrato_x_Campaña5"/>
      <sheetName val="Porta_(2)5"/>
      <sheetName val="V_Pública5"/>
      <sheetName val="Resumen_anual_acumulado5"/>
      <sheetName val="Base_Total6"/>
      <sheetName val="TD_Contratos6"/>
      <sheetName val="Canal_13_20056"/>
      <sheetName val="Canal_13_2004_Nav6"/>
      <sheetName val="Canal_76"/>
      <sheetName val="Mega_200405896"/>
      <sheetName val="Mega_23522_B6"/>
      <sheetName val="Mega_200406706"/>
      <sheetName val="Chilevisión_6156"/>
      <sheetName val="Mercurio_247726"/>
      <sheetName val="Mercurio_factura_47393246"/>
      <sheetName val="Mercurio_factura_4739324_(2)6"/>
      <sheetName val="Mercurio_259366"/>
      <sheetName val="Mercurio_20056"/>
      <sheetName val="La_Tercera_10074936"/>
      <sheetName val="La_Cuarta_9979936"/>
      <sheetName val="El_Sur_10-10-026"/>
      <sheetName val="La_Red6"/>
      <sheetName val="Prensa_Factura6"/>
      <sheetName val="Revista_Factura6"/>
      <sheetName val="Vía_Pública_Tienda_Sop6"/>
      <sheetName val="Vía_Pública_Tienda_Agencia6"/>
      <sheetName val="Factura_Directa_Filial6"/>
      <sheetName val="Total__x_Prod6"/>
      <sheetName val="Total__x_Prod_x_Medio6"/>
      <sheetName val="Total__x_Contrato_x_Campaña6"/>
      <sheetName val="Porta_(2)6"/>
      <sheetName val="V_Pública6"/>
      <sheetName val="Resumen_anual_acumulado6"/>
      <sheetName val="Filtros"/>
      <sheetName val="Materiales"/>
      <sheetName val="BASE"/>
      <sheetName val="Detalle-Aplicat-Sept-00"/>
      <sheetName val="Tarifas Enero 2009"/>
      <sheetName val="tablas final 1°sem 2008"/>
      <sheetName val="Base_Total7"/>
      <sheetName val="TD_Contratos7"/>
      <sheetName val="Canal_13_20057"/>
      <sheetName val="Canal_13_2004_Nav7"/>
      <sheetName val="Canal_77"/>
      <sheetName val="Mega_200405897"/>
      <sheetName val="Mega_23522_B7"/>
      <sheetName val="Mega_200406707"/>
      <sheetName val="Chilevisión_6157"/>
      <sheetName val="Mercurio_247727"/>
      <sheetName val="Mercurio_factura_47393247"/>
      <sheetName val="Mercurio_factura_4739324_(2)7"/>
      <sheetName val="Mercurio_259367"/>
      <sheetName val="Mercurio_20057"/>
      <sheetName val="La_Tercera_10074937"/>
      <sheetName val="La_Cuarta_9979937"/>
      <sheetName val="El_Sur_10-10-027"/>
      <sheetName val="La_Red7"/>
      <sheetName val="Prensa_Factura7"/>
      <sheetName val="Revista_Factura7"/>
      <sheetName val="Vía_Pública_Tienda_Sop7"/>
      <sheetName val="Vía_Pública_Tienda_Agencia7"/>
      <sheetName val="Factura_Directa_Filial7"/>
      <sheetName val="Total__x_Prod7"/>
      <sheetName val="Total__x_Prod_x_Medio7"/>
      <sheetName val="Total__x_Contrato_x_Campaña7"/>
      <sheetName val="Porta_(2)7"/>
      <sheetName val="V_Pública7"/>
      <sheetName val="Resumen_anual_acumulado7"/>
      <sheetName val="Tarifas_Enero_2009"/>
      <sheetName val="tablas_final_1°sem_2008"/>
      <sheetName val="Base_Total8"/>
      <sheetName val="TD_Contratos8"/>
      <sheetName val="Canal_13_20058"/>
      <sheetName val="Canal_13_2004_Nav8"/>
      <sheetName val="Canal_78"/>
      <sheetName val="Mega_200405898"/>
      <sheetName val="Mega_23522_B8"/>
      <sheetName val="Mega_200406708"/>
      <sheetName val="Chilevisión_6158"/>
      <sheetName val="Mercurio_247728"/>
      <sheetName val="Mercurio_factura_47393248"/>
      <sheetName val="Mercurio_factura_4739324_(2)8"/>
      <sheetName val="Mercurio_259368"/>
      <sheetName val="Mercurio_20058"/>
      <sheetName val="La_Tercera_10074938"/>
      <sheetName val="La_Cuarta_9979938"/>
      <sheetName val="El_Sur_10-10-028"/>
      <sheetName val="La_Red8"/>
      <sheetName val="Prensa_Factura8"/>
      <sheetName val="Revista_Factura8"/>
      <sheetName val="Vía_Pública_Tienda_Sop8"/>
      <sheetName val="Vía_Pública_Tienda_Agencia8"/>
      <sheetName val="Factura_Directa_Filial8"/>
      <sheetName val="Total__x_Prod8"/>
      <sheetName val="Total__x_Prod_x_Medio8"/>
      <sheetName val="Total__x_Contrato_x_Campaña8"/>
      <sheetName val="Porta_(2)8"/>
      <sheetName val="V_Pública8"/>
      <sheetName val="Resumen_anual_acumulado8"/>
      <sheetName val="Tarifas_Enero_20091"/>
      <sheetName val="tablas_final_1°sem_20081"/>
      <sheetName val="Base_Total9"/>
      <sheetName val="TD_Contratos9"/>
      <sheetName val="Canal_13_20059"/>
      <sheetName val="Canal_13_2004_Nav9"/>
      <sheetName val="Canal_79"/>
      <sheetName val="Mega_200405899"/>
      <sheetName val="Mega_23522_B9"/>
      <sheetName val="Mega_200406709"/>
      <sheetName val="Chilevisión_6159"/>
      <sheetName val="Mercurio_247729"/>
      <sheetName val="Mercurio_factura_47393249"/>
      <sheetName val="Mercurio_factura_4739324_(2)9"/>
      <sheetName val="Mercurio_259369"/>
      <sheetName val="Mercurio_20059"/>
      <sheetName val="La_Tercera_10074939"/>
      <sheetName val="La_Cuarta_9979939"/>
      <sheetName val="El_Sur_10-10-029"/>
      <sheetName val="La_Red9"/>
      <sheetName val="Prensa_Factura9"/>
      <sheetName val="Revista_Factura9"/>
      <sheetName val="Vía_Pública_Tienda_Sop9"/>
      <sheetName val="Vía_Pública_Tienda_Agencia9"/>
      <sheetName val="Factura_Directa_Filial9"/>
      <sheetName val="Total__x_Prod9"/>
      <sheetName val="Total__x_Prod_x_Medio9"/>
      <sheetName val="Total__x_Contrato_x_Campaña9"/>
      <sheetName val="Porta_(2)9"/>
      <sheetName val="V_Pública9"/>
      <sheetName val="Resumen_anual_acumulado9"/>
      <sheetName val="Tarifas_Enero_20092"/>
      <sheetName val="tablas_final_1°sem_20082"/>
      <sheetName val="Tarifa Preferencial (3)"/>
      <sheetName val="Base_Total11"/>
      <sheetName val="TD_Contratos11"/>
      <sheetName val="Canal_13_200511"/>
      <sheetName val="Canal_13_2004_Nav11"/>
      <sheetName val="Canal_711"/>
      <sheetName val="Mega_2004058911"/>
      <sheetName val="Mega_23522_B11"/>
      <sheetName val="Mega_2004067011"/>
      <sheetName val="Chilevisión_61511"/>
      <sheetName val="Mercurio_2477211"/>
      <sheetName val="Mercurio_factura_473932411"/>
      <sheetName val="Mercurio_factura_4739324_(2)11"/>
      <sheetName val="Mercurio_2593611"/>
      <sheetName val="Mercurio_200511"/>
      <sheetName val="La_Tercera_100749311"/>
      <sheetName val="La_Cuarta_99799311"/>
      <sheetName val="El_Sur_10-10-0211"/>
      <sheetName val="La_Red11"/>
      <sheetName val="Prensa_Factura11"/>
      <sheetName val="Revista_Factura11"/>
      <sheetName val="Vía_Pública_Tienda_Sop11"/>
      <sheetName val="Vía_Pública_Tienda_Agencia11"/>
      <sheetName val="Factura_Directa_Filial11"/>
      <sheetName val="Total__x_Prod11"/>
      <sheetName val="Total__x_Prod_x_Medio11"/>
      <sheetName val="Total__x_Contrato_x_Campaña11"/>
      <sheetName val="Porta_(2)11"/>
      <sheetName val="V_Pública11"/>
      <sheetName val="Resumen_anual_acumulado11"/>
      <sheetName val="Tarifas_Enero_20094"/>
      <sheetName val="tablas_final_1°sem_20084"/>
      <sheetName val="Base_Total10"/>
      <sheetName val="TD_Contratos10"/>
      <sheetName val="Canal_13_200510"/>
      <sheetName val="Canal_13_2004_Nav10"/>
      <sheetName val="Canal_710"/>
      <sheetName val="Mega_2004058910"/>
      <sheetName val="Mega_23522_B10"/>
      <sheetName val="Mega_2004067010"/>
      <sheetName val="Chilevisión_61510"/>
      <sheetName val="Mercurio_2477210"/>
      <sheetName val="Mercurio_factura_473932410"/>
      <sheetName val="Mercurio_factura_4739324_(2)10"/>
      <sheetName val="Mercurio_2593610"/>
      <sheetName val="Mercurio_200510"/>
      <sheetName val="La_Tercera_100749310"/>
      <sheetName val="La_Cuarta_99799310"/>
      <sheetName val="El_Sur_10-10-0210"/>
      <sheetName val="La_Red10"/>
      <sheetName val="Prensa_Factura10"/>
      <sheetName val="Revista_Factura10"/>
      <sheetName val="Vía_Pública_Tienda_Sop10"/>
      <sheetName val="Vía_Pública_Tienda_Agencia10"/>
      <sheetName val="Factura_Directa_Filial10"/>
      <sheetName val="Total__x_Prod10"/>
      <sheetName val="Total__x_Prod_x_Medio10"/>
      <sheetName val="Total__x_Contrato_x_Campaña10"/>
      <sheetName val="Porta_(2)10"/>
      <sheetName val="V_Pública10"/>
      <sheetName val="Resumen_anual_acumulado10"/>
      <sheetName val="Tarifas_Enero_20093"/>
      <sheetName val="tablas_final_1°sem_20083"/>
      <sheetName val="aca-"/>
      <sheetName val="Canal 02"/>
      <sheetName val="Base_Total12"/>
      <sheetName val="TD_Contratos12"/>
      <sheetName val="Canal_13_200512"/>
      <sheetName val="Canal_13_2004_Nav12"/>
      <sheetName val="Canal_712"/>
      <sheetName val="Mega_2004058912"/>
      <sheetName val="Mega_23522_B12"/>
      <sheetName val="Mega_2004067012"/>
      <sheetName val="Chilevisión_61512"/>
      <sheetName val="Mercurio_2477212"/>
      <sheetName val="Mercurio_factura_473932412"/>
      <sheetName val="Mercurio_factura_4739324_(2)12"/>
      <sheetName val="Mercurio_2593612"/>
      <sheetName val="Mercurio_200512"/>
      <sheetName val="La_Tercera_100749312"/>
      <sheetName val="La_Cuarta_99799312"/>
      <sheetName val="El_Sur_10-10-0212"/>
      <sheetName val="La_Red12"/>
      <sheetName val="Prensa_Factura12"/>
      <sheetName val="Revista_Factura12"/>
      <sheetName val="Vía_Pública_Tienda_Sop12"/>
      <sheetName val="Vía_Pública_Tienda_Agencia12"/>
      <sheetName val="Factura_Directa_Filial12"/>
      <sheetName val="Total__x_Prod12"/>
      <sheetName val="Total__x_Prod_x_Medio12"/>
      <sheetName val="Total__x_Contrato_x_Campaña12"/>
      <sheetName val="Porta_(2)12"/>
      <sheetName val="V_Pública12"/>
      <sheetName val="Resumen_anual_acumulado12"/>
      <sheetName val="Tarifas_Enero_20095"/>
      <sheetName val="tablas_final_1°sem_20085"/>
      <sheetName val="Tarifa_Preferencial_(3)"/>
    </sheetNames>
    <sheetDataSet>
      <sheetData sheetId="0">
        <row r="2">
          <cell r="A2" t="str">
            <v>Contrato</v>
          </cell>
          <cell r="B2" t="str">
            <v>Soporte</v>
          </cell>
          <cell r="C2" t="str">
            <v>Medio</v>
          </cell>
          <cell r="D2" t="str">
            <v>Monto Bruto Contratado</v>
          </cell>
          <cell r="E2" t="str">
            <v>Saldo a Noviembre</v>
          </cell>
          <cell r="F2" t="str">
            <v>Saldo Neto a Noviembre</v>
          </cell>
        </row>
        <row r="3">
          <cell r="A3" t="str">
            <v>2004-0001-00</v>
          </cell>
          <cell r="B3" t="str">
            <v>Canal 13</v>
          </cell>
          <cell r="C3" t="str">
            <v>Televisión</v>
          </cell>
          <cell r="D3">
            <v>1482226284</v>
          </cell>
          <cell r="E3">
            <v>0</v>
          </cell>
          <cell r="F3">
            <v>0</v>
          </cell>
        </row>
        <row r="4">
          <cell r="A4" t="str">
            <v>2004-0001-00 AUSP</v>
          </cell>
          <cell r="B4" t="str">
            <v>Canal 13</v>
          </cell>
          <cell r="C4" t="str">
            <v>Televisión</v>
          </cell>
          <cell r="D4">
            <v>770273716</v>
          </cell>
          <cell r="E4">
            <v>0</v>
          </cell>
          <cell r="F4">
            <v>0</v>
          </cell>
        </row>
        <row r="5">
          <cell r="A5" t="str">
            <v>2003-0177-00</v>
          </cell>
          <cell r="B5" t="str">
            <v>Canal 13</v>
          </cell>
          <cell r="C5" t="str">
            <v>Televisión</v>
          </cell>
          <cell r="D5">
            <v>148969031</v>
          </cell>
          <cell r="E5">
            <v>0</v>
          </cell>
          <cell r="F5">
            <v>0</v>
          </cell>
        </row>
        <row r="6">
          <cell r="A6" t="str">
            <v>2005-01-00</v>
          </cell>
          <cell r="B6" t="str">
            <v>Canal 13</v>
          </cell>
          <cell r="C6" t="str">
            <v>Televisión</v>
          </cell>
          <cell r="D6">
            <v>3000000000</v>
          </cell>
          <cell r="E6">
            <v>2888711311</v>
          </cell>
          <cell r="F6">
            <v>2455404614.3499999</v>
          </cell>
        </row>
        <row r="7">
          <cell r="A7" t="str">
            <v>2004-449-00 NAVIDAD</v>
          </cell>
          <cell r="B7" t="str">
            <v>Canal 13</v>
          </cell>
          <cell r="C7" t="str">
            <v>Televisión</v>
          </cell>
          <cell r="D7">
            <v>80000000</v>
          </cell>
          <cell r="E7">
            <v>80000000</v>
          </cell>
          <cell r="F7">
            <v>68000000</v>
          </cell>
        </row>
        <row r="8">
          <cell r="A8" t="str">
            <v>04-0241-00 P. LIBRE</v>
          </cell>
          <cell r="B8" t="str">
            <v>Canal 07 RN</v>
          </cell>
          <cell r="C8" t="str">
            <v>Televisión</v>
          </cell>
          <cell r="D8">
            <v>1105000000</v>
          </cell>
          <cell r="E8">
            <v>385934466</v>
          </cell>
          <cell r="F8">
            <v>328044296.09999996</v>
          </cell>
        </row>
        <row r="9">
          <cell r="A9" t="str">
            <v>23522-0</v>
          </cell>
          <cell r="B9" t="str">
            <v>Mega</v>
          </cell>
          <cell r="C9" t="str">
            <v>Televisión</v>
          </cell>
          <cell r="D9">
            <v>1000000000</v>
          </cell>
          <cell r="E9">
            <v>0</v>
          </cell>
          <cell r="F9">
            <v>0</v>
          </cell>
        </row>
        <row r="10">
          <cell r="A10" t="str">
            <v>615 - 2004</v>
          </cell>
          <cell r="B10" t="str">
            <v>Chilevisión</v>
          </cell>
          <cell r="C10" t="str">
            <v>Televisión</v>
          </cell>
          <cell r="D10">
            <v>290000000</v>
          </cell>
          <cell r="E10">
            <v>0</v>
          </cell>
          <cell r="F10">
            <v>0</v>
          </cell>
        </row>
        <row r="11">
          <cell r="A11">
            <v>220127</v>
          </cell>
          <cell r="B11" t="str">
            <v>Chilena</v>
          </cell>
          <cell r="C11" t="str">
            <v>Radio</v>
          </cell>
          <cell r="D11">
            <v>15882353</v>
          </cell>
          <cell r="E11">
            <v>2465458</v>
          </cell>
          <cell r="F11">
            <v>2095639.3</v>
          </cell>
        </row>
        <row r="12">
          <cell r="A12">
            <v>24772</v>
          </cell>
          <cell r="B12" t="str">
            <v>Mercurio</v>
          </cell>
          <cell r="C12" t="str">
            <v>Prensa</v>
          </cell>
          <cell r="D12">
            <v>1829415000</v>
          </cell>
          <cell r="E12">
            <v>85188.373149423045</v>
          </cell>
          <cell r="F12">
            <v>72410.117177009583</v>
          </cell>
        </row>
        <row r="13">
          <cell r="A13">
            <v>25936</v>
          </cell>
          <cell r="B13" t="str">
            <v>Mercurio</v>
          </cell>
          <cell r="C13" t="str">
            <v>Prensa</v>
          </cell>
          <cell r="D13">
            <v>150000958</v>
          </cell>
          <cell r="E13">
            <v>46145167</v>
          </cell>
          <cell r="F13">
            <v>39223391.949999996</v>
          </cell>
        </row>
        <row r="14">
          <cell r="A14" t="str">
            <v>1007493 La Tercera</v>
          </cell>
          <cell r="B14" t="str">
            <v>La Tercera</v>
          </cell>
          <cell r="C14" t="str">
            <v>Prensa</v>
          </cell>
          <cell r="D14">
            <v>624000000</v>
          </cell>
          <cell r="E14">
            <v>240503049</v>
          </cell>
          <cell r="F14">
            <v>204427591.65000001</v>
          </cell>
        </row>
        <row r="15">
          <cell r="A15">
            <v>37539</v>
          </cell>
          <cell r="B15" t="str">
            <v>El Sur</v>
          </cell>
          <cell r="C15" t="str">
            <v>Prensa</v>
          </cell>
          <cell r="D15">
            <v>113959500</v>
          </cell>
          <cell r="E15">
            <v>50098923</v>
          </cell>
          <cell r="F15">
            <v>42584084.549999997</v>
          </cell>
        </row>
        <row r="16">
          <cell r="A16">
            <v>20040589</v>
          </cell>
          <cell r="B16" t="str">
            <v>Mega</v>
          </cell>
          <cell r="C16" t="str">
            <v>Televisión</v>
          </cell>
          <cell r="D16">
            <v>1470588235.2941177</v>
          </cell>
          <cell r="E16">
            <v>1454448919</v>
          </cell>
          <cell r="F16">
            <v>1236281581.1499999</v>
          </cell>
        </row>
        <row r="17">
          <cell r="A17" t="str">
            <v>NAV0670</v>
          </cell>
          <cell r="B17" t="str">
            <v>Mega</v>
          </cell>
          <cell r="C17" t="str">
            <v>Televisión</v>
          </cell>
          <cell r="D17">
            <v>30000000</v>
          </cell>
          <cell r="E17">
            <v>30000000</v>
          </cell>
          <cell r="F17">
            <v>30000000</v>
          </cell>
        </row>
        <row r="18">
          <cell r="A18" t="str">
            <v>factura #4739324</v>
          </cell>
          <cell r="B18" t="str">
            <v>Mercurio</v>
          </cell>
          <cell r="C18" t="str">
            <v>Prensa</v>
          </cell>
          <cell r="D18">
            <v>345909176.47058827</v>
          </cell>
          <cell r="E18">
            <v>294026659.28058821</v>
          </cell>
          <cell r="F18">
            <v>249922660.38849998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N"/>
      <sheetName val="CONTRATO"/>
      <sheetName val="CONDICIONES DE PAUTA FIJA"/>
      <sheetName val="1"/>
      <sheetName val="TABLAS DE SEGUNDAJE AUSPICIADOR"/>
      <sheetName val="Campañas"/>
      <sheetName val="Hoja de Vida Mayo"/>
      <sheetName val="Anunciantes"/>
      <sheetName val="MarcasCli"/>
      <sheetName val="Rubros"/>
      <sheetName val="Flowchart"/>
      <sheetName val="Base"/>
      <sheetName val="Regiones Noviembre 2002"/>
      <sheetName val="tablas final 2°sem"/>
      <sheetName val="tablas final"/>
      <sheetName val="Tablas"/>
      <sheetName val="Marcas"/>
      <sheetName val="Salas 2"/>
      <sheetName val="PLAN"/>
      <sheetName val="Analisis"/>
      <sheetName val="negociaciones1"/>
      <sheetName val="Caras"/>
      <sheetName val="TarRD"/>
      <sheetName val="Datos"/>
      <sheetName val="Orden y Contrato Evento Teletón"/>
      <sheetName val="Cable"/>
      <sheetName val="Pre evaluación de Campaña"/>
      <sheetName val="Pauta Tv 30&quot;"/>
      <sheetName val="CONDICIONES_DE_PAUTA_FIJA"/>
      <sheetName val="TABLAS_DE_SEGUNDAJE_AUSPICIADOR"/>
      <sheetName val="Regiones_Noviembre_2002"/>
      <sheetName val="tablas_final_2°sem"/>
      <sheetName val="tablas_final"/>
      <sheetName val="Salas_2"/>
      <sheetName val="CONDICIONES_DE_PAUTA_FIJA1"/>
      <sheetName val="TABLAS_DE_SEGUNDAJE_AUSPICIADO1"/>
      <sheetName val="Regiones_Noviembre_20021"/>
      <sheetName val="tablas_final_2°sem1"/>
      <sheetName val="tablas_final1"/>
      <sheetName val="Salas_21"/>
      <sheetName val="CONDICIONES_DE_PAUTA_FIJA2"/>
      <sheetName val="TABLAS_DE_SEGUNDAJE_AUSPICIADO2"/>
      <sheetName val="Regiones_Noviembre_20022"/>
      <sheetName val="tablas_final_2°sem2"/>
      <sheetName val="tablas_final2"/>
      <sheetName val="Salas_22"/>
      <sheetName val="aca-"/>
      <sheetName val="expertisse"/>
      <sheetName val="RANK1"/>
      <sheetName val="CONDICIONES_DE_PAUTA_FIJA3"/>
      <sheetName val="TABLAS_DE_SEGUNDAJE_AUSPICIADO3"/>
      <sheetName val="Salas_23"/>
      <sheetName val="Regiones_Noviembre_20023"/>
      <sheetName val="Hoja_de_Vida_Mayo"/>
      <sheetName val="Orden_y_Contrato_Evento_Teletón"/>
      <sheetName val="tablas_final_2°sem3"/>
      <sheetName val="tablas_final3"/>
      <sheetName val="Pre_evaluación_de_Campaña"/>
      <sheetName val="Pauta_Tv_30&quot;"/>
      <sheetName val="Rating"/>
      <sheetName val="Ene 09 Netas"/>
      <sheetName val="#g.o."/>
      <sheetName val="PLANGENERAL"/>
      <sheetName val="parametros"/>
      <sheetName val="matriz sitios"/>
      <sheetName val="RANKING"/>
      <sheetName val="Flow"/>
      <sheetName val="Tarifas Enero 2009"/>
      <sheetName val="CONDICIONES_DE_PAUTA_FIJA4"/>
      <sheetName val="TABLAS_DE_SEGUNDAJE_AUSPICIADO4"/>
      <sheetName val="Hoja_de_Vida_Mayo1"/>
      <sheetName val="Salas_24"/>
      <sheetName val="Regiones_Noviembre_20024"/>
      <sheetName val="tablas_final_2°sem4"/>
      <sheetName val="tablas_final4"/>
      <sheetName val="Orden_y_Contrato_Evento_Teletó1"/>
      <sheetName val="Pre_evaluación_de_Campaña1"/>
      <sheetName val="Pauta_Tv_30&quot;1"/>
      <sheetName val="Ene_09_Netas"/>
      <sheetName val="#g_o_"/>
      <sheetName val="matriz_sitios"/>
      <sheetName val="Nov 01"/>
    </sheetNames>
    <sheetDataSet>
      <sheetData sheetId="0" refreshError="1"/>
      <sheetData sheetId="1" refreshError="1"/>
      <sheetData sheetId="2" refreshError="1"/>
      <sheetData sheetId="3" refreshError="1">
        <row r="3">
          <cell r="H3" t="str">
            <v>T</v>
          </cell>
        </row>
        <row r="35">
          <cell r="B35" t="str">
            <v>CA</v>
          </cell>
          <cell r="C35">
            <v>0.3</v>
          </cell>
        </row>
        <row r="36">
          <cell r="B36" t="str">
            <v>SE</v>
          </cell>
          <cell r="C36">
            <v>0.2</v>
          </cell>
        </row>
        <row r="37">
          <cell r="B37" t="str">
            <v>TE</v>
          </cell>
          <cell r="C37">
            <v>0.1</v>
          </cell>
        </row>
        <row r="38">
          <cell r="B38">
            <v>0</v>
          </cell>
          <cell r="C38">
            <v>0</v>
          </cell>
        </row>
        <row r="39">
          <cell r="B39" t="str">
            <v>CI</v>
          </cell>
          <cell r="C39">
            <v>0.2</v>
          </cell>
        </row>
        <row r="45">
          <cell r="B45" t="str">
            <v>CA</v>
          </cell>
        </row>
        <row r="46">
          <cell r="B46" t="str">
            <v>SE</v>
          </cell>
        </row>
        <row r="47">
          <cell r="B47" t="str">
            <v>TE</v>
          </cell>
        </row>
        <row r="48">
          <cell r="B48" t="str">
            <v>CI</v>
          </cell>
        </row>
        <row r="126">
          <cell r="B126" t="str">
            <v>1ra tanda</v>
          </cell>
        </row>
        <row r="127">
          <cell r="B127" t="str">
            <v>2da tanda</v>
          </cell>
        </row>
        <row r="128">
          <cell r="B128" t="str">
            <v>3ra tanda</v>
          </cell>
        </row>
        <row r="129">
          <cell r="B129" t="str">
            <v>4ta tanda</v>
          </cell>
        </row>
        <row r="130">
          <cell r="B130" t="str">
            <v>Ult.tanda</v>
          </cell>
        </row>
        <row r="131">
          <cell r="B131" t="str">
            <v>-</v>
          </cell>
        </row>
        <row r="152">
          <cell r="A152" t="str">
            <v>Inauguración y Backstage</v>
          </cell>
        </row>
        <row r="153">
          <cell r="A153" t="str">
            <v>El humor de los 30 años</v>
          </cell>
        </row>
        <row r="154">
          <cell r="A154" t="str">
            <v>Bailetón</v>
          </cell>
        </row>
        <row r="155">
          <cell r="A155" t="str">
            <v>Treinta años de Vedetón y Backstage</v>
          </cell>
        </row>
        <row r="156">
          <cell r="A156" t="str">
            <v>Amanece en Chile</v>
          </cell>
        </row>
        <row r="157">
          <cell r="A157" t="str">
            <v>Noticias 08:00</v>
          </cell>
        </row>
        <row r="158">
          <cell r="A158" t="str">
            <v>Arriba Chile y Backstage</v>
          </cell>
        </row>
        <row r="159">
          <cell r="A159" t="str">
            <v>Levántate Papito, familiar</v>
          </cell>
        </row>
        <row r="160">
          <cell r="A160" t="str">
            <v>Showball - Entre tiempo - Showball</v>
          </cell>
        </row>
        <row r="161">
          <cell r="A161" t="str">
            <v>Noticias 14:15</v>
          </cell>
        </row>
        <row r="162">
          <cell r="A162" t="str">
            <v>Mejor de los mejores y Backstage</v>
          </cell>
        </row>
        <row r="163">
          <cell r="A163" t="str">
            <v>Estamos todos</v>
          </cell>
        </row>
        <row r="164">
          <cell r="A164" t="str">
            <v>Estadio Nacional</v>
          </cell>
        </row>
        <row r="165">
          <cell r="A165" t="str">
            <v>-</v>
          </cell>
        </row>
        <row r="173">
          <cell r="B173" t="str">
            <v>SI</v>
          </cell>
          <cell r="C173">
            <v>0.3</v>
          </cell>
        </row>
        <row r="174">
          <cell r="B174" t="str">
            <v>NO</v>
          </cell>
          <cell r="C174">
            <v>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S &amp; DART Online IO"/>
      <sheetName val="Data"/>
      <sheetName val="Invoice Request"/>
      <sheetName val="rating"/>
      <sheetName val="Tower 10"/>
      <sheetName val="rating "/>
      <sheetName val="Lista"/>
      <sheetName val="Temp"/>
      <sheetName val="Hoja2"/>
      <sheetName val="FORNECEDORES"/>
      <sheetName val="Codes"/>
      <sheetName val="Contratos"/>
      <sheetName val="EFSV0695"/>
      <sheetName val="Resumen CUATRIMESTRES"/>
      <sheetName val="Propuesta Lanzamiento"/>
      <sheetName val="Propuesta Lanzamiento (2)"/>
      <sheetName val="Propuesta Mantencion"/>
      <sheetName val="PropueSema2020Ene-Feb-MarTVDat"/>
      <sheetName val="Propuesta Semana Tipo 2020 (2)"/>
      <sheetName val="Propuesta Digital"/>
      <sheetName val="Propuesta MantencionTV DATA"/>
      <sheetName val="Propuesta Lanzamiento tv data)"/>
      <sheetName val="BTS_&amp;_DART_Online_IO"/>
      <sheetName val="Invoice_Request"/>
      <sheetName val="rating_"/>
      <sheetName val="Tower_10"/>
      <sheetName val="BTS_&amp;_DART_Online_IO1"/>
      <sheetName val="Invoice_Request1"/>
      <sheetName val="rating_1"/>
      <sheetName val="Tower_101"/>
      <sheetName val="BTS_&amp;_DART_Online_IO2"/>
      <sheetName val="Invoice_Request2"/>
      <sheetName val="rating_2"/>
      <sheetName val="Tower_102"/>
      <sheetName val="CampaignData"/>
      <sheetName val="PlanData"/>
      <sheetName val="ExchangeRates"/>
      <sheetName val="ManualDiscounts"/>
      <sheetName val="NetPrices"/>
      <sheetName val="PlanSheet"/>
      <sheetName val="BTS_&amp;_DART_Online_IO3"/>
      <sheetName val="Invoice_Request3"/>
      <sheetName val="rating_3"/>
      <sheetName val="Tower_103"/>
      <sheetName val="BTS_&amp;_DART_Online_IO5"/>
      <sheetName val="Invoice_Request5"/>
      <sheetName val="rating_5"/>
      <sheetName val="Tower_105"/>
      <sheetName val="BTS_&amp;_DART_Online_IO4"/>
      <sheetName val="Invoice_Request4"/>
      <sheetName val="rating_4"/>
      <sheetName val="Tower_104"/>
      <sheetName val="BTS_&amp;_DART_Online_IO6"/>
      <sheetName val="Invoice_Request6"/>
      <sheetName val="rating_6"/>
      <sheetName val="Tower_106"/>
      <sheetName val="Sheet1"/>
      <sheetName val="caras"/>
      <sheetName val="Tarifa Mayo 02"/>
      <sheetName val="Resumen_CUATRIMESTRES"/>
      <sheetName val="Propuesta_Lanzamiento"/>
      <sheetName val="Propuesta_Lanzamiento_(2)"/>
      <sheetName val="Propuesta_Mantencion"/>
      <sheetName val="Propuesta_Semana_Tipo_2020_(2)"/>
      <sheetName val="Propuesta_Digital"/>
      <sheetName val="Propuesta_MantencionTV_DATA"/>
      <sheetName val="Propuesta_Lanzamiento_tv_data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ew Flights"/>
      <sheetName val="Existing Flights"/>
      <sheetName val="Campaign Info &amp; Contacts"/>
    </sheetNames>
    <sheetDataSet>
      <sheetData sheetId="0" refreshError="1">
        <row r="3">
          <cell r="A3" t="str">
            <v>Ad7 NL</v>
          </cell>
          <cell r="B3" t="str">
            <v>8783</v>
          </cell>
          <cell r="J3" t="str">
            <v>Standard Banner</v>
          </cell>
          <cell r="K3" t="str">
            <v>3</v>
          </cell>
        </row>
        <row r="4">
          <cell r="A4" t="str">
            <v>Adfab NL</v>
          </cell>
          <cell r="B4" t="str">
            <v>9992</v>
          </cell>
          <cell r="J4" t="str">
            <v>Rich Banner</v>
          </cell>
          <cell r="K4" t="str">
            <v>2</v>
          </cell>
        </row>
        <row r="5">
          <cell r="A5" t="str">
            <v>adfactor nl</v>
          </cell>
          <cell r="B5" t="str">
            <v>6124</v>
          </cell>
          <cell r="J5" t="str">
            <v>Out-of-banner</v>
          </cell>
          <cell r="K5" t="str">
            <v>1</v>
          </cell>
        </row>
        <row r="6">
          <cell r="A6" t="str">
            <v>adlantic NL</v>
          </cell>
          <cell r="B6" t="str">
            <v>9784</v>
          </cell>
          <cell r="J6" t="str">
            <v>Tracking (Clicks only)</v>
          </cell>
          <cell r="K6" t="str">
            <v>4</v>
          </cell>
        </row>
        <row r="7">
          <cell r="A7" t="str">
            <v>Adlink NL</v>
          </cell>
          <cell r="B7" t="str">
            <v>1267</v>
          </cell>
          <cell r="J7" t="str">
            <v>Tracking (Impressions &amp; Clicks)</v>
          </cell>
          <cell r="K7" t="str">
            <v>5</v>
          </cell>
        </row>
        <row r="8">
          <cell r="A8" t="str">
            <v>Admatch NL</v>
          </cell>
          <cell r="B8" t="str">
            <v>10433</v>
          </cell>
          <cell r="J8" t="str">
            <v>In-Stream (15 seconds)</v>
          </cell>
          <cell r="K8" t="str">
            <v>8</v>
          </cell>
        </row>
        <row r="9">
          <cell r="A9" t="str">
            <v>AdRemedy NL</v>
          </cell>
          <cell r="B9" t="str">
            <v>7481</v>
          </cell>
          <cell r="J9" t="str">
            <v>In-Stream (30 seconds)</v>
          </cell>
          <cell r="K9" t="str">
            <v>9</v>
          </cell>
        </row>
        <row r="10">
          <cell r="A10" t="str">
            <v>All4students NL</v>
          </cell>
          <cell r="B10" t="str">
            <v>4328</v>
          </cell>
          <cell r="J10" t="str">
            <v>In-Stream Video Tracking</v>
          </cell>
          <cell r="K10" t="str">
            <v>10</v>
          </cell>
        </row>
        <row r="11">
          <cell r="A11" t="str">
            <v>Aromedia NL</v>
          </cell>
          <cell r="B11" t="str">
            <v>7546</v>
          </cell>
          <cell r="J11" t="str">
            <v>In Game (Video)</v>
          </cell>
          <cell r="K11" t="str">
            <v>6</v>
          </cell>
        </row>
        <row r="12">
          <cell r="A12" t="str">
            <v>Athlon Car Lease Nederland BV - NL</v>
          </cell>
          <cell r="B12" t="str">
            <v>8682</v>
          </cell>
          <cell r="J12" t="str">
            <v>In Game (Integrated Image)</v>
          </cell>
          <cell r="K12" t="str">
            <v>7</v>
          </cell>
        </row>
        <row r="13">
          <cell r="A13" t="str">
            <v>autokopen.nl NL</v>
          </cell>
          <cell r="B13" t="str">
            <v>5678</v>
          </cell>
        </row>
        <row r="14">
          <cell r="A14" t="str">
            <v>autoscout24 NL</v>
          </cell>
          <cell r="B14" t="str">
            <v>10021</v>
          </cell>
        </row>
        <row r="15">
          <cell r="A15" t="str">
            <v>autowereld NL</v>
          </cell>
          <cell r="B15" t="str">
            <v>7305</v>
          </cell>
        </row>
        <row r="16">
          <cell r="A16" t="str">
            <v>Belegger.nl</v>
          </cell>
          <cell r="B16" t="str">
            <v>4195</v>
          </cell>
        </row>
        <row r="17">
          <cell r="A17" t="str">
            <v>Bencom NL</v>
          </cell>
          <cell r="B17" t="str">
            <v>9610</v>
          </cell>
        </row>
        <row r="18">
          <cell r="A18" t="str">
            <v>Bokoe NL</v>
          </cell>
          <cell r="B18" t="str">
            <v>4291</v>
          </cell>
        </row>
        <row r="19">
          <cell r="A19" t="str">
            <v>Business Nieuws NL</v>
          </cell>
          <cell r="B19" t="str">
            <v>1628</v>
          </cell>
        </row>
        <row r="20">
          <cell r="A20" t="str">
            <v>Chello NL</v>
          </cell>
          <cell r="B20" t="str">
            <v>5752</v>
          </cell>
        </row>
        <row r="21">
          <cell r="A21" t="str">
            <v>Colors NL</v>
          </cell>
          <cell r="B21" t="str">
            <v>1383</v>
          </cell>
        </row>
        <row r="22">
          <cell r="A22" t="str">
            <v>De Internet Pleinen NL</v>
          </cell>
          <cell r="B22" t="str">
            <v>7352</v>
          </cell>
        </row>
        <row r="23">
          <cell r="A23" t="str">
            <v>de zaak NL</v>
          </cell>
          <cell r="B23" t="str">
            <v>9778</v>
          </cell>
        </row>
        <row r="24">
          <cell r="A24" t="str">
            <v>E-power Online - NL</v>
          </cell>
          <cell r="B24" t="str">
            <v>8692</v>
          </cell>
        </row>
        <row r="25">
          <cell r="A25" t="str">
            <v>Easytel bv - NL</v>
          </cell>
          <cell r="B25" t="str">
            <v>8430</v>
          </cell>
        </row>
        <row r="26">
          <cell r="A26" t="str">
            <v>eBuddy NL</v>
          </cell>
          <cell r="B26" t="str">
            <v>9390</v>
          </cell>
        </row>
        <row r="27">
          <cell r="A27" t="str">
            <v>EMI Music NL</v>
          </cell>
          <cell r="B27" t="str">
            <v>8709</v>
          </cell>
        </row>
        <row r="28">
          <cell r="A28" t="str">
            <v>EtnoMedia NL</v>
          </cell>
          <cell r="B28" t="str">
            <v>6899</v>
          </cell>
        </row>
        <row r="29">
          <cell r="A29" t="str">
            <v>fd.nl</v>
          </cell>
          <cell r="B29" t="str">
            <v>1955</v>
          </cell>
        </row>
        <row r="30">
          <cell r="A30" t="str">
            <v>FTV NL</v>
          </cell>
          <cell r="B30" t="str">
            <v>4941</v>
          </cell>
        </row>
        <row r="31">
          <cell r="A31" t="str">
            <v>Funda.nl</v>
          </cell>
          <cell r="B31" t="str">
            <v>3151</v>
          </cell>
        </row>
        <row r="32">
          <cell r="A32" t="str">
            <v>Gamepoint NL</v>
          </cell>
          <cell r="B32" t="str">
            <v>12332</v>
          </cell>
        </row>
        <row r="33">
          <cell r="A33" t="str">
            <v>GOLF NL</v>
          </cell>
          <cell r="B33" t="str">
            <v>11289</v>
          </cell>
        </row>
        <row r="34">
          <cell r="A34" t="str">
            <v>good2b NL</v>
          </cell>
          <cell r="B34" t="str">
            <v>8292</v>
          </cell>
        </row>
        <row r="35">
          <cell r="A35" t="str">
            <v>Google NL</v>
          </cell>
          <cell r="B35" t="str">
            <v>12921</v>
          </cell>
        </row>
        <row r="36">
          <cell r="A36" t="str">
            <v>Hachette NL</v>
          </cell>
          <cell r="B36" t="str">
            <v>1629</v>
          </cell>
        </row>
        <row r="37">
          <cell r="A37" t="str">
            <v>HDC Media bv NL</v>
          </cell>
          <cell r="B37" t="str">
            <v>6438</v>
          </cell>
        </row>
        <row r="38">
          <cell r="A38" t="str">
            <v>Hyves NL</v>
          </cell>
          <cell r="B38" t="str">
            <v>7862</v>
          </cell>
        </row>
        <row r="39">
          <cell r="A39" t="str">
            <v>ict4you.com NL</v>
          </cell>
          <cell r="B39" t="str">
            <v>11365</v>
          </cell>
        </row>
        <row r="40">
          <cell r="A40" t="str">
            <v>IDG NL</v>
          </cell>
          <cell r="B40" t="str">
            <v>2175</v>
          </cell>
        </row>
        <row r="41">
          <cell r="A41" t="str">
            <v>IEX Media Groep NL</v>
          </cell>
          <cell r="B41" t="str">
            <v>9701</v>
          </cell>
        </row>
        <row r="42">
          <cell r="A42" t="str">
            <v>Ikvader NL</v>
          </cell>
          <cell r="B42" t="str">
            <v>5437</v>
          </cell>
        </row>
        <row r="43">
          <cell r="A43" t="str">
            <v>Ilse Media NL</v>
          </cell>
          <cell r="B43" t="str">
            <v>1374</v>
          </cell>
        </row>
        <row r="44">
          <cell r="A44" t="str">
            <v>IMNetworks NL</v>
          </cell>
          <cell r="B44" t="str">
            <v>10068</v>
          </cell>
        </row>
        <row r="45">
          <cell r="A45" t="str">
            <v>Informaxion NL</v>
          </cell>
          <cell r="B45" t="str">
            <v>1560</v>
          </cell>
        </row>
        <row r="46">
          <cell r="A46" t="str">
            <v>Interactive Media Networks NL</v>
          </cell>
          <cell r="B46" t="str">
            <v>8787</v>
          </cell>
        </row>
        <row r="47">
          <cell r="A47" t="str">
            <v>Isobar Communications NL</v>
          </cell>
          <cell r="B47" t="str">
            <v>1461</v>
          </cell>
        </row>
        <row r="48">
          <cell r="A48" t="str">
            <v>jetix NL</v>
          </cell>
          <cell r="B48" t="str">
            <v>6200</v>
          </cell>
        </row>
        <row r="49">
          <cell r="A49" t="str">
            <v>JNNP Online</v>
          </cell>
          <cell r="B49" t="str">
            <v>7739</v>
          </cell>
        </row>
        <row r="50">
          <cell r="A50" t="str">
            <v>Kelkoo NL</v>
          </cell>
          <cell r="B50" t="str">
            <v>8161</v>
          </cell>
        </row>
        <row r="51">
          <cell r="A51" t="str">
            <v>kidsweek nl</v>
          </cell>
          <cell r="B51" t="str">
            <v>6214</v>
          </cell>
        </row>
        <row r="52">
          <cell r="A52" t="str">
            <v>kieskeurig.nl</v>
          </cell>
          <cell r="B52" t="str">
            <v>8159</v>
          </cell>
        </row>
        <row r="53">
          <cell r="A53" t="str">
            <v>kluwer media NL</v>
          </cell>
          <cell r="B53" t="str">
            <v>13077</v>
          </cell>
        </row>
        <row r="54">
          <cell r="A54" t="str">
            <v>Knvb NL</v>
          </cell>
          <cell r="B54" t="str">
            <v>6931</v>
          </cell>
        </row>
        <row r="55">
          <cell r="A55" t="str">
            <v>KPN TV &amp; Media NL</v>
          </cell>
          <cell r="B55" t="str">
            <v>8380</v>
          </cell>
        </row>
        <row r="56">
          <cell r="A56" t="str">
            <v>KRO Communicatie &amp; Marketing NL</v>
          </cell>
          <cell r="B56" t="str">
            <v>12870</v>
          </cell>
        </row>
        <row r="57">
          <cell r="A57" t="str">
            <v>lekkerding.nl</v>
          </cell>
          <cell r="B57" t="str">
            <v>7495</v>
          </cell>
        </row>
        <row r="58">
          <cell r="A58" t="str">
            <v>LetsGoDigital Online Magazine NL</v>
          </cell>
          <cell r="B58" t="str">
            <v>7714</v>
          </cell>
        </row>
        <row r="59">
          <cell r="A59" t="str">
            <v>Lycos NL</v>
          </cell>
          <cell r="B59" t="str">
            <v>2896</v>
          </cell>
        </row>
        <row r="60">
          <cell r="A60" t="str">
            <v>marktplaats nl</v>
          </cell>
          <cell r="B60" t="str">
            <v>10022</v>
          </cell>
        </row>
        <row r="61">
          <cell r="A61" t="str">
            <v>mediaplus NL</v>
          </cell>
          <cell r="B61" t="str">
            <v>9783</v>
          </cell>
        </row>
        <row r="62">
          <cell r="A62" t="str">
            <v>Mediasquares NL</v>
          </cell>
          <cell r="B62" t="str">
            <v>10705</v>
          </cell>
        </row>
        <row r="63">
          <cell r="A63" t="str">
            <v>MegaJobs NL</v>
          </cell>
          <cell r="B63" t="str">
            <v>10399</v>
          </cell>
        </row>
        <row r="64">
          <cell r="A64" t="str">
            <v>MijnAlbum NL</v>
          </cell>
          <cell r="B64" t="str">
            <v>10706</v>
          </cell>
        </row>
        <row r="65">
          <cell r="A65" t="str">
            <v>Monsterboard NL</v>
          </cell>
          <cell r="B65" t="str">
            <v>10400</v>
          </cell>
        </row>
        <row r="66">
          <cell r="A66" t="str">
            <v>Moonlight Films NL</v>
          </cell>
          <cell r="B66" t="str">
            <v>12490</v>
          </cell>
        </row>
        <row r="67">
          <cell r="A67" t="str">
            <v>MSN NL</v>
          </cell>
          <cell r="B67" t="str">
            <v>1364</v>
          </cell>
        </row>
        <row r="68">
          <cell r="A68" t="str">
            <v>MTV Networks Benelux NL</v>
          </cell>
          <cell r="B68" t="str">
            <v>10363</v>
          </cell>
        </row>
        <row r="69">
          <cell r="A69" t="str">
            <v>netdirect NL</v>
          </cell>
          <cell r="B69" t="str">
            <v>6331</v>
          </cell>
        </row>
        <row r="70">
          <cell r="A70" t="str">
            <v>News Media NL</v>
          </cell>
          <cell r="B70" t="str">
            <v>9520</v>
          </cell>
        </row>
        <row r="71">
          <cell r="A71" t="str">
            <v>PCM NL</v>
          </cell>
          <cell r="B71" t="str">
            <v>6978</v>
          </cell>
        </row>
        <row r="72">
          <cell r="A72" t="str">
            <v>Pen NL</v>
          </cell>
          <cell r="B72" t="str">
            <v>1487</v>
          </cell>
        </row>
        <row r="73">
          <cell r="A73" t="str">
            <v>Perfect User bv</v>
          </cell>
          <cell r="B73" t="str">
            <v>8371</v>
          </cell>
        </row>
        <row r="74">
          <cell r="A74" t="str">
            <v>Planet Media NL</v>
          </cell>
          <cell r="B74" t="str">
            <v>1499</v>
          </cell>
        </row>
        <row r="75">
          <cell r="A75" t="str">
            <v>Preview NL</v>
          </cell>
          <cell r="B75" t="str">
            <v>9112</v>
          </cell>
        </row>
        <row r="76">
          <cell r="A76" t="str">
            <v>Publisher NL</v>
          </cell>
          <cell r="B76" t="str">
            <v>11451</v>
          </cell>
        </row>
        <row r="77">
          <cell r="A77" t="str">
            <v>Radio538 NL</v>
          </cell>
          <cell r="B77" t="str">
            <v>7341</v>
          </cell>
        </row>
        <row r="78">
          <cell r="A78" t="str">
            <v>Readershouse / Hearst NL</v>
          </cell>
          <cell r="B78" t="str">
            <v>10001</v>
          </cell>
        </row>
        <row r="79">
          <cell r="A79" t="str">
            <v>Rebel Media Creators NL</v>
          </cell>
          <cell r="B79" t="str">
            <v>9959</v>
          </cell>
        </row>
        <row r="80">
          <cell r="A80" t="str">
            <v>Red Chocolate NL</v>
          </cell>
          <cell r="B80" t="str">
            <v>12741</v>
          </cell>
        </row>
        <row r="81">
          <cell r="A81" t="str">
            <v>Reed Business NL</v>
          </cell>
          <cell r="B81" t="str">
            <v>1627</v>
          </cell>
        </row>
        <row r="82">
          <cell r="A82" t="str">
            <v>RS Media Sales NL</v>
          </cell>
          <cell r="B82" t="str">
            <v>12306</v>
          </cell>
        </row>
        <row r="83">
          <cell r="A83" t="str">
            <v>RTL Nederland NL</v>
          </cell>
          <cell r="B83" t="str">
            <v>3150</v>
          </cell>
        </row>
        <row r="84">
          <cell r="A84" t="str">
            <v>Sdu Uitgevers NL</v>
          </cell>
          <cell r="B84" t="str">
            <v>9275</v>
          </cell>
        </row>
        <row r="85">
          <cell r="A85" t="str">
            <v>Semilo NL</v>
          </cell>
          <cell r="B85" t="str">
            <v>6849</v>
          </cell>
        </row>
        <row r="86">
          <cell r="A86" t="str">
            <v>Sky NL</v>
          </cell>
          <cell r="B86" t="str">
            <v>4290</v>
          </cell>
        </row>
        <row r="87">
          <cell r="A87" t="str">
            <v>Smartforum NL</v>
          </cell>
          <cell r="B87" t="str">
            <v>11594</v>
          </cell>
        </row>
        <row r="88">
          <cell r="A88" t="str">
            <v>Speurders nl</v>
          </cell>
          <cell r="B88" t="str">
            <v>6318</v>
          </cell>
        </row>
        <row r="89">
          <cell r="A89" t="str">
            <v>Spotzer NL</v>
          </cell>
          <cell r="B89" t="str">
            <v>12875</v>
          </cell>
        </row>
        <row r="90">
          <cell r="A90" t="str">
            <v>STER NL</v>
          </cell>
          <cell r="B90" t="str">
            <v>7022</v>
          </cell>
        </row>
        <row r="91">
          <cell r="A91" t="str">
            <v>Tam Tam NL</v>
          </cell>
          <cell r="B91" t="str">
            <v>3271</v>
          </cell>
        </row>
        <row r="92">
          <cell r="A92" t="str">
            <v>Telecomvergelijker NL</v>
          </cell>
          <cell r="B92" t="str">
            <v>6989</v>
          </cell>
        </row>
        <row r="93">
          <cell r="A93" t="str">
            <v>Telefoongids NL</v>
          </cell>
          <cell r="B93" t="str">
            <v>4292</v>
          </cell>
        </row>
        <row r="94">
          <cell r="A94" t="str">
            <v>Telegraaf NL</v>
          </cell>
          <cell r="B94" t="str">
            <v>1341</v>
          </cell>
        </row>
        <row r="95">
          <cell r="A95" t="str">
            <v>Tention Media NL</v>
          </cell>
          <cell r="B95" t="str">
            <v>4939</v>
          </cell>
        </row>
        <row r="96">
          <cell r="A96" t="str">
            <v>Tibaco NL</v>
          </cell>
          <cell r="B96" t="str">
            <v>7724</v>
          </cell>
        </row>
        <row r="97">
          <cell r="A97" t="str">
            <v>TradeDoubler NL</v>
          </cell>
          <cell r="B97" t="str">
            <v>11585</v>
          </cell>
        </row>
        <row r="98">
          <cell r="A98" t="str">
            <v>Trustmedia NL</v>
          </cell>
          <cell r="B98" t="str">
            <v>4813</v>
          </cell>
        </row>
        <row r="99">
          <cell r="A99" t="str">
            <v>Uitgeverij Compres bv</v>
          </cell>
          <cell r="B99" t="str">
            <v>12728</v>
          </cell>
        </row>
        <row r="100">
          <cell r="A100" t="str">
            <v>Veerkracht NL</v>
          </cell>
          <cell r="B100" t="str">
            <v>7028</v>
          </cell>
        </row>
        <row r="101">
          <cell r="A101" t="str">
            <v>vergelijk NL</v>
          </cell>
          <cell r="B101" t="str">
            <v>8160</v>
          </cell>
        </row>
        <row r="102">
          <cell r="A102" t="str">
            <v>Versatel.nl</v>
          </cell>
          <cell r="B102" t="str">
            <v>3314</v>
          </cell>
        </row>
        <row r="103">
          <cell r="A103" t="str">
            <v>Viceland NL</v>
          </cell>
          <cell r="B103" t="str">
            <v>10708</v>
          </cell>
        </row>
        <row r="104">
          <cell r="A104" t="str">
            <v>VNU Business Publications NL</v>
          </cell>
          <cell r="B104" t="str">
            <v>2708</v>
          </cell>
        </row>
        <row r="105">
          <cell r="A105" t="str">
            <v>Voetbal International NL</v>
          </cell>
          <cell r="B105" t="str">
            <v>6835</v>
          </cell>
        </row>
        <row r="106">
          <cell r="A106" t="str">
            <v>volkomenkut.com NL</v>
          </cell>
          <cell r="B106" t="str">
            <v>6983</v>
          </cell>
        </row>
        <row r="107">
          <cell r="A107" t="str">
            <v>Wanadoo NL</v>
          </cell>
          <cell r="B107" t="str">
            <v>1462</v>
          </cell>
        </row>
        <row r="108">
          <cell r="A108" t="str">
            <v>Webads NL</v>
          </cell>
          <cell r="B108" t="str">
            <v>1266</v>
          </cell>
        </row>
        <row r="109">
          <cell r="A109" t="str">
            <v>Weeronline NL</v>
          </cell>
          <cell r="B109" t="str">
            <v>9677</v>
          </cell>
        </row>
        <row r="110">
          <cell r="A110" t="str">
            <v>Wegener Multimedia NL</v>
          </cell>
          <cell r="B110" t="str">
            <v>6501</v>
          </cell>
        </row>
        <row r="111">
          <cell r="A111" t="str">
            <v>Wij special Media</v>
          </cell>
          <cell r="B111" t="str">
            <v>12747</v>
          </cell>
        </row>
        <row r="112">
          <cell r="A112" t="str">
            <v>Yahoo! NL</v>
          </cell>
          <cell r="B112" t="str">
            <v>1353</v>
          </cell>
        </row>
        <row r="113">
          <cell r="A113" t="str">
            <v>YMG Networks NL</v>
          </cell>
          <cell r="B113" t="str">
            <v>12244</v>
          </cell>
        </row>
        <row r="114">
          <cell r="A114" t="str">
            <v>yourscene NL</v>
          </cell>
          <cell r="B114" t="str">
            <v>6174</v>
          </cell>
        </row>
        <row r="115">
          <cell r="A115" t="str">
            <v>Z24 NL</v>
          </cell>
          <cell r="B115" t="str">
            <v>12783</v>
          </cell>
        </row>
        <row r="116">
          <cell r="A116" t="str">
            <v>Zoomin NL</v>
          </cell>
          <cell r="B116" t="str">
            <v>10023</v>
          </cell>
        </row>
        <row r="117">
          <cell r="A117" t="str">
            <v>Zylom NL</v>
          </cell>
          <cell r="B117" t="str">
            <v>4289</v>
          </cell>
        </row>
      </sheetData>
      <sheetData sheetId="1">
        <row r="3">
          <cell r="A3" t="str">
            <v>Ad7 NL</v>
          </cell>
        </row>
      </sheetData>
      <sheetData sheetId="2">
        <row r="3">
          <cell r="A3" t="str">
            <v>Ad7 NL</v>
          </cell>
        </row>
      </sheetData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Tarifas Marzo 2009 v22"/>
      <sheetName val="Rating"/>
    </sheetNames>
    <sheetDataSet>
      <sheetData sheetId="0">
        <row r="1">
          <cell r="B1" t="str">
            <v>Programa</v>
          </cell>
          <cell r="C1" t="str">
            <v>DDC ABC</v>
          </cell>
          <cell r="D1" t="str">
            <v>DDC ABC T</v>
          </cell>
          <cell r="F1" t="str">
            <v>Programa</v>
          </cell>
          <cell r="G1" t="str">
            <v>HM 13-24 ABC</v>
          </cell>
          <cell r="H1" t="str">
            <v>HM 13-24 ABC T</v>
          </cell>
          <cell r="J1" t="str">
            <v>Programa</v>
          </cell>
          <cell r="K1" t="str">
            <v>HM 25-64 ABC</v>
          </cell>
          <cell r="L1" t="str">
            <v>HM 25-64 ABC T</v>
          </cell>
          <cell r="N1" t="str">
            <v>Programa</v>
          </cell>
          <cell r="O1" t="str">
            <v>HM 4-12 ABC</v>
          </cell>
          <cell r="P1" t="str">
            <v>HM 4-12 ABC T</v>
          </cell>
        </row>
        <row r="2">
          <cell r="B2" t="str">
            <v>7 DIAS</v>
          </cell>
          <cell r="C2">
            <v>2.11</v>
          </cell>
          <cell r="D2">
            <v>1.8219999999999998</v>
          </cell>
          <cell r="F2" t="str">
            <v>7 DIAS</v>
          </cell>
          <cell r="G2">
            <v>0.72799999999999998</v>
          </cell>
          <cell r="H2">
            <v>0.64200000000000002</v>
          </cell>
          <cell r="J2" t="str">
            <v>7 DIAS</v>
          </cell>
          <cell r="K2">
            <v>2.0920000000000001</v>
          </cell>
          <cell r="L2">
            <v>1.85</v>
          </cell>
          <cell r="N2" t="str">
            <v>7 DIAS</v>
          </cell>
          <cell r="O2">
            <v>1.1019999999999999</v>
          </cell>
          <cell r="P2">
            <v>0.91400000000000003</v>
          </cell>
        </row>
        <row r="3">
          <cell r="B3" t="str">
            <v>AVANCE CHV NOTICIAS</v>
          </cell>
          <cell r="C3">
            <v>2.9862857142857133</v>
          </cell>
          <cell r="D3">
            <v>2.9748571428571422</v>
          </cell>
          <cell r="F3" t="str">
            <v>AVANCE CHV NOTICIAS</v>
          </cell>
          <cell r="G3">
            <v>2.9237142857142855</v>
          </cell>
          <cell r="H3">
            <v>2.9060000000000001</v>
          </cell>
          <cell r="J3" t="str">
            <v>AVANCE CHV NOTICIAS</v>
          </cell>
          <cell r="K3">
            <v>2.2205714285714295</v>
          </cell>
          <cell r="L3">
            <v>2.2128571428571435</v>
          </cell>
          <cell r="N3" t="str">
            <v>AVANCE CHV NOTICIAS</v>
          </cell>
          <cell r="O3">
            <v>2.4568571428571437</v>
          </cell>
          <cell r="P3">
            <v>2.4325714285714293</v>
          </cell>
        </row>
        <row r="4">
          <cell r="B4" t="str">
            <v>CANCIONES RE-TOCADAS</v>
          </cell>
          <cell r="C4">
            <v>1.62</v>
          </cell>
          <cell r="D4">
            <v>0.61257142857142866</v>
          </cell>
          <cell r="F4" t="str">
            <v>CANCIONES RE-TOCADAS</v>
          </cell>
          <cell r="G4">
            <v>0.8997142857142858</v>
          </cell>
          <cell r="H4">
            <v>0.28542857142857136</v>
          </cell>
          <cell r="J4" t="str">
            <v>CANCIONES RE-TOCADAS</v>
          </cell>
          <cell r="K4">
            <v>1.628857142857143</v>
          </cell>
          <cell r="L4">
            <v>0.62371428571428555</v>
          </cell>
          <cell r="N4" t="str">
            <v>CANCIONES RE-TOCADAS</v>
          </cell>
          <cell r="O4">
            <v>0.30828571428571416</v>
          </cell>
          <cell r="P4">
            <v>0.15114285714285711</v>
          </cell>
        </row>
        <row r="5">
          <cell r="B5" t="str">
            <v>CHV NOTICIAS CENTRAL</v>
          </cell>
          <cell r="C5">
            <v>7.2768571428571427</v>
          </cell>
          <cell r="D5">
            <v>6.6717142857142866</v>
          </cell>
          <cell r="F5" t="str">
            <v>CHV NOTICIAS CENTRAL</v>
          </cell>
          <cell r="G5">
            <v>4.6291428571428561</v>
          </cell>
          <cell r="H5">
            <v>3.9042857142857144</v>
          </cell>
          <cell r="J5" t="str">
            <v>CHV NOTICIAS CENTRAL</v>
          </cell>
          <cell r="K5">
            <v>6.8408571428571427</v>
          </cell>
          <cell r="L5">
            <v>6.1034285714285712</v>
          </cell>
          <cell r="N5" t="str">
            <v>CHV NOTICIAS CENTRAL</v>
          </cell>
          <cell r="O5">
            <v>3.4865714285714278</v>
          </cell>
          <cell r="P5">
            <v>3.0794285714285707</v>
          </cell>
        </row>
        <row r="6">
          <cell r="B6" t="str">
            <v>CHV NOTICIAS MATINAL</v>
          </cell>
          <cell r="C6">
            <v>2.6072000000000006</v>
          </cell>
          <cell r="D6">
            <v>2.4807999999999999</v>
          </cell>
          <cell r="F6" t="str">
            <v>CHV NOTICIAS MATINAL</v>
          </cell>
          <cell r="G6">
            <v>0.76479999999999992</v>
          </cell>
          <cell r="H6">
            <v>0.66400000000000003</v>
          </cell>
          <cell r="J6" t="str">
            <v>CHV NOTICIAS MATINAL</v>
          </cell>
          <cell r="K6">
            <v>2.2779999999999996</v>
          </cell>
          <cell r="L6">
            <v>2.0820000000000003</v>
          </cell>
          <cell r="N6" t="str">
            <v>CHV NOTICIAS MATINAL</v>
          </cell>
          <cell r="O6">
            <v>0.30759999999999993</v>
          </cell>
          <cell r="P6">
            <v>0.27359999999999995</v>
          </cell>
        </row>
        <row r="7">
          <cell r="B7" t="str">
            <v>CHV NOTICIAS NOCHE</v>
          </cell>
          <cell r="C7">
            <v>4.8889999999999993</v>
          </cell>
          <cell r="D7">
            <v>4.2750000000000004</v>
          </cell>
          <cell r="F7" t="str">
            <v>CHV NOTICIAS NOCHE</v>
          </cell>
          <cell r="G7">
            <v>1.1940000000000002</v>
          </cell>
          <cell r="H7">
            <v>0.93400000000000016</v>
          </cell>
          <cell r="J7" t="str">
            <v>CHV NOTICIAS NOCHE</v>
          </cell>
          <cell r="K7">
            <v>3.6440000000000006</v>
          </cell>
          <cell r="L7">
            <v>3.0889999999999995</v>
          </cell>
          <cell r="N7" t="str">
            <v>CHV NOTICIAS NOCHE</v>
          </cell>
          <cell r="O7">
            <v>0.96099999999999997</v>
          </cell>
          <cell r="P7">
            <v>0.79</v>
          </cell>
        </row>
        <row r="8">
          <cell r="B8" t="str">
            <v>CHV NOTICIAS TARDE</v>
          </cell>
          <cell r="C8">
            <v>4.3548571428571439</v>
          </cell>
          <cell r="D8">
            <v>4.0965714285714281</v>
          </cell>
          <cell r="F8" t="str">
            <v>CHV NOTICIAS TARDE</v>
          </cell>
          <cell r="G8">
            <v>1.9874285714285711</v>
          </cell>
          <cell r="H8">
            <v>1.7888571428571431</v>
          </cell>
          <cell r="J8" t="str">
            <v>CHV NOTICIAS TARDE</v>
          </cell>
          <cell r="K8">
            <v>3.3002857142857143</v>
          </cell>
          <cell r="L8">
            <v>3.0397142857142856</v>
          </cell>
          <cell r="N8" t="str">
            <v>CHV NOTICIAS TARDE</v>
          </cell>
          <cell r="O8">
            <v>1.3337142857142856</v>
          </cell>
          <cell r="P8">
            <v>1.2848571428571427</v>
          </cell>
        </row>
        <row r="9">
          <cell r="B9" t="str">
            <v>CHV NOTICIAS ULTIMA MIRADA</v>
          </cell>
          <cell r="C9">
            <v>4.3047999999999993</v>
          </cell>
          <cell r="D9">
            <v>3.3196000000000003</v>
          </cell>
          <cell r="F9" t="str">
            <v>CHV NOTICIAS ULTIMA MIRADA</v>
          </cell>
          <cell r="G9">
            <v>1.6772000000000002</v>
          </cell>
          <cell r="H9">
            <v>1.256</v>
          </cell>
          <cell r="J9" t="str">
            <v>CHV NOTICIAS ULTIMA MIRADA</v>
          </cell>
          <cell r="K9">
            <v>3.5920000000000005</v>
          </cell>
          <cell r="L9">
            <v>2.73</v>
          </cell>
          <cell r="N9" t="str">
            <v>CHV NOTICIAS ULTIMA MIRADA</v>
          </cell>
          <cell r="O9">
            <v>0.81280000000000019</v>
          </cell>
          <cell r="P9">
            <v>0.64479999999999993</v>
          </cell>
        </row>
        <row r="10">
          <cell r="B10" t="str">
            <v>CINE</v>
          </cell>
          <cell r="C10">
            <v>2.403</v>
          </cell>
          <cell r="D10">
            <v>2.1320000000000001</v>
          </cell>
          <cell r="F10" t="str">
            <v>CINE</v>
          </cell>
          <cell r="G10">
            <v>1.5209999999999999</v>
          </cell>
          <cell r="H10">
            <v>1.2869999999999999</v>
          </cell>
          <cell r="J10" t="str">
            <v>CINE</v>
          </cell>
          <cell r="K10">
            <v>2.1779999999999999</v>
          </cell>
          <cell r="L10">
            <v>1.911</v>
          </cell>
          <cell r="N10" t="str">
            <v>CINE</v>
          </cell>
          <cell r="O10">
            <v>1.68</v>
          </cell>
          <cell r="P10">
            <v>1.5220000000000002</v>
          </cell>
        </row>
        <row r="11">
          <cell r="B11" t="str">
            <v>CINE FAMILIAR</v>
          </cell>
          <cell r="C11">
            <v>0.46</v>
          </cell>
          <cell r="D11">
            <v>0.32400000000000001</v>
          </cell>
          <cell r="F11" t="str">
            <v>CINE FAMILIAR</v>
          </cell>
          <cell r="G11">
            <v>3.54</v>
          </cell>
          <cell r="H11">
            <v>3.0920000000000001</v>
          </cell>
          <cell r="J11" t="str">
            <v>CINE FAMILIAR</v>
          </cell>
          <cell r="K11">
            <v>1.9779999999999998</v>
          </cell>
          <cell r="L11">
            <v>1.74</v>
          </cell>
          <cell r="N11" t="str">
            <v>CINE FAMILIAR</v>
          </cell>
          <cell r="O11">
            <v>2.8559999999999999</v>
          </cell>
          <cell r="P11">
            <v>2.722</v>
          </cell>
        </row>
        <row r="12">
          <cell r="B12" t="str">
            <v>CINE MEDIO DIA</v>
          </cell>
          <cell r="C12">
            <v>1.1966666666666665</v>
          </cell>
          <cell r="D12">
            <v>1.0966666666666667</v>
          </cell>
          <cell r="F12" t="str">
            <v>CINE MEDIO DIA</v>
          </cell>
          <cell r="G12">
            <v>0</v>
          </cell>
          <cell r="H12">
            <v>0</v>
          </cell>
          <cell r="J12" t="str">
            <v>CINE MEDIO DIA</v>
          </cell>
          <cell r="K12">
            <v>1.1866666666666665</v>
          </cell>
          <cell r="L12">
            <v>1.05</v>
          </cell>
          <cell r="N12" t="str">
            <v>CINE MEDIO DIA</v>
          </cell>
          <cell r="O12">
            <v>0</v>
          </cell>
          <cell r="P12">
            <v>0</v>
          </cell>
        </row>
        <row r="13">
          <cell r="B13" t="str">
            <v>DESPERTANDO CON CHILEVISION</v>
          </cell>
          <cell r="C13">
            <v>9.360000000000003E-2</v>
          </cell>
          <cell r="D13">
            <v>8.0000000000000002E-3</v>
          </cell>
          <cell r="F13" t="str">
            <v>DESPERTANDO CON CHILEVISION</v>
          </cell>
          <cell r="G13">
            <v>3.4800000000000011E-2</v>
          </cell>
          <cell r="H13">
            <v>0.01</v>
          </cell>
          <cell r="J13" t="str">
            <v>DESPERTANDO CON CHILEVISION</v>
          </cell>
          <cell r="K13">
            <v>7.0800000000000016E-2</v>
          </cell>
          <cell r="L13">
            <v>1.5200000000000002E-2</v>
          </cell>
          <cell r="N13" t="str">
            <v>DESPERTANDO CON CHILEVISION</v>
          </cell>
          <cell r="O13">
            <v>2E-3</v>
          </cell>
          <cell r="P13">
            <v>2E-3</v>
          </cell>
        </row>
        <row r="14">
          <cell r="B14" t="str">
            <v>DETRAS DE LA PANTALLA...EL VER</v>
          </cell>
          <cell r="C14">
            <v>6.9340000000000002</v>
          </cell>
          <cell r="D14">
            <v>6.3659999999999997</v>
          </cell>
          <cell r="F14" t="str">
            <v>DETRAS DE LA PANTALLA...EL VER</v>
          </cell>
          <cell r="G14">
            <v>2.2760000000000002</v>
          </cell>
          <cell r="H14">
            <v>2.0159999999999996</v>
          </cell>
          <cell r="J14" t="str">
            <v>DETRAS DE LA PANTALLA...EL VER</v>
          </cell>
          <cell r="K14">
            <v>5.53</v>
          </cell>
          <cell r="L14">
            <v>4.9760000000000009</v>
          </cell>
          <cell r="N14" t="str">
            <v>DETRAS DE LA PANTALLA...EL VER</v>
          </cell>
          <cell r="O14">
            <v>1.302</v>
          </cell>
          <cell r="P14">
            <v>1.1299999999999999</v>
          </cell>
        </row>
        <row r="15">
          <cell r="B15" t="str">
            <v>DOCUMENTOS</v>
          </cell>
          <cell r="C15">
            <v>3.0720000000000001</v>
          </cell>
          <cell r="D15">
            <v>2.83</v>
          </cell>
          <cell r="F15" t="str">
            <v>DOCUMENTOS</v>
          </cell>
          <cell r="G15">
            <v>1.04</v>
          </cell>
          <cell r="H15">
            <v>0.84399999999999997</v>
          </cell>
          <cell r="J15" t="str">
            <v>DOCUMENTOS</v>
          </cell>
          <cell r="K15">
            <v>2.7079999999999997</v>
          </cell>
          <cell r="L15">
            <v>2.4480000000000004</v>
          </cell>
          <cell r="N15" t="str">
            <v>DOCUMENTOS</v>
          </cell>
          <cell r="O15">
            <v>1.29</v>
          </cell>
          <cell r="P15">
            <v>1.19</v>
          </cell>
        </row>
        <row r="16">
          <cell r="B16" t="str">
            <v>EL CLUB DE LA COMEDIA</v>
          </cell>
          <cell r="C16">
            <v>5.6820000000000004</v>
          </cell>
          <cell r="D16">
            <v>4.863999999999999</v>
          </cell>
          <cell r="F16" t="str">
            <v>EL CLUB DE LA COMEDIA</v>
          </cell>
          <cell r="G16">
            <v>6.145999999999999</v>
          </cell>
          <cell r="H16">
            <v>5.1219999999999999</v>
          </cell>
          <cell r="J16" t="str">
            <v>EL CLUB DE LA COMEDIA</v>
          </cell>
          <cell r="K16">
            <v>6.1579999999999995</v>
          </cell>
          <cell r="L16">
            <v>5.28</v>
          </cell>
          <cell r="N16" t="str">
            <v>EL CLUB DE LA COMEDIA</v>
          </cell>
          <cell r="O16">
            <v>4.2919999999999998</v>
          </cell>
          <cell r="P16">
            <v>3.88</v>
          </cell>
        </row>
        <row r="17">
          <cell r="B17" t="str">
            <v>EL DIARIO DE EVA</v>
          </cell>
          <cell r="C17">
            <v>2.4119999999999999</v>
          </cell>
          <cell r="D17">
            <v>2.2548000000000004</v>
          </cell>
          <cell r="F17" t="str">
            <v>EL DIARIO DE EVA</v>
          </cell>
          <cell r="G17">
            <v>3.0067999999999997</v>
          </cell>
          <cell r="H17">
            <v>2.7283999999999997</v>
          </cell>
          <cell r="J17" t="str">
            <v>EL DIARIO DE EVA</v>
          </cell>
          <cell r="K17">
            <v>1.7471999999999994</v>
          </cell>
          <cell r="L17">
            <v>1.6067999999999998</v>
          </cell>
          <cell r="N17" t="str">
            <v>EL DIARIO DE EVA</v>
          </cell>
          <cell r="O17">
            <v>2.0367999999999999</v>
          </cell>
          <cell r="P17">
            <v>2.0555999999999996</v>
          </cell>
        </row>
        <row r="18">
          <cell r="B18" t="str">
            <v>EL TIEMPO EN CHV</v>
          </cell>
          <cell r="C18">
            <v>4.2220000000000004</v>
          </cell>
          <cell r="D18">
            <v>2.5051999999999999</v>
          </cell>
          <cell r="F18" t="str">
            <v>EL TIEMPO EN CHV</v>
          </cell>
          <cell r="G18">
            <v>1.9151999999999996</v>
          </cell>
          <cell r="H18">
            <v>1.3619999999999999</v>
          </cell>
          <cell r="J18" t="str">
            <v>EL TIEMPO EN CHV</v>
          </cell>
          <cell r="K18">
            <v>2.9319999999999999</v>
          </cell>
          <cell r="L18">
            <v>1.7428000000000003</v>
          </cell>
          <cell r="N18" t="str">
            <v>EL TIEMPO EN CHV</v>
          </cell>
          <cell r="O18">
            <v>1.0843999999999998</v>
          </cell>
          <cell r="P18">
            <v>0.67759999999999987</v>
          </cell>
        </row>
        <row r="19">
          <cell r="B19" t="str">
            <v>EL TIEMPO EN CHV (C)</v>
          </cell>
          <cell r="C19">
            <v>6.0662857142857138</v>
          </cell>
          <cell r="D19">
            <v>6.39</v>
          </cell>
          <cell r="F19" t="str">
            <v>EL TIEMPO EN CHV (C)</v>
          </cell>
          <cell r="G19">
            <v>3.3762857142857139</v>
          </cell>
          <cell r="H19">
            <v>3.4122857142857144</v>
          </cell>
          <cell r="J19" t="str">
            <v>EL TIEMPO EN CHV (C)</v>
          </cell>
          <cell r="K19">
            <v>5.8042857142857143</v>
          </cell>
          <cell r="L19">
            <v>5.9537142857142866</v>
          </cell>
          <cell r="N19" t="str">
            <v>EL TIEMPO EN CHV (C)</v>
          </cell>
          <cell r="O19">
            <v>2.475714285714286</v>
          </cell>
          <cell r="P19">
            <v>2.4537142857142857</v>
          </cell>
        </row>
        <row r="20">
          <cell r="B20" t="str">
            <v>EL TIEMPO EN CHV (N)</v>
          </cell>
          <cell r="C20">
            <v>2.8951428571428566</v>
          </cell>
          <cell r="D20">
            <v>2.423714285714285</v>
          </cell>
          <cell r="F20" t="str">
            <v>EL TIEMPO EN CHV (N)</v>
          </cell>
          <cell r="G20">
            <v>1.1302857142857146</v>
          </cell>
          <cell r="H20">
            <v>0.93542857142857128</v>
          </cell>
          <cell r="J20" t="str">
            <v>EL TIEMPO EN CHV (N)</v>
          </cell>
          <cell r="K20">
            <v>2.3631428571428574</v>
          </cell>
          <cell r="L20">
            <v>1.9817142857142858</v>
          </cell>
          <cell r="N20" t="str">
            <v>EL TIEMPO EN CHV (N)</v>
          </cell>
          <cell r="O20">
            <v>0.56742857142857128</v>
          </cell>
          <cell r="P20">
            <v>0.4642857142857143</v>
          </cell>
        </row>
        <row r="21">
          <cell r="B21" t="str">
            <v>EN LA MIRA</v>
          </cell>
          <cell r="C21">
            <v>10.14</v>
          </cell>
          <cell r="D21">
            <v>9.168000000000001</v>
          </cell>
          <cell r="F21" t="str">
            <v>EN LA MIRA</v>
          </cell>
          <cell r="G21">
            <v>5.6319999999999997</v>
          </cell>
          <cell r="H21">
            <v>4.8640000000000008</v>
          </cell>
          <cell r="J21" t="str">
            <v>EN LA MIRA</v>
          </cell>
          <cell r="K21">
            <v>10.034000000000001</v>
          </cell>
          <cell r="L21">
            <v>8.918000000000001</v>
          </cell>
          <cell r="N21" t="str">
            <v>EN LA MIRA</v>
          </cell>
          <cell r="O21">
            <v>3.8480000000000003</v>
          </cell>
          <cell r="P21">
            <v>3.3660000000000005</v>
          </cell>
        </row>
        <row r="22">
          <cell r="B22" t="str">
            <v>ENTRE PROGRAMAS</v>
          </cell>
          <cell r="C22">
            <v>4.9000000000000002E-2</v>
          </cell>
          <cell r="D22">
            <v>7.3000000000000023E-2</v>
          </cell>
          <cell r="F22" t="str">
            <v>ENTRE PROGRAMAS</v>
          </cell>
          <cell r="G22">
            <v>2.2499999999999999E-2</v>
          </cell>
          <cell r="H22">
            <v>0.02</v>
          </cell>
          <cell r="J22" t="str">
            <v>ENTRE PROGRAMAS</v>
          </cell>
          <cell r="K22">
            <v>4.1000000000000002E-2</v>
          </cell>
          <cell r="L22">
            <v>6.1000000000000013E-2</v>
          </cell>
          <cell r="N22" t="str">
            <v>ENTRE PROGRAMAS</v>
          </cell>
          <cell r="O22">
            <v>0</v>
          </cell>
          <cell r="P22">
            <v>0</v>
          </cell>
        </row>
        <row r="23">
          <cell r="B23" t="str">
            <v>FORMULA UNO</v>
          </cell>
          <cell r="C23">
            <v>1.1100000000000001</v>
          </cell>
          <cell r="D23">
            <v>0.90500000000000003</v>
          </cell>
          <cell r="F23" t="str">
            <v>FORMULA UNO</v>
          </cell>
          <cell r="G23">
            <v>0.70499999999999996</v>
          </cell>
          <cell r="H23">
            <v>0.52</v>
          </cell>
          <cell r="J23" t="str">
            <v>FORMULA UNO</v>
          </cell>
          <cell r="K23">
            <v>1.2050000000000001</v>
          </cell>
          <cell r="L23">
            <v>0.97</v>
          </cell>
          <cell r="N23" t="str">
            <v>FORMULA UNO</v>
          </cell>
          <cell r="O23">
            <v>0.14499999999999999</v>
          </cell>
          <cell r="P23">
            <v>0.09</v>
          </cell>
        </row>
        <row r="24">
          <cell r="B24" t="str">
            <v>GENTE COMO TU</v>
          </cell>
          <cell r="C24">
            <v>2.0919999999999996</v>
          </cell>
          <cell r="D24">
            <v>1.9091999999999998</v>
          </cell>
          <cell r="F24" t="str">
            <v>GENTE COMO TU</v>
          </cell>
          <cell r="G24">
            <v>0.43679999999999991</v>
          </cell>
          <cell r="H24">
            <v>0.34440000000000004</v>
          </cell>
          <cell r="J24" t="str">
            <v>GENTE COMO TU</v>
          </cell>
          <cell r="K24">
            <v>1.5731999999999997</v>
          </cell>
          <cell r="L24">
            <v>1.3976</v>
          </cell>
          <cell r="N24" t="str">
            <v>GENTE COMO TU</v>
          </cell>
          <cell r="O24">
            <v>0.27080000000000004</v>
          </cell>
          <cell r="P24">
            <v>0.2339999999999999</v>
          </cell>
        </row>
        <row r="25">
          <cell r="B25" t="str">
            <v>HISTORIAS CHILENAS</v>
          </cell>
          <cell r="C25">
            <v>4.3940000000000001</v>
          </cell>
          <cell r="D25">
            <v>3.5420000000000003</v>
          </cell>
          <cell r="F25" t="str">
            <v>HISTORIAS CHILENAS</v>
          </cell>
          <cell r="G25">
            <v>3.3519999999999994</v>
          </cell>
          <cell r="H25">
            <v>2.5059999999999998</v>
          </cell>
          <cell r="J25" t="str">
            <v>HISTORIAS CHILENAS</v>
          </cell>
          <cell r="K25">
            <v>4.0599999999999996</v>
          </cell>
          <cell r="L25">
            <v>3.2619999999999996</v>
          </cell>
          <cell r="N25" t="str">
            <v>HISTORIAS CHILENAS</v>
          </cell>
          <cell r="O25">
            <v>1.2060000000000002</v>
          </cell>
          <cell r="P25">
            <v>0.93599999999999994</v>
          </cell>
        </row>
        <row r="26">
          <cell r="B26" t="str">
            <v>INFOMERCIALES</v>
          </cell>
          <cell r="C26">
            <v>9.7000000000000003E-2</v>
          </cell>
          <cell r="D26">
            <v>3.5000000000000003E-2</v>
          </cell>
          <cell r="F26" t="str">
            <v>INFOMERCIALES</v>
          </cell>
          <cell r="G26">
            <v>6.2E-2</v>
          </cell>
          <cell r="H26">
            <v>1.4999999999999999E-2</v>
          </cell>
          <cell r="J26" t="str">
            <v>INFOMERCIALES</v>
          </cell>
          <cell r="K26">
            <v>0.10300000000000001</v>
          </cell>
          <cell r="L26">
            <v>4.0999999999999995E-2</v>
          </cell>
          <cell r="N26" t="str">
            <v>INFOMERCIALES</v>
          </cell>
          <cell r="O26">
            <v>9.3000000000000013E-2</v>
          </cell>
          <cell r="P26">
            <v>5.7999999999999996E-2</v>
          </cell>
        </row>
        <row r="27">
          <cell r="B27" t="str">
            <v>INICIO DE TRANSMISIONES</v>
          </cell>
          <cell r="C27">
            <v>7.1000000000000021E-2</v>
          </cell>
          <cell r="D27">
            <v>1.3000000000000001E-2</v>
          </cell>
          <cell r="F27" t="str">
            <v>INICIO DE TRANSMISIONES</v>
          </cell>
          <cell r="G27">
            <v>7.000000000000001E-3</v>
          </cell>
          <cell r="H27">
            <v>0</v>
          </cell>
          <cell r="J27" t="str">
            <v>INICIO DE TRANSMISIONES</v>
          </cell>
          <cell r="K27">
            <v>7.1000000000000008E-2</v>
          </cell>
          <cell r="L27">
            <v>0</v>
          </cell>
          <cell r="N27" t="str">
            <v>INICIO DE TRANSMISIONES</v>
          </cell>
          <cell r="O27">
            <v>0</v>
          </cell>
          <cell r="P27">
            <v>3.6000000000000004E-2</v>
          </cell>
        </row>
        <row r="28">
          <cell r="B28" t="str">
            <v>INVASION</v>
          </cell>
          <cell r="C28">
            <v>0.45</v>
          </cell>
          <cell r="D28">
            <v>0.35</v>
          </cell>
          <cell r="F28" t="str">
            <v>INVASION</v>
          </cell>
          <cell r="G28">
            <v>1.3720000000000001</v>
          </cell>
          <cell r="H28">
            <v>1.1879999999999999</v>
          </cell>
          <cell r="J28" t="str">
            <v>INVASION</v>
          </cell>
          <cell r="K28">
            <v>0.73399999999999999</v>
          </cell>
          <cell r="L28">
            <v>0.61199999999999999</v>
          </cell>
          <cell r="N28" t="str">
            <v>INVASION</v>
          </cell>
          <cell r="O28">
            <v>2.1559999999999997</v>
          </cell>
          <cell r="P28">
            <v>2.1719999999999997</v>
          </cell>
        </row>
        <row r="29">
          <cell r="B29" t="str">
            <v>JERICHO</v>
          </cell>
          <cell r="C29">
            <v>1.77</v>
          </cell>
          <cell r="D29">
            <v>1.4179999999999999</v>
          </cell>
          <cell r="F29" t="str">
            <v>JERICHO</v>
          </cell>
          <cell r="G29">
            <v>0.59599999999999997</v>
          </cell>
          <cell r="H29">
            <v>0.43</v>
          </cell>
          <cell r="J29" t="str">
            <v>JERICHO</v>
          </cell>
          <cell r="K29">
            <v>1.552</v>
          </cell>
          <cell r="L29">
            <v>1.238</v>
          </cell>
          <cell r="N29" t="str">
            <v>JERICHO</v>
          </cell>
          <cell r="O29">
            <v>0.04</v>
          </cell>
          <cell r="P29">
            <v>0</v>
          </cell>
        </row>
        <row r="30">
          <cell r="B30" t="str">
            <v>KIRUZA KIRUZ</v>
          </cell>
          <cell r="C30">
            <v>7.9459999999999997</v>
          </cell>
          <cell r="D30">
            <v>6.7840000000000007</v>
          </cell>
          <cell r="F30" t="str">
            <v>KIRUZA KIRUZ</v>
          </cell>
          <cell r="G30">
            <v>4.6859999999999999</v>
          </cell>
          <cell r="H30">
            <v>3.8780000000000001</v>
          </cell>
          <cell r="J30" t="str">
            <v>KIRUZA KIRUZ</v>
          </cell>
          <cell r="K30">
            <v>7.23</v>
          </cell>
          <cell r="L30">
            <v>6.032</v>
          </cell>
          <cell r="N30" t="str">
            <v>KIRUZA KIRUZ</v>
          </cell>
          <cell r="O30">
            <v>1.7879999999999998</v>
          </cell>
          <cell r="P30">
            <v>1.4819999999999998</v>
          </cell>
        </row>
        <row r="31">
          <cell r="B31" t="str">
            <v>LA CULTURA TV:DOCUMENTALES</v>
          </cell>
          <cell r="C31">
            <v>1.206</v>
          </cell>
          <cell r="D31">
            <v>1.1339999999999999</v>
          </cell>
          <cell r="F31" t="str">
            <v>LA CULTURA TV:DOCUMENTALES</v>
          </cell>
          <cell r="G31">
            <v>0.52</v>
          </cell>
          <cell r="H31">
            <v>0.51200000000000012</v>
          </cell>
          <cell r="J31" t="str">
            <v>LA CULTURA TV:DOCUMENTALES</v>
          </cell>
          <cell r="K31">
            <v>1.1879999999999999</v>
          </cell>
          <cell r="L31">
            <v>1.1160000000000001</v>
          </cell>
          <cell r="N31" t="str">
            <v>LA CULTURA TV:DOCUMENTALES</v>
          </cell>
          <cell r="O31">
            <v>0.626</v>
          </cell>
          <cell r="P31">
            <v>0.57400000000000007</v>
          </cell>
        </row>
        <row r="32">
          <cell r="B32" t="str">
            <v>LA ESCLAVA ISAURA</v>
          </cell>
          <cell r="C32">
            <v>4.2447999999999988</v>
          </cell>
          <cell r="D32">
            <v>2.3411999999999997</v>
          </cell>
          <cell r="F32" t="str">
            <v>LA ESCLAVA ISAURA</v>
          </cell>
          <cell r="G32">
            <v>2.0787999999999998</v>
          </cell>
          <cell r="H32">
            <v>1.0768</v>
          </cell>
          <cell r="J32" t="str">
            <v>LA ESCLAVA ISAURA</v>
          </cell>
          <cell r="K32">
            <v>2.8236000000000003</v>
          </cell>
          <cell r="L32">
            <v>1.5820000000000005</v>
          </cell>
          <cell r="N32" t="str">
            <v>LA ESCLAVA ISAURA</v>
          </cell>
          <cell r="O32">
            <v>1.3935999999999999</v>
          </cell>
          <cell r="P32">
            <v>0.79760000000000009</v>
          </cell>
        </row>
        <row r="33">
          <cell r="B33" t="str">
            <v>LA JUEZA</v>
          </cell>
          <cell r="C33">
            <v>2.98</v>
          </cell>
          <cell r="D33">
            <v>2.6831999999999998</v>
          </cell>
          <cell r="F33" t="str">
            <v>LA JUEZA</v>
          </cell>
          <cell r="G33">
            <v>0.53559999999999985</v>
          </cell>
          <cell r="H33">
            <v>0.40239999999999992</v>
          </cell>
          <cell r="J33" t="str">
            <v>LA JUEZA</v>
          </cell>
          <cell r="K33">
            <v>1.9508000000000001</v>
          </cell>
          <cell r="L33">
            <v>1.7060000000000002</v>
          </cell>
          <cell r="N33" t="str">
            <v>LA JUEZA</v>
          </cell>
          <cell r="O33">
            <v>0.30480000000000002</v>
          </cell>
          <cell r="P33">
            <v>0.24560000000000007</v>
          </cell>
        </row>
        <row r="34">
          <cell r="B34" t="str">
            <v>LA TRAICION</v>
          </cell>
          <cell r="C34">
            <v>2.9844000000000004</v>
          </cell>
          <cell r="D34">
            <v>2.78</v>
          </cell>
          <cell r="F34" t="str">
            <v>LA TRAICION</v>
          </cell>
          <cell r="G34">
            <v>1.7720000000000002</v>
          </cell>
          <cell r="H34">
            <v>1.5492000000000001</v>
          </cell>
          <cell r="J34" t="str">
            <v>LA TRAICION</v>
          </cell>
          <cell r="K34">
            <v>1.8792</v>
          </cell>
          <cell r="L34">
            <v>1.7039999999999997</v>
          </cell>
          <cell r="N34" t="str">
            <v>LA TRAICION</v>
          </cell>
          <cell r="O34">
            <v>1.8784000000000001</v>
          </cell>
          <cell r="P34">
            <v>1.7271999999999996</v>
          </cell>
        </row>
        <row r="35">
          <cell r="B35" t="str">
            <v>LUCHA LIBRE</v>
          </cell>
          <cell r="C35">
            <v>1.5760000000000001</v>
          </cell>
          <cell r="D35">
            <v>1.3640000000000001</v>
          </cell>
          <cell r="F35" t="str">
            <v>LUCHA LIBRE</v>
          </cell>
          <cell r="G35">
            <v>2.48</v>
          </cell>
          <cell r="H35">
            <v>2.1040000000000001</v>
          </cell>
          <cell r="J35" t="str">
            <v>LUCHA LIBRE</v>
          </cell>
          <cell r="K35">
            <v>1.6160000000000001</v>
          </cell>
          <cell r="L35">
            <v>1.3820000000000001</v>
          </cell>
          <cell r="N35" t="str">
            <v>LUCHA LIBRE</v>
          </cell>
          <cell r="O35">
            <v>2.766</v>
          </cell>
          <cell r="P35">
            <v>2.7120000000000006</v>
          </cell>
        </row>
        <row r="36">
          <cell r="B36" t="str">
            <v>MALA CONDUCTA</v>
          </cell>
          <cell r="C36">
            <v>4.4579999999999984</v>
          </cell>
          <cell r="D36">
            <v>4.1855999999999991</v>
          </cell>
          <cell r="F36" t="str">
            <v>MALA CONDUCTA</v>
          </cell>
          <cell r="G36">
            <v>5.4923999999999999</v>
          </cell>
          <cell r="H36">
            <v>4.8263999999999996</v>
          </cell>
          <cell r="J36" t="str">
            <v>MALA CONDUCTA</v>
          </cell>
          <cell r="K36">
            <v>3.5915999999999992</v>
          </cell>
          <cell r="L36">
            <v>3.2947999999999995</v>
          </cell>
          <cell r="N36" t="str">
            <v>MALA CONDUCTA</v>
          </cell>
          <cell r="O36">
            <v>6.8684000000000012</v>
          </cell>
          <cell r="P36">
            <v>6.5135999999999994</v>
          </cell>
        </row>
        <row r="37">
          <cell r="B37" t="str">
            <v>MALA CONDUCTA (R)</v>
          </cell>
          <cell r="C37">
            <v>2.4527999999999999</v>
          </cell>
          <cell r="D37">
            <v>2.0720000000000001</v>
          </cell>
          <cell r="F37" t="str">
            <v>MALA CONDUCTA (R)</v>
          </cell>
          <cell r="G37">
            <v>1.7496</v>
          </cell>
          <cell r="H37">
            <v>1.4255999999999998</v>
          </cell>
          <cell r="J37" t="str">
            <v>MALA CONDUCTA (R)</v>
          </cell>
          <cell r="K37">
            <v>2.3575999999999997</v>
          </cell>
          <cell r="L37">
            <v>1.9735999999999998</v>
          </cell>
          <cell r="N37" t="str">
            <v>MALA CONDUCTA (R)</v>
          </cell>
          <cell r="O37">
            <v>0.68599999999999994</v>
          </cell>
          <cell r="P37">
            <v>0.55680000000000007</v>
          </cell>
        </row>
        <row r="38">
          <cell r="B38" t="str">
            <v>POLICIAS EN ACCION</v>
          </cell>
          <cell r="C38">
            <v>7.581999999999999</v>
          </cell>
          <cell r="D38">
            <v>6.9259999999999993</v>
          </cell>
          <cell r="F38" t="str">
            <v>POLICIAS EN ACCION</v>
          </cell>
          <cell r="G38">
            <v>4.2860000000000005</v>
          </cell>
          <cell r="H38">
            <v>3.77</v>
          </cell>
          <cell r="J38" t="str">
            <v>POLICIAS EN ACCION</v>
          </cell>
          <cell r="K38">
            <v>7.1360000000000001</v>
          </cell>
          <cell r="L38">
            <v>6.4659999999999993</v>
          </cell>
          <cell r="N38" t="str">
            <v>POLICIAS EN ACCION</v>
          </cell>
          <cell r="O38">
            <v>2.3240000000000003</v>
          </cell>
          <cell r="P38">
            <v>2.1120000000000001</v>
          </cell>
        </row>
        <row r="39">
          <cell r="B39" t="str">
            <v>PREMIER LEAGUE</v>
          </cell>
          <cell r="C39">
            <v>2.0460000000000003</v>
          </cell>
          <cell r="D39">
            <v>1.865</v>
          </cell>
          <cell r="F39" t="str">
            <v>PREMIER LEAGUE</v>
          </cell>
          <cell r="G39">
            <v>2.1150000000000002</v>
          </cell>
          <cell r="H39">
            <v>1.8480000000000001</v>
          </cell>
          <cell r="J39" t="str">
            <v>PREMIER LEAGUE</v>
          </cell>
          <cell r="K39">
            <v>2.1710000000000003</v>
          </cell>
          <cell r="L39">
            <v>1.9450000000000001</v>
          </cell>
          <cell r="N39" t="str">
            <v>PREMIER LEAGUE</v>
          </cell>
          <cell r="O39">
            <v>2.1930000000000001</v>
          </cell>
          <cell r="P39">
            <v>2.0759999999999996</v>
          </cell>
        </row>
        <row r="40">
          <cell r="B40" t="str">
            <v>PRIMER PLANO</v>
          </cell>
          <cell r="C40">
            <v>7.94</v>
          </cell>
          <cell r="D40">
            <v>6.8819999999999997</v>
          </cell>
          <cell r="F40" t="str">
            <v>PRIMER PLANO</v>
          </cell>
          <cell r="G40">
            <v>2.786</v>
          </cell>
          <cell r="H40">
            <v>2.2640000000000002</v>
          </cell>
          <cell r="J40" t="str">
            <v>PRIMER PLANO</v>
          </cell>
          <cell r="K40">
            <v>6.5379999999999994</v>
          </cell>
          <cell r="L40">
            <v>5.6019999999999994</v>
          </cell>
          <cell r="N40" t="str">
            <v>PRIMER PLANO</v>
          </cell>
          <cell r="O40">
            <v>1.6519999999999999</v>
          </cell>
          <cell r="P40">
            <v>1.3319999999999999</v>
          </cell>
        </row>
        <row r="41">
          <cell r="B41" t="str">
            <v>PRIMERA PAGINA</v>
          </cell>
          <cell r="C41">
            <v>0.61699999999999999</v>
          </cell>
          <cell r="D41">
            <v>0</v>
          </cell>
          <cell r="F41" t="str">
            <v>PRIMERA PAGINA</v>
          </cell>
          <cell r="G41">
            <v>0.20849999999999996</v>
          </cell>
          <cell r="H41">
            <v>0</v>
          </cell>
          <cell r="J41" t="str">
            <v>PRIMERA PAGINA</v>
          </cell>
          <cell r="K41">
            <v>0.53150000000000008</v>
          </cell>
          <cell r="L41">
            <v>0</v>
          </cell>
          <cell r="N41" t="str">
            <v>PRIMERA PAGINA</v>
          </cell>
          <cell r="O41">
            <v>1.15E-2</v>
          </cell>
          <cell r="P41">
            <v>0</v>
          </cell>
        </row>
        <row r="42">
          <cell r="B42" t="str">
            <v>PRUEBA DE AMOR</v>
          </cell>
          <cell r="C42">
            <v>4.3795999999999999</v>
          </cell>
          <cell r="D42">
            <v>4.0139999999999993</v>
          </cell>
          <cell r="F42" t="str">
            <v>PRUEBA DE AMOR</v>
          </cell>
          <cell r="G42">
            <v>1.7160000000000002</v>
          </cell>
          <cell r="H42">
            <v>1.4816</v>
          </cell>
          <cell r="J42" t="str">
            <v>PRUEBA DE AMOR</v>
          </cell>
          <cell r="K42">
            <v>2.6932000000000005</v>
          </cell>
          <cell r="L42">
            <v>2.4211999999999998</v>
          </cell>
          <cell r="N42" t="str">
            <v>PRUEBA DE AMOR</v>
          </cell>
          <cell r="O42">
            <v>2.1907999999999999</v>
          </cell>
          <cell r="P42">
            <v>2.0472000000000001</v>
          </cell>
        </row>
        <row r="43">
          <cell r="B43" t="str">
            <v>PURO CINE</v>
          </cell>
          <cell r="C43">
            <v>2.65</v>
          </cell>
          <cell r="D43">
            <v>2.0740000000000003</v>
          </cell>
          <cell r="F43" t="str">
            <v>PURO CINE</v>
          </cell>
          <cell r="G43">
            <v>2.2020000000000004</v>
          </cell>
          <cell r="H43">
            <v>1.8379999999999999</v>
          </cell>
          <cell r="J43" t="str">
            <v>PURO CINE</v>
          </cell>
          <cell r="K43">
            <v>2.004</v>
          </cell>
          <cell r="L43">
            <v>1.526</v>
          </cell>
          <cell r="N43" t="str">
            <v>PURO CINE</v>
          </cell>
          <cell r="O43">
            <v>2.34</v>
          </cell>
          <cell r="P43">
            <v>2.17</v>
          </cell>
        </row>
        <row r="44">
          <cell r="B44" t="str">
            <v>SALVESE QUIEN PUEDA</v>
          </cell>
          <cell r="C44">
            <v>3.4019999999999997</v>
          </cell>
          <cell r="D44">
            <v>2.9939999999999998</v>
          </cell>
          <cell r="F44" t="str">
            <v>SALVESE QUIEN PUEDA</v>
          </cell>
          <cell r="G44">
            <v>1.6436000000000002</v>
          </cell>
          <cell r="H44">
            <v>1.3008000000000002</v>
          </cell>
          <cell r="J44" t="str">
            <v>SALVESE QUIEN PUEDA</v>
          </cell>
          <cell r="K44">
            <v>2.5327999999999999</v>
          </cell>
          <cell r="L44">
            <v>2.1688000000000001</v>
          </cell>
          <cell r="N44" t="str">
            <v>SALVESE QUIEN PUEDA</v>
          </cell>
          <cell r="O44">
            <v>0.64360000000000017</v>
          </cell>
          <cell r="P44">
            <v>0.5411999999999999</v>
          </cell>
        </row>
        <row r="45">
          <cell r="B45" t="str">
            <v>SHOW DE GOLES</v>
          </cell>
          <cell r="C45">
            <v>1.78</v>
          </cell>
          <cell r="D45">
            <v>1.4140000000000001</v>
          </cell>
          <cell r="F45" t="str">
            <v>SHOW DE GOLES</v>
          </cell>
          <cell r="G45">
            <v>1.3660000000000001</v>
          </cell>
          <cell r="H45">
            <v>1.044</v>
          </cell>
          <cell r="J45" t="str">
            <v>SHOW DE GOLES</v>
          </cell>
          <cell r="K45">
            <v>1.8660000000000001</v>
          </cell>
          <cell r="L45">
            <v>1.508</v>
          </cell>
          <cell r="N45" t="str">
            <v>SHOW DE GOLES</v>
          </cell>
          <cell r="O45">
            <v>0.504</v>
          </cell>
          <cell r="P45">
            <v>0.39</v>
          </cell>
        </row>
        <row r="46">
          <cell r="B46" t="str">
            <v>SIN EMISION</v>
          </cell>
          <cell r="C46">
            <v>0</v>
          </cell>
          <cell r="D46">
            <v>0</v>
          </cell>
          <cell r="F46" t="str">
            <v>SIN EMISION</v>
          </cell>
          <cell r="G46">
            <v>0</v>
          </cell>
          <cell r="H46">
            <v>0</v>
          </cell>
          <cell r="J46" t="str">
            <v>SIN EMISION</v>
          </cell>
          <cell r="K46">
            <v>0</v>
          </cell>
          <cell r="L46">
            <v>0</v>
          </cell>
          <cell r="N46" t="str">
            <v>SIN EMISION</v>
          </cell>
          <cell r="O46">
            <v>0</v>
          </cell>
          <cell r="P46">
            <v>0</v>
          </cell>
        </row>
        <row r="47">
          <cell r="B47" t="str">
            <v>SIN VERGUENZA</v>
          </cell>
          <cell r="C47">
            <v>2.2160000000000002</v>
          </cell>
          <cell r="D47">
            <v>2.1819999999999999</v>
          </cell>
          <cell r="F47" t="str">
            <v>SIN VERGUENZA</v>
          </cell>
          <cell r="G47">
            <v>2.7080000000000002</v>
          </cell>
          <cell r="H47">
            <v>2.5979999999999999</v>
          </cell>
          <cell r="J47" t="str">
            <v>SIN VERGUENZA</v>
          </cell>
          <cell r="K47">
            <v>2.464</v>
          </cell>
          <cell r="L47">
            <v>2.3779999999999997</v>
          </cell>
          <cell r="N47" t="str">
            <v>SIN VERGUENZA</v>
          </cell>
          <cell r="O47">
            <v>2.7979999999999996</v>
          </cell>
          <cell r="P47">
            <v>2.7239999999999993</v>
          </cell>
        </row>
        <row r="48">
          <cell r="B48" t="str">
            <v>SUENOS URBANOS</v>
          </cell>
          <cell r="C48">
            <v>6.2649999999999997</v>
          </cell>
          <cell r="D48">
            <v>5.4050000000000002</v>
          </cell>
          <cell r="F48" t="str">
            <v>SUENOS URBANOS</v>
          </cell>
          <cell r="G48">
            <v>3.3849999999999998</v>
          </cell>
          <cell r="H48">
            <v>2.82</v>
          </cell>
          <cell r="J48" t="str">
            <v>SUENOS URBANOS</v>
          </cell>
          <cell r="K48">
            <v>5.13</v>
          </cell>
          <cell r="L48">
            <v>4.4550000000000001</v>
          </cell>
          <cell r="N48" t="str">
            <v>SUENOS URBANOS</v>
          </cell>
          <cell r="O48">
            <v>1.0049999999999999</v>
          </cell>
          <cell r="P48">
            <v>0.78500000000000003</v>
          </cell>
        </row>
        <row r="49">
          <cell r="B49" t="str">
            <v>TEATRO CHILENO</v>
          </cell>
          <cell r="C49">
            <v>6.4060000000000006</v>
          </cell>
          <cell r="D49">
            <v>5.8339999999999996</v>
          </cell>
          <cell r="F49" t="str">
            <v>TEATRO CHILENO</v>
          </cell>
          <cell r="G49">
            <v>2.3540000000000001</v>
          </cell>
          <cell r="H49">
            <v>2.02</v>
          </cell>
          <cell r="J49" t="str">
            <v>TEATRO CHILENO</v>
          </cell>
          <cell r="K49">
            <v>5.15</v>
          </cell>
          <cell r="L49">
            <v>4.6120000000000001</v>
          </cell>
          <cell r="N49" t="str">
            <v>TEATRO CHILENO</v>
          </cell>
          <cell r="O49">
            <v>2.02</v>
          </cell>
          <cell r="P49">
            <v>1.8160000000000001</v>
          </cell>
        </row>
        <row r="50">
          <cell r="B50" t="str">
            <v>TERMINO DE TRANSMISIONES</v>
          </cell>
          <cell r="C50">
            <v>0.70700000000000007</v>
          </cell>
          <cell r="D50">
            <v>0</v>
          </cell>
          <cell r="F50" t="str">
            <v>TERMINO DE TRANSMISIONES</v>
          </cell>
          <cell r="G50">
            <v>0.308</v>
          </cell>
          <cell r="H50">
            <v>0</v>
          </cell>
          <cell r="J50" t="str">
            <v>TERMINO DE TRANSMISIONES</v>
          </cell>
          <cell r="K50">
            <v>0.72300000000000009</v>
          </cell>
          <cell r="L50">
            <v>0</v>
          </cell>
          <cell r="N50" t="str">
            <v>TERMINO DE TRANSMISIONES</v>
          </cell>
          <cell r="O50">
            <v>3.5999999999999997E-2</v>
          </cell>
          <cell r="P50">
            <v>0</v>
          </cell>
        </row>
        <row r="51">
          <cell r="B51" t="str">
            <v>TOLERANCIA CERO PRIME</v>
          </cell>
          <cell r="C51">
            <v>4.8179999999999996</v>
          </cell>
          <cell r="D51">
            <v>4.2300000000000004</v>
          </cell>
          <cell r="F51" t="str">
            <v>TOLERANCIA CERO PRIME</v>
          </cell>
          <cell r="G51">
            <v>0.71600000000000008</v>
          </cell>
          <cell r="H51">
            <v>0.46600000000000003</v>
          </cell>
          <cell r="J51" t="str">
            <v>TOLERANCIA CERO PRIME</v>
          </cell>
          <cell r="K51">
            <v>3.5680000000000005</v>
          </cell>
          <cell r="L51">
            <v>3.0019999999999998</v>
          </cell>
          <cell r="N51" t="str">
            <v>TOLERANCIA CERO PRIME</v>
          </cell>
          <cell r="O51">
            <v>1.08</v>
          </cell>
          <cell r="P51">
            <v>0.84600000000000009</v>
          </cell>
        </row>
        <row r="52">
          <cell r="B52" t="str">
            <v>VIEJO ZORRO</v>
          </cell>
          <cell r="C52">
            <v>6.23</v>
          </cell>
          <cell r="D52">
            <v>5.373333333333334</v>
          </cell>
          <cell r="F52" t="str">
            <v>VIEJO ZORRO</v>
          </cell>
          <cell r="G52">
            <v>3.28</v>
          </cell>
          <cell r="H52">
            <v>2.7266666666666666</v>
          </cell>
          <cell r="J52" t="str">
            <v>VIEJO ZORRO</v>
          </cell>
          <cell r="K52">
            <v>5.24</v>
          </cell>
          <cell r="L52">
            <v>4.55</v>
          </cell>
          <cell r="N52" t="str">
            <v>VIEJO ZORRO</v>
          </cell>
          <cell r="O52">
            <v>0.9</v>
          </cell>
          <cell r="P52">
            <v>0.70333333333333348</v>
          </cell>
        </row>
        <row r="53">
          <cell r="B53" t="str">
            <v>VIVIENDA CONSTRUCCION DECORACI</v>
          </cell>
          <cell r="C53">
            <v>0.29499999999999998</v>
          </cell>
          <cell r="D53">
            <v>0</v>
          </cell>
          <cell r="F53" t="str">
            <v>VIVIENDA CONSTRUCCION DECORACI</v>
          </cell>
          <cell r="G53">
            <v>0.21</v>
          </cell>
          <cell r="H53">
            <v>0</v>
          </cell>
          <cell r="J53" t="str">
            <v>VIVIENDA CONSTRUCCION DECORACI</v>
          </cell>
          <cell r="K53">
            <v>0.27700000000000002</v>
          </cell>
          <cell r="L53">
            <v>0</v>
          </cell>
          <cell r="N53" t="str">
            <v>VIVIENDA CONSTRUCCION DECORACI</v>
          </cell>
          <cell r="O53">
            <v>0.35299999999999998</v>
          </cell>
          <cell r="P53">
            <v>0</v>
          </cell>
        </row>
        <row r="54">
          <cell r="B54" t="str">
            <v>YINGO</v>
          </cell>
          <cell r="C54">
            <v>3.8144000000000005</v>
          </cell>
          <cell r="D54">
            <v>3.5196000000000005</v>
          </cell>
          <cell r="F54" t="str">
            <v>YINGO</v>
          </cell>
          <cell r="G54">
            <v>4.6748000000000012</v>
          </cell>
          <cell r="H54">
            <v>4.0376000000000012</v>
          </cell>
          <cell r="J54" t="str">
            <v>YINGO</v>
          </cell>
          <cell r="K54">
            <v>2.9027999999999996</v>
          </cell>
          <cell r="L54">
            <v>2.6068000000000002</v>
          </cell>
          <cell r="N54" t="str">
            <v>YINGO</v>
          </cell>
          <cell r="O54">
            <v>6.2451999999999996</v>
          </cell>
          <cell r="P54">
            <v>5.8692000000000011</v>
          </cell>
        </row>
        <row r="55">
          <cell r="B55" t="str">
            <v>YINGO (LO MEJOR)</v>
          </cell>
          <cell r="C55">
            <v>1.3</v>
          </cell>
          <cell r="D55">
            <v>1.3260000000000001</v>
          </cell>
          <cell r="F55" t="str">
            <v>YINGO (LO MEJOR)</v>
          </cell>
          <cell r="G55">
            <v>2.4300000000000002</v>
          </cell>
          <cell r="H55">
            <v>2.3140000000000001</v>
          </cell>
          <cell r="J55" t="str">
            <v>YINGO (LO MEJOR)</v>
          </cell>
          <cell r="K55">
            <v>1.1859999999999999</v>
          </cell>
          <cell r="L55">
            <v>1.238</v>
          </cell>
          <cell r="N55" t="str">
            <v>YINGO (LO MEJOR)</v>
          </cell>
          <cell r="O55">
            <v>4.444</v>
          </cell>
          <cell r="P55">
            <v>4.21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aciones1"/>
      <sheetName val="plan prensa2"/>
      <sheetName val="01_1999"/>
      <sheetName val="rating "/>
      <sheetName val="TARIFAS"/>
      <sheetName val="Flow"/>
      <sheetName val="plan_prensa2"/>
      <sheetName val="rating_"/>
      <sheetName val="Data"/>
      <sheetName val="#G.O."/>
      <sheetName val="Base para buscarv"/>
      <sheetName val="plan prensa2.xls"/>
      <sheetName val="Sheet1"/>
      <sheetName val="C13"/>
      <sheetName val="c2"/>
      <sheetName val="C4"/>
      <sheetName val="C5"/>
      <sheetName val="C9"/>
      <sheetName val="P_Diarios Santiago"/>
      <sheetName val="plan_prensa21"/>
      <sheetName val="rating_1"/>
      <sheetName val="P_Diarios_Santiago"/>
      <sheetName val="Base_para_buscarv"/>
      <sheetName val="plan_prensa2_xls"/>
      <sheetName val="Rkg Diarios"/>
      <sheetName val="Rkg Radios"/>
      <sheetName val="plan_prensa23"/>
      <sheetName val="rating_3"/>
      <sheetName val="Base_para_buscarv2"/>
      <sheetName val="plan_prensa2_xls2"/>
      <sheetName val="plan_prensa22"/>
      <sheetName val="rating_2"/>
      <sheetName val="Base_para_buscarv1"/>
      <sheetName val="plan_prensa2_xls1"/>
      <sheetName val="plan_prensa25"/>
      <sheetName val="rating_5"/>
      <sheetName val="Base_para_buscarv4"/>
      <sheetName val="plan_prensa2_xls4"/>
      <sheetName val="plan_prensa24"/>
      <sheetName val="rating_4"/>
      <sheetName val="Base_para_buscarv3"/>
      <sheetName val="plan_prensa2_xls3"/>
      <sheetName val="plan_prensa26"/>
      <sheetName val="rating_6"/>
      <sheetName val="Base_para_buscarv5"/>
      <sheetName val="plan_prensa2_xls5"/>
      <sheetName val="plan_prensa27"/>
      <sheetName val="rating_7"/>
      <sheetName val="Base_para_buscarv6"/>
      <sheetName val="plan_prensa2_xls6"/>
      <sheetName val="aca-"/>
      <sheetName val="analisis"/>
      <sheetName val="Module1"/>
      <sheetName val="RANKING"/>
      <sheetName val="Sheet16"/>
      <sheetName val="BASE"/>
      <sheetName val="P_Diarios_Santiago2"/>
      <sheetName val="Rkg_Diarios1"/>
      <sheetName val="Rkg_Radios1"/>
      <sheetName val="P_Diarios_Santiago1"/>
      <sheetName val="Rkg_Diarios"/>
      <sheetName val="Rkg_Radios"/>
      <sheetName val="TV3 2"/>
      <sheetName val="plan_prensa28"/>
      <sheetName val="rating_8"/>
      <sheetName val="Base_para_buscarv7"/>
      <sheetName val="plan_prensa2_xls7"/>
      <sheetName val="#G_O_"/>
      <sheetName val="URL_Mapping"/>
      <sheetName val="P_Diarios_Santiago3"/>
      <sheetName val="P_Diarios_Santiago4"/>
      <sheetName val="P_Diarios_Santiago5"/>
      <sheetName val="RNKG Diarios Lima"/>
      <sheetName val="RTG radios Lima"/>
      <sheetName val="DATOS"/>
      <sheetName val="MUJ2637"/>
      <sheetName val="Resumen Contratos"/>
      <sheetName val="Factura"/>
      <sheetName val="Personalizar"/>
      <sheetName val="Rk"/>
      <sheetName val="plan_prensa29"/>
      <sheetName val="rating_9"/>
      <sheetName val="Base_para_buscarv8"/>
      <sheetName val="plan_prensa2_xls8"/>
      <sheetName val="#G_O_1"/>
      <sheetName val="Rkg_Diarios2"/>
      <sheetName val="Rkg_Radios2"/>
      <sheetName val="NEWS PREV"/>
      <sheetName val="P_Diarios_Santiago6"/>
      <sheetName val="TV3_2"/>
      <sheetName val="RNKG_Diarios_Lima"/>
      <sheetName val="Ranking Suplementos"/>
      <sheetName val="Notas"/>
      <sheetName val="Parámetros"/>
      <sheetName val="caras"/>
      <sheetName val="plan_prensa210"/>
      <sheetName val="rating_10"/>
      <sheetName val="Base_para_buscarv9"/>
      <sheetName val="plan_prensa2_xls9"/>
      <sheetName val="#G_O_2"/>
      <sheetName val="Rkg_Diarios3"/>
      <sheetName val="Rkg_Radios3"/>
      <sheetName val="RTG_radios_Lima"/>
      <sheetName val="Resumen_Contratos"/>
      <sheetName val="plan_prensa211"/>
      <sheetName val="rating_11"/>
      <sheetName val="Base_para_buscarv10"/>
      <sheetName val="plan_prensa2_xls10"/>
      <sheetName val="P_Diarios_Santiago7"/>
      <sheetName val="#G_O_3"/>
      <sheetName val="Rkg_Diarios4"/>
      <sheetName val="Rkg_Radios4"/>
      <sheetName val="TV3_21"/>
      <sheetName val="RNKG_Diarios_Lima1"/>
      <sheetName val="RTG_radios_Lima1"/>
      <sheetName val="Resumen_Contratos1"/>
      <sheetName val="plan_prensa212"/>
      <sheetName val="rating_12"/>
      <sheetName val="Base_para_buscarv11"/>
      <sheetName val="plan_prensa2_xls11"/>
      <sheetName val="P_Diarios_Santiago8"/>
      <sheetName val="#G_O_4"/>
      <sheetName val="Rkg_Diarios5"/>
      <sheetName val="Rkg_Radios5"/>
      <sheetName val="TV3_22"/>
      <sheetName val="RNKG_Diarios_Lima2"/>
      <sheetName val="RTG_radios_Lima2"/>
      <sheetName val="Resumen_Contratos2"/>
      <sheetName val="plan_prensa214"/>
      <sheetName val="rating_14"/>
      <sheetName val="Base_para_buscarv13"/>
      <sheetName val="plan_prensa2_xls13"/>
      <sheetName val="P_Diarios_Santiago10"/>
      <sheetName val="#G_O_6"/>
      <sheetName val="Rkg_Diarios7"/>
      <sheetName val="Rkg_Radios7"/>
      <sheetName val="TV3_24"/>
      <sheetName val="RNKG_Diarios_Lima4"/>
      <sheetName val="RTG_radios_Lima4"/>
      <sheetName val="Resumen_Contratos4"/>
      <sheetName val="plan_prensa213"/>
      <sheetName val="rating_13"/>
      <sheetName val="Base_para_buscarv12"/>
      <sheetName val="plan_prensa2_xls12"/>
      <sheetName val="P_Diarios_Santiago9"/>
      <sheetName val="#G_O_5"/>
      <sheetName val="Rkg_Diarios6"/>
      <sheetName val="Rkg_Radios6"/>
      <sheetName val="TV3_23"/>
      <sheetName val="RNKG_Diarios_Lima3"/>
      <sheetName val="RTG_radios_Lima3"/>
      <sheetName val="Resumen_Contratos3"/>
      <sheetName val="NEWS_PREV"/>
      <sheetName val="Ranking_Suplementos"/>
    </sheetNames>
    <sheetDataSet>
      <sheetData sheetId="0" refreshError="1">
        <row r="19">
          <cell r="A19" t="str">
            <v>Dias</v>
          </cell>
          <cell r="B19" t="str">
            <v>Codigo</v>
          </cell>
        </row>
        <row r="20">
          <cell r="A20">
            <v>1</v>
          </cell>
          <cell r="B20" t="str">
            <v>Lun</v>
          </cell>
        </row>
        <row r="21">
          <cell r="A21">
            <v>2</v>
          </cell>
          <cell r="B21" t="str">
            <v>Mar</v>
          </cell>
        </row>
        <row r="22">
          <cell r="A22">
            <v>3</v>
          </cell>
          <cell r="B22" t="str">
            <v>Mié</v>
          </cell>
        </row>
        <row r="23">
          <cell r="A23">
            <v>4</v>
          </cell>
          <cell r="B23" t="str">
            <v>Jue</v>
          </cell>
        </row>
        <row r="24">
          <cell r="A24">
            <v>5</v>
          </cell>
          <cell r="B24" t="str">
            <v>Vie</v>
          </cell>
        </row>
        <row r="25">
          <cell r="A25">
            <v>6</v>
          </cell>
          <cell r="B25" t="str">
            <v>Sáb</v>
          </cell>
        </row>
        <row r="26">
          <cell r="A26">
            <v>7</v>
          </cell>
          <cell r="B26" t="str">
            <v>Dom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ecedentes."/>
      <sheetName val="Observaciones"/>
      <sheetName val="Tapa"/>
      <sheetName val="Flow"/>
      <sheetName val="Prensa"/>
      <sheetName val="Vía Publica"/>
      <sheetName val="Televisión CNN"/>
      <sheetName val="RKT CNN"/>
      <sheetName val="Pauta TVC"/>
      <sheetName val="Pauta Digital"/>
      <sheetName val="LISTAS"/>
      <sheetName val="Evaluacion Radios"/>
      <sheetName val="Evaluación"/>
      <sheetName val="Evaluación de Pauta"/>
      <sheetName val="Evaluación Prensa"/>
      <sheetName val="OMD_Plan Jac Camiones_Dic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ómo se ocupan estas listas"/>
      <sheetName val="Cuantificador"/>
      <sheetName val="datos universos"/>
      <sheetName val="ANEXOS"/>
      <sheetName val="Cómo se hace"/>
      <sheetName val="Tarifas Enero 2009"/>
      <sheetName val="tablas final 2°sem 2008"/>
      <sheetName val="Rating"/>
      <sheetName val="3 AL 11 OCT"/>
      <sheetName val="12 AL 31 OCT"/>
      <sheetName val="JORGE"/>
      <sheetName val="Tablas"/>
      <sheetName val="Cómo_se_ocupan_estas_listas"/>
      <sheetName val="datos_universos"/>
      <sheetName val="Cómo_se_hace"/>
      <sheetName val="Tarifas_Enero_2009"/>
      <sheetName val="tablas_final_2°sem_2008"/>
      <sheetName val="3_AL_11_OCT"/>
      <sheetName val="12_AL_31_OCT"/>
      <sheetName val="Cómo_se_ocupan_estas_listas1"/>
      <sheetName val="datos_universos1"/>
      <sheetName val="Cómo_se_hace1"/>
      <sheetName val="Tarifas_Enero_20091"/>
      <sheetName val="tablas_final_2°sem_20081"/>
      <sheetName val="3_AL_11_OCT1"/>
      <sheetName val="12_AL_31_OCT1"/>
      <sheetName val="Cómo_se_ocupan_estas_listas2"/>
      <sheetName val="datos_universos2"/>
      <sheetName val="Cómo_se_hace2"/>
      <sheetName val="Tarifas_Enero_20092"/>
      <sheetName val="tablas_final_2°sem_20082"/>
      <sheetName val="3_AL_11_OCT2"/>
      <sheetName val="12_AL_31_OCT2"/>
      <sheetName val="Cómo_se_ocupan_estas_listas3"/>
      <sheetName val="datos_universos3"/>
      <sheetName val="Cómo_se_hace3"/>
      <sheetName val="Tarifas_Enero_20093"/>
      <sheetName val="tablas_final_2°sem_20083"/>
      <sheetName val="3_AL_11_OCT3"/>
      <sheetName val="12_AL_31_OC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8">
          <cell r="M58" t="str">
            <v>DONDE ESTA ELISALMWJ</v>
          </cell>
          <cell r="N58">
            <v>13</v>
          </cell>
        </row>
        <row r="59">
          <cell r="M59" t="str">
            <v>DONDE ESTA ELISAL</v>
          </cell>
          <cell r="N59">
            <v>13.2</v>
          </cell>
        </row>
        <row r="60">
          <cell r="M60" t="str">
            <v>DONDE ESTA ELISAM</v>
          </cell>
          <cell r="N60">
            <v>14.6</v>
          </cell>
        </row>
        <row r="61">
          <cell r="M61" t="str">
            <v>DONDE ESTA ELISAW</v>
          </cell>
          <cell r="N61">
            <v>10.8</v>
          </cell>
        </row>
        <row r="62">
          <cell r="M62" t="str">
            <v>DONDE ESTA ELISAJ</v>
          </cell>
          <cell r="N62">
            <v>13.1</v>
          </cell>
        </row>
        <row r="63">
          <cell r="M63" t="str">
            <v>DONDE ESTA ELISALMW</v>
          </cell>
          <cell r="N63">
            <v>12.866666666666665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uantificador"/>
      <sheetName val="datos universos"/>
      <sheetName val="Tarifas Febrero 2013"/>
      <sheetName val="CODIGOS"/>
      <sheetName val="factores"/>
      <sheetName val="RANGOS"/>
      <sheetName val="Hoja2"/>
      <sheetName val="Niveles"/>
      <sheetName val="x - aBRIL"/>
      <sheetName val="PAUTA "/>
      <sheetName val="Rat M25-64C2C3"/>
      <sheetName val="Rat H25-64ABCD"/>
      <sheetName val="Rat HM18-24ABC"/>
      <sheetName val="Rat HM25-49ABC1C2"/>
      <sheetName val="Rat HM25-64ABC"/>
      <sheetName val="Rat M25-64ABC"/>
      <sheetName val="Rat HM25-64ABCD"/>
      <sheetName val="res rat"/>
      <sheetName val="Hoja1"/>
      <sheetName val="res_rat"/>
      <sheetName val="Rat_HM25-64ABCD"/>
      <sheetName val="Rat_M25-64ABC"/>
      <sheetName val="Rat_HM25-64ABC"/>
      <sheetName val="Rat_HM25-49ABC1C2"/>
      <sheetName val="Rat_HM18-24ABC"/>
      <sheetName val="Rat_H25-64ABCD"/>
      <sheetName val="Rat_M25-64C2C3"/>
      <sheetName val="datos_universos"/>
      <sheetName val="Tarifas_Febrero_2013"/>
      <sheetName val="x_-_aBRIL"/>
      <sheetName val="PAUTA_"/>
      <sheetName val="Rat_M25-64C2C32"/>
      <sheetName val="Rat_H25-64ABCD2"/>
      <sheetName val="Rat_HM18-24ABC2"/>
      <sheetName val="Rat_HM25-49ABC1C22"/>
      <sheetName val="Rat_HM25-64ABC2"/>
      <sheetName val="Rat_M25-64ABC2"/>
      <sheetName val="Rat_HM25-64ABCD2"/>
      <sheetName val="res_rat2"/>
      <sheetName val="res_rat1"/>
      <sheetName val="Rat_HM25-64ABCD1"/>
      <sheetName val="Rat_M25-64ABC1"/>
      <sheetName val="Rat_HM25-64ABC1"/>
      <sheetName val="Rat_HM25-49ABC1C21"/>
      <sheetName val="Rat_HM18-24ABC1"/>
      <sheetName val="Rat_H25-64ABCD1"/>
      <sheetName val="Rat_M25-64C2C31"/>
      <sheetName val="res_rat3"/>
      <sheetName val="Rat_HM25-64ABCD3"/>
      <sheetName val="Rat_M25-64ABC3"/>
      <sheetName val="Rat_HM25-64ABC3"/>
      <sheetName val="Rat_HM25-49ABC1C23"/>
      <sheetName val="Rat_HM18-24ABC3"/>
      <sheetName val="Rat_H25-64ABCD3"/>
      <sheetName val="Rat_M25-64C2C33"/>
      <sheetName val="Pauta"/>
      <sheetName val="Rating1"/>
      <sheetName val="an-r"/>
      <sheetName val="res_rat4"/>
      <sheetName val="Rat_HM25-64ABCD4"/>
      <sheetName val="Rat_M25-64ABC4"/>
      <sheetName val="Rat_HM25-64ABC4"/>
      <sheetName val="Rat_HM25-49ABC1C24"/>
      <sheetName val="Rat_HM18-24ABC4"/>
      <sheetName val="Rat_H25-64ABCD4"/>
      <sheetName val="Rat_M25-64C2C34"/>
      <sheetName val="Filtros"/>
      <sheetName val="Materiales"/>
      <sheetName val="res_rat5"/>
      <sheetName val="Rat_HM25-64ABCD5"/>
      <sheetName val="Rat_M25-64ABC5"/>
      <sheetName val="Rat_HM25-64ABC5"/>
      <sheetName val="Rat_HM25-49ABC1C25"/>
      <sheetName val="Rat_HM18-24ABC5"/>
      <sheetName val="Rat_H25-64ABCD5"/>
      <sheetName val="Rat_M25-64C2C35"/>
      <sheetName val="datos_universos1"/>
      <sheetName val="Tarifas_Febrero_20131"/>
      <sheetName val="x_-_aBRIL1"/>
      <sheetName val="PAUTA_1"/>
      <sheetName val="Rat_M25-64C2C36"/>
      <sheetName val="Rat_H25-64ABCD6"/>
      <sheetName val="Rat_HM18-24ABC6"/>
      <sheetName val="Rat_HM25-49ABC1C26"/>
      <sheetName val="Rat_HM25-64ABC6"/>
      <sheetName val="Rat_M25-64ABC6"/>
      <sheetName val="Rat_HM25-64ABCD6"/>
      <sheetName val="res_ra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D6" t="str">
            <v>Mujeres C2C3 de 25 a 64 años</v>
          </cell>
          <cell r="E6">
            <v>4</v>
          </cell>
          <cell r="F6">
            <v>2</v>
          </cell>
          <cell r="J6">
            <v>13</v>
          </cell>
          <cell r="K6">
            <v>17</v>
          </cell>
        </row>
        <row r="7">
          <cell r="D7" t="str">
            <v>Hombres ABCD de 25 a 64 años</v>
          </cell>
          <cell r="E7">
            <v>5</v>
          </cell>
          <cell r="F7">
            <v>3</v>
          </cell>
          <cell r="J7">
            <v>18</v>
          </cell>
          <cell r="K7">
            <v>24</v>
          </cell>
        </row>
        <row r="8">
          <cell r="D8" t="str">
            <v>Hombres y mujeres ABC de 18 a 24 años</v>
          </cell>
          <cell r="E8">
            <v>6</v>
          </cell>
          <cell r="F8">
            <v>4</v>
          </cell>
          <cell r="J8">
            <v>25</v>
          </cell>
          <cell r="K8">
            <v>34</v>
          </cell>
        </row>
        <row r="9">
          <cell r="D9" t="str">
            <v>Hombres y mujeres ABC1C2 de 25 a 49 años</v>
          </cell>
          <cell r="E9">
            <v>7</v>
          </cell>
          <cell r="F9">
            <v>5</v>
          </cell>
          <cell r="J9">
            <v>35</v>
          </cell>
          <cell r="K9">
            <v>49</v>
          </cell>
        </row>
        <row r="10">
          <cell r="D10" t="str">
            <v>Hombres y mujeres ABC de 25 a 64 años</v>
          </cell>
          <cell r="E10">
            <v>8</v>
          </cell>
          <cell r="F10">
            <v>6</v>
          </cell>
          <cell r="J10">
            <v>50</v>
          </cell>
          <cell r="K10">
            <v>64</v>
          </cell>
        </row>
        <row r="11">
          <cell r="D11" t="str">
            <v>Mujeres ABC de 25 a 64 años</v>
          </cell>
          <cell r="E11">
            <v>9</v>
          </cell>
          <cell r="F11">
            <v>7</v>
          </cell>
          <cell r="K11">
            <v>99</v>
          </cell>
        </row>
        <row r="12">
          <cell r="D12" t="str">
            <v>Hombres y mujeres ABCD de 25 a 64 años</v>
          </cell>
          <cell r="E12">
            <v>10</v>
          </cell>
          <cell r="F12">
            <v>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H3" t="str">
            <v>MOISES LOS 10 MANDAMIENTOSLMWJD</v>
          </cell>
          <cell r="I3">
            <v>8.0299999999999994</v>
          </cell>
        </row>
        <row r="4">
          <cell r="H4" t="str">
            <v>MOISES LOS 10 MANDAMIENTOSD</v>
          </cell>
          <cell r="I4">
            <v>8.86</v>
          </cell>
        </row>
        <row r="5">
          <cell r="H5" t="str">
            <v>MOISES LOS 10 MANDAMIENTOSL</v>
          </cell>
          <cell r="I5">
            <v>8.32</v>
          </cell>
        </row>
        <row r="6">
          <cell r="H6" t="str">
            <v>MOISES LOS 10 MANDAMIENTOSW</v>
          </cell>
          <cell r="I6">
            <v>8.0299999999999994</v>
          </cell>
        </row>
        <row r="7">
          <cell r="H7" t="str">
            <v>MOISES LOS 10 MANDAMIENTOSJ</v>
          </cell>
          <cell r="I7">
            <v>7.63</v>
          </cell>
        </row>
        <row r="8">
          <cell r="H8" t="str">
            <v>MOISES LOS 10 MANDAMIENTOSM</v>
          </cell>
          <cell r="I8">
            <v>7.4</v>
          </cell>
        </row>
        <row r="9">
          <cell r="H9" t="str">
            <v>TV TIEMPOLMWJVSD</v>
          </cell>
          <cell r="I9">
            <v>5.52</v>
          </cell>
        </row>
        <row r="10">
          <cell r="H10" t="str">
            <v>TV TIEMPOD</v>
          </cell>
          <cell r="I10">
            <v>6.7</v>
          </cell>
        </row>
        <row r="11">
          <cell r="H11" t="str">
            <v>TV TIEMPOW</v>
          </cell>
          <cell r="I11">
            <v>6.54</v>
          </cell>
        </row>
        <row r="12">
          <cell r="H12" t="str">
            <v>TV TIEMPOM</v>
          </cell>
          <cell r="I12">
            <v>5.93</v>
          </cell>
        </row>
        <row r="13">
          <cell r="H13" t="str">
            <v>TV TIEMPOJ</v>
          </cell>
          <cell r="I13">
            <v>5.86</v>
          </cell>
        </row>
        <row r="14">
          <cell r="H14" t="str">
            <v>TV TIEMPOL</v>
          </cell>
          <cell r="I14">
            <v>5.14</v>
          </cell>
        </row>
        <row r="15">
          <cell r="H15" t="str">
            <v>TV TIEMPOV</v>
          </cell>
          <cell r="I15">
            <v>4.22</v>
          </cell>
        </row>
        <row r="16">
          <cell r="H16" t="str">
            <v>TV TIEMPOS</v>
          </cell>
          <cell r="I16">
            <v>3.29</v>
          </cell>
        </row>
        <row r="17">
          <cell r="H17" t="str">
            <v>24 HORAS DOMINGOD</v>
          </cell>
          <cell r="I17">
            <v>5.01</v>
          </cell>
        </row>
        <row r="18">
          <cell r="H18" t="str">
            <v>24 HORAS DOMINGOD</v>
          </cell>
          <cell r="I18">
            <v>5.01</v>
          </cell>
        </row>
        <row r="19">
          <cell r="H19" t="str">
            <v>45 ANOS DE UN COCOJ</v>
          </cell>
          <cell r="I19">
            <v>4.33</v>
          </cell>
        </row>
        <row r="20">
          <cell r="H20" t="str">
            <v>45 ANOS DE UN COCOJ</v>
          </cell>
          <cell r="I20">
            <v>4.33</v>
          </cell>
        </row>
        <row r="21">
          <cell r="H21" t="str">
            <v>HISTORIA DE UN OSOS</v>
          </cell>
          <cell r="I21">
            <v>4.17</v>
          </cell>
        </row>
        <row r="22">
          <cell r="H22" t="str">
            <v>HISTORIA DE UN OSOS</v>
          </cell>
          <cell r="I22">
            <v>4.17</v>
          </cell>
        </row>
        <row r="23">
          <cell r="H23" t="str">
            <v>MOISES LOS 10 MANDAMIENTOS (RELMWJSD</v>
          </cell>
          <cell r="I23">
            <v>4.09</v>
          </cell>
        </row>
        <row r="24">
          <cell r="H24" t="str">
            <v>MOISES LOS 10 MANDAMIENTOS (RED</v>
          </cell>
          <cell r="I24">
            <v>7.87</v>
          </cell>
        </row>
        <row r="25">
          <cell r="H25" t="str">
            <v>MOISES LOS 10 MANDAMIENTOS (REW</v>
          </cell>
          <cell r="I25">
            <v>6.72</v>
          </cell>
        </row>
        <row r="26">
          <cell r="H26" t="str">
            <v>MOISES LOS 10 MANDAMIENTOS (REL</v>
          </cell>
          <cell r="I26">
            <v>6.52</v>
          </cell>
        </row>
        <row r="27">
          <cell r="H27" t="str">
            <v>MOISES LOS 10 MANDAMIENTOS (REM</v>
          </cell>
          <cell r="I27">
            <v>6.17</v>
          </cell>
        </row>
        <row r="28">
          <cell r="H28" t="str">
            <v>MOISES LOS 10 MANDAMIENTOS (REJ</v>
          </cell>
          <cell r="I28">
            <v>5.01</v>
          </cell>
        </row>
        <row r="29">
          <cell r="H29" t="str">
            <v>MOISES LOS 10 MANDAMIENTOS (RES</v>
          </cell>
          <cell r="I29">
            <v>1.67</v>
          </cell>
        </row>
        <row r="30">
          <cell r="H30" t="str">
            <v>24 HORAS CENTRALLMWJVS</v>
          </cell>
          <cell r="I30">
            <v>3.97</v>
          </cell>
        </row>
        <row r="31">
          <cell r="H31" t="str">
            <v>24 HORAS CENTRALW</v>
          </cell>
          <cell r="I31">
            <v>4.34</v>
          </cell>
        </row>
        <row r="32">
          <cell r="H32" t="str">
            <v>24 HORAS CENTRALV</v>
          </cell>
          <cell r="I32">
            <v>4.29</v>
          </cell>
        </row>
        <row r="33">
          <cell r="H33" t="str">
            <v>24 HORAS CENTRALL</v>
          </cell>
          <cell r="I33">
            <v>4.17</v>
          </cell>
        </row>
        <row r="34">
          <cell r="H34" t="str">
            <v>24 HORAS CENTRALJ</v>
          </cell>
          <cell r="I34">
            <v>4.1500000000000004</v>
          </cell>
        </row>
        <row r="35">
          <cell r="H35" t="str">
            <v>24 HORAS CENTRALM</v>
          </cell>
          <cell r="I35">
            <v>3.88</v>
          </cell>
        </row>
        <row r="36">
          <cell r="H36" t="str">
            <v>24 HORAS CENTRALS</v>
          </cell>
          <cell r="I36">
            <v>2.74</v>
          </cell>
        </row>
        <row r="37">
          <cell r="H37" t="str">
            <v>VIRALM</v>
          </cell>
          <cell r="I37">
            <v>3.78</v>
          </cell>
        </row>
        <row r="38">
          <cell r="H38" t="str">
            <v>VIRALM</v>
          </cell>
          <cell r="I38">
            <v>3.78</v>
          </cell>
        </row>
        <row r="39">
          <cell r="H39" t="str">
            <v>SEMANA SANTAV</v>
          </cell>
          <cell r="I39">
            <v>3.3</v>
          </cell>
        </row>
        <row r="40">
          <cell r="H40" t="str">
            <v>SEMANA SANTAV</v>
          </cell>
          <cell r="I40">
            <v>3.3</v>
          </cell>
        </row>
        <row r="41">
          <cell r="H41" t="str">
            <v>JOSE DE EGIPTOV</v>
          </cell>
          <cell r="I41">
            <v>3.22</v>
          </cell>
        </row>
        <row r="42">
          <cell r="H42" t="str">
            <v>JOSE DE EGIPTOV</v>
          </cell>
          <cell r="I42">
            <v>3.22</v>
          </cell>
        </row>
        <row r="43">
          <cell r="H43" t="str">
            <v>POR FIN SOLOSLD</v>
          </cell>
          <cell r="I43">
            <v>3.11</v>
          </cell>
        </row>
        <row r="44">
          <cell r="H44" t="str">
            <v>POR FIN SOLOSD</v>
          </cell>
          <cell r="I44">
            <v>3.77</v>
          </cell>
        </row>
        <row r="45">
          <cell r="H45" t="str">
            <v>POR FIN SOLOSL</v>
          </cell>
          <cell r="I45">
            <v>2.69</v>
          </cell>
        </row>
        <row r="46">
          <cell r="H46" t="str">
            <v>SABADO DE K OS</v>
          </cell>
          <cell r="I46">
            <v>3.05</v>
          </cell>
        </row>
        <row r="47">
          <cell r="H47" t="str">
            <v>SABADO DE K OS</v>
          </cell>
          <cell r="I47">
            <v>3.05</v>
          </cell>
        </row>
        <row r="48">
          <cell r="H48" t="str">
            <v>POR FIN SOLOS (RESUMEN)L</v>
          </cell>
          <cell r="I48">
            <v>2.73</v>
          </cell>
        </row>
        <row r="49">
          <cell r="H49" t="str">
            <v>POR FIN SOLOS (RESUMEN)L</v>
          </cell>
          <cell r="I49">
            <v>2.73</v>
          </cell>
        </row>
        <row r="50">
          <cell r="H50" t="str">
            <v>DESTILANDO AMORLMWJV</v>
          </cell>
          <cell r="I50">
            <v>2.5499999999999998</v>
          </cell>
        </row>
        <row r="51">
          <cell r="H51" t="str">
            <v>DESTILANDO AMORL</v>
          </cell>
          <cell r="I51">
            <v>2.95</v>
          </cell>
        </row>
        <row r="52">
          <cell r="H52" t="str">
            <v>DESTILANDO AMORM</v>
          </cell>
          <cell r="I52">
            <v>2.87</v>
          </cell>
        </row>
        <row r="53">
          <cell r="H53" t="str">
            <v>DESTILANDO AMORW</v>
          </cell>
          <cell r="I53">
            <v>2.54</v>
          </cell>
        </row>
        <row r="54">
          <cell r="H54" t="str">
            <v>DESTILANDO AMORV</v>
          </cell>
          <cell r="I54">
            <v>2.2599999999999998</v>
          </cell>
        </row>
        <row r="55">
          <cell r="H55" t="str">
            <v>DESTILANDO AMORJ</v>
          </cell>
          <cell r="I55">
            <v>2.13</v>
          </cell>
        </row>
        <row r="56">
          <cell r="H56" t="str">
            <v>HABITANTES DEL PACIFICO (R)D</v>
          </cell>
          <cell r="I56">
            <v>2.5</v>
          </cell>
        </row>
        <row r="57">
          <cell r="H57" t="str">
            <v>HABITANTES DEL PACIFICO (R)D</v>
          </cell>
          <cell r="I57">
            <v>2.5</v>
          </cell>
        </row>
        <row r="58">
          <cell r="H58" t="str">
            <v>CHILE CONECTADO (R)D</v>
          </cell>
          <cell r="I58">
            <v>2.35</v>
          </cell>
        </row>
        <row r="59">
          <cell r="H59" t="str">
            <v>CHILE CONECTADO (R)D</v>
          </cell>
          <cell r="I59">
            <v>2.35</v>
          </cell>
        </row>
        <row r="60">
          <cell r="H60" t="str">
            <v>EL SECRETO DE PUENTE VIEJOLMWJV</v>
          </cell>
          <cell r="I60">
            <v>2.2999999999999998</v>
          </cell>
        </row>
        <row r="61">
          <cell r="H61" t="str">
            <v>EL SECRETO DE PUENTE VIEJOW</v>
          </cell>
          <cell r="I61">
            <v>2.4700000000000002</v>
          </cell>
        </row>
        <row r="62">
          <cell r="H62" t="str">
            <v>EL SECRETO DE PUENTE VIEJOV</v>
          </cell>
          <cell r="I62">
            <v>2.44</v>
          </cell>
        </row>
        <row r="63">
          <cell r="H63" t="str">
            <v>EL SECRETO DE PUENTE VIEJOM</v>
          </cell>
          <cell r="I63">
            <v>2.38</v>
          </cell>
        </row>
        <row r="64">
          <cell r="H64" t="str">
            <v>EL SECRETO DE PUENTE VIEJOL</v>
          </cell>
          <cell r="I64">
            <v>2.11</v>
          </cell>
        </row>
        <row r="65">
          <cell r="H65" t="str">
            <v>EL SECRETO DE PUENTE VIEJOJ</v>
          </cell>
          <cell r="I65">
            <v>2.02</v>
          </cell>
        </row>
        <row r="66">
          <cell r="H66" t="str">
            <v>FRUTOS DEL PAIS (R)D</v>
          </cell>
          <cell r="I66">
            <v>2.2200000000000002</v>
          </cell>
        </row>
        <row r="67">
          <cell r="H67" t="str">
            <v>FRUTOS DEL PAIS (R)D</v>
          </cell>
          <cell r="I67">
            <v>2.2200000000000002</v>
          </cell>
        </row>
        <row r="68">
          <cell r="H68" t="str">
            <v>ESA NO SOY YOLMWJV</v>
          </cell>
          <cell r="I68">
            <v>2.2000000000000002</v>
          </cell>
        </row>
        <row r="69">
          <cell r="H69" t="str">
            <v>ESA NO SOY YOM</v>
          </cell>
          <cell r="I69">
            <v>2.5299999999999998</v>
          </cell>
        </row>
        <row r="70">
          <cell r="H70" t="str">
            <v>ESA NO SOY YOL</v>
          </cell>
          <cell r="I70">
            <v>2.2000000000000002</v>
          </cell>
        </row>
        <row r="71">
          <cell r="H71" t="str">
            <v>ESA NO SOY YOV</v>
          </cell>
          <cell r="I71">
            <v>2.1800000000000002</v>
          </cell>
        </row>
        <row r="72">
          <cell r="H72" t="str">
            <v>ESA NO SOY YOW</v>
          </cell>
          <cell r="I72">
            <v>2.13</v>
          </cell>
        </row>
        <row r="73">
          <cell r="H73" t="str">
            <v>ESA NO SOY YOJ</v>
          </cell>
          <cell r="I73">
            <v>1.89</v>
          </cell>
        </row>
        <row r="74">
          <cell r="H74" t="str">
            <v>FRUTOS DEL PAISD</v>
          </cell>
          <cell r="I74">
            <v>2.19</v>
          </cell>
        </row>
        <row r="75">
          <cell r="H75" t="str">
            <v>FRUTOS DEL PAISD</v>
          </cell>
          <cell r="I75">
            <v>2.19</v>
          </cell>
        </row>
        <row r="76">
          <cell r="H76" t="str">
            <v>24 HORAS AL DIALMWJVSD</v>
          </cell>
          <cell r="I76">
            <v>2.13</v>
          </cell>
        </row>
        <row r="77">
          <cell r="H77" t="str">
            <v>24 HORAS AL DIAL</v>
          </cell>
          <cell r="I77">
            <v>2.88</v>
          </cell>
        </row>
        <row r="78">
          <cell r="H78" t="str">
            <v>24 HORAS AL DIAM</v>
          </cell>
          <cell r="I78">
            <v>2.5499999999999998</v>
          </cell>
        </row>
        <row r="79">
          <cell r="H79" t="str">
            <v>24 HORAS AL DIAJ</v>
          </cell>
          <cell r="I79">
            <v>2.42</v>
          </cell>
        </row>
        <row r="80">
          <cell r="H80" t="str">
            <v>24 HORAS AL DIAV</v>
          </cell>
          <cell r="I80">
            <v>2.29</v>
          </cell>
        </row>
        <row r="81">
          <cell r="H81" t="str">
            <v>24 HORAS AL DIAW</v>
          </cell>
          <cell r="I81">
            <v>2.0499999999999998</v>
          </cell>
        </row>
        <row r="82">
          <cell r="H82" t="str">
            <v>24 HORAS AL DIAS</v>
          </cell>
          <cell r="I82">
            <v>1.64</v>
          </cell>
        </row>
        <row r="83">
          <cell r="H83" t="str">
            <v>24 HORAS AL DIAD</v>
          </cell>
          <cell r="I83">
            <v>1.23</v>
          </cell>
        </row>
        <row r="84">
          <cell r="H84" t="str">
            <v>4TO MEDIOLW</v>
          </cell>
          <cell r="I84">
            <v>2.0699999999999998</v>
          </cell>
        </row>
        <row r="85">
          <cell r="H85" t="str">
            <v>4TO MEDIOW</v>
          </cell>
          <cell r="I85">
            <v>2.27</v>
          </cell>
        </row>
        <row r="86">
          <cell r="H86" t="str">
            <v>4TO MEDIOL</v>
          </cell>
          <cell r="I86">
            <v>0.93</v>
          </cell>
        </row>
        <row r="87">
          <cell r="H87" t="str">
            <v>POR FIN SOLOS (R)V</v>
          </cell>
          <cell r="I87">
            <v>2.0099999999999998</v>
          </cell>
        </row>
        <row r="88">
          <cell r="H88" t="str">
            <v>POR FIN SOLOS (R)V</v>
          </cell>
          <cell r="I88">
            <v>2.0099999999999998</v>
          </cell>
        </row>
        <row r="89">
          <cell r="H89" t="str">
            <v>ROMANE (R)LMWJV</v>
          </cell>
          <cell r="I89">
            <v>1.91</v>
          </cell>
        </row>
        <row r="90">
          <cell r="H90" t="str">
            <v>ROMANE (R)M</v>
          </cell>
          <cell r="I90">
            <v>2.4300000000000002</v>
          </cell>
        </row>
        <row r="91">
          <cell r="H91" t="str">
            <v>ROMANE (R)L</v>
          </cell>
          <cell r="I91">
            <v>2.12</v>
          </cell>
        </row>
        <row r="92">
          <cell r="H92" t="str">
            <v>ROMANE (R)V</v>
          </cell>
          <cell r="I92">
            <v>1.83</v>
          </cell>
        </row>
        <row r="93">
          <cell r="H93" t="str">
            <v>ROMANE (R)J</v>
          </cell>
          <cell r="I93">
            <v>1.82</v>
          </cell>
        </row>
        <row r="94">
          <cell r="H94" t="str">
            <v>ROMANE (R)W</v>
          </cell>
          <cell r="I94">
            <v>1.42</v>
          </cell>
        </row>
        <row r="95">
          <cell r="H95" t="str">
            <v>TU MANANA 24 HORASLMWJV</v>
          </cell>
          <cell r="I95">
            <v>1.89</v>
          </cell>
        </row>
        <row r="96">
          <cell r="H96" t="str">
            <v>TU MANANA 24 HORASW</v>
          </cell>
          <cell r="I96">
            <v>2.19</v>
          </cell>
        </row>
        <row r="97">
          <cell r="H97" t="str">
            <v>TU MANANA 24 HORASJ</v>
          </cell>
          <cell r="I97">
            <v>1.98</v>
          </cell>
        </row>
        <row r="98">
          <cell r="H98" t="str">
            <v>TU MANANA 24 HORASV</v>
          </cell>
          <cell r="I98">
            <v>1.92</v>
          </cell>
        </row>
        <row r="99">
          <cell r="H99" t="str">
            <v>TU MANANA 24 HORASL</v>
          </cell>
          <cell r="I99">
            <v>1.91</v>
          </cell>
        </row>
        <row r="100">
          <cell r="H100" t="str">
            <v>TU MANANA 24 HORASM</v>
          </cell>
          <cell r="I100">
            <v>1.5</v>
          </cell>
        </row>
        <row r="101">
          <cell r="H101" t="str">
            <v>MEDIA NOCHELMWJV</v>
          </cell>
          <cell r="I101">
            <v>1.84</v>
          </cell>
        </row>
        <row r="102">
          <cell r="H102" t="str">
            <v>MEDIA NOCHEJ</v>
          </cell>
          <cell r="I102">
            <v>2.7</v>
          </cell>
        </row>
        <row r="103">
          <cell r="H103" t="str">
            <v>MEDIA NOCHEM</v>
          </cell>
          <cell r="I103">
            <v>2.3199999999999998</v>
          </cell>
        </row>
        <row r="104">
          <cell r="H104" t="str">
            <v>MEDIA NOCHEL</v>
          </cell>
          <cell r="I104">
            <v>1.93</v>
          </cell>
        </row>
        <row r="105">
          <cell r="H105" t="str">
            <v>MEDIA NOCHEW</v>
          </cell>
          <cell r="I105">
            <v>1.1499999999999999</v>
          </cell>
        </row>
        <row r="106">
          <cell r="H106" t="str">
            <v>MEDIA NOCHEV</v>
          </cell>
          <cell r="I106">
            <v>0.89</v>
          </cell>
        </row>
        <row r="107">
          <cell r="H107" t="str">
            <v>DOCTOR HOUSE (R)LMWJVD</v>
          </cell>
          <cell r="I107">
            <v>1.81</v>
          </cell>
        </row>
        <row r="108">
          <cell r="H108" t="str">
            <v>DOCTOR HOUSE (R)M</v>
          </cell>
          <cell r="I108">
            <v>2.35</v>
          </cell>
        </row>
        <row r="109">
          <cell r="H109" t="str">
            <v>DOCTOR HOUSE (R)J</v>
          </cell>
          <cell r="I109">
            <v>2.21</v>
          </cell>
        </row>
        <row r="110">
          <cell r="H110" t="str">
            <v>DOCTOR HOUSE (R)D</v>
          </cell>
          <cell r="I110">
            <v>1.74</v>
          </cell>
        </row>
        <row r="111">
          <cell r="H111" t="str">
            <v>DOCTOR HOUSE (R)L</v>
          </cell>
          <cell r="I111">
            <v>1.65</v>
          </cell>
        </row>
        <row r="112">
          <cell r="H112" t="str">
            <v>DOCTOR HOUSE (R)V</v>
          </cell>
          <cell r="I112">
            <v>1.26</v>
          </cell>
        </row>
        <row r="113">
          <cell r="H113" t="str">
            <v>DOCTOR HOUSE (R)W</v>
          </cell>
          <cell r="I113">
            <v>1.05</v>
          </cell>
        </row>
        <row r="114">
          <cell r="H114" t="str">
            <v>ENTRE PROGRAMASLMWJVSD</v>
          </cell>
          <cell r="I114">
            <v>1.79</v>
          </cell>
        </row>
        <row r="115">
          <cell r="H115" t="str">
            <v>ENTRE PROGRAMASM</v>
          </cell>
          <cell r="I115">
            <v>3</v>
          </cell>
        </row>
        <row r="116">
          <cell r="H116" t="str">
            <v>ENTRE PROGRAMASJ</v>
          </cell>
          <cell r="I116">
            <v>2.31</v>
          </cell>
        </row>
        <row r="117">
          <cell r="H117" t="str">
            <v>ENTRE PROGRAMASD</v>
          </cell>
          <cell r="I117">
            <v>1.74</v>
          </cell>
        </row>
        <row r="118">
          <cell r="H118" t="str">
            <v>ENTRE PROGRAMASL</v>
          </cell>
          <cell r="I118">
            <v>1.49</v>
          </cell>
        </row>
        <row r="119">
          <cell r="H119" t="str">
            <v>ENTRE PROGRAMASW</v>
          </cell>
          <cell r="I119">
            <v>1.21</v>
          </cell>
        </row>
        <row r="120">
          <cell r="H120" t="str">
            <v>ENTRE PROGRAMASS</v>
          </cell>
          <cell r="I120">
            <v>1.1000000000000001</v>
          </cell>
        </row>
        <row r="121">
          <cell r="H121" t="str">
            <v>ENTRE PROGRAMASV</v>
          </cell>
          <cell r="I121">
            <v>0.72</v>
          </cell>
        </row>
        <row r="122">
          <cell r="H122" t="str">
            <v>GRANDES PELICULASS</v>
          </cell>
          <cell r="I122">
            <v>1.79</v>
          </cell>
        </row>
        <row r="123">
          <cell r="H123" t="str">
            <v>GRANDES PELICULASS</v>
          </cell>
          <cell r="I123">
            <v>1.79</v>
          </cell>
        </row>
        <row r="124">
          <cell r="H124" t="str">
            <v>LA CULTURA ENTRETENIDAD</v>
          </cell>
          <cell r="I124">
            <v>1.78</v>
          </cell>
        </row>
        <row r="125">
          <cell r="H125" t="str">
            <v>LA CULTURA ENTRETENIDAD</v>
          </cell>
          <cell r="I125">
            <v>1.78</v>
          </cell>
        </row>
        <row r="126">
          <cell r="H126" t="str">
            <v>ESA NO SOY YO (RESUMEN)LMWJV</v>
          </cell>
          <cell r="I126">
            <v>1.72</v>
          </cell>
        </row>
        <row r="127">
          <cell r="H127" t="str">
            <v>ESA NO SOY YO (RESUMEN)M</v>
          </cell>
          <cell r="I127">
            <v>1.96</v>
          </cell>
        </row>
        <row r="128">
          <cell r="H128" t="str">
            <v>ESA NO SOY YO (RESUMEN)V</v>
          </cell>
          <cell r="I128">
            <v>1.87</v>
          </cell>
        </row>
        <row r="129">
          <cell r="H129" t="str">
            <v>ESA NO SOY YO (RESUMEN)L</v>
          </cell>
          <cell r="I129">
            <v>1.77</v>
          </cell>
        </row>
        <row r="130">
          <cell r="H130" t="str">
            <v>ESA NO SOY YO (RESUMEN)W</v>
          </cell>
          <cell r="I130">
            <v>1.72</v>
          </cell>
        </row>
        <row r="131">
          <cell r="H131" t="str">
            <v>ESA NO SOY YO (RESUMEN)J</v>
          </cell>
          <cell r="I131">
            <v>1.33</v>
          </cell>
        </row>
        <row r="132">
          <cell r="H132" t="str">
            <v>MELO Y ASTORGAS</v>
          </cell>
          <cell r="I132">
            <v>1.7</v>
          </cell>
        </row>
        <row r="133">
          <cell r="H133" t="str">
            <v>MELO Y ASTORGAS</v>
          </cell>
          <cell r="I133">
            <v>1.7</v>
          </cell>
        </row>
        <row r="134">
          <cell r="H134" t="str">
            <v>NUESTRO SIGLOS</v>
          </cell>
          <cell r="I134">
            <v>1.66</v>
          </cell>
        </row>
        <row r="135">
          <cell r="H135" t="str">
            <v>NUESTRO SIGLOS</v>
          </cell>
          <cell r="I135">
            <v>1.66</v>
          </cell>
        </row>
        <row r="136">
          <cell r="H136" t="str">
            <v>ESTADO NACIONALD</v>
          </cell>
          <cell r="I136">
            <v>1.56</v>
          </cell>
        </row>
        <row r="137">
          <cell r="H137" t="str">
            <v>ESTADO NACIONALD</v>
          </cell>
          <cell r="I137">
            <v>1.56</v>
          </cell>
        </row>
        <row r="138">
          <cell r="H138" t="str">
            <v>COPA DAVISVSD</v>
          </cell>
          <cell r="I138">
            <v>1.5</v>
          </cell>
        </row>
        <row r="139">
          <cell r="H139" t="str">
            <v>COPA DAVISS</v>
          </cell>
          <cell r="I139">
            <v>1.64</v>
          </cell>
        </row>
        <row r="140">
          <cell r="H140" t="str">
            <v>COPA DAVISV</v>
          </cell>
          <cell r="I140">
            <v>1.59</v>
          </cell>
        </row>
        <row r="141">
          <cell r="H141" t="str">
            <v>COPA DAVISD</v>
          </cell>
          <cell r="I141">
            <v>1.1299999999999999</v>
          </cell>
        </row>
        <row r="142">
          <cell r="H142" t="str">
            <v>BUENOS DIAS A TODOS (B)LMWJV</v>
          </cell>
          <cell r="I142">
            <v>1.36</v>
          </cell>
        </row>
        <row r="143">
          <cell r="H143" t="str">
            <v>BUENOS DIAS A TODOS (B)J</v>
          </cell>
          <cell r="I143">
            <v>1.8</v>
          </cell>
        </row>
        <row r="144">
          <cell r="H144" t="str">
            <v>BUENOS DIAS A TODOS (B)M</v>
          </cell>
          <cell r="I144">
            <v>1.6</v>
          </cell>
        </row>
        <row r="145">
          <cell r="H145" t="str">
            <v>BUENOS DIAS A TODOS (B)V</v>
          </cell>
          <cell r="I145">
            <v>1.42</v>
          </cell>
        </row>
        <row r="146">
          <cell r="H146" t="str">
            <v>BUENOS DIAS A TODOS (B)L</v>
          </cell>
          <cell r="I146">
            <v>1.41</v>
          </cell>
        </row>
        <row r="147">
          <cell r="H147" t="str">
            <v>BUENOS DIAS A TODOS (B)W</v>
          </cell>
          <cell r="I147">
            <v>0.79</v>
          </cell>
        </row>
        <row r="148">
          <cell r="H148" t="str">
            <v>BUENOS DIAS A TODOS (A)LMWJV</v>
          </cell>
          <cell r="I148">
            <v>1.36</v>
          </cell>
        </row>
        <row r="149">
          <cell r="H149" t="str">
            <v>BUENOS DIAS A TODOS (A)V</v>
          </cell>
          <cell r="I149">
            <v>2.44</v>
          </cell>
        </row>
        <row r="150">
          <cell r="H150" t="str">
            <v>BUENOS DIAS A TODOS (A)L</v>
          </cell>
          <cell r="I150">
            <v>1.34</v>
          </cell>
        </row>
        <row r="151">
          <cell r="H151" t="str">
            <v>BUENOS DIAS A TODOS (A)W</v>
          </cell>
          <cell r="I151">
            <v>1.02</v>
          </cell>
        </row>
        <row r="152">
          <cell r="H152" t="str">
            <v>BUENOS DIAS A TODOS (A)J</v>
          </cell>
          <cell r="I152">
            <v>0.96</v>
          </cell>
        </row>
        <row r="153">
          <cell r="H153" t="str">
            <v>BUENOS DIAS A TODOS (A)M</v>
          </cell>
          <cell r="I153">
            <v>0.94</v>
          </cell>
        </row>
        <row r="154">
          <cell r="H154" t="str">
            <v>24 HORASD</v>
          </cell>
          <cell r="I154">
            <v>1.29</v>
          </cell>
        </row>
        <row r="155">
          <cell r="H155" t="str">
            <v>24 HORASD</v>
          </cell>
          <cell r="I155">
            <v>1.29</v>
          </cell>
        </row>
        <row r="156">
          <cell r="H156" t="str">
            <v>PELOTON LA HISTORIA DEL HONORW</v>
          </cell>
          <cell r="I156">
            <v>1.27</v>
          </cell>
        </row>
        <row r="157">
          <cell r="H157" t="str">
            <v>PELOTON LA HISTORIA DEL HONORW</v>
          </cell>
          <cell r="I157">
            <v>1.27</v>
          </cell>
        </row>
        <row r="158">
          <cell r="H158" t="str">
            <v>BEST SELLERVS</v>
          </cell>
          <cell r="I158">
            <v>1.1100000000000001</v>
          </cell>
        </row>
        <row r="159">
          <cell r="H159" t="str">
            <v>BEST SELLERS</v>
          </cell>
          <cell r="I159">
            <v>1.74</v>
          </cell>
        </row>
        <row r="160">
          <cell r="H160" t="str">
            <v>BEST SELLERV</v>
          </cell>
          <cell r="I160">
            <v>0.82</v>
          </cell>
        </row>
        <row r="161">
          <cell r="H161" t="str">
            <v>PURO CHILEV</v>
          </cell>
          <cell r="I161">
            <v>1.05</v>
          </cell>
        </row>
        <row r="162">
          <cell r="H162" t="str">
            <v>PURO CHILEV</v>
          </cell>
          <cell r="I162">
            <v>1.05</v>
          </cell>
        </row>
        <row r="163">
          <cell r="H163" t="str">
            <v>PODIOD</v>
          </cell>
          <cell r="I163">
            <v>0.94</v>
          </cell>
        </row>
        <row r="164">
          <cell r="H164" t="str">
            <v>PODIOD</v>
          </cell>
          <cell r="I164">
            <v>0.94</v>
          </cell>
        </row>
        <row r="165">
          <cell r="H165" t="str">
            <v>SUPER CINES</v>
          </cell>
          <cell r="I165">
            <v>0.92</v>
          </cell>
        </row>
        <row r="166">
          <cell r="H166" t="str">
            <v>SUPER CINES</v>
          </cell>
          <cell r="I166">
            <v>0.92</v>
          </cell>
        </row>
        <row r="167">
          <cell r="H167" t="str">
            <v>BOXEO DE OROS</v>
          </cell>
          <cell r="I167">
            <v>0.9</v>
          </cell>
        </row>
        <row r="168">
          <cell r="H168" t="str">
            <v>BOXEO DE OROS</v>
          </cell>
          <cell r="I168">
            <v>0.9</v>
          </cell>
        </row>
        <row r="169">
          <cell r="H169" t="str">
            <v>CINEV</v>
          </cell>
          <cell r="I169">
            <v>0.86</v>
          </cell>
        </row>
        <row r="170">
          <cell r="H170" t="str">
            <v>CINEV</v>
          </cell>
          <cell r="I170">
            <v>0.86</v>
          </cell>
        </row>
        <row r="171">
          <cell r="H171" t="str">
            <v>PELICULA INFANTILS</v>
          </cell>
          <cell r="I171">
            <v>0.79</v>
          </cell>
        </row>
        <row r="172">
          <cell r="H172" t="str">
            <v>PELICULA INFANTILS</v>
          </cell>
          <cell r="I172">
            <v>0.79</v>
          </cell>
        </row>
        <row r="173">
          <cell r="H173" t="str">
            <v>HORACIO Y LOS PLASTICINESS</v>
          </cell>
          <cell r="I173">
            <v>0.76</v>
          </cell>
        </row>
        <row r="174">
          <cell r="H174" t="str">
            <v>HORACIO Y LOS PLASTICINESS</v>
          </cell>
          <cell r="I174">
            <v>0.76</v>
          </cell>
        </row>
        <row r="175">
          <cell r="H175" t="str">
            <v>PEPPA LA CERDITAS</v>
          </cell>
          <cell r="I175">
            <v>0.69</v>
          </cell>
        </row>
        <row r="176">
          <cell r="H176" t="str">
            <v>PEPPA LA CERDITAS</v>
          </cell>
          <cell r="I176">
            <v>0.69</v>
          </cell>
        </row>
        <row r="177">
          <cell r="H177" t="str">
            <v>NOTICREOS</v>
          </cell>
          <cell r="I177">
            <v>0.56999999999999995</v>
          </cell>
        </row>
        <row r="178">
          <cell r="H178" t="str">
            <v>NOTICREOS</v>
          </cell>
          <cell r="I178">
            <v>0.56999999999999995</v>
          </cell>
        </row>
        <row r="179">
          <cell r="H179" t="str">
            <v>PURO CHILE (R)D</v>
          </cell>
          <cell r="I179">
            <v>0.51</v>
          </cell>
        </row>
        <row r="180">
          <cell r="H180" t="str">
            <v>PURO CHILE (R)D</v>
          </cell>
          <cell r="I180">
            <v>0.51</v>
          </cell>
        </row>
        <row r="181">
          <cell r="H181" t="str">
            <v>0,243055555555556LMWJD</v>
          </cell>
          <cell r="I181">
            <v>0.51</v>
          </cell>
        </row>
        <row r="182">
          <cell r="H182" t="str">
            <v>0,243055555555556L</v>
          </cell>
          <cell r="I182">
            <v>0.7</v>
          </cell>
        </row>
        <row r="183">
          <cell r="H183" t="str">
            <v>0,243055555555556J</v>
          </cell>
          <cell r="I183">
            <v>0.67</v>
          </cell>
        </row>
        <row r="184">
          <cell r="H184" t="str">
            <v>0,243055555555556M</v>
          </cell>
          <cell r="I184">
            <v>0.62</v>
          </cell>
        </row>
        <row r="185">
          <cell r="H185" t="str">
            <v>0,243055555555556W</v>
          </cell>
          <cell r="I185">
            <v>0.41</v>
          </cell>
        </row>
        <row r="186">
          <cell r="H186" t="str">
            <v>0,243055555555556D</v>
          </cell>
          <cell r="I186">
            <v>0.28999999999999998</v>
          </cell>
        </row>
        <row r="187">
          <cell r="H187" t="str">
            <v>MIRADA ECONOMICAD</v>
          </cell>
          <cell r="I187">
            <v>0.49</v>
          </cell>
        </row>
        <row r="188">
          <cell r="H188" t="str">
            <v>MIRADA ECONOMICAD</v>
          </cell>
          <cell r="I188">
            <v>0.49</v>
          </cell>
        </row>
        <row r="189">
          <cell r="H189" t="str">
            <v>SESIONES 24D</v>
          </cell>
          <cell r="I189">
            <v>0.27</v>
          </cell>
        </row>
        <row r="190">
          <cell r="H190" t="str">
            <v>SESIONES 24D</v>
          </cell>
          <cell r="I190">
            <v>0.27</v>
          </cell>
        </row>
        <row r="191">
          <cell r="H191" t="str">
            <v>AVANCE 24D</v>
          </cell>
          <cell r="I191">
            <v>0.26</v>
          </cell>
        </row>
        <row r="192">
          <cell r="H192" t="str">
            <v>AVANCE 24D</v>
          </cell>
          <cell r="I192">
            <v>0.26</v>
          </cell>
        </row>
        <row r="193">
          <cell r="H193" t="str">
            <v>MATRIARCASLMWJV</v>
          </cell>
          <cell r="I193">
            <v>1.8</v>
          </cell>
        </row>
        <row r="194">
          <cell r="H194" t="str">
            <v>HUMOR EN FESTIVAL DE OLMUE (LOJ</v>
          </cell>
          <cell r="I194">
            <v>2.8</v>
          </cell>
        </row>
        <row r="196">
          <cell r="H196" t="str">
            <v>MOISES LOS 10 MANDAMIENTOSLMWJ</v>
          </cell>
          <cell r="I196">
            <v>7.8449999999999998</v>
          </cell>
        </row>
        <row r="197">
          <cell r="H197" t="str">
            <v>24 HORAS CENTRALLMWJV</v>
          </cell>
          <cell r="I197">
            <v>4.1659999999999995</v>
          </cell>
        </row>
        <row r="198">
          <cell r="H198" t="str">
            <v>24 HORAS AL DIALMWJV</v>
          </cell>
          <cell r="I198">
            <v>2.4379999999999997</v>
          </cell>
        </row>
      </sheetData>
      <sheetData sheetId="12">
        <row r="3">
          <cell r="H3" t="str">
            <v>MOISES LOS 10 MANDAMIENTOSLMWJD</v>
          </cell>
          <cell r="I3">
            <v>4.16</v>
          </cell>
        </row>
        <row r="4">
          <cell r="H4" t="str">
            <v>MOISES LOS 10 MANDAMIENTOSD</v>
          </cell>
          <cell r="I4">
            <v>4.87</v>
          </cell>
        </row>
        <row r="5">
          <cell r="H5" t="str">
            <v>MOISES LOS 10 MANDAMIENTOSW</v>
          </cell>
          <cell r="I5">
            <v>4.29</v>
          </cell>
        </row>
        <row r="6">
          <cell r="H6" t="str">
            <v>MOISES LOS 10 MANDAMIENTOSL</v>
          </cell>
          <cell r="I6">
            <v>4.09</v>
          </cell>
        </row>
        <row r="7">
          <cell r="H7" t="str">
            <v>MOISES LOS 10 MANDAMIENTOSM</v>
          </cell>
          <cell r="I7">
            <v>3.78</v>
          </cell>
        </row>
        <row r="8">
          <cell r="H8" t="str">
            <v>MOISES LOS 10 MANDAMIENTOSJ</v>
          </cell>
          <cell r="I8">
            <v>3.75</v>
          </cell>
        </row>
        <row r="9">
          <cell r="H9" t="str">
            <v>45 ANOS DE UN COCOJ</v>
          </cell>
          <cell r="I9">
            <v>3.62</v>
          </cell>
        </row>
        <row r="10">
          <cell r="H10" t="str">
            <v>45 ANOS DE UN COCOJ</v>
          </cell>
          <cell r="I10">
            <v>3.62</v>
          </cell>
        </row>
        <row r="11">
          <cell r="H11" t="str">
            <v>SEMANA SANTAV</v>
          </cell>
          <cell r="I11">
            <v>3.48</v>
          </cell>
        </row>
        <row r="12">
          <cell r="H12" t="str">
            <v>SEMANA SANTAV</v>
          </cell>
          <cell r="I12">
            <v>3.48</v>
          </cell>
        </row>
        <row r="13">
          <cell r="H13" t="str">
            <v>TV TIEMPOLMWJVSD</v>
          </cell>
          <cell r="I13">
            <v>3.23</v>
          </cell>
        </row>
        <row r="14">
          <cell r="H14" t="str">
            <v>TV TIEMPOL</v>
          </cell>
          <cell r="I14">
            <v>4.09</v>
          </cell>
        </row>
        <row r="15">
          <cell r="H15" t="str">
            <v>TV TIEMPOD</v>
          </cell>
          <cell r="I15">
            <v>4.03</v>
          </cell>
        </row>
        <row r="16">
          <cell r="H16" t="str">
            <v>TV TIEMPOM</v>
          </cell>
          <cell r="I16">
            <v>3.42</v>
          </cell>
        </row>
        <row r="17">
          <cell r="H17" t="str">
            <v>TV TIEMPOJ</v>
          </cell>
          <cell r="I17">
            <v>3.22</v>
          </cell>
        </row>
        <row r="18">
          <cell r="H18" t="str">
            <v>TV TIEMPOW</v>
          </cell>
          <cell r="I18">
            <v>2.89</v>
          </cell>
        </row>
        <row r="19">
          <cell r="H19" t="str">
            <v>TV TIEMPOV</v>
          </cell>
          <cell r="I19">
            <v>2.62</v>
          </cell>
        </row>
        <row r="20">
          <cell r="H20" t="str">
            <v>TV TIEMPOS</v>
          </cell>
          <cell r="I20">
            <v>2.1800000000000002</v>
          </cell>
        </row>
        <row r="21">
          <cell r="H21" t="str">
            <v>24 HORAS DOMINGOD</v>
          </cell>
          <cell r="I21">
            <v>2.83</v>
          </cell>
        </row>
        <row r="22">
          <cell r="H22" t="str">
            <v>24 HORAS DOMINGOD</v>
          </cell>
          <cell r="I22">
            <v>2.83</v>
          </cell>
        </row>
        <row r="23">
          <cell r="H23" t="str">
            <v>24 HORAS CENTRALLMWJVS</v>
          </cell>
          <cell r="I23">
            <v>2.56</v>
          </cell>
        </row>
        <row r="24">
          <cell r="H24" t="str">
            <v>24 HORAS CENTRALV</v>
          </cell>
          <cell r="I24">
            <v>2.97</v>
          </cell>
        </row>
        <row r="25">
          <cell r="H25" t="str">
            <v>24 HORAS CENTRALJ</v>
          </cell>
          <cell r="I25">
            <v>2.85</v>
          </cell>
        </row>
        <row r="26">
          <cell r="H26" t="str">
            <v>24 HORAS CENTRALL</v>
          </cell>
          <cell r="I26">
            <v>2.78</v>
          </cell>
        </row>
        <row r="27">
          <cell r="H27" t="str">
            <v>24 HORAS CENTRALM</v>
          </cell>
          <cell r="I27">
            <v>2.48</v>
          </cell>
        </row>
        <row r="28">
          <cell r="H28" t="str">
            <v>24 HORAS CENTRALS</v>
          </cell>
          <cell r="I28">
            <v>2.25</v>
          </cell>
        </row>
        <row r="29">
          <cell r="H29" t="str">
            <v>24 HORAS CENTRALW</v>
          </cell>
          <cell r="I29">
            <v>2.23</v>
          </cell>
        </row>
        <row r="30">
          <cell r="H30" t="str">
            <v>HISTORIA DE UN OSOS</v>
          </cell>
          <cell r="I30">
            <v>2.0499999999999998</v>
          </cell>
        </row>
        <row r="31">
          <cell r="H31" t="str">
            <v>HISTORIA DE UN OSOS</v>
          </cell>
          <cell r="I31">
            <v>2.0499999999999998</v>
          </cell>
        </row>
        <row r="32">
          <cell r="H32" t="str">
            <v>VIRALM</v>
          </cell>
          <cell r="I32">
            <v>2.04</v>
          </cell>
        </row>
        <row r="33">
          <cell r="H33" t="str">
            <v>VIRALM</v>
          </cell>
          <cell r="I33">
            <v>2.04</v>
          </cell>
        </row>
        <row r="34">
          <cell r="H34" t="str">
            <v>MOISES LOS 10 MANDAMIENTOS (RELMWJSD</v>
          </cell>
          <cell r="I34">
            <v>1.97</v>
          </cell>
        </row>
        <row r="35">
          <cell r="H35" t="str">
            <v>MOISES LOS 10 MANDAMIENTOS (REL</v>
          </cell>
          <cell r="I35">
            <v>3.91</v>
          </cell>
        </row>
        <row r="36">
          <cell r="H36" t="str">
            <v>MOISES LOS 10 MANDAMIENTOS (RED</v>
          </cell>
          <cell r="I36">
            <v>3.88</v>
          </cell>
        </row>
        <row r="37">
          <cell r="H37" t="str">
            <v>MOISES LOS 10 MANDAMIENTOS (REW</v>
          </cell>
          <cell r="I37">
            <v>3.19</v>
          </cell>
        </row>
        <row r="38">
          <cell r="H38" t="str">
            <v>MOISES LOS 10 MANDAMIENTOS (REM</v>
          </cell>
          <cell r="I38">
            <v>3.19</v>
          </cell>
        </row>
        <row r="39">
          <cell r="H39" t="str">
            <v>MOISES LOS 10 MANDAMIENTOS (REJ</v>
          </cell>
          <cell r="I39">
            <v>2.0699999999999998</v>
          </cell>
        </row>
        <row r="40">
          <cell r="H40" t="str">
            <v>MOISES LOS 10 MANDAMIENTOS (RES</v>
          </cell>
          <cell r="I40">
            <v>0.71</v>
          </cell>
        </row>
        <row r="41">
          <cell r="H41" t="str">
            <v>COPA DAVISVSD</v>
          </cell>
          <cell r="I41">
            <v>1.97</v>
          </cell>
        </row>
        <row r="42">
          <cell r="H42" t="str">
            <v>COPA DAVISS</v>
          </cell>
          <cell r="I42">
            <v>2.4300000000000002</v>
          </cell>
        </row>
        <row r="43">
          <cell r="H43" t="str">
            <v>COPA DAVISV</v>
          </cell>
          <cell r="I43">
            <v>1.91</v>
          </cell>
        </row>
        <row r="44">
          <cell r="H44" t="str">
            <v>COPA DAVISD</v>
          </cell>
          <cell r="I44">
            <v>1.84</v>
          </cell>
        </row>
        <row r="45">
          <cell r="H45" t="str">
            <v>4TO MEDIOLW</v>
          </cell>
          <cell r="I45">
            <v>1.9</v>
          </cell>
        </row>
        <row r="46">
          <cell r="H46" t="str">
            <v>4TO MEDIOW</v>
          </cell>
          <cell r="I46">
            <v>2.09</v>
          </cell>
        </row>
        <row r="47">
          <cell r="H47" t="str">
            <v>4TO MEDIOL</v>
          </cell>
          <cell r="I47">
            <v>0.85</v>
          </cell>
        </row>
        <row r="48">
          <cell r="H48" t="str">
            <v>JOSE DE EGIPTOV</v>
          </cell>
          <cell r="I48">
            <v>1.86</v>
          </cell>
        </row>
        <row r="49">
          <cell r="H49" t="str">
            <v>JOSE DE EGIPTOV</v>
          </cell>
          <cell r="I49">
            <v>1.86</v>
          </cell>
        </row>
        <row r="50">
          <cell r="H50" t="str">
            <v>FRUTOS DEL PAISD</v>
          </cell>
          <cell r="I50">
            <v>1.76</v>
          </cell>
        </row>
        <row r="51">
          <cell r="H51" t="str">
            <v>FRUTOS DEL PAISD</v>
          </cell>
          <cell r="I51">
            <v>1.76</v>
          </cell>
        </row>
        <row r="52">
          <cell r="H52" t="str">
            <v>CHILE CONECTADO (R)D</v>
          </cell>
          <cell r="I52">
            <v>1.68</v>
          </cell>
        </row>
        <row r="53">
          <cell r="H53" t="str">
            <v>CHILE CONECTADO (R)D</v>
          </cell>
          <cell r="I53">
            <v>1.68</v>
          </cell>
        </row>
        <row r="54">
          <cell r="H54" t="str">
            <v>SABADO DE K OS</v>
          </cell>
          <cell r="I54">
            <v>1.66</v>
          </cell>
        </row>
        <row r="55">
          <cell r="H55" t="str">
            <v>SABADO DE K OS</v>
          </cell>
          <cell r="I55">
            <v>1.66</v>
          </cell>
        </row>
        <row r="56">
          <cell r="H56" t="str">
            <v>MEDIA NOCHELMWJV</v>
          </cell>
          <cell r="I56">
            <v>1.61</v>
          </cell>
        </row>
        <row r="57">
          <cell r="H57" t="str">
            <v>MEDIA NOCHEW</v>
          </cell>
          <cell r="I57">
            <v>1.97</v>
          </cell>
        </row>
        <row r="58">
          <cell r="H58" t="str">
            <v>MEDIA NOCHEJ</v>
          </cell>
          <cell r="I58">
            <v>1.66</v>
          </cell>
        </row>
        <row r="59">
          <cell r="H59" t="str">
            <v>MEDIA NOCHEM</v>
          </cell>
          <cell r="I59">
            <v>1.57</v>
          </cell>
        </row>
        <row r="60">
          <cell r="H60" t="str">
            <v>MEDIA NOCHEL</v>
          </cell>
          <cell r="I60">
            <v>1.5</v>
          </cell>
        </row>
        <row r="61">
          <cell r="H61" t="str">
            <v>MEDIA NOCHEV</v>
          </cell>
          <cell r="I61">
            <v>1.02</v>
          </cell>
        </row>
        <row r="62">
          <cell r="H62" t="str">
            <v>DOCTOR HOUSE (R)LMWJVD</v>
          </cell>
          <cell r="I62">
            <v>1.52</v>
          </cell>
        </row>
        <row r="63">
          <cell r="H63" t="str">
            <v>DOCTOR HOUSE (R)W</v>
          </cell>
          <cell r="I63">
            <v>2.0499999999999998</v>
          </cell>
        </row>
        <row r="64">
          <cell r="H64" t="str">
            <v>DOCTOR HOUSE (R)M</v>
          </cell>
          <cell r="I64">
            <v>1.51</v>
          </cell>
        </row>
        <row r="65">
          <cell r="H65" t="str">
            <v>DOCTOR HOUSE (R)J</v>
          </cell>
          <cell r="I65">
            <v>1.43</v>
          </cell>
        </row>
        <row r="66">
          <cell r="H66" t="str">
            <v>DOCTOR HOUSE (R)L</v>
          </cell>
          <cell r="I66">
            <v>1.38</v>
          </cell>
        </row>
        <row r="67">
          <cell r="H67" t="str">
            <v>DOCTOR HOUSE (R)V</v>
          </cell>
          <cell r="I67">
            <v>1.27</v>
          </cell>
        </row>
        <row r="68">
          <cell r="H68" t="str">
            <v>DOCTOR HOUSE (R)D</v>
          </cell>
          <cell r="I68">
            <v>1.18</v>
          </cell>
        </row>
        <row r="69">
          <cell r="H69" t="str">
            <v>HABITANTES DEL PACIFICO (R)D</v>
          </cell>
          <cell r="I69">
            <v>1.41</v>
          </cell>
        </row>
        <row r="70">
          <cell r="H70" t="str">
            <v>HABITANTES DEL PACIFICO (R)D</v>
          </cell>
          <cell r="I70">
            <v>1.41</v>
          </cell>
        </row>
        <row r="71">
          <cell r="H71" t="str">
            <v>FRUTOS DEL PAIS (R)D</v>
          </cell>
          <cell r="I71">
            <v>1.4</v>
          </cell>
        </row>
        <row r="72">
          <cell r="H72" t="str">
            <v>FRUTOS DEL PAIS (R)D</v>
          </cell>
          <cell r="I72">
            <v>1.4</v>
          </cell>
        </row>
        <row r="73">
          <cell r="H73" t="str">
            <v>PELOTON LA HISTORIA DEL HONORW</v>
          </cell>
          <cell r="I73">
            <v>1.4</v>
          </cell>
        </row>
        <row r="74">
          <cell r="H74" t="str">
            <v>PELOTON LA HISTORIA DEL HONORW</v>
          </cell>
          <cell r="I74">
            <v>1.4</v>
          </cell>
        </row>
        <row r="75">
          <cell r="H75" t="str">
            <v>NUESTRO SIGLOS</v>
          </cell>
          <cell r="I75">
            <v>1.39</v>
          </cell>
        </row>
        <row r="76">
          <cell r="H76" t="str">
            <v>NUESTRO SIGLOS</v>
          </cell>
          <cell r="I76">
            <v>1.39</v>
          </cell>
        </row>
        <row r="77">
          <cell r="H77" t="str">
            <v>ENTRE PROGRAMASLMWJVSD</v>
          </cell>
          <cell r="I77">
            <v>1.29</v>
          </cell>
        </row>
        <row r="78">
          <cell r="H78" t="str">
            <v>ENTRE PROGRAMASM</v>
          </cell>
          <cell r="I78">
            <v>1.77</v>
          </cell>
        </row>
        <row r="79">
          <cell r="H79" t="str">
            <v>ENTRE PROGRAMASJ</v>
          </cell>
          <cell r="I79">
            <v>1.77</v>
          </cell>
        </row>
        <row r="80">
          <cell r="H80" t="str">
            <v>ENTRE PROGRAMASW</v>
          </cell>
          <cell r="I80">
            <v>1.51</v>
          </cell>
        </row>
        <row r="81">
          <cell r="H81" t="str">
            <v>ENTRE PROGRAMASS</v>
          </cell>
          <cell r="I81">
            <v>1.42</v>
          </cell>
        </row>
        <row r="82">
          <cell r="H82" t="str">
            <v>ENTRE PROGRAMASV</v>
          </cell>
          <cell r="I82">
            <v>1.1000000000000001</v>
          </cell>
        </row>
        <row r="83">
          <cell r="H83" t="str">
            <v>ENTRE PROGRAMASL</v>
          </cell>
          <cell r="I83">
            <v>0.99</v>
          </cell>
        </row>
        <row r="84">
          <cell r="H84" t="str">
            <v>ENTRE PROGRAMASD</v>
          </cell>
          <cell r="I84">
            <v>0.87</v>
          </cell>
        </row>
        <row r="85">
          <cell r="H85" t="str">
            <v>POR FIN SOLOS (R)V</v>
          </cell>
          <cell r="I85">
            <v>1.29</v>
          </cell>
        </row>
        <row r="86">
          <cell r="H86" t="str">
            <v>POR FIN SOLOS (R)V</v>
          </cell>
          <cell r="I86">
            <v>1.29</v>
          </cell>
        </row>
        <row r="87">
          <cell r="H87" t="str">
            <v>LA CULTURA ENTRETENIDAD</v>
          </cell>
          <cell r="I87">
            <v>1.27</v>
          </cell>
        </row>
        <row r="88">
          <cell r="H88" t="str">
            <v>LA CULTURA ENTRETENIDAD</v>
          </cell>
          <cell r="I88">
            <v>1.27</v>
          </cell>
        </row>
        <row r="89">
          <cell r="H89" t="str">
            <v>24 HORAS AL DIALMWJVSD</v>
          </cell>
          <cell r="I89">
            <v>1.17</v>
          </cell>
        </row>
        <row r="90">
          <cell r="H90" t="str">
            <v>24 HORAS AL DIAL</v>
          </cell>
          <cell r="I90">
            <v>1.67</v>
          </cell>
        </row>
        <row r="91">
          <cell r="H91" t="str">
            <v>24 HORAS AL DIAW</v>
          </cell>
          <cell r="I91">
            <v>1.47</v>
          </cell>
        </row>
        <row r="92">
          <cell r="H92" t="str">
            <v>24 HORAS AL DIAV</v>
          </cell>
          <cell r="I92">
            <v>1.21</v>
          </cell>
        </row>
        <row r="93">
          <cell r="H93" t="str">
            <v>24 HORAS AL DIAS</v>
          </cell>
          <cell r="I93">
            <v>1.07</v>
          </cell>
        </row>
        <row r="94">
          <cell r="H94" t="str">
            <v>24 HORAS AL DIAD</v>
          </cell>
          <cell r="I94">
            <v>1.07</v>
          </cell>
        </row>
        <row r="95">
          <cell r="H95" t="str">
            <v>24 HORAS AL DIAJ</v>
          </cell>
          <cell r="I95">
            <v>0.98</v>
          </cell>
        </row>
        <row r="96">
          <cell r="H96" t="str">
            <v>24 HORAS AL DIAM</v>
          </cell>
          <cell r="I96">
            <v>0.8</v>
          </cell>
        </row>
        <row r="97">
          <cell r="H97" t="str">
            <v>TU MANANA 24 HORASLMWJV</v>
          </cell>
          <cell r="I97">
            <v>1.1399999999999999</v>
          </cell>
        </row>
        <row r="98">
          <cell r="H98" t="str">
            <v>TU MANANA 24 HORASL</v>
          </cell>
          <cell r="I98">
            <v>1.44</v>
          </cell>
        </row>
        <row r="99">
          <cell r="H99" t="str">
            <v>TU MANANA 24 HORASJ</v>
          </cell>
          <cell r="I99">
            <v>1.36</v>
          </cell>
        </row>
        <row r="100">
          <cell r="H100" t="str">
            <v>TU MANANA 24 HORASV</v>
          </cell>
          <cell r="I100">
            <v>1.1100000000000001</v>
          </cell>
        </row>
        <row r="101">
          <cell r="H101" t="str">
            <v>TU MANANA 24 HORASW</v>
          </cell>
          <cell r="I101">
            <v>1.08</v>
          </cell>
        </row>
        <row r="102">
          <cell r="H102" t="str">
            <v>TU MANANA 24 HORASM</v>
          </cell>
          <cell r="I102">
            <v>0.81</v>
          </cell>
        </row>
        <row r="103">
          <cell r="H103" t="str">
            <v>POR FIN SOLOSLD</v>
          </cell>
          <cell r="I103">
            <v>1.04</v>
          </cell>
        </row>
        <row r="104">
          <cell r="H104" t="str">
            <v>POR FIN SOLOSL</v>
          </cell>
          <cell r="I104">
            <v>1.07</v>
          </cell>
        </row>
        <row r="105">
          <cell r="H105" t="str">
            <v>POR FIN SOLOSD</v>
          </cell>
          <cell r="I105">
            <v>1</v>
          </cell>
        </row>
        <row r="106">
          <cell r="H106" t="str">
            <v>ESA NO SOY YOLMWJV</v>
          </cell>
          <cell r="I106">
            <v>1.04</v>
          </cell>
        </row>
        <row r="107">
          <cell r="H107" t="str">
            <v>ESA NO SOY YOV</v>
          </cell>
          <cell r="I107">
            <v>1.53</v>
          </cell>
        </row>
        <row r="108">
          <cell r="H108" t="str">
            <v>ESA NO SOY YOL</v>
          </cell>
          <cell r="I108">
            <v>1.21</v>
          </cell>
        </row>
        <row r="109">
          <cell r="H109" t="str">
            <v>ESA NO SOY YOW</v>
          </cell>
          <cell r="I109">
            <v>0.93</v>
          </cell>
        </row>
        <row r="110">
          <cell r="H110" t="str">
            <v>ESA NO SOY YOM</v>
          </cell>
          <cell r="I110">
            <v>0.91</v>
          </cell>
        </row>
        <row r="111">
          <cell r="H111" t="str">
            <v>ESA NO SOY YOJ</v>
          </cell>
          <cell r="I111">
            <v>0.9</v>
          </cell>
        </row>
        <row r="112">
          <cell r="H112" t="str">
            <v>PURO CHILEV</v>
          </cell>
          <cell r="I112">
            <v>1</v>
          </cell>
        </row>
        <row r="113">
          <cell r="H113" t="str">
            <v>PURO CHILEV</v>
          </cell>
          <cell r="I113">
            <v>1</v>
          </cell>
        </row>
        <row r="114">
          <cell r="H114" t="str">
            <v>POR FIN SOLOS (RESUMEN)L</v>
          </cell>
          <cell r="I114">
            <v>0.99</v>
          </cell>
        </row>
        <row r="115">
          <cell r="H115" t="str">
            <v>POR FIN SOLOS (RESUMEN)L</v>
          </cell>
          <cell r="I115">
            <v>0.99</v>
          </cell>
        </row>
        <row r="116">
          <cell r="H116" t="str">
            <v>BEST SELLERVS</v>
          </cell>
          <cell r="I116">
            <v>0.97</v>
          </cell>
        </row>
        <row r="117">
          <cell r="H117" t="str">
            <v>BEST SELLERS</v>
          </cell>
          <cell r="I117">
            <v>1.36</v>
          </cell>
        </row>
        <row r="118">
          <cell r="H118" t="str">
            <v>BEST SELLERV</v>
          </cell>
          <cell r="I118">
            <v>0.79</v>
          </cell>
        </row>
        <row r="119">
          <cell r="H119" t="str">
            <v>ROMANE (R)LMWJV</v>
          </cell>
          <cell r="I119">
            <v>0.95</v>
          </cell>
        </row>
        <row r="120">
          <cell r="H120" t="str">
            <v>ROMANE (R)W</v>
          </cell>
          <cell r="I120">
            <v>1.32</v>
          </cell>
        </row>
        <row r="121">
          <cell r="H121" t="str">
            <v>ROMANE (R)M</v>
          </cell>
          <cell r="I121">
            <v>0.98</v>
          </cell>
        </row>
        <row r="122">
          <cell r="H122" t="str">
            <v>ROMANE (R)V</v>
          </cell>
          <cell r="I122">
            <v>0.88</v>
          </cell>
        </row>
        <row r="123">
          <cell r="H123" t="str">
            <v>ROMANE (R)L</v>
          </cell>
          <cell r="I123">
            <v>0.77</v>
          </cell>
        </row>
        <row r="124">
          <cell r="H124" t="str">
            <v>ROMANE (R)J</v>
          </cell>
          <cell r="I124">
            <v>0.68</v>
          </cell>
        </row>
        <row r="125">
          <cell r="H125" t="str">
            <v>DESTILANDO AMORLMWJV</v>
          </cell>
          <cell r="I125">
            <v>0.91</v>
          </cell>
        </row>
        <row r="126">
          <cell r="H126" t="str">
            <v>DESTILANDO AMORV</v>
          </cell>
          <cell r="I126">
            <v>1.2</v>
          </cell>
        </row>
        <row r="127">
          <cell r="H127" t="str">
            <v>DESTILANDO AMORW</v>
          </cell>
          <cell r="I127">
            <v>0.88</v>
          </cell>
        </row>
        <row r="128">
          <cell r="H128" t="str">
            <v>DESTILANDO AMORL</v>
          </cell>
          <cell r="I128">
            <v>0.88</v>
          </cell>
        </row>
        <row r="129">
          <cell r="H129" t="str">
            <v>DESTILANDO AMORM</v>
          </cell>
          <cell r="I129">
            <v>0.85</v>
          </cell>
        </row>
        <row r="130">
          <cell r="H130" t="str">
            <v>DESTILANDO AMORJ</v>
          </cell>
          <cell r="I130">
            <v>0.79</v>
          </cell>
        </row>
        <row r="131">
          <cell r="H131" t="str">
            <v>MELO Y ASTORGAS</v>
          </cell>
          <cell r="I131">
            <v>0.91</v>
          </cell>
        </row>
        <row r="132">
          <cell r="H132" t="str">
            <v>MELO Y ASTORGAS</v>
          </cell>
          <cell r="I132">
            <v>0.91</v>
          </cell>
        </row>
        <row r="133">
          <cell r="H133" t="str">
            <v>ESA NO SOY YO (RESUMEN)LMWJV</v>
          </cell>
          <cell r="I133">
            <v>0.9</v>
          </cell>
        </row>
        <row r="134">
          <cell r="H134" t="str">
            <v>ESA NO SOY YO (RESUMEN)L</v>
          </cell>
          <cell r="I134">
            <v>1.04</v>
          </cell>
        </row>
        <row r="135">
          <cell r="H135" t="str">
            <v>ESA NO SOY YO (RESUMEN)V</v>
          </cell>
          <cell r="I135">
            <v>1.01</v>
          </cell>
        </row>
        <row r="136">
          <cell r="H136" t="str">
            <v>ESA NO SOY YO (RESUMEN)W</v>
          </cell>
          <cell r="I136">
            <v>0.97</v>
          </cell>
        </row>
        <row r="137">
          <cell r="H137" t="str">
            <v>ESA NO SOY YO (RESUMEN)M</v>
          </cell>
          <cell r="I137">
            <v>0.76</v>
          </cell>
        </row>
        <row r="138">
          <cell r="H138" t="str">
            <v>ESA NO SOY YO (RESUMEN)J</v>
          </cell>
          <cell r="I138">
            <v>0.72</v>
          </cell>
        </row>
        <row r="139">
          <cell r="H139" t="str">
            <v>BOXEO DE OROS</v>
          </cell>
          <cell r="I139">
            <v>0.84</v>
          </cell>
        </row>
        <row r="140">
          <cell r="H140" t="str">
            <v>BOXEO DE OROS</v>
          </cell>
          <cell r="I140">
            <v>0.84</v>
          </cell>
        </row>
        <row r="141">
          <cell r="H141" t="str">
            <v>ESTADO NACIONALD</v>
          </cell>
          <cell r="I141">
            <v>0.83</v>
          </cell>
        </row>
        <row r="142">
          <cell r="H142" t="str">
            <v>ESTADO NACIONALD</v>
          </cell>
          <cell r="I142">
            <v>0.83</v>
          </cell>
        </row>
        <row r="143">
          <cell r="H143" t="str">
            <v>BUENOS DIAS A TODOS (B)LMWJV</v>
          </cell>
          <cell r="I143">
            <v>0.71</v>
          </cell>
        </row>
        <row r="144">
          <cell r="H144" t="str">
            <v>BUENOS DIAS A TODOS (B)J</v>
          </cell>
          <cell r="I144">
            <v>0.98</v>
          </cell>
        </row>
        <row r="145">
          <cell r="H145" t="str">
            <v>BUENOS DIAS A TODOS (B)W</v>
          </cell>
          <cell r="I145">
            <v>0.83</v>
          </cell>
        </row>
        <row r="146">
          <cell r="H146" t="str">
            <v>BUENOS DIAS A TODOS (B)L</v>
          </cell>
          <cell r="I146">
            <v>0.59</v>
          </cell>
        </row>
        <row r="147">
          <cell r="H147" t="str">
            <v>BUENOS DIAS A TODOS (B)M</v>
          </cell>
          <cell r="I147">
            <v>0.5</v>
          </cell>
        </row>
        <row r="148">
          <cell r="H148" t="str">
            <v>BUENOS DIAS A TODOS (B)V</v>
          </cell>
          <cell r="I148">
            <v>0.49</v>
          </cell>
        </row>
        <row r="149">
          <cell r="H149" t="str">
            <v>EL SECRETO DE PUENTE VIEJOLMWJV</v>
          </cell>
          <cell r="I149">
            <v>0.68</v>
          </cell>
        </row>
        <row r="150">
          <cell r="H150" t="str">
            <v>EL SECRETO DE PUENTE VIEJOJ</v>
          </cell>
          <cell r="I150">
            <v>0.88</v>
          </cell>
        </row>
        <row r="151">
          <cell r="H151" t="str">
            <v>EL SECRETO DE PUENTE VIEJOL</v>
          </cell>
          <cell r="I151">
            <v>0.85</v>
          </cell>
        </row>
        <row r="152">
          <cell r="H152" t="str">
            <v>EL SECRETO DE PUENTE VIEJOW</v>
          </cell>
          <cell r="I152">
            <v>0.81</v>
          </cell>
        </row>
        <row r="153">
          <cell r="H153" t="str">
            <v>EL SECRETO DE PUENTE VIEJOV</v>
          </cell>
          <cell r="I153">
            <v>0.57999999999999996</v>
          </cell>
        </row>
        <row r="154">
          <cell r="H154" t="str">
            <v>EL SECRETO DE PUENTE VIEJOM</v>
          </cell>
          <cell r="I154">
            <v>0.34</v>
          </cell>
        </row>
        <row r="155">
          <cell r="H155" t="str">
            <v>PODIOD</v>
          </cell>
          <cell r="I155">
            <v>0.66</v>
          </cell>
        </row>
        <row r="156">
          <cell r="H156" t="str">
            <v>PODIOD</v>
          </cell>
          <cell r="I156">
            <v>0.66</v>
          </cell>
        </row>
        <row r="157">
          <cell r="H157" t="str">
            <v>GRANDES PELICULASS</v>
          </cell>
          <cell r="I157">
            <v>0.64</v>
          </cell>
        </row>
        <row r="158">
          <cell r="H158" t="str">
            <v>GRANDES PELICULASS</v>
          </cell>
          <cell r="I158">
            <v>0.64</v>
          </cell>
        </row>
        <row r="159">
          <cell r="H159" t="str">
            <v>BUENOS DIAS A TODOS (A)LMWJV</v>
          </cell>
          <cell r="I159">
            <v>0.64</v>
          </cell>
        </row>
        <row r="160">
          <cell r="H160" t="str">
            <v>BUENOS DIAS A TODOS (A)V</v>
          </cell>
          <cell r="I160">
            <v>1.28</v>
          </cell>
        </row>
        <row r="161">
          <cell r="H161" t="str">
            <v>BUENOS DIAS A TODOS (A)J</v>
          </cell>
          <cell r="I161">
            <v>0.78</v>
          </cell>
        </row>
        <row r="162">
          <cell r="H162" t="str">
            <v>BUENOS DIAS A TODOS (A)L</v>
          </cell>
          <cell r="I162">
            <v>0.47</v>
          </cell>
        </row>
        <row r="163">
          <cell r="H163" t="str">
            <v>BUENOS DIAS A TODOS (A)W</v>
          </cell>
          <cell r="I163">
            <v>0.44</v>
          </cell>
        </row>
        <row r="164">
          <cell r="H164" t="str">
            <v>BUENOS DIAS A TODOS (A)M</v>
          </cell>
          <cell r="I164">
            <v>0.27</v>
          </cell>
        </row>
        <row r="165">
          <cell r="H165" t="str">
            <v>CINEV</v>
          </cell>
          <cell r="I165">
            <v>0.62</v>
          </cell>
        </row>
        <row r="166">
          <cell r="H166" t="str">
            <v>CINEV</v>
          </cell>
          <cell r="I166">
            <v>0.62</v>
          </cell>
        </row>
        <row r="167">
          <cell r="H167" t="str">
            <v>0,243055555555556LMWJD</v>
          </cell>
          <cell r="I167">
            <v>0.54</v>
          </cell>
        </row>
        <row r="168">
          <cell r="H168" t="str">
            <v>0,243055555555556W</v>
          </cell>
          <cell r="I168">
            <v>0.66</v>
          </cell>
        </row>
        <row r="169">
          <cell r="H169" t="str">
            <v>0,243055555555556J</v>
          </cell>
          <cell r="I169">
            <v>0.59</v>
          </cell>
        </row>
        <row r="170">
          <cell r="H170" t="str">
            <v>0,243055555555556L</v>
          </cell>
          <cell r="I170">
            <v>0.55000000000000004</v>
          </cell>
        </row>
        <row r="171">
          <cell r="H171" t="str">
            <v>0,243055555555556D</v>
          </cell>
          <cell r="I171">
            <v>0.51</v>
          </cell>
        </row>
        <row r="172">
          <cell r="H172" t="str">
            <v>0,243055555555556M</v>
          </cell>
          <cell r="I172">
            <v>0.41</v>
          </cell>
        </row>
        <row r="173">
          <cell r="H173" t="str">
            <v>PURO CHILE (R)D</v>
          </cell>
          <cell r="I173">
            <v>0.51</v>
          </cell>
        </row>
        <row r="174">
          <cell r="H174" t="str">
            <v>PURO CHILE (R)D</v>
          </cell>
          <cell r="I174">
            <v>0.51</v>
          </cell>
        </row>
        <row r="175">
          <cell r="H175" t="str">
            <v>SUPER CINES</v>
          </cell>
          <cell r="I175">
            <v>0.42</v>
          </cell>
        </row>
        <row r="176">
          <cell r="H176" t="str">
            <v>SUPER CINES</v>
          </cell>
          <cell r="I176">
            <v>0.42</v>
          </cell>
        </row>
        <row r="177">
          <cell r="H177" t="str">
            <v>24 HORASD</v>
          </cell>
          <cell r="I177">
            <v>0.39</v>
          </cell>
        </row>
        <row r="178">
          <cell r="H178" t="str">
            <v>24 HORASD</v>
          </cell>
          <cell r="I178">
            <v>0.39</v>
          </cell>
        </row>
        <row r="179">
          <cell r="H179" t="str">
            <v>NOTICREOS</v>
          </cell>
          <cell r="I179">
            <v>0.35</v>
          </cell>
        </row>
        <row r="180">
          <cell r="H180" t="str">
            <v>NOTICREOS</v>
          </cell>
          <cell r="I180">
            <v>0.35</v>
          </cell>
        </row>
        <row r="181">
          <cell r="H181" t="str">
            <v>AVANCE 24D</v>
          </cell>
          <cell r="I181">
            <v>0.25</v>
          </cell>
        </row>
        <row r="182">
          <cell r="H182" t="str">
            <v>AVANCE 24D</v>
          </cell>
          <cell r="I182">
            <v>0.25</v>
          </cell>
        </row>
        <row r="183">
          <cell r="H183" t="str">
            <v>PELICULA INFANTILS</v>
          </cell>
          <cell r="I183">
            <v>0.25</v>
          </cell>
        </row>
        <row r="184">
          <cell r="H184" t="str">
            <v>PELICULA INFANTILS</v>
          </cell>
          <cell r="I184">
            <v>0.25</v>
          </cell>
        </row>
        <row r="185">
          <cell r="H185" t="str">
            <v>PEPPA LA CERDITAS</v>
          </cell>
          <cell r="I185">
            <v>0.24</v>
          </cell>
        </row>
        <row r="186">
          <cell r="H186" t="str">
            <v>PEPPA LA CERDITAS</v>
          </cell>
          <cell r="I186">
            <v>0.24</v>
          </cell>
        </row>
        <row r="187">
          <cell r="H187" t="str">
            <v>HORACIO Y LOS PLASTICINESS</v>
          </cell>
          <cell r="I187">
            <v>0.13</v>
          </cell>
        </row>
        <row r="188">
          <cell r="H188" t="str">
            <v>HORACIO Y LOS PLASTICINESS</v>
          </cell>
          <cell r="I188">
            <v>0.13</v>
          </cell>
        </row>
        <row r="189">
          <cell r="H189" t="str">
            <v>MIRADA ECONOMICAD</v>
          </cell>
          <cell r="I189">
            <v>0.09</v>
          </cell>
        </row>
        <row r="190">
          <cell r="H190" t="str">
            <v>MIRADA ECONOMICAD</v>
          </cell>
          <cell r="I190">
            <v>0.09</v>
          </cell>
        </row>
        <row r="191">
          <cell r="H191" t="str">
            <v>SESIONES 24D</v>
          </cell>
          <cell r="I191">
            <v>0</v>
          </cell>
        </row>
        <row r="192">
          <cell r="H192" t="str">
            <v>SESIONES 24D</v>
          </cell>
          <cell r="I192">
            <v>0</v>
          </cell>
        </row>
        <row r="193">
          <cell r="H193" t="str">
            <v>MATRIARCASLMWJV</v>
          </cell>
          <cell r="I193">
            <v>1.3</v>
          </cell>
        </row>
        <row r="194">
          <cell r="H194" t="str">
            <v>HUMOR EN FESTIVAL DE OLMUE (LOJ</v>
          </cell>
          <cell r="I194">
            <v>4.3</v>
          </cell>
        </row>
        <row r="196">
          <cell r="H196" t="str">
            <v>MOISES LOS 10 MANDAMIENTOSLMWJ</v>
          </cell>
          <cell r="I196">
            <v>3.9775</v>
          </cell>
        </row>
        <row r="197">
          <cell r="H197" t="str">
            <v>24 HORAS CENTRALLMWJV</v>
          </cell>
          <cell r="I197">
            <v>2.6619999999999999</v>
          </cell>
        </row>
        <row r="198">
          <cell r="H198" t="str">
            <v>24 HORAS AL DIALMWJV</v>
          </cell>
          <cell r="I198">
            <v>1.226</v>
          </cell>
        </row>
      </sheetData>
      <sheetData sheetId="13">
        <row r="3">
          <cell r="H3" t="str">
            <v>45 ANOS DE UN COCOJ</v>
          </cell>
          <cell r="I3">
            <v>1.44</v>
          </cell>
        </row>
        <row r="4">
          <cell r="H4" t="str">
            <v>45 ANOS DE UN COCOJ</v>
          </cell>
          <cell r="I4">
            <v>1.44</v>
          </cell>
        </row>
        <row r="5">
          <cell r="H5" t="str">
            <v>MOISES LOS 10 MANDAMIENTOSLMWJD</v>
          </cell>
          <cell r="I5">
            <v>1.4</v>
          </cell>
        </row>
        <row r="6">
          <cell r="H6" t="str">
            <v>MOISES LOS 10 MANDAMIENTOSD</v>
          </cell>
          <cell r="I6">
            <v>1.76</v>
          </cell>
        </row>
        <row r="7">
          <cell r="H7" t="str">
            <v>MOISES LOS 10 MANDAMIENTOSL</v>
          </cell>
          <cell r="I7">
            <v>1.58</v>
          </cell>
        </row>
        <row r="8">
          <cell r="H8" t="str">
            <v>MOISES LOS 10 MANDAMIENTOSM</v>
          </cell>
          <cell r="I8">
            <v>1.47</v>
          </cell>
        </row>
        <row r="9">
          <cell r="H9" t="str">
            <v>MOISES LOS 10 MANDAMIENTOSJ</v>
          </cell>
          <cell r="I9">
            <v>1.17</v>
          </cell>
        </row>
        <row r="10">
          <cell r="H10" t="str">
            <v>MOISES LOS 10 MANDAMIENTOSW</v>
          </cell>
          <cell r="I10">
            <v>1.1100000000000001</v>
          </cell>
        </row>
        <row r="11">
          <cell r="H11" t="str">
            <v>JOSE DE EGIPTOV</v>
          </cell>
          <cell r="I11">
            <v>1.22</v>
          </cell>
        </row>
        <row r="12">
          <cell r="H12" t="str">
            <v>JOSE DE EGIPTOV</v>
          </cell>
          <cell r="I12">
            <v>1.22</v>
          </cell>
        </row>
        <row r="13">
          <cell r="H13" t="str">
            <v>POR FIN SOLOS (RESUMEN)L</v>
          </cell>
          <cell r="I13">
            <v>1.1200000000000001</v>
          </cell>
        </row>
        <row r="14">
          <cell r="H14" t="str">
            <v>POR FIN SOLOS (RESUMEN)L</v>
          </cell>
          <cell r="I14">
            <v>1.1200000000000001</v>
          </cell>
        </row>
        <row r="15">
          <cell r="H15" t="str">
            <v>24 HORAS DOMINGOD</v>
          </cell>
          <cell r="I15">
            <v>1.0900000000000001</v>
          </cell>
        </row>
        <row r="16">
          <cell r="H16" t="str">
            <v>24 HORAS DOMINGOD</v>
          </cell>
          <cell r="I16">
            <v>1.0900000000000001</v>
          </cell>
        </row>
        <row r="17">
          <cell r="H17" t="str">
            <v>VIRALM</v>
          </cell>
          <cell r="I17">
            <v>0.99</v>
          </cell>
        </row>
        <row r="18">
          <cell r="H18" t="str">
            <v>VIRALM</v>
          </cell>
          <cell r="I18">
            <v>0.99</v>
          </cell>
        </row>
        <row r="19">
          <cell r="H19" t="str">
            <v>TV TIEMPOLMWJVSD</v>
          </cell>
          <cell r="I19">
            <v>0.82</v>
          </cell>
        </row>
        <row r="20">
          <cell r="H20" t="str">
            <v>TV TIEMPOL</v>
          </cell>
          <cell r="I20">
            <v>1.21</v>
          </cell>
        </row>
        <row r="21">
          <cell r="H21" t="str">
            <v>TV TIEMPOJ</v>
          </cell>
          <cell r="I21">
            <v>1.1599999999999999</v>
          </cell>
        </row>
        <row r="22">
          <cell r="H22" t="str">
            <v>TV TIEMPOM</v>
          </cell>
          <cell r="I22">
            <v>1.07</v>
          </cell>
        </row>
        <row r="23">
          <cell r="H23" t="str">
            <v>TV TIEMPOS</v>
          </cell>
          <cell r="I23">
            <v>0.99</v>
          </cell>
        </row>
        <row r="24">
          <cell r="H24" t="str">
            <v>TV TIEMPOW</v>
          </cell>
          <cell r="I24">
            <v>0.39</v>
          </cell>
        </row>
        <row r="25">
          <cell r="H25" t="str">
            <v>TV TIEMPOV</v>
          </cell>
          <cell r="I25">
            <v>0.23</v>
          </cell>
        </row>
        <row r="26">
          <cell r="H26" t="str">
            <v>TV TIEMPOD</v>
          </cell>
          <cell r="I26">
            <v>0.23</v>
          </cell>
        </row>
        <row r="27">
          <cell r="H27" t="str">
            <v>POR FIN SOLOS (R)V</v>
          </cell>
          <cell r="I27">
            <v>0.78</v>
          </cell>
        </row>
        <row r="28">
          <cell r="H28" t="str">
            <v>POR FIN SOLOS (R)V</v>
          </cell>
          <cell r="I28">
            <v>0.78</v>
          </cell>
        </row>
        <row r="29">
          <cell r="H29" t="str">
            <v>24 HORAS CENTRALLMWJVS</v>
          </cell>
          <cell r="I29">
            <v>0.76</v>
          </cell>
        </row>
        <row r="30">
          <cell r="H30" t="str">
            <v>24 HORAS CENTRALM</v>
          </cell>
          <cell r="I30">
            <v>0.97</v>
          </cell>
        </row>
        <row r="31">
          <cell r="H31" t="str">
            <v>24 HORAS CENTRALJ</v>
          </cell>
          <cell r="I31">
            <v>0.8</v>
          </cell>
        </row>
        <row r="32">
          <cell r="H32" t="str">
            <v>24 HORAS CENTRALL</v>
          </cell>
          <cell r="I32">
            <v>0.79</v>
          </cell>
        </row>
        <row r="33">
          <cell r="H33" t="str">
            <v>24 HORAS CENTRALS</v>
          </cell>
          <cell r="I33">
            <v>0.69</v>
          </cell>
        </row>
        <row r="34">
          <cell r="H34" t="str">
            <v>24 HORAS CENTRALV</v>
          </cell>
          <cell r="I34">
            <v>0.63</v>
          </cell>
        </row>
        <row r="35">
          <cell r="H35" t="str">
            <v>24 HORAS CENTRALW</v>
          </cell>
          <cell r="I35">
            <v>0.6</v>
          </cell>
        </row>
        <row r="36">
          <cell r="H36" t="str">
            <v>MOISES LOS 10 MANDAMIENTOS (RELMWJSD</v>
          </cell>
          <cell r="I36">
            <v>0.75</v>
          </cell>
        </row>
        <row r="37">
          <cell r="H37" t="str">
            <v>MOISES LOS 10 MANDAMIENTOS (REJ</v>
          </cell>
          <cell r="I37">
            <v>1.29</v>
          </cell>
        </row>
        <row r="38">
          <cell r="H38" t="str">
            <v>MOISES LOS 10 MANDAMIENTOS (REL</v>
          </cell>
          <cell r="I38">
            <v>1.22</v>
          </cell>
        </row>
        <row r="39">
          <cell r="H39" t="str">
            <v>MOISES LOS 10 MANDAMIENTOS (REM</v>
          </cell>
          <cell r="I39">
            <v>1.1499999999999999</v>
          </cell>
        </row>
        <row r="40">
          <cell r="H40" t="str">
            <v>MOISES LOS 10 MANDAMIENTOS (REW</v>
          </cell>
          <cell r="I40">
            <v>1</v>
          </cell>
        </row>
        <row r="41">
          <cell r="H41" t="str">
            <v>MOISES LOS 10 MANDAMIENTOS (RED</v>
          </cell>
          <cell r="I41">
            <v>0.88</v>
          </cell>
        </row>
        <row r="42">
          <cell r="H42" t="str">
            <v>MOISES LOS 10 MANDAMIENTOS (RES</v>
          </cell>
          <cell r="I42">
            <v>0.32</v>
          </cell>
        </row>
        <row r="43">
          <cell r="H43" t="str">
            <v>POR FIN SOLOSLD</v>
          </cell>
          <cell r="I43">
            <v>0.67</v>
          </cell>
        </row>
        <row r="44">
          <cell r="H44" t="str">
            <v>POR FIN SOLOSL</v>
          </cell>
          <cell r="I44">
            <v>0.72</v>
          </cell>
        </row>
        <row r="45">
          <cell r="H45" t="str">
            <v>POR FIN SOLOSD</v>
          </cell>
          <cell r="I45">
            <v>0.59</v>
          </cell>
        </row>
        <row r="46">
          <cell r="H46" t="str">
            <v>COPA DAVISVSD</v>
          </cell>
          <cell r="I46">
            <v>0.65</v>
          </cell>
        </row>
        <row r="47">
          <cell r="H47" t="str">
            <v>COPA DAVISD</v>
          </cell>
          <cell r="I47">
            <v>0.9</v>
          </cell>
        </row>
        <row r="48">
          <cell r="H48" t="str">
            <v>COPA DAVISS</v>
          </cell>
          <cell r="I48">
            <v>0.78</v>
          </cell>
        </row>
        <row r="49">
          <cell r="H49" t="str">
            <v>COPA DAVISV</v>
          </cell>
          <cell r="I49">
            <v>0.54</v>
          </cell>
        </row>
        <row r="50">
          <cell r="H50" t="str">
            <v>EL SECRETO DE PUENTE VIEJOLMWJV</v>
          </cell>
          <cell r="I50">
            <v>0.6</v>
          </cell>
        </row>
        <row r="51">
          <cell r="H51" t="str">
            <v>EL SECRETO DE PUENTE VIEJOJ</v>
          </cell>
          <cell r="I51">
            <v>1.07</v>
          </cell>
        </row>
        <row r="52">
          <cell r="H52" t="str">
            <v>EL SECRETO DE PUENTE VIEJOM</v>
          </cell>
          <cell r="I52">
            <v>0.75</v>
          </cell>
        </row>
        <row r="53">
          <cell r="H53" t="str">
            <v>EL SECRETO DE PUENTE VIEJOL</v>
          </cell>
          <cell r="I53">
            <v>0.46</v>
          </cell>
        </row>
        <row r="54">
          <cell r="H54" t="str">
            <v>EL SECRETO DE PUENTE VIEJOW</v>
          </cell>
          <cell r="I54">
            <v>0.4</v>
          </cell>
        </row>
        <row r="55">
          <cell r="H55" t="str">
            <v>EL SECRETO DE PUENTE VIEJOV</v>
          </cell>
          <cell r="I55">
            <v>0.27</v>
          </cell>
        </row>
        <row r="56">
          <cell r="H56" t="str">
            <v>24 HORAS AL DIALMWJVSD</v>
          </cell>
          <cell r="I56">
            <v>0.59</v>
          </cell>
        </row>
        <row r="57">
          <cell r="H57" t="str">
            <v>24 HORAS AL DIAJ</v>
          </cell>
          <cell r="I57">
            <v>1.0900000000000001</v>
          </cell>
        </row>
        <row r="58">
          <cell r="H58" t="str">
            <v>24 HORAS AL DIAL</v>
          </cell>
          <cell r="I58">
            <v>0.79</v>
          </cell>
        </row>
        <row r="59">
          <cell r="H59" t="str">
            <v>24 HORAS AL DIAM</v>
          </cell>
          <cell r="I59">
            <v>0.69</v>
          </cell>
        </row>
        <row r="60">
          <cell r="H60" t="str">
            <v>24 HORAS AL DIAD</v>
          </cell>
          <cell r="I60">
            <v>0.52</v>
          </cell>
        </row>
        <row r="61">
          <cell r="H61" t="str">
            <v>24 HORAS AL DIAV</v>
          </cell>
          <cell r="I61">
            <v>0.46</v>
          </cell>
        </row>
        <row r="62">
          <cell r="H62" t="str">
            <v>24 HORAS AL DIAW</v>
          </cell>
          <cell r="I62">
            <v>0.46</v>
          </cell>
        </row>
        <row r="63">
          <cell r="H63" t="str">
            <v>24 HORAS AL DIAS</v>
          </cell>
          <cell r="I63">
            <v>0.15</v>
          </cell>
        </row>
        <row r="64">
          <cell r="H64" t="str">
            <v>ESA NO SOY YOLMWJV</v>
          </cell>
          <cell r="I64">
            <v>0.56999999999999995</v>
          </cell>
        </row>
        <row r="65">
          <cell r="H65" t="str">
            <v>ESA NO SOY YOJ</v>
          </cell>
          <cell r="I65">
            <v>0.72</v>
          </cell>
        </row>
        <row r="66">
          <cell r="H66" t="str">
            <v>ESA NO SOY YOM</v>
          </cell>
          <cell r="I66">
            <v>0.66</v>
          </cell>
        </row>
        <row r="67">
          <cell r="H67" t="str">
            <v>ESA NO SOY YOL</v>
          </cell>
          <cell r="I67">
            <v>0.57999999999999996</v>
          </cell>
        </row>
        <row r="68">
          <cell r="H68" t="str">
            <v>ESA NO SOY YOV</v>
          </cell>
          <cell r="I68">
            <v>0.43</v>
          </cell>
        </row>
        <row r="69">
          <cell r="H69" t="str">
            <v>ESA NO SOY YOW</v>
          </cell>
          <cell r="I69">
            <v>0.42</v>
          </cell>
        </row>
        <row r="70">
          <cell r="H70" t="str">
            <v>SABADO DE K OS</v>
          </cell>
          <cell r="I70">
            <v>0.54</v>
          </cell>
        </row>
        <row r="71">
          <cell r="H71" t="str">
            <v>SABADO DE K OS</v>
          </cell>
          <cell r="I71">
            <v>0.54</v>
          </cell>
        </row>
        <row r="72">
          <cell r="H72" t="str">
            <v>ROMANE (R)LMWJV</v>
          </cell>
          <cell r="I72">
            <v>0.52</v>
          </cell>
        </row>
        <row r="73">
          <cell r="H73" t="str">
            <v>ROMANE (R)J</v>
          </cell>
          <cell r="I73">
            <v>1.08</v>
          </cell>
        </row>
        <row r="74">
          <cell r="H74" t="str">
            <v>ROMANE (R)M</v>
          </cell>
          <cell r="I74">
            <v>0.66</v>
          </cell>
        </row>
        <row r="75">
          <cell r="H75" t="str">
            <v>ROMANE (R)V</v>
          </cell>
          <cell r="I75">
            <v>0.31</v>
          </cell>
        </row>
        <row r="76">
          <cell r="H76" t="str">
            <v>ROMANE (R)L</v>
          </cell>
          <cell r="I76">
            <v>0.24</v>
          </cell>
        </row>
        <row r="77">
          <cell r="H77" t="str">
            <v>ROMANE (R)W</v>
          </cell>
          <cell r="I77">
            <v>0.23</v>
          </cell>
        </row>
        <row r="78">
          <cell r="H78" t="str">
            <v>ESA NO SOY YO (RESUMEN)LMWJV</v>
          </cell>
          <cell r="I78">
            <v>0.5</v>
          </cell>
        </row>
        <row r="79">
          <cell r="H79" t="str">
            <v>ESA NO SOY YO (RESUMEN)J</v>
          </cell>
          <cell r="I79">
            <v>0.75</v>
          </cell>
        </row>
        <row r="80">
          <cell r="H80" t="str">
            <v>ESA NO SOY YO (RESUMEN)M</v>
          </cell>
          <cell r="I80">
            <v>0.6</v>
          </cell>
        </row>
        <row r="81">
          <cell r="H81" t="str">
            <v>ESA NO SOY YO (RESUMEN)W</v>
          </cell>
          <cell r="I81">
            <v>0.41</v>
          </cell>
        </row>
        <row r="82">
          <cell r="H82" t="str">
            <v>ESA NO SOY YO (RESUMEN)V</v>
          </cell>
          <cell r="I82">
            <v>0.38</v>
          </cell>
        </row>
        <row r="83">
          <cell r="H83" t="str">
            <v>ESA NO SOY YO (RESUMEN)L</v>
          </cell>
          <cell r="I83">
            <v>0.36</v>
          </cell>
        </row>
        <row r="84">
          <cell r="H84" t="str">
            <v>PURO CHILE (R)D</v>
          </cell>
          <cell r="I84">
            <v>0.5</v>
          </cell>
        </row>
        <row r="85">
          <cell r="H85" t="str">
            <v>PURO CHILE (R)D</v>
          </cell>
          <cell r="I85">
            <v>0.5</v>
          </cell>
        </row>
        <row r="86">
          <cell r="H86" t="str">
            <v>4TO MEDIOLW</v>
          </cell>
          <cell r="I86">
            <v>0.43</v>
          </cell>
        </row>
        <row r="87">
          <cell r="H87" t="str">
            <v>4TO MEDIOL</v>
          </cell>
          <cell r="I87">
            <v>1.1599999999999999</v>
          </cell>
        </row>
        <row r="88">
          <cell r="H88" t="str">
            <v>4TO MEDIOW</v>
          </cell>
          <cell r="I88">
            <v>0.3</v>
          </cell>
        </row>
        <row r="89">
          <cell r="H89" t="str">
            <v>SEMANA SANTAV</v>
          </cell>
          <cell r="I89">
            <v>0.43</v>
          </cell>
        </row>
        <row r="90">
          <cell r="H90" t="str">
            <v>SEMANA SANTAV</v>
          </cell>
          <cell r="I90">
            <v>0.43</v>
          </cell>
        </row>
        <row r="91">
          <cell r="H91" t="str">
            <v>CHILE CONECTADO (R)D</v>
          </cell>
          <cell r="I91">
            <v>0.41</v>
          </cell>
        </row>
        <row r="92">
          <cell r="H92" t="str">
            <v>CHILE CONECTADO (R)D</v>
          </cell>
          <cell r="I92">
            <v>0.41</v>
          </cell>
        </row>
        <row r="93">
          <cell r="H93" t="str">
            <v>DESTILANDO AMORLMWJV</v>
          </cell>
          <cell r="I93">
            <v>0.38</v>
          </cell>
        </row>
        <row r="94">
          <cell r="H94" t="str">
            <v>DESTILANDO AMORJ</v>
          </cell>
          <cell r="I94">
            <v>0.84</v>
          </cell>
        </row>
        <row r="95">
          <cell r="H95" t="str">
            <v>DESTILANDO AMORM</v>
          </cell>
          <cell r="I95">
            <v>0.48</v>
          </cell>
        </row>
        <row r="96">
          <cell r="H96" t="str">
            <v>DESTILANDO AMORL</v>
          </cell>
          <cell r="I96">
            <v>0.3</v>
          </cell>
        </row>
        <row r="97">
          <cell r="H97" t="str">
            <v>DESTILANDO AMORW</v>
          </cell>
          <cell r="I97">
            <v>0.14000000000000001</v>
          </cell>
        </row>
        <row r="98">
          <cell r="H98" t="str">
            <v>DESTILANDO AMORV</v>
          </cell>
          <cell r="I98">
            <v>0.1</v>
          </cell>
        </row>
        <row r="99">
          <cell r="H99" t="str">
            <v>BEST SELLERVS</v>
          </cell>
          <cell r="I99">
            <v>0.33</v>
          </cell>
        </row>
        <row r="100">
          <cell r="H100" t="str">
            <v>BEST SELLERS</v>
          </cell>
          <cell r="I100">
            <v>0.96</v>
          </cell>
        </row>
        <row r="101">
          <cell r="H101" t="str">
            <v>BEST SELLERV</v>
          </cell>
          <cell r="I101">
            <v>0.04</v>
          </cell>
        </row>
        <row r="102">
          <cell r="H102" t="str">
            <v>ENTRE PROGRAMASLMWJVSD</v>
          </cell>
          <cell r="I102">
            <v>0.33</v>
          </cell>
        </row>
        <row r="103">
          <cell r="H103" t="str">
            <v>ENTRE PROGRAMASS</v>
          </cell>
          <cell r="I103">
            <v>0.49</v>
          </cell>
        </row>
        <row r="104">
          <cell r="H104" t="str">
            <v>ENTRE PROGRAMASL</v>
          </cell>
          <cell r="I104">
            <v>0.44</v>
          </cell>
        </row>
        <row r="105">
          <cell r="H105" t="str">
            <v>ENTRE PROGRAMASM</v>
          </cell>
          <cell r="I105">
            <v>0.44</v>
          </cell>
        </row>
        <row r="106">
          <cell r="H106" t="str">
            <v>ENTRE PROGRAMASJ</v>
          </cell>
          <cell r="I106">
            <v>0.32</v>
          </cell>
        </row>
        <row r="107">
          <cell r="H107" t="str">
            <v>ENTRE PROGRAMASD</v>
          </cell>
          <cell r="I107">
            <v>0.28999999999999998</v>
          </cell>
        </row>
        <row r="108">
          <cell r="H108" t="str">
            <v>ENTRE PROGRAMASW</v>
          </cell>
          <cell r="I108">
            <v>0.25</v>
          </cell>
        </row>
        <row r="109">
          <cell r="H109" t="str">
            <v>ENTRE PROGRAMASV</v>
          </cell>
          <cell r="I109">
            <v>0</v>
          </cell>
        </row>
        <row r="110">
          <cell r="H110" t="str">
            <v>DOCTOR HOUSE (R)LMWJVD</v>
          </cell>
          <cell r="I110">
            <v>0.33</v>
          </cell>
        </row>
        <row r="111">
          <cell r="H111" t="str">
            <v>DOCTOR HOUSE (R)L</v>
          </cell>
          <cell r="I111">
            <v>0.61</v>
          </cell>
        </row>
        <row r="112">
          <cell r="H112" t="str">
            <v>DOCTOR HOUSE (R)M</v>
          </cell>
          <cell r="I112">
            <v>0.46</v>
          </cell>
        </row>
        <row r="113">
          <cell r="H113" t="str">
            <v>DOCTOR HOUSE (R)J</v>
          </cell>
          <cell r="I113">
            <v>0.32</v>
          </cell>
        </row>
        <row r="114">
          <cell r="H114" t="str">
            <v>DOCTOR HOUSE (R)D</v>
          </cell>
          <cell r="I114">
            <v>0.25</v>
          </cell>
        </row>
        <row r="115">
          <cell r="H115" t="str">
            <v>DOCTOR HOUSE (R)W</v>
          </cell>
          <cell r="I115">
            <v>0.02</v>
          </cell>
        </row>
        <row r="116">
          <cell r="H116" t="str">
            <v>DOCTOR HOUSE (R)V</v>
          </cell>
          <cell r="I116">
            <v>0</v>
          </cell>
        </row>
        <row r="117">
          <cell r="H117" t="str">
            <v>PODIOD</v>
          </cell>
          <cell r="I117">
            <v>0.31</v>
          </cell>
        </row>
        <row r="118">
          <cell r="H118" t="str">
            <v>PODIOD</v>
          </cell>
          <cell r="I118">
            <v>0.31</v>
          </cell>
        </row>
        <row r="119">
          <cell r="H119" t="str">
            <v>LA CULTURA ENTRETENIDAD</v>
          </cell>
          <cell r="I119">
            <v>0.3</v>
          </cell>
        </row>
        <row r="120">
          <cell r="H120" t="str">
            <v>LA CULTURA ENTRETENIDAD</v>
          </cell>
          <cell r="I120">
            <v>0.3</v>
          </cell>
        </row>
        <row r="121">
          <cell r="H121" t="str">
            <v>HABITANTES DEL PACIFICO (R)D</v>
          </cell>
          <cell r="I121">
            <v>0.3</v>
          </cell>
        </row>
        <row r="122">
          <cell r="H122" t="str">
            <v>HABITANTES DEL PACIFICO (R)D</v>
          </cell>
          <cell r="I122">
            <v>0.3</v>
          </cell>
        </row>
        <row r="123">
          <cell r="H123" t="str">
            <v>MEDIA NOCHELMWJV</v>
          </cell>
          <cell r="I123">
            <v>0.28999999999999998</v>
          </cell>
        </row>
        <row r="124">
          <cell r="H124" t="str">
            <v>MEDIA NOCHEJ</v>
          </cell>
          <cell r="I124">
            <v>0.53</v>
          </cell>
        </row>
        <row r="125">
          <cell r="H125" t="str">
            <v>MEDIA NOCHEM</v>
          </cell>
          <cell r="I125">
            <v>0.43</v>
          </cell>
        </row>
        <row r="126">
          <cell r="H126" t="str">
            <v>MEDIA NOCHEL</v>
          </cell>
          <cell r="I126">
            <v>0.27</v>
          </cell>
        </row>
        <row r="127">
          <cell r="H127" t="str">
            <v>MEDIA NOCHEW</v>
          </cell>
          <cell r="I127">
            <v>0.12</v>
          </cell>
        </row>
        <row r="128">
          <cell r="H128" t="str">
            <v>MEDIA NOCHEV</v>
          </cell>
          <cell r="I128">
            <v>0.01</v>
          </cell>
        </row>
        <row r="129">
          <cell r="H129" t="str">
            <v>BUENOS DIAS A TODOS (B)LMWJV</v>
          </cell>
          <cell r="I129">
            <v>0.28999999999999998</v>
          </cell>
        </row>
        <row r="130">
          <cell r="H130" t="str">
            <v>BUENOS DIAS A TODOS (B)V</v>
          </cell>
          <cell r="I130">
            <v>0.56000000000000005</v>
          </cell>
        </row>
        <row r="131">
          <cell r="H131" t="str">
            <v>BUENOS DIAS A TODOS (B)W</v>
          </cell>
          <cell r="I131">
            <v>0.34</v>
          </cell>
        </row>
        <row r="132">
          <cell r="H132" t="str">
            <v>BUENOS DIAS A TODOS (B)L</v>
          </cell>
          <cell r="I132">
            <v>0.26</v>
          </cell>
        </row>
        <row r="133">
          <cell r="H133" t="str">
            <v>BUENOS DIAS A TODOS (B)J</v>
          </cell>
          <cell r="I133">
            <v>0.22</v>
          </cell>
        </row>
        <row r="134">
          <cell r="H134" t="str">
            <v>BUENOS DIAS A TODOS (B)M</v>
          </cell>
          <cell r="I134">
            <v>0.09</v>
          </cell>
        </row>
        <row r="135">
          <cell r="H135" t="str">
            <v>TU MANANA 24 HORASLMWJV</v>
          </cell>
          <cell r="I135">
            <v>0.25</v>
          </cell>
        </row>
        <row r="136">
          <cell r="H136" t="str">
            <v>TU MANANA 24 HORASV</v>
          </cell>
          <cell r="I136">
            <v>0.31</v>
          </cell>
        </row>
        <row r="137">
          <cell r="H137" t="str">
            <v>TU MANANA 24 HORASW</v>
          </cell>
          <cell r="I137">
            <v>0.27</v>
          </cell>
        </row>
        <row r="138">
          <cell r="H138" t="str">
            <v>TU MANANA 24 HORASM</v>
          </cell>
          <cell r="I138">
            <v>0.26</v>
          </cell>
        </row>
        <row r="139">
          <cell r="H139" t="str">
            <v>TU MANANA 24 HORASJ</v>
          </cell>
          <cell r="I139">
            <v>0.22</v>
          </cell>
        </row>
        <row r="140">
          <cell r="H140" t="str">
            <v>TU MANANA 24 HORASL</v>
          </cell>
          <cell r="I140">
            <v>0.2</v>
          </cell>
        </row>
        <row r="141">
          <cell r="H141" t="str">
            <v>BOXEO DE OROS</v>
          </cell>
          <cell r="I141">
            <v>0.24</v>
          </cell>
        </row>
        <row r="142">
          <cell r="H142" t="str">
            <v>BOXEO DE OROS</v>
          </cell>
          <cell r="I142">
            <v>0.24</v>
          </cell>
        </row>
        <row r="143">
          <cell r="H143" t="str">
            <v>24 HORASD</v>
          </cell>
          <cell r="I143">
            <v>0.23</v>
          </cell>
        </row>
        <row r="144">
          <cell r="H144" t="str">
            <v>24 HORASD</v>
          </cell>
          <cell r="I144">
            <v>0.23</v>
          </cell>
        </row>
        <row r="145">
          <cell r="H145" t="str">
            <v>MELO Y ASTORGAS</v>
          </cell>
          <cell r="I145">
            <v>0.21</v>
          </cell>
        </row>
        <row r="146">
          <cell r="H146" t="str">
            <v>MELO Y ASTORGAS</v>
          </cell>
          <cell r="I146">
            <v>0.21</v>
          </cell>
        </row>
        <row r="147">
          <cell r="H147" t="str">
            <v>NUESTRO SIGLOS</v>
          </cell>
          <cell r="I147">
            <v>0.19</v>
          </cell>
        </row>
        <row r="148">
          <cell r="H148" t="str">
            <v>NUESTRO SIGLOS</v>
          </cell>
          <cell r="I148">
            <v>0.19</v>
          </cell>
        </row>
        <row r="149">
          <cell r="H149" t="str">
            <v>FRUTOS DEL PAIS (R)D</v>
          </cell>
          <cell r="I149">
            <v>0.18</v>
          </cell>
        </row>
        <row r="150">
          <cell r="H150" t="str">
            <v>FRUTOS DEL PAIS (R)D</v>
          </cell>
          <cell r="I150">
            <v>0.18</v>
          </cell>
        </row>
        <row r="151">
          <cell r="H151" t="str">
            <v>FRUTOS DEL PAISD</v>
          </cell>
          <cell r="I151">
            <v>0.14000000000000001</v>
          </cell>
        </row>
        <row r="152">
          <cell r="H152" t="str">
            <v>FRUTOS DEL PAISD</v>
          </cell>
          <cell r="I152">
            <v>0.14000000000000001</v>
          </cell>
        </row>
        <row r="153">
          <cell r="H153" t="str">
            <v>ESTADO NACIONALD</v>
          </cell>
          <cell r="I153">
            <v>0.12</v>
          </cell>
        </row>
        <row r="154">
          <cell r="H154" t="str">
            <v>ESTADO NACIONALD</v>
          </cell>
          <cell r="I154">
            <v>0.12</v>
          </cell>
        </row>
        <row r="155">
          <cell r="H155" t="str">
            <v>PELOTON LA HISTORIA DEL HONORW</v>
          </cell>
          <cell r="I155">
            <v>0.08</v>
          </cell>
        </row>
        <row r="156">
          <cell r="H156" t="str">
            <v>PELOTON LA HISTORIA DEL HONORW</v>
          </cell>
          <cell r="I156">
            <v>0.08</v>
          </cell>
        </row>
        <row r="157">
          <cell r="H157" t="str">
            <v>SUPER CINES</v>
          </cell>
          <cell r="I157">
            <v>0.05</v>
          </cell>
        </row>
        <row r="158">
          <cell r="H158" t="str">
            <v>SUPER CINES</v>
          </cell>
          <cell r="I158">
            <v>0.05</v>
          </cell>
        </row>
        <row r="159">
          <cell r="H159" t="str">
            <v>NOTICREOS</v>
          </cell>
          <cell r="I159">
            <v>0.05</v>
          </cell>
        </row>
        <row r="160">
          <cell r="H160" t="str">
            <v>NOTICREOS</v>
          </cell>
          <cell r="I160">
            <v>0.05</v>
          </cell>
        </row>
        <row r="161">
          <cell r="H161" t="str">
            <v>BUENOS DIAS A TODOS (A)LMWJV</v>
          </cell>
          <cell r="I161">
            <v>0.03</v>
          </cell>
        </row>
        <row r="162">
          <cell r="H162" t="str">
            <v>BUENOS DIAS A TODOS (A)L</v>
          </cell>
          <cell r="I162">
            <v>0.08</v>
          </cell>
        </row>
        <row r="163">
          <cell r="H163" t="str">
            <v>BUENOS DIAS A TODOS (A)W</v>
          </cell>
          <cell r="I163">
            <v>0.05</v>
          </cell>
        </row>
        <row r="164">
          <cell r="H164" t="str">
            <v>BUENOS DIAS A TODOS (A)V</v>
          </cell>
          <cell r="I164">
            <v>0.03</v>
          </cell>
        </row>
        <row r="165">
          <cell r="H165" t="str">
            <v>BUENOS DIAS A TODOS (A)J</v>
          </cell>
          <cell r="I165">
            <v>0</v>
          </cell>
        </row>
        <row r="166">
          <cell r="H166" t="str">
            <v>BUENOS DIAS A TODOS (A)M</v>
          </cell>
          <cell r="I166">
            <v>0</v>
          </cell>
        </row>
        <row r="167">
          <cell r="H167" t="str">
            <v>PURO CHILEV</v>
          </cell>
          <cell r="I167">
            <v>0.01</v>
          </cell>
        </row>
        <row r="168">
          <cell r="H168" t="str">
            <v>PURO CHILEV</v>
          </cell>
          <cell r="I168">
            <v>0.01</v>
          </cell>
        </row>
        <row r="169">
          <cell r="H169" t="str">
            <v>AVANCE 24D</v>
          </cell>
          <cell r="I169">
            <v>0</v>
          </cell>
        </row>
        <row r="170">
          <cell r="H170" t="str">
            <v>AVANCE 24D</v>
          </cell>
          <cell r="I170">
            <v>0</v>
          </cell>
        </row>
        <row r="171">
          <cell r="H171" t="str">
            <v>PELICULA INFANTILS</v>
          </cell>
          <cell r="I171">
            <v>0</v>
          </cell>
        </row>
        <row r="172">
          <cell r="H172" t="str">
            <v>PELICULA INFANTILS</v>
          </cell>
          <cell r="I172">
            <v>0</v>
          </cell>
        </row>
        <row r="173">
          <cell r="H173" t="str">
            <v>PEPPA LA CERDITAS</v>
          </cell>
          <cell r="I173">
            <v>0</v>
          </cell>
        </row>
        <row r="174">
          <cell r="H174" t="str">
            <v>PEPPA LA CERDITAS</v>
          </cell>
          <cell r="I174">
            <v>0</v>
          </cell>
        </row>
        <row r="175">
          <cell r="H175" t="str">
            <v>HORACIO Y LOS PLASTICINESS</v>
          </cell>
          <cell r="I175">
            <v>0</v>
          </cell>
        </row>
        <row r="176">
          <cell r="H176" t="str">
            <v>HORACIO Y LOS PLASTICINESS</v>
          </cell>
          <cell r="I176">
            <v>0</v>
          </cell>
        </row>
        <row r="177">
          <cell r="H177" t="str">
            <v>SESIONES 24D</v>
          </cell>
          <cell r="I177">
            <v>0</v>
          </cell>
        </row>
        <row r="178">
          <cell r="H178" t="str">
            <v>SESIONES 24D</v>
          </cell>
          <cell r="I178">
            <v>0</v>
          </cell>
        </row>
        <row r="179">
          <cell r="H179" t="str">
            <v>MIRADA ECONOMICAD</v>
          </cell>
          <cell r="I179">
            <v>0</v>
          </cell>
        </row>
        <row r="180">
          <cell r="H180" t="str">
            <v>MIRADA ECONOMICAD</v>
          </cell>
          <cell r="I180">
            <v>0</v>
          </cell>
        </row>
        <row r="181">
          <cell r="H181" t="str">
            <v>CINEV</v>
          </cell>
          <cell r="I181">
            <v>0</v>
          </cell>
        </row>
        <row r="182">
          <cell r="H182" t="str">
            <v>CINEV</v>
          </cell>
          <cell r="I182">
            <v>0</v>
          </cell>
        </row>
        <row r="183">
          <cell r="H183" t="str">
            <v>0,243055555555556LMWJD</v>
          </cell>
          <cell r="I183">
            <v>0</v>
          </cell>
        </row>
        <row r="184">
          <cell r="H184" t="str">
            <v>0,243055555555556W</v>
          </cell>
          <cell r="I184">
            <v>0</v>
          </cell>
        </row>
        <row r="185">
          <cell r="H185" t="str">
            <v>0,243055555555556J</v>
          </cell>
          <cell r="I185">
            <v>0</v>
          </cell>
        </row>
        <row r="186">
          <cell r="H186" t="str">
            <v>0,243055555555556D</v>
          </cell>
          <cell r="I186">
            <v>0</v>
          </cell>
        </row>
        <row r="187">
          <cell r="H187" t="str">
            <v>0,243055555555556L</v>
          </cell>
          <cell r="I187">
            <v>0</v>
          </cell>
        </row>
        <row r="188">
          <cell r="H188" t="str">
            <v>0,243055555555556M</v>
          </cell>
          <cell r="I188">
            <v>0</v>
          </cell>
        </row>
        <row r="189">
          <cell r="H189" t="str">
            <v>HISTORIA DE UN OSOS</v>
          </cell>
          <cell r="I189">
            <v>0</v>
          </cell>
        </row>
        <row r="190">
          <cell r="H190" t="str">
            <v>HISTORIA DE UN OSOS</v>
          </cell>
          <cell r="I190">
            <v>0</v>
          </cell>
        </row>
        <row r="191">
          <cell r="H191" t="str">
            <v>GRANDES PELICULASS</v>
          </cell>
          <cell r="I191">
            <v>0</v>
          </cell>
        </row>
        <row r="192">
          <cell r="H192" t="str">
            <v>GRANDES PELICULASS</v>
          </cell>
          <cell r="I192">
            <v>0</v>
          </cell>
        </row>
        <row r="193">
          <cell r="H193" t="str">
            <v>MATRIARCASLMWJV</v>
          </cell>
          <cell r="I193">
            <v>1.2</v>
          </cell>
        </row>
        <row r="194">
          <cell r="H194" t="str">
            <v>HUMOR EN FESTIVAL DE OLMUE (LOJ</v>
          </cell>
          <cell r="I194">
            <v>0.9</v>
          </cell>
        </row>
        <row r="196">
          <cell r="H196" t="str">
            <v>MOISES LOS 10 MANDAMIENTOSLMWJ</v>
          </cell>
          <cell r="I196">
            <v>1.3325</v>
          </cell>
        </row>
        <row r="197">
          <cell r="H197" t="str">
            <v>24 HORAS CENTRALLMWJV</v>
          </cell>
          <cell r="I197">
            <v>0.75800000000000001</v>
          </cell>
        </row>
        <row r="198">
          <cell r="H198" t="str">
            <v>24 HORAS AL DIALMWJV</v>
          </cell>
          <cell r="I198">
            <v>0.69800000000000006</v>
          </cell>
        </row>
      </sheetData>
      <sheetData sheetId="14">
        <row r="3">
          <cell r="H3" t="str">
            <v>HISTORIA DE UN OSOS</v>
          </cell>
          <cell r="I3">
            <v>3.2</v>
          </cell>
        </row>
        <row r="4">
          <cell r="H4" t="str">
            <v>HISTORIA DE UN OSOS</v>
          </cell>
          <cell r="I4">
            <v>3.2</v>
          </cell>
        </row>
        <row r="5">
          <cell r="H5" t="str">
            <v>MOISES LOS 10 MANDAMIENTOSLMWJD</v>
          </cell>
          <cell r="I5">
            <v>3.04</v>
          </cell>
        </row>
        <row r="6">
          <cell r="H6" t="str">
            <v>MOISES LOS 10 MANDAMIENTOSJ</v>
          </cell>
          <cell r="I6">
            <v>3.75</v>
          </cell>
        </row>
        <row r="7">
          <cell r="H7" t="str">
            <v>MOISES LOS 10 MANDAMIENTOSL</v>
          </cell>
          <cell r="I7">
            <v>3.3</v>
          </cell>
        </row>
        <row r="8">
          <cell r="H8" t="str">
            <v>MOISES LOS 10 MANDAMIENTOSD</v>
          </cell>
          <cell r="I8">
            <v>3.03</v>
          </cell>
        </row>
        <row r="9">
          <cell r="H9" t="str">
            <v>MOISES LOS 10 MANDAMIENTOSM</v>
          </cell>
          <cell r="I9">
            <v>2.8</v>
          </cell>
        </row>
        <row r="10">
          <cell r="H10" t="str">
            <v>MOISES LOS 10 MANDAMIENTOSW</v>
          </cell>
          <cell r="I10">
            <v>2.7</v>
          </cell>
        </row>
        <row r="11">
          <cell r="H11" t="str">
            <v>VIRALM</v>
          </cell>
          <cell r="I11">
            <v>2.75</v>
          </cell>
        </row>
        <row r="12">
          <cell r="H12" t="str">
            <v>VIRALM</v>
          </cell>
          <cell r="I12">
            <v>2.75</v>
          </cell>
        </row>
        <row r="13">
          <cell r="H13" t="str">
            <v>45 ANOS DE UN COCOJ</v>
          </cell>
          <cell r="I13">
            <v>2.71</v>
          </cell>
        </row>
        <row r="14">
          <cell r="H14" t="str">
            <v>45 ANOS DE UN COCOJ</v>
          </cell>
          <cell r="I14">
            <v>2.71</v>
          </cell>
        </row>
        <row r="15">
          <cell r="H15" t="str">
            <v>POR FIN SOLOS (RESUMEN)L</v>
          </cell>
          <cell r="I15">
            <v>2.25</v>
          </cell>
        </row>
        <row r="16">
          <cell r="H16" t="str">
            <v>POR FIN SOLOS (RESUMEN)L</v>
          </cell>
          <cell r="I16">
            <v>2.25</v>
          </cell>
        </row>
        <row r="17">
          <cell r="H17" t="str">
            <v>TV TIEMPOLMWJVSD</v>
          </cell>
          <cell r="I17">
            <v>2.0099999999999998</v>
          </cell>
        </row>
        <row r="18">
          <cell r="H18" t="str">
            <v>TV TIEMPOL</v>
          </cell>
          <cell r="I18">
            <v>2.64</v>
          </cell>
        </row>
        <row r="19">
          <cell r="H19" t="str">
            <v>TV TIEMPOJ</v>
          </cell>
          <cell r="I19">
            <v>2.5</v>
          </cell>
        </row>
        <row r="20">
          <cell r="H20" t="str">
            <v>TV TIEMPOM</v>
          </cell>
          <cell r="I20">
            <v>2.09</v>
          </cell>
        </row>
        <row r="21">
          <cell r="H21" t="str">
            <v>TV TIEMPOD</v>
          </cell>
          <cell r="I21">
            <v>1.92</v>
          </cell>
        </row>
        <row r="22">
          <cell r="H22" t="str">
            <v>TV TIEMPOW</v>
          </cell>
          <cell r="I22">
            <v>1.87</v>
          </cell>
        </row>
        <row r="23">
          <cell r="H23" t="str">
            <v>TV TIEMPOS</v>
          </cell>
          <cell r="I23">
            <v>1.57</v>
          </cell>
        </row>
        <row r="24">
          <cell r="H24" t="str">
            <v>TV TIEMPOV</v>
          </cell>
          <cell r="I24">
            <v>0.89</v>
          </cell>
        </row>
        <row r="25">
          <cell r="H25" t="str">
            <v>SEMANA SANTAV</v>
          </cell>
          <cell r="I25">
            <v>1.88</v>
          </cell>
        </row>
        <row r="26">
          <cell r="H26" t="str">
            <v>SEMANA SANTAV</v>
          </cell>
          <cell r="I26">
            <v>1.88</v>
          </cell>
        </row>
        <row r="27">
          <cell r="H27" t="str">
            <v>24 HORAS DOMINGOD</v>
          </cell>
          <cell r="I27">
            <v>1.75</v>
          </cell>
        </row>
        <row r="28">
          <cell r="H28" t="str">
            <v>24 HORAS DOMINGOD</v>
          </cell>
          <cell r="I28">
            <v>1.75</v>
          </cell>
        </row>
        <row r="29">
          <cell r="H29" t="str">
            <v>24 HORAS CENTRALLMWJVS</v>
          </cell>
          <cell r="I29">
            <v>1.7</v>
          </cell>
        </row>
        <row r="30">
          <cell r="H30" t="str">
            <v>24 HORAS CENTRALL</v>
          </cell>
          <cell r="I30">
            <v>2.2000000000000002</v>
          </cell>
        </row>
        <row r="31">
          <cell r="H31" t="str">
            <v>24 HORAS CENTRALJ</v>
          </cell>
          <cell r="I31">
            <v>1.8</v>
          </cell>
        </row>
        <row r="32">
          <cell r="H32" t="str">
            <v>24 HORAS CENTRALW</v>
          </cell>
          <cell r="I32">
            <v>1.8</v>
          </cell>
        </row>
        <row r="33">
          <cell r="H33" t="str">
            <v>24 HORAS CENTRALM</v>
          </cell>
          <cell r="I33">
            <v>1.58</v>
          </cell>
        </row>
        <row r="34">
          <cell r="H34" t="str">
            <v>24 HORAS CENTRALV</v>
          </cell>
          <cell r="I34">
            <v>1.56</v>
          </cell>
        </row>
        <row r="35">
          <cell r="H35" t="str">
            <v>24 HORAS CENTRALS</v>
          </cell>
          <cell r="I35">
            <v>1.19</v>
          </cell>
        </row>
        <row r="36">
          <cell r="H36" t="str">
            <v>SABADO DE K OS</v>
          </cell>
          <cell r="I36">
            <v>1.61</v>
          </cell>
        </row>
        <row r="37">
          <cell r="H37" t="str">
            <v>SABADO DE K OS</v>
          </cell>
          <cell r="I37">
            <v>1.61</v>
          </cell>
        </row>
        <row r="38">
          <cell r="H38" t="str">
            <v>POR FIN SOLOSLD</v>
          </cell>
          <cell r="I38">
            <v>1.53</v>
          </cell>
        </row>
        <row r="39">
          <cell r="H39" t="str">
            <v>POR FIN SOLOSD</v>
          </cell>
          <cell r="I39">
            <v>1.62</v>
          </cell>
        </row>
        <row r="40">
          <cell r="H40" t="str">
            <v>POR FIN SOLOSL</v>
          </cell>
          <cell r="I40">
            <v>1.47</v>
          </cell>
        </row>
        <row r="41">
          <cell r="H41" t="str">
            <v>MOISES LOS 10 MANDAMIENTOS (RELMWJSD</v>
          </cell>
          <cell r="I41">
            <v>1.52</v>
          </cell>
        </row>
        <row r="42">
          <cell r="H42" t="str">
            <v>MOISES LOS 10 MANDAMIENTOS (REL</v>
          </cell>
          <cell r="I42">
            <v>3.57</v>
          </cell>
        </row>
        <row r="43">
          <cell r="H43" t="str">
            <v>MOISES LOS 10 MANDAMIENTOS (RED</v>
          </cell>
          <cell r="I43">
            <v>2.64</v>
          </cell>
        </row>
        <row r="44">
          <cell r="H44" t="str">
            <v>MOISES LOS 10 MANDAMIENTOS (REM</v>
          </cell>
          <cell r="I44">
            <v>2.52</v>
          </cell>
        </row>
        <row r="45">
          <cell r="H45" t="str">
            <v>MOISES LOS 10 MANDAMIENTOS (REW</v>
          </cell>
          <cell r="I45">
            <v>2.19</v>
          </cell>
        </row>
        <row r="46">
          <cell r="H46" t="str">
            <v>MOISES LOS 10 MANDAMIENTOS (REJ</v>
          </cell>
          <cell r="I46">
            <v>1.52</v>
          </cell>
        </row>
        <row r="47">
          <cell r="H47" t="str">
            <v>MOISES LOS 10 MANDAMIENTOS (RES</v>
          </cell>
          <cell r="I47">
            <v>0.57999999999999996</v>
          </cell>
        </row>
        <row r="48">
          <cell r="H48" t="str">
            <v>POR FIN SOLOS (R)V</v>
          </cell>
          <cell r="I48">
            <v>1.43</v>
          </cell>
        </row>
        <row r="49">
          <cell r="H49" t="str">
            <v>POR FIN SOLOS (R)V</v>
          </cell>
          <cell r="I49">
            <v>1.43</v>
          </cell>
        </row>
        <row r="50">
          <cell r="H50" t="str">
            <v>JOSE DE EGIPTOV</v>
          </cell>
          <cell r="I50">
            <v>1.39</v>
          </cell>
        </row>
        <row r="51">
          <cell r="H51" t="str">
            <v>JOSE DE EGIPTOV</v>
          </cell>
          <cell r="I51">
            <v>1.39</v>
          </cell>
        </row>
        <row r="52">
          <cell r="H52" t="str">
            <v>4TO MEDIOLW</v>
          </cell>
          <cell r="I52">
            <v>1.1299999999999999</v>
          </cell>
        </row>
        <row r="53">
          <cell r="H53" t="str">
            <v>4TO MEDIOW</v>
          </cell>
          <cell r="I53">
            <v>1.3</v>
          </cell>
        </row>
        <row r="54">
          <cell r="H54" t="str">
            <v>4TO MEDIOL</v>
          </cell>
          <cell r="I54">
            <v>0.22</v>
          </cell>
        </row>
        <row r="55">
          <cell r="H55" t="str">
            <v>TU MANANA 24 HORASLMWJV</v>
          </cell>
          <cell r="I55">
            <v>1.06</v>
          </cell>
        </row>
        <row r="56">
          <cell r="H56" t="str">
            <v>TU MANANA 24 HORASL</v>
          </cell>
          <cell r="I56">
            <v>1.32</v>
          </cell>
        </row>
        <row r="57">
          <cell r="H57" t="str">
            <v>TU MANANA 24 HORASW</v>
          </cell>
          <cell r="I57">
            <v>1.2</v>
          </cell>
        </row>
        <row r="58">
          <cell r="H58" t="str">
            <v>TU MANANA 24 HORASV</v>
          </cell>
          <cell r="I58">
            <v>1</v>
          </cell>
        </row>
        <row r="59">
          <cell r="H59" t="str">
            <v>TU MANANA 24 HORASM</v>
          </cell>
          <cell r="I59">
            <v>0.91</v>
          </cell>
        </row>
        <row r="60">
          <cell r="H60" t="str">
            <v>TU MANANA 24 HORASJ</v>
          </cell>
          <cell r="I60">
            <v>0.89</v>
          </cell>
        </row>
        <row r="61">
          <cell r="H61" t="str">
            <v>CHILE CONECTADO (R)D</v>
          </cell>
          <cell r="I61">
            <v>1.05</v>
          </cell>
        </row>
        <row r="62">
          <cell r="H62" t="str">
            <v>CHILE CONECTADO (R)D</v>
          </cell>
          <cell r="I62">
            <v>1.05</v>
          </cell>
        </row>
        <row r="63">
          <cell r="H63" t="str">
            <v>FRUTOS DEL PAIS (R)D</v>
          </cell>
          <cell r="I63">
            <v>1.05</v>
          </cell>
        </row>
        <row r="64">
          <cell r="H64" t="str">
            <v>FRUTOS DEL PAIS (R)D</v>
          </cell>
          <cell r="I64">
            <v>1.05</v>
          </cell>
        </row>
        <row r="65">
          <cell r="H65" t="str">
            <v>PURO CHILEV</v>
          </cell>
          <cell r="I65">
            <v>1.03</v>
          </cell>
        </row>
        <row r="66">
          <cell r="H66" t="str">
            <v>PURO CHILEV</v>
          </cell>
          <cell r="I66">
            <v>1.03</v>
          </cell>
        </row>
        <row r="67">
          <cell r="H67" t="str">
            <v>24 HORAS AL DIALMWJVSD</v>
          </cell>
          <cell r="I67">
            <v>0.99</v>
          </cell>
        </row>
        <row r="68">
          <cell r="H68" t="str">
            <v>24 HORAS AL DIAW</v>
          </cell>
          <cell r="I68">
            <v>1.46</v>
          </cell>
        </row>
        <row r="69">
          <cell r="H69" t="str">
            <v>24 HORAS AL DIAL</v>
          </cell>
          <cell r="I69">
            <v>1.1200000000000001</v>
          </cell>
        </row>
        <row r="70">
          <cell r="H70" t="str">
            <v>24 HORAS AL DIAJ</v>
          </cell>
          <cell r="I70">
            <v>1.08</v>
          </cell>
        </row>
        <row r="71">
          <cell r="H71" t="str">
            <v>24 HORAS AL DIAM</v>
          </cell>
          <cell r="I71">
            <v>0.99</v>
          </cell>
        </row>
        <row r="72">
          <cell r="H72" t="str">
            <v>24 HORAS AL DIAS</v>
          </cell>
          <cell r="I72">
            <v>0.84</v>
          </cell>
        </row>
        <row r="73">
          <cell r="H73" t="str">
            <v>24 HORAS AL DIAV</v>
          </cell>
          <cell r="I73">
            <v>0.74</v>
          </cell>
        </row>
        <row r="74">
          <cell r="H74" t="str">
            <v>24 HORAS AL DIAD</v>
          </cell>
          <cell r="I74">
            <v>0.63</v>
          </cell>
        </row>
        <row r="75">
          <cell r="H75" t="str">
            <v>ENTRE PROGRAMASLMWJVSD</v>
          </cell>
          <cell r="I75">
            <v>0.99</v>
          </cell>
        </row>
        <row r="76">
          <cell r="H76" t="str">
            <v>ENTRE PROGRAMASM</v>
          </cell>
          <cell r="I76">
            <v>1.6</v>
          </cell>
        </row>
        <row r="77">
          <cell r="H77" t="str">
            <v>ENTRE PROGRAMASL</v>
          </cell>
          <cell r="I77">
            <v>1.24</v>
          </cell>
        </row>
        <row r="78">
          <cell r="H78" t="str">
            <v>ENTRE PROGRAMASJ</v>
          </cell>
          <cell r="I78">
            <v>1.23</v>
          </cell>
        </row>
        <row r="79">
          <cell r="H79" t="str">
            <v>ENTRE PROGRAMASD</v>
          </cell>
          <cell r="I79">
            <v>0.96</v>
          </cell>
        </row>
        <row r="80">
          <cell r="H80" t="str">
            <v>ENTRE PROGRAMASS</v>
          </cell>
          <cell r="I80">
            <v>0.83</v>
          </cell>
        </row>
        <row r="81">
          <cell r="H81" t="str">
            <v>ENTRE PROGRAMASW</v>
          </cell>
          <cell r="I81">
            <v>0.45</v>
          </cell>
        </row>
        <row r="82">
          <cell r="H82" t="str">
            <v>ENTRE PROGRAMASV</v>
          </cell>
          <cell r="I82">
            <v>0.21</v>
          </cell>
        </row>
        <row r="83">
          <cell r="H83" t="str">
            <v>NUESTRO SIGLOS</v>
          </cell>
          <cell r="I83">
            <v>0.98</v>
          </cell>
        </row>
        <row r="84">
          <cell r="H84" t="str">
            <v>NUESTRO SIGLOS</v>
          </cell>
          <cell r="I84">
            <v>0.98</v>
          </cell>
        </row>
        <row r="85">
          <cell r="H85" t="str">
            <v>PURO CHILE (R)D</v>
          </cell>
          <cell r="I85">
            <v>0.96</v>
          </cell>
        </row>
        <row r="86">
          <cell r="H86" t="str">
            <v>PURO CHILE (R)D</v>
          </cell>
          <cell r="I86">
            <v>0.96</v>
          </cell>
        </row>
        <row r="87">
          <cell r="H87" t="str">
            <v>FRUTOS DEL PAISD</v>
          </cell>
          <cell r="I87">
            <v>0.95</v>
          </cell>
        </row>
        <row r="88">
          <cell r="H88" t="str">
            <v>FRUTOS DEL PAISD</v>
          </cell>
          <cell r="I88">
            <v>0.95</v>
          </cell>
        </row>
        <row r="89">
          <cell r="H89" t="str">
            <v>DOCTOR HOUSE (R)LMWJVD</v>
          </cell>
          <cell r="I89">
            <v>0.93</v>
          </cell>
        </row>
        <row r="90">
          <cell r="H90" t="str">
            <v>DOCTOR HOUSE (R)M</v>
          </cell>
          <cell r="I90">
            <v>1.29</v>
          </cell>
        </row>
        <row r="91">
          <cell r="H91" t="str">
            <v>DOCTOR HOUSE (R)D</v>
          </cell>
          <cell r="I91">
            <v>1.1100000000000001</v>
          </cell>
        </row>
        <row r="92">
          <cell r="H92" t="str">
            <v>DOCTOR HOUSE (R)L</v>
          </cell>
          <cell r="I92">
            <v>0.98</v>
          </cell>
        </row>
        <row r="93">
          <cell r="H93" t="str">
            <v>DOCTOR HOUSE (R)J</v>
          </cell>
          <cell r="I93">
            <v>0.9</v>
          </cell>
        </row>
        <row r="94">
          <cell r="H94" t="str">
            <v>DOCTOR HOUSE (R)V</v>
          </cell>
          <cell r="I94">
            <v>0.48</v>
          </cell>
        </row>
        <row r="95">
          <cell r="H95" t="str">
            <v>DOCTOR HOUSE (R)W</v>
          </cell>
          <cell r="I95">
            <v>0.46</v>
          </cell>
        </row>
        <row r="96">
          <cell r="H96" t="str">
            <v>ROMANE (R)LMWJV</v>
          </cell>
          <cell r="I96">
            <v>0.93</v>
          </cell>
        </row>
        <row r="97">
          <cell r="H97" t="str">
            <v>ROMANE (R)M</v>
          </cell>
          <cell r="I97">
            <v>1.1599999999999999</v>
          </cell>
        </row>
        <row r="98">
          <cell r="H98" t="str">
            <v>ROMANE (R)L</v>
          </cell>
          <cell r="I98">
            <v>1.1000000000000001</v>
          </cell>
        </row>
        <row r="99">
          <cell r="H99" t="str">
            <v>ROMANE (R)V</v>
          </cell>
          <cell r="I99">
            <v>0.87</v>
          </cell>
        </row>
        <row r="100">
          <cell r="H100" t="str">
            <v>ROMANE (R)J</v>
          </cell>
          <cell r="I100">
            <v>0.78</v>
          </cell>
        </row>
        <row r="101">
          <cell r="H101" t="str">
            <v>ROMANE (R)W</v>
          </cell>
          <cell r="I101">
            <v>0.78</v>
          </cell>
        </row>
        <row r="102">
          <cell r="H102" t="str">
            <v>MEDIA NOCHELMWJV</v>
          </cell>
          <cell r="I102">
            <v>0.92</v>
          </cell>
        </row>
        <row r="103">
          <cell r="H103" t="str">
            <v>MEDIA NOCHEL</v>
          </cell>
          <cell r="I103">
            <v>1.67</v>
          </cell>
        </row>
        <row r="104">
          <cell r="H104" t="str">
            <v>MEDIA NOCHEJ</v>
          </cell>
          <cell r="I104">
            <v>1.05</v>
          </cell>
        </row>
        <row r="105">
          <cell r="H105" t="str">
            <v>MEDIA NOCHEM</v>
          </cell>
          <cell r="I105">
            <v>0.98</v>
          </cell>
        </row>
        <row r="106">
          <cell r="H106" t="str">
            <v>MEDIA NOCHEW</v>
          </cell>
          <cell r="I106">
            <v>0.54</v>
          </cell>
        </row>
        <row r="107">
          <cell r="H107" t="str">
            <v>MEDIA NOCHEV</v>
          </cell>
          <cell r="I107">
            <v>0.28000000000000003</v>
          </cell>
        </row>
        <row r="108">
          <cell r="H108" t="str">
            <v>DESTILANDO AMORLMWJV</v>
          </cell>
          <cell r="I108">
            <v>0.89</v>
          </cell>
        </row>
        <row r="109">
          <cell r="H109" t="str">
            <v>DESTILANDO AMORL</v>
          </cell>
          <cell r="I109">
            <v>1.07</v>
          </cell>
        </row>
        <row r="110">
          <cell r="H110" t="str">
            <v>DESTILANDO AMORW</v>
          </cell>
          <cell r="I110">
            <v>0.97</v>
          </cell>
        </row>
        <row r="111">
          <cell r="H111" t="str">
            <v>DESTILANDO AMORM</v>
          </cell>
          <cell r="I111">
            <v>0.97</v>
          </cell>
        </row>
        <row r="112">
          <cell r="H112" t="str">
            <v>DESTILANDO AMORJ</v>
          </cell>
          <cell r="I112">
            <v>0.83</v>
          </cell>
        </row>
        <row r="113">
          <cell r="H113" t="str">
            <v>DESTILANDO AMORV</v>
          </cell>
          <cell r="I113">
            <v>0.63</v>
          </cell>
        </row>
        <row r="114">
          <cell r="H114" t="str">
            <v>HABITANTES DEL PACIFICO (R)D</v>
          </cell>
          <cell r="I114">
            <v>0.88</v>
          </cell>
        </row>
        <row r="115">
          <cell r="H115" t="str">
            <v>HABITANTES DEL PACIFICO (R)D</v>
          </cell>
          <cell r="I115">
            <v>0.88</v>
          </cell>
        </row>
        <row r="116">
          <cell r="H116" t="str">
            <v>BEST SELLERVS</v>
          </cell>
          <cell r="I116">
            <v>0.84</v>
          </cell>
        </row>
        <row r="117">
          <cell r="H117" t="str">
            <v>BEST SELLERV</v>
          </cell>
          <cell r="I117">
            <v>0.86</v>
          </cell>
        </row>
        <row r="118">
          <cell r="H118" t="str">
            <v>BEST SELLERS</v>
          </cell>
          <cell r="I118">
            <v>0.79</v>
          </cell>
        </row>
        <row r="119">
          <cell r="H119" t="str">
            <v>ESA NO SOY YOLMWJV</v>
          </cell>
          <cell r="I119">
            <v>0.81</v>
          </cell>
        </row>
        <row r="120">
          <cell r="H120" t="str">
            <v>ESA NO SOY YOV</v>
          </cell>
          <cell r="I120">
            <v>0.95</v>
          </cell>
        </row>
        <row r="121">
          <cell r="H121" t="str">
            <v>ESA NO SOY YOM</v>
          </cell>
          <cell r="I121">
            <v>0.93</v>
          </cell>
        </row>
        <row r="122">
          <cell r="H122" t="str">
            <v>ESA NO SOY YOL</v>
          </cell>
          <cell r="I122">
            <v>0.79</v>
          </cell>
        </row>
        <row r="123">
          <cell r="H123" t="str">
            <v>ESA NO SOY YOW</v>
          </cell>
          <cell r="I123">
            <v>0.76</v>
          </cell>
        </row>
        <row r="124">
          <cell r="H124" t="str">
            <v>ESA NO SOY YOJ</v>
          </cell>
          <cell r="I124">
            <v>0.67</v>
          </cell>
        </row>
        <row r="125">
          <cell r="H125" t="str">
            <v>ESTADO NACIONALD</v>
          </cell>
          <cell r="I125">
            <v>0.81</v>
          </cell>
        </row>
        <row r="126">
          <cell r="H126" t="str">
            <v>ESTADO NACIONALD</v>
          </cell>
          <cell r="I126">
            <v>0.81</v>
          </cell>
        </row>
        <row r="127">
          <cell r="H127" t="str">
            <v>ESA NO SOY YO (RESUMEN)LMWJV</v>
          </cell>
          <cell r="I127">
            <v>0.79</v>
          </cell>
        </row>
        <row r="128">
          <cell r="H128" t="str">
            <v>ESA NO SOY YO (RESUMEN)W</v>
          </cell>
          <cell r="I128">
            <v>0.99</v>
          </cell>
        </row>
        <row r="129">
          <cell r="H129" t="str">
            <v>ESA NO SOY YO (RESUMEN)L</v>
          </cell>
          <cell r="I129">
            <v>0.85</v>
          </cell>
        </row>
        <row r="130">
          <cell r="H130" t="str">
            <v>ESA NO SOY YO (RESUMEN)M</v>
          </cell>
          <cell r="I130">
            <v>0.8</v>
          </cell>
        </row>
        <row r="131">
          <cell r="H131" t="str">
            <v>ESA NO SOY YO (RESUMEN)J</v>
          </cell>
          <cell r="I131">
            <v>0.61</v>
          </cell>
        </row>
        <row r="132">
          <cell r="H132" t="str">
            <v>ESA NO SOY YO (RESUMEN)V</v>
          </cell>
          <cell r="I132">
            <v>0.55000000000000004</v>
          </cell>
        </row>
        <row r="133">
          <cell r="H133" t="str">
            <v>MELO Y ASTORGAS</v>
          </cell>
          <cell r="I133">
            <v>0.78</v>
          </cell>
        </row>
        <row r="134">
          <cell r="H134" t="str">
            <v>MELO Y ASTORGAS</v>
          </cell>
          <cell r="I134">
            <v>0.78</v>
          </cell>
        </row>
        <row r="135">
          <cell r="H135" t="str">
            <v>LA CULTURA ENTRETENIDAD</v>
          </cell>
          <cell r="I135">
            <v>0.77</v>
          </cell>
        </row>
        <row r="136">
          <cell r="H136" t="str">
            <v>LA CULTURA ENTRETENIDAD</v>
          </cell>
          <cell r="I136">
            <v>0.77</v>
          </cell>
        </row>
        <row r="137">
          <cell r="H137" t="str">
            <v>COPA DAVISVSD</v>
          </cell>
          <cell r="I137">
            <v>0.66</v>
          </cell>
        </row>
        <row r="138">
          <cell r="H138" t="str">
            <v>COPA DAVISS</v>
          </cell>
          <cell r="I138">
            <v>0.89</v>
          </cell>
        </row>
        <row r="139">
          <cell r="H139" t="str">
            <v>COPA DAVISD</v>
          </cell>
          <cell r="I139">
            <v>0.86</v>
          </cell>
        </row>
        <row r="140">
          <cell r="H140" t="str">
            <v>COPA DAVISV</v>
          </cell>
          <cell r="I140">
            <v>0.56000000000000005</v>
          </cell>
        </row>
        <row r="141">
          <cell r="H141" t="str">
            <v>EL SECRETO DE PUENTE VIEJOLMWJV</v>
          </cell>
          <cell r="I141">
            <v>0.64</v>
          </cell>
        </row>
        <row r="142">
          <cell r="H142" t="str">
            <v>EL SECRETO DE PUENTE VIEJOL</v>
          </cell>
          <cell r="I142">
            <v>0.73</v>
          </cell>
        </row>
        <row r="143">
          <cell r="H143" t="str">
            <v>EL SECRETO DE PUENTE VIEJOM</v>
          </cell>
          <cell r="I143">
            <v>0.69</v>
          </cell>
        </row>
        <row r="144">
          <cell r="H144" t="str">
            <v>EL SECRETO DE PUENTE VIEJOW</v>
          </cell>
          <cell r="I144">
            <v>0.69</v>
          </cell>
        </row>
        <row r="145">
          <cell r="H145" t="str">
            <v>EL SECRETO DE PUENTE VIEJOV</v>
          </cell>
          <cell r="I145">
            <v>0.63</v>
          </cell>
        </row>
        <row r="146">
          <cell r="H146" t="str">
            <v>EL SECRETO DE PUENTE VIEJOJ</v>
          </cell>
          <cell r="I146">
            <v>0.46</v>
          </cell>
        </row>
        <row r="147">
          <cell r="H147" t="str">
            <v>BUENOS DIAS A TODOS (A)LMWJV</v>
          </cell>
          <cell r="I147">
            <v>0.63</v>
          </cell>
        </row>
        <row r="148">
          <cell r="H148" t="str">
            <v>BUENOS DIAS A TODOS (A)V</v>
          </cell>
          <cell r="I148">
            <v>1.04</v>
          </cell>
        </row>
        <row r="149">
          <cell r="H149" t="str">
            <v>BUENOS DIAS A TODOS (A)J</v>
          </cell>
          <cell r="I149">
            <v>0.75</v>
          </cell>
        </row>
        <row r="150">
          <cell r="H150" t="str">
            <v>BUENOS DIAS A TODOS (A)M</v>
          </cell>
          <cell r="I150">
            <v>0.73</v>
          </cell>
        </row>
        <row r="151">
          <cell r="H151" t="str">
            <v>BUENOS DIAS A TODOS (A)L</v>
          </cell>
          <cell r="I151">
            <v>0.44</v>
          </cell>
        </row>
        <row r="152">
          <cell r="H152" t="str">
            <v>BUENOS DIAS A TODOS (A)W</v>
          </cell>
          <cell r="I152">
            <v>0.23</v>
          </cell>
        </row>
        <row r="153">
          <cell r="H153" t="str">
            <v>BUENOS DIAS A TODOS (B)LMWJV</v>
          </cell>
          <cell r="I153">
            <v>0.56999999999999995</v>
          </cell>
        </row>
        <row r="154">
          <cell r="H154" t="str">
            <v>BUENOS DIAS A TODOS (B)J</v>
          </cell>
          <cell r="I154">
            <v>0.71</v>
          </cell>
        </row>
        <row r="155">
          <cell r="H155" t="str">
            <v>BUENOS DIAS A TODOS (B)L</v>
          </cell>
          <cell r="I155">
            <v>0.63</v>
          </cell>
        </row>
        <row r="156">
          <cell r="H156" t="str">
            <v>BUENOS DIAS A TODOS (B)V</v>
          </cell>
          <cell r="I156">
            <v>0.56000000000000005</v>
          </cell>
        </row>
        <row r="157">
          <cell r="H157" t="str">
            <v>BUENOS DIAS A TODOS (B)W</v>
          </cell>
          <cell r="I157">
            <v>0.51</v>
          </cell>
        </row>
        <row r="158">
          <cell r="H158" t="str">
            <v>BUENOS DIAS A TODOS (B)M</v>
          </cell>
          <cell r="I158">
            <v>0.42</v>
          </cell>
        </row>
        <row r="159">
          <cell r="H159" t="str">
            <v>SUPER CINES</v>
          </cell>
          <cell r="I159">
            <v>0.56000000000000005</v>
          </cell>
        </row>
        <row r="160">
          <cell r="H160" t="str">
            <v>SUPER CINES</v>
          </cell>
          <cell r="I160">
            <v>0.56000000000000005</v>
          </cell>
        </row>
        <row r="161">
          <cell r="H161" t="str">
            <v>PODIOD</v>
          </cell>
          <cell r="I161">
            <v>0.54</v>
          </cell>
        </row>
        <row r="162">
          <cell r="H162" t="str">
            <v>PODIOD</v>
          </cell>
          <cell r="I162">
            <v>0.54</v>
          </cell>
        </row>
        <row r="163">
          <cell r="H163" t="str">
            <v>24 HORASD</v>
          </cell>
          <cell r="I163">
            <v>0.47</v>
          </cell>
        </row>
        <row r="164">
          <cell r="H164" t="str">
            <v>24 HORASD</v>
          </cell>
          <cell r="I164">
            <v>0.47</v>
          </cell>
        </row>
        <row r="165">
          <cell r="H165" t="str">
            <v>PELOTON LA HISTORIA DEL HONORW</v>
          </cell>
          <cell r="I165">
            <v>0.47</v>
          </cell>
        </row>
        <row r="166">
          <cell r="H166" t="str">
            <v>PELOTON LA HISTORIA DEL HONORW</v>
          </cell>
          <cell r="I166">
            <v>0.47</v>
          </cell>
        </row>
        <row r="167">
          <cell r="H167" t="str">
            <v>BOXEO DE OROS</v>
          </cell>
          <cell r="I167">
            <v>0.38</v>
          </cell>
        </row>
        <row r="168">
          <cell r="H168" t="str">
            <v>BOXEO DE OROS</v>
          </cell>
          <cell r="I168">
            <v>0.38</v>
          </cell>
        </row>
        <row r="169">
          <cell r="H169" t="str">
            <v>NOTICREOS</v>
          </cell>
          <cell r="I169">
            <v>0.36</v>
          </cell>
        </row>
        <row r="170">
          <cell r="H170" t="str">
            <v>NOTICREOS</v>
          </cell>
          <cell r="I170">
            <v>0.36</v>
          </cell>
        </row>
        <row r="171">
          <cell r="H171" t="str">
            <v>0,243055555555556LMWJD</v>
          </cell>
          <cell r="I171">
            <v>0.3</v>
          </cell>
        </row>
        <row r="172">
          <cell r="H172" t="str">
            <v>0,243055555555556L</v>
          </cell>
          <cell r="I172">
            <v>0.51</v>
          </cell>
        </row>
        <row r="173">
          <cell r="H173" t="str">
            <v>0,243055555555556J</v>
          </cell>
          <cell r="I173">
            <v>0.48</v>
          </cell>
        </row>
        <row r="174">
          <cell r="H174" t="str">
            <v>0,243055555555556M</v>
          </cell>
          <cell r="I174">
            <v>0.37</v>
          </cell>
        </row>
        <row r="175">
          <cell r="H175" t="str">
            <v>0,243055555555556D</v>
          </cell>
          <cell r="I175">
            <v>0.28000000000000003</v>
          </cell>
        </row>
        <row r="176">
          <cell r="H176" t="str">
            <v>0,243055555555556W</v>
          </cell>
          <cell r="I176">
            <v>0.09</v>
          </cell>
        </row>
        <row r="177">
          <cell r="H177" t="str">
            <v>GRANDES PELICULASS</v>
          </cell>
          <cell r="I177">
            <v>0.24</v>
          </cell>
        </row>
        <row r="178">
          <cell r="H178" t="str">
            <v>GRANDES PELICULASS</v>
          </cell>
          <cell r="I178">
            <v>0.24</v>
          </cell>
        </row>
        <row r="179">
          <cell r="H179" t="str">
            <v>MIRADA ECONOMICAD</v>
          </cell>
          <cell r="I179">
            <v>0.22</v>
          </cell>
        </row>
        <row r="180">
          <cell r="H180" t="str">
            <v>MIRADA ECONOMICAD</v>
          </cell>
          <cell r="I180">
            <v>0.22</v>
          </cell>
        </row>
        <row r="181">
          <cell r="H181" t="str">
            <v>PEPPA LA CERDITAS</v>
          </cell>
          <cell r="I181">
            <v>0.15</v>
          </cell>
        </row>
        <row r="182">
          <cell r="H182" t="str">
            <v>PEPPA LA CERDITAS</v>
          </cell>
          <cell r="I182">
            <v>0.15</v>
          </cell>
        </row>
        <row r="183">
          <cell r="H183" t="str">
            <v>AVANCE 24D</v>
          </cell>
          <cell r="I183">
            <v>0.12</v>
          </cell>
        </row>
        <row r="184">
          <cell r="H184" t="str">
            <v>AVANCE 24D</v>
          </cell>
          <cell r="I184">
            <v>0.12</v>
          </cell>
        </row>
        <row r="185">
          <cell r="H185" t="str">
            <v>PELICULA INFANTILS</v>
          </cell>
          <cell r="I185">
            <v>0.1</v>
          </cell>
        </row>
        <row r="186">
          <cell r="H186" t="str">
            <v>PELICULA INFANTILS</v>
          </cell>
          <cell r="I186">
            <v>0.1</v>
          </cell>
        </row>
        <row r="187">
          <cell r="H187" t="str">
            <v>HORACIO Y LOS PLASTICINESS</v>
          </cell>
          <cell r="I187">
            <v>0.06</v>
          </cell>
        </row>
        <row r="188">
          <cell r="H188" t="str">
            <v>HORACIO Y LOS PLASTICINESS</v>
          </cell>
          <cell r="I188">
            <v>0.06</v>
          </cell>
        </row>
        <row r="189">
          <cell r="H189" t="str">
            <v>SESIONES 24D</v>
          </cell>
          <cell r="I189">
            <v>0</v>
          </cell>
        </row>
        <row r="190">
          <cell r="H190" t="str">
            <v>SESIONES 24D</v>
          </cell>
          <cell r="I190">
            <v>0</v>
          </cell>
        </row>
        <row r="191">
          <cell r="H191" t="str">
            <v>CINEV</v>
          </cell>
          <cell r="I191">
            <v>0</v>
          </cell>
        </row>
        <row r="192">
          <cell r="H192" t="str">
            <v>CINEV</v>
          </cell>
          <cell r="I192">
            <v>0</v>
          </cell>
        </row>
        <row r="193">
          <cell r="H193" t="str">
            <v>MATRIARCASLMWJV</v>
          </cell>
          <cell r="I193">
            <v>0.9</v>
          </cell>
        </row>
        <row r="194">
          <cell r="H194" t="str">
            <v>HUMOR EN FESTIVAL DE OLMUE (LOJ</v>
          </cell>
          <cell r="I194">
            <v>2.6</v>
          </cell>
        </row>
        <row r="196">
          <cell r="H196" t="str">
            <v>MOISES LOS 10 MANDAMIENTOSLMWJ</v>
          </cell>
          <cell r="I196">
            <v>3.1375000000000002</v>
          </cell>
        </row>
        <row r="197">
          <cell r="H197" t="str">
            <v>24 HORAS CENTRALLMWJV</v>
          </cell>
          <cell r="I197">
            <v>1.7879999999999998</v>
          </cell>
        </row>
        <row r="198">
          <cell r="H198" t="str">
            <v>24 HORAS AL DIALMWJV</v>
          </cell>
          <cell r="I198">
            <v>1.0780000000000001</v>
          </cell>
        </row>
      </sheetData>
      <sheetData sheetId="15">
        <row r="3">
          <cell r="H3" t="str">
            <v>24 HORASD</v>
          </cell>
          <cell r="I3">
            <v>0.82</v>
          </cell>
        </row>
        <row r="4">
          <cell r="H4" t="str">
            <v>24 HORASD</v>
          </cell>
          <cell r="I4">
            <v>0.82</v>
          </cell>
        </row>
        <row r="5">
          <cell r="H5" t="str">
            <v>24 HORAS AL DIALMWJVSD</v>
          </cell>
          <cell r="I5">
            <v>1.64</v>
          </cell>
        </row>
        <row r="6">
          <cell r="H6" t="str">
            <v>24 HORAS AL DIAL</v>
          </cell>
          <cell r="I6">
            <v>2.09</v>
          </cell>
        </row>
        <row r="7">
          <cell r="H7" t="str">
            <v>24 HORAS AL DIAV</v>
          </cell>
          <cell r="I7">
            <v>1.82</v>
          </cell>
        </row>
        <row r="8">
          <cell r="H8" t="str">
            <v>24 HORAS AL DIAM</v>
          </cell>
          <cell r="I8">
            <v>1.71</v>
          </cell>
        </row>
        <row r="9">
          <cell r="H9" t="str">
            <v>24 HORAS AL DIAJ</v>
          </cell>
          <cell r="I9">
            <v>1.69</v>
          </cell>
        </row>
        <row r="10">
          <cell r="H10" t="str">
            <v>24 HORAS AL DIAW</v>
          </cell>
          <cell r="I10">
            <v>1.64</v>
          </cell>
        </row>
        <row r="11">
          <cell r="H11" t="str">
            <v>24 HORAS AL DIAS</v>
          </cell>
          <cell r="I11">
            <v>1.34</v>
          </cell>
        </row>
        <row r="12">
          <cell r="H12" t="str">
            <v>24 HORAS AL DIAD</v>
          </cell>
          <cell r="I12">
            <v>1.33</v>
          </cell>
        </row>
        <row r="13">
          <cell r="H13" t="str">
            <v>24 HORAS CENTRALLMWJVS</v>
          </cell>
          <cell r="I13">
            <v>3.05</v>
          </cell>
        </row>
        <row r="14">
          <cell r="H14" t="str">
            <v>24 HORAS CENTRALV</v>
          </cell>
          <cell r="I14">
            <v>3.41</v>
          </cell>
        </row>
        <row r="15">
          <cell r="H15" t="str">
            <v>24 HORAS CENTRALL</v>
          </cell>
          <cell r="I15">
            <v>3.38</v>
          </cell>
        </row>
        <row r="16">
          <cell r="H16" t="str">
            <v>24 HORAS CENTRALJ</v>
          </cell>
          <cell r="I16">
            <v>3.19</v>
          </cell>
        </row>
        <row r="17">
          <cell r="H17" t="str">
            <v>24 HORAS CENTRALW</v>
          </cell>
          <cell r="I17">
            <v>3.01</v>
          </cell>
        </row>
        <row r="18">
          <cell r="H18" t="str">
            <v>24 HORAS CENTRALM</v>
          </cell>
          <cell r="I18">
            <v>2.87</v>
          </cell>
        </row>
        <row r="19">
          <cell r="H19" t="str">
            <v>24 HORAS CENTRALS</v>
          </cell>
          <cell r="I19">
            <v>2.4900000000000002</v>
          </cell>
        </row>
        <row r="20">
          <cell r="H20" t="str">
            <v>24 HORAS DOMINGOD</v>
          </cell>
          <cell r="I20">
            <v>3.79</v>
          </cell>
        </row>
        <row r="21">
          <cell r="H21" t="str">
            <v>24 HORAS DOMINGOD</v>
          </cell>
          <cell r="I21">
            <v>3.79</v>
          </cell>
        </row>
        <row r="22">
          <cell r="H22" t="str">
            <v>45 ANOS DE UN COCOJ</v>
          </cell>
          <cell r="I22">
            <v>3.92</v>
          </cell>
        </row>
        <row r="23">
          <cell r="H23" t="str">
            <v>45 ANOS DE UN COCOJ</v>
          </cell>
          <cell r="I23">
            <v>3.92</v>
          </cell>
        </row>
        <row r="24">
          <cell r="H24" t="str">
            <v>4TO MEDIOLW</v>
          </cell>
          <cell r="I24">
            <v>1.68</v>
          </cell>
        </row>
        <row r="25">
          <cell r="H25" t="str">
            <v>4TO MEDIOW</v>
          </cell>
          <cell r="I25">
            <v>1.82</v>
          </cell>
        </row>
        <row r="26">
          <cell r="H26" t="str">
            <v>4TO MEDIOL</v>
          </cell>
          <cell r="I26">
            <v>0.93</v>
          </cell>
        </row>
        <row r="27">
          <cell r="H27" t="str">
            <v>0,243055555555556LMWJD</v>
          </cell>
          <cell r="I27">
            <v>0.44</v>
          </cell>
        </row>
        <row r="28">
          <cell r="H28" t="str">
            <v>0,243055555555556J</v>
          </cell>
          <cell r="I28">
            <v>0.69</v>
          </cell>
        </row>
        <row r="29">
          <cell r="H29" t="str">
            <v>0,243055555555556L</v>
          </cell>
          <cell r="I29">
            <v>0.49</v>
          </cell>
        </row>
        <row r="30">
          <cell r="H30" t="str">
            <v>0,243055555555556D</v>
          </cell>
          <cell r="I30">
            <v>0.43</v>
          </cell>
        </row>
        <row r="31">
          <cell r="H31" t="str">
            <v>0,243055555555556M</v>
          </cell>
          <cell r="I31">
            <v>0.42</v>
          </cell>
        </row>
        <row r="32">
          <cell r="H32" t="str">
            <v>0,243055555555556W</v>
          </cell>
          <cell r="I32">
            <v>0.32</v>
          </cell>
        </row>
        <row r="33">
          <cell r="H33" t="str">
            <v>AVANCE 24D</v>
          </cell>
          <cell r="I33">
            <v>0.23</v>
          </cell>
        </row>
        <row r="34">
          <cell r="H34" t="str">
            <v>AVANCE 24D</v>
          </cell>
          <cell r="I34">
            <v>0.23</v>
          </cell>
        </row>
        <row r="35">
          <cell r="H35" t="str">
            <v>BEST SELLERVS</v>
          </cell>
          <cell r="I35">
            <v>1.04</v>
          </cell>
        </row>
        <row r="36">
          <cell r="H36" t="str">
            <v>BEST SELLERS</v>
          </cell>
          <cell r="I36">
            <v>1.7</v>
          </cell>
        </row>
        <row r="37">
          <cell r="H37" t="str">
            <v>BEST SELLERV</v>
          </cell>
          <cell r="I37">
            <v>0.74</v>
          </cell>
        </row>
        <row r="38">
          <cell r="H38" t="str">
            <v>BOXEO DE OROS</v>
          </cell>
          <cell r="I38">
            <v>0.93</v>
          </cell>
        </row>
        <row r="39">
          <cell r="H39" t="str">
            <v>BOXEO DE OROS</v>
          </cell>
          <cell r="I39">
            <v>0.93</v>
          </cell>
        </row>
        <row r="40">
          <cell r="H40" t="str">
            <v>BUENOS DIAS A TODOS (A)LMWJV</v>
          </cell>
          <cell r="I40">
            <v>1.01</v>
          </cell>
        </row>
        <row r="41">
          <cell r="H41" t="str">
            <v>BUENOS DIAS A TODOS (A)V</v>
          </cell>
          <cell r="I41">
            <v>1.75</v>
          </cell>
        </row>
        <row r="42">
          <cell r="H42" t="str">
            <v>BUENOS DIAS A TODOS (A)L</v>
          </cell>
          <cell r="I42">
            <v>0.96</v>
          </cell>
        </row>
        <row r="43">
          <cell r="H43" t="str">
            <v>BUENOS DIAS A TODOS (A)J</v>
          </cell>
          <cell r="I43">
            <v>0.93</v>
          </cell>
        </row>
        <row r="44">
          <cell r="H44" t="str">
            <v>BUENOS DIAS A TODOS (A)W</v>
          </cell>
          <cell r="I44">
            <v>0.76</v>
          </cell>
        </row>
        <row r="45">
          <cell r="H45" t="str">
            <v>BUENOS DIAS A TODOS (A)M</v>
          </cell>
          <cell r="I45">
            <v>0.62</v>
          </cell>
        </row>
        <row r="46">
          <cell r="H46" t="str">
            <v>BUENOS DIAS A TODOS (B)LMWJV</v>
          </cell>
          <cell r="I46">
            <v>1.04</v>
          </cell>
        </row>
        <row r="47">
          <cell r="H47" t="str">
            <v>BUENOS DIAS A TODOS (B)J</v>
          </cell>
          <cell r="I47">
            <v>1.52</v>
          </cell>
        </row>
        <row r="48">
          <cell r="H48" t="str">
            <v>BUENOS DIAS A TODOS (B)M</v>
          </cell>
          <cell r="I48">
            <v>1.06</v>
          </cell>
        </row>
        <row r="49">
          <cell r="H49" t="str">
            <v>BUENOS DIAS A TODOS (B)V</v>
          </cell>
          <cell r="I49">
            <v>1.01</v>
          </cell>
        </row>
        <row r="50">
          <cell r="H50" t="str">
            <v>BUENOS DIAS A TODOS (B)L</v>
          </cell>
          <cell r="I50">
            <v>0.95</v>
          </cell>
        </row>
        <row r="51">
          <cell r="H51" t="str">
            <v>BUENOS DIAS A TODOS (B)W</v>
          </cell>
          <cell r="I51">
            <v>0.72</v>
          </cell>
        </row>
        <row r="52">
          <cell r="H52" t="str">
            <v>CHILE CONECTADO (R)D</v>
          </cell>
          <cell r="I52">
            <v>1.93</v>
          </cell>
        </row>
        <row r="53">
          <cell r="H53" t="str">
            <v>CHILE CONECTADO (R)D</v>
          </cell>
          <cell r="I53">
            <v>1.93</v>
          </cell>
        </row>
        <row r="54">
          <cell r="H54" t="str">
            <v>CINEV</v>
          </cell>
          <cell r="I54">
            <v>0.39</v>
          </cell>
        </row>
        <row r="55">
          <cell r="H55" t="str">
            <v>CINEV</v>
          </cell>
          <cell r="I55">
            <v>0.39</v>
          </cell>
        </row>
        <row r="56">
          <cell r="H56" t="str">
            <v>COPA DAVISVSD</v>
          </cell>
          <cell r="I56">
            <v>1.72</v>
          </cell>
        </row>
        <row r="57">
          <cell r="H57" t="str">
            <v>COPA DAVISS</v>
          </cell>
          <cell r="I57">
            <v>1.88</v>
          </cell>
        </row>
        <row r="58">
          <cell r="H58" t="str">
            <v>COPA DAVISV</v>
          </cell>
          <cell r="I58">
            <v>1.78</v>
          </cell>
        </row>
        <row r="59">
          <cell r="H59" t="str">
            <v>COPA DAVISD</v>
          </cell>
          <cell r="I59">
            <v>1.43</v>
          </cell>
        </row>
        <row r="60">
          <cell r="H60" t="str">
            <v>DESTILANDO AMORLMWJV</v>
          </cell>
          <cell r="I60">
            <v>1.55</v>
          </cell>
        </row>
        <row r="61">
          <cell r="H61" t="str">
            <v>DESTILANDO AMORL</v>
          </cell>
          <cell r="I61">
            <v>1.65</v>
          </cell>
        </row>
        <row r="62">
          <cell r="H62" t="str">
            <v>DESTILANDO AMORM</v>
          </cell>
          <cell r="I62">
            <v>1.64</v>
          </cell>
        </row>
        <row r="63">
          <cell r="H63" t="str">
            <v>DESTILANDO AMORV</v>
          </cell>
          <cell r="I63">
            <v>1.55</v>
          </cell>
        </row>
        <row r="64">
          <cell r="H64" t="str">
            <v>DESTILANDO AMORW</v>
          </cell>
          <cell r="I64">
            <v>1.54</v>
          </cell>
        </row>
        <row r="65">
          <cell r="H65" t="str">
            <v>DESTILANDO AMORJ</v>
          </cell>
          <cell r="I65">
            <v>1.38</v>
          </cell>
        </row>
        <row r="66">
          <cell r="H66" t="str">
            <v>DOCTOR HOUSE (R)LMWJVD</v>
          </cell>
          <cell r="I66">
            <v>1.71</v>
          </cell>
        </row>
        <row r="67">
          <cell r="H67" t="str">
            <v>DOCTOR HOUSE (R)M</v>
          </cell>
          <cell r="I67">
            <v>1.98</v>
          </cell>
        </row>
        <row r="68">
          <cell r="H68" t="str">
            <v>DOCTOR HOUSE (R)J</v>
          </cell>
          <cell r="I68">
            <v>1.86</v>
          </cell>
        </row>
        <row r="69">
          <cell r="H69" t="str">
            <v>DOCTOR HOUSE (R)L</v>
          </cell>
          <cell r="I69">
            <v>1.68</v>
          </cell>
        </row>
        <row r="70">
          <cell r="H70" t="str">
            <v>DOCTOR HOUSE (R)W</v>
          </cell>
          <cell r="I70">
            <v>1.56</v>
          </cell>
        </row>
        <row r="71">
          <cell r="H71" t="str">
            <v>DOCTOR HOUSE (R)D</v>
          </cell>
          <cell r="I71">
            <v>1.53</v>
          </cell>
        </row>
        <row r="72">
          <cell r="H72" t="str">
            <v>DOCTOR HOUSE (R)V</v>
          </cell>
          <cell r="I72">
            <v>0.89</v>
          </cell>
        </row>
        <row r="73">
          <cell r="H73" t="str">
            <v>EL SECRETO DE PUENTE VIEJOLMWJV</v>
          </cell>
          <cell r="I73">
            <v>1.4</v>
          </cell>
        </row>
        <row r="74">
          <cell r="H74" t="str">
            <v>EL SECRETO DE PUENTE VIEJOW</v>
          </cell>
          <cell r="I74">
            <v>1.55</v>
          </cell>
        </row>
        <row r="75">
          <cell r="H75" t="str">
            <v>EL SECRETO DE PUENTE VIEJOL</v>
          </cell>
          <cell r="I75">
            <v>1.42</v>
          </cell>
        </row>
        <row r="76">
          <cell r="H76" t="str">
            <v>EL SECRETO DE PUENTE VIEJOV</v>
          </cell>
          <cell r="I76">
            <v>1.38</v>
          </cell>
        </row>
        <row r="77">
          <cell r="H77" t="str">
            <v>EL SECRETO DE PUENTE VIEJOJ</v>
          </cell>
          <cell r="I77">
            <v>1.37</v>
          </cell>
        </row>
        <row r="78">
          <cell r="H78" t="str">
            <v>EL SECRETO DE PUENTE VIEJOM</v>
          </cell>
          <cell r="I78">
            <v>1.29</v>
          </cell>
        </row>
        <row r="79">
          <cell r="H79" t="str">
            <v>ENTRE PROGRAMASLMWJVSD</v>
          </cell>
          <cell r="I79">
            <v>1.47</v>
          </cell>
        </row>
        <row r="80">
          <cell r="H80" t="str">
            <v>ENTRE PROGRAMASM</v>
          </cell>
          <cell r="I80">
            <v>2.35</v>
          </cell>
        </row>
        <row r="81">
          <cell r="H81" t="str">
            <v>ENTRE PROGRAMASJ</v>
          </cell>
          <cell r="I81">
            <v>2.0099999999999998</v>
          </cell>
        </row>
        <row r="82">
          <cell r="H82" t="str">
            <v>ENTRE PROGRAMASD</v>
          </cell>
          <cell r="I82">
            <v>1.3</v>
          </cell>
        </row>
        <row r="83">
          <cell r="H83" t="str">
            <v>ENTRE PROGRAMASL</v>
          </cell>
          <cell r="I83">
            <v>1.25</v>
          </cell>
        </row>
        <row r="84">
          <cell r="H84" t="str">
            <v>ENTRE PROGRAMASS</v>
          </cell>
          <cell r="I84">
            <v>1.1499999999999999</v>
          </cell>
        </row>
        <row r="85">
          <cell r="H85" t="str">
            <v>ENTRE PROGRAMASW</v>
          </cell>
          <cell r="I85">
            <v>1.1200000000000001</v>
          </cell>
        </row>
        <row r="86">
          <cell r="H86" t="str">
            <v>ENTRE PROGRAMASV</v>
          </cell>
          <cell r="I86">
            <v>0.74</v>
          </cell>
        </row>
        <row r="87">
          <cell r="H87" t="str">
            <v>ESA NO SOY YOLMWJV</v>
          </cell>
          <cell r="I87">
            <v>1.53</v>
          </cell>
        </row>
        <row r="88">
          <cell r="H88" t="str">
            <v>ESA NO SOY YOV</v>
          </cell>
          <cell r="I88">
            <v>1.86</v>
          </cell>
        </row>
        <row r="89">
          <cell r="H89" t="str">
            <v>ESA NO SOY YOM</v>
          </cell>
          <cell r="I89">
            <v>1.61</v>
          </cell>
        </row>
        <row r="90">
          <cell r="H90" t="str">
            <v>ESA NO SOY YOL</v>
          </cell>
          <cell r="I90">
            <v>1.56</v>
          </cell>
        </row>
        <row r="91">
          <cell r="H91" t="str">
            <v>ESA NO SOY YOW</v>
          </cell>
          <cell r="I91">
            <v>1.45</v>
          </cell>
        </row>
        <row r="92">
          <cell r="H92" t="str">
            <v>ESA NO SOY YOJ</v>
          </cell>
          <cell r="I92">
            <v>1.33</v>
          </cell>
        </row>
        <row r="93">
          <cell r="H93" t="str">
            <v>ESA NO SOY YO (RESUMEN)LMWJV</v>
          </cell>
          <cell r="I93">
            <v>1.3</v>
          </cell>
        </row>
        <row r="94">
          <cell r="H94" t="str">
            <v>ESA NO SOY YO (RESUMEN)V</v>
          </cell>
          <cell r="I94">
            <v>1.57</v>
          </cell>
        </row>
        <row r="95">
          <cell r="H95" t="str">
            <v>ESA NO SOY YO (RESUMEN)L</v>
          </cell>
          <cell r="I95">
            <v>1.44</v>
          </cell>
        </row>
        <row r="96">
          <cell r="H96" t="str">
            <v>ESA NO SOY YO (RESUMEN)M</v>
          </cell>
          <cell r="I96">
            <v>1.37</v>
          </cell>
        </row>
        <row r="97">
          <cell r="H97" t="str">
            <v>ESA NO SOY YO (RESUMEN)W</v>
          </cell>
          <cell r="I97">
            <v>1.23</v>
          </cell>
        </row>
        <row r="98">
          <cell r="H98" t="str">
            <v>ESA NO SOY YO (RESUMEN)J</v>
          </cell>
          <cell r="I98">
            <v>1.01</v>
          </cell>
        </row>
        <row r="99">
          <cell r="H99" t="str">
            <v>ESTADO NACIONALD</v>
          </cell>
          <cell r="I99">
            <v>1.28</v>
          </cell>
        </row>
        <row r="100">
          <cell r="H100" t="str">
            <v>ESTADO NACIONALD</v>
          </cell>
          <cell r="I100">
            <v>1.28</v>
          </cell>
        </row>
        <row r="101">
          <cell r="H101" t="str">
            <v>FRUTOS DEL PAISD</v>
          </cell>
          <cell r="I101">
            <v>1.66</v>
          </cell>
        </row>
        <row r="102">
          <cell r="H102" t="str">
            <v>FRUTOS DEL PAISD</v>
          </cell>
          <cell r="I102">
            <v>1.66</v>
          </cell>
        </row>
        <row r="103">
          <cell r="H103" t="str">
            <v>FRUTOS DEL PAIS (R)D</v>
          </cell>
          <cell r="I103">
            <v>1.71</v>
          </cell>
        </row>
        <row r="104">
          <cell r="H104" t="str">
            <v>FRUTOS DEL PAIS (R)D</v>
          </cell>
          <cell r="I104">
            <v>1.71</v>
          </cell>
        </row>
        <row r="105">
          <cell r="H105" t="str">
            <v>GRANDES PELICULASS</v>
          </cell>
          <cell r="I105">
            <v>1.25</v>
          </cell>
        </row>
        <row r="106">
          <cell r="H106" t="str">
            <v>GRANDES PELICULASS</v>
          </cell>
          <cell r="I106">
            <v>1.25</v>
          </cell>
        </row>
        <row r="107">
          <cell r="H107" t="str">
            <v>HABITANTES DEL PACIFICO (R)D</v>
          </cell>
          <cell r="I107">
            <v>1.43</v>
          </cell>
        </row>
        <row r="108">
          <cell r="H108" t="str">
            <v>HABITANTES DEL PACIFICO (R)D</v>
          </cell>
          <cell r="I108">
            <v>1.43</v>
          </cell>
        </row>
        <row r="109">
          <cell r="H109" t="str">
            <v>HISTORIA DE UN OSOS</v>
          </cell>
          <cell r="I109">
            <v>3.36</v>
          </cell>
        </row>
        <row r="110">
          <cell r="H110" t="str">
            <v>HISTORIA DE UN OSOS</v>
          </cell>
          <cell r="I110">
            <v>3.36</v>
          </cell>
        </row>
        <row r="111">
          <cell r="H111" t="str">
            <v>HORACIO Y LOS PLASTICINESS</v>
          </cell>
          <cell r="I111">
            <v>0.42</v>
          </cell>
        </row>
        <row r="112">
          <cell r="H112" t="str">
            <v>HORACIO Y LOS PLASTICINESS</v>
          </cell>
          <cell r="I112">
            <v>0.42</v>
          </cell>
        </row>
        <row r="113">
          <cell r="H113" t="str">
            <v>JOSE DE EGIPTOV</v>
          </cell>
          <cell r="I113">
            <v>2.62</v>
          </cell>
        </row>
        <row r="114">
          <cell r="H114" t="str">
            <v>JOSE DE EGIPTOV</v>
          </cell>
          <cell r="I114">
            <v>2.62</v>
          </cell>
        </row>
        <row r="115">
          <cell r="H115" t="str">
            <v>LA CULTURA ENTRETENIDAD</v>
          </cell>
          <cell r="I115">
            <v>1.22</v>
          </cell>
        </row>
        <row r="116">
          <cell r="H116" t="str">
            <v>LA CULTURA ENTRETENIDAD</v>
          </cell>
          <cell r="I116">
            <v>1.22</v>
          </cell>
        </row>
        <row r="117">
          <cell r="H117" t="str">
            <v>MEDIA NOCHELMWJV</v>
          </cell>
          <cell r="I117">
            <v>1.65</v>
          </cell>
        </row>
        <row r="118">
          <cell r="H118" t="str">
            <v>MEDIA NOCHEJ</v>
          </cell>
          <cell r="I118">
            <v>2.15</v>
          </cell>
        </row>
        <row r="119">
          <cell r="H119" t="str">
            <v>MEDIA NOCHEM</v>
          </cell>
          <cell r="I119">
            <v>1.89</v>
          </cell>
        </row>
        <row r="120">
          <cell r="H120" t="str">
            <v>MEDIA NOCHEL</v>
          </cell>
          <cell r="I120">
            <v>1.86</v>
          </cell>
        </row>
        <row r="121">
          <cell r="H121" t="str">
            <v>MEDIA NOCHEW</v>
          </cell>
          <cell r="I121">
            <v>1.31</v>
          </cell>
        </row>
        <row r="122">
          <cell r="H122" t="str">
            <v>MEDIA NOCHEV</v>
          </cell>
          <cell r="I122">
            <v>0.77</v>
          </cell>
        </row>
        <row r="123">
          <cell r="H123" t="str">
            <v>MELO Y ASTORGAS</v>
          </cell>
          <cell r="I123">
            <v>1.1200000000000001</v>
          </cell>
        </row>
        <row r="124">
          <cell r="H124" t="str">
            <v>MELO Y ASTORGAS</v>
          </cell>
          <cell r="I124">
            <v>1.1200000000000001</v>
          </cell>
        </row>
        <row r="125">
          <cell r="H125" t="str">
            <v>MIRADA ECONOMICAD</v>
          </cell>
          <cell r="I125">
            <v>0.28999999999999998</v>
          </cell>
        </row>
        <row r="126">
          <cell r="H126" t="str">
            <v>MIRADA ECONOMICAD</v>
          </cell>
          <cell r="I126">
            <v>0.28999999999999998</v>
          </cell>
        </row>
        <row r="127">
          <cell r="H127" t="str">
            <v>MOISES LOS 10 MANDAMIENTOSLMWJD</v>
          </cell>
          <cell r="I127">
            <v>6.05</v>
          </cell>
        </row>
        <row r="128">
          <cell r="H128" t="str">
            <v>MOISES LOS 10 MANDAMIENTOSD</v>
          </cell>
          <cell r="I128">
            <v>6.4</v>
          </cell>
        </row>
        <row r="129">
          <cell r="H129" t="str">
            <v>MOISES LOS 10 MANDAMIENTOSL</v>
          </cell>
          <cell r="I129">
            <v>6.4</v>
          </cell>
        </row>
        <row r="130">
          <cell r="H130" t="str">
            <v>MOISES LOS 10 MANDAMIENTOSW</v>
          </cell>
          <cell r="I130">
            <v>6.03</v>
          </cell>
        </row>
        <row r="131">
          <cell r="H131" t="str">
            <v>MOISES LOS 10 MANDAMIENTOSJ</v>
          </cell>
          <cell r="I131">
            <v>5.87</v>
          </cell>
        </row>
        <row r="132">
          <cell r="H132" t="str">
            <v>MOISES LOS 10 MANDAMIENTOSM</v>
          </cell>
          <cell r="I132">
            <v>5.62</v>
          </cell>
        </row>
        <row r="133">
          <cell r="H133" t="str">
            <v>MOISES LOS 10 MANDAMIENTOS (RELMWJSD</v>
          </cell>
          <cell r="I133">
            <v>2.9</v>
          </cell>
        </row>
        <row r="134">
          <cell r="H134" t="str">
            <v>MOISES LOS 10 MANDAMIENTOS (RED</v>
          </cell>
          <cell r="I134">
            <v>5.39</v>
          </cell>
        </row>
        <row r="135">
          <cell r="H135" t="str">
            <v>MOISES LOS 10 MANDAMIENTOS (REL</v>
          </cell>
          <cell r="I135">
            <v>5.31</v>
          </cell>
        </row>
        <row r="136">
          <cell r="H136" t="str">
            <v>MOISES LOS 10 MANDAMIENTOS (REW</v>
          </cell>
          <cell r="I136">
            <v>4.8</v>
          </cell>
        </row>
        <row r="137">
          <cell r="H137" t="str">
            <v>MOISES LOS 10 MANDAMIENTOS (REM</v>
          </cell>
          <cell r="I137">
            <v>4.5599999999999996</v>
          </cell>
        </row>
        <row r="138">
          <cell r="H138" t="str">
            <v>MOISES LOS 10 MANDAMIENTOS (REJ</v>
          </cell>
          <cell r="I138">
            <v>3.65</v>
          </cell>
        </row>
        <row r="139">
          <cell r="H139" t="str">
            <v>MOISES LOS 10 MANDAMIENTOS (RES</v>
          </cell>
          <cell r="I139">
            <v>1</v>
          </cell>
        </row>
        <row r="140">
          <cell r="H140" t="str">
            <v>NOTICREOS</v>
          </cell>
          <cell r="I140">
            <v>0.53</v>
          </cell>
        </row>
        <row r="141">
          <cell r="H141" t="str">
            <v>NOTICREOS</v>
          </cell>
          <cell r="I141">
            <v>0.53</v>
          </cell>
        </row>
        <row r="142">
          <cell r="H142" t="str">
            <v>NUESTRO SIGLOS</v>
          </cell>
          <cell r="I142">
            <v>1.51</v>
          </cell>
        </row>
        <row r="143">
          <cell r="H143" t="str">
            <v>NUESTRO SIGLOS</v>
          </cell>
          <cell r="I143">
            <v>1.51</v>
          </cell>
        </row>
        <row r="144">
          <cell r="H144" t="str">
            <v>PELICULA INFANTILS</v>
          </cell>
          <cell r="I144">
            <v>0.45</v>
          </cell>
        </row>
        <row r="145">
          <cell r="H145" t="str">
            <v>PELICULA INFANTILS</v>
          </cell>
          <cell r="I145">
            <v>0.45</v>
          </cell>
        </row>
        <row r="146">
          <cell r="H146" t="str">
            <v>PELOTON LA HISTORIA DEL HONORW</v>
          </cell>
          <cell r="I146">
            <v>1.03</v>
          </cell>
        </row>
        <row r="147">
          <cell r="H147" t="str">
            <v>PELOTON LA HISTORIA DEL HONORW</v>
          </cell>
          <cell r="I147">
            <v>1.03</v>
          </cell>
        </row>
        <row r="148">
          <cell r="H148" t="str">
            <v>PEPPA LA CERDITAS</v>
          </cell>
          <cell r="I148">
            <v>0.48</v>
          </cell>
        </row>
        <row r="149">
          <cell r="H149" t="str">
            <v>PEPPA LA CERDITAS</v>
          </cell>
          <cell r="I149">
            <v>0.48</v>
          </cell>
        </row>
        <row r="150">
          <cell r="H150" t="str">
            <v>PODIOD</v>
          </cell>
          <cell r="I150">
            <v>0.8</v>
          </cell>
        </row>
        <row r="151">
          <cell r="H151" t="str">
            <v>PODIOD</v>
          </cell>
          <cell r="I151">
            <v>0.8</v>
          </cell>
        </row>
        <row r="152">
          <cell r="H152" t="str">
            <v>POR FIN SOLOSLD</v>
          </cell>
          <cell r="I152">
            <v>2.0699999999999998</v>
          </cell>
        </row>
        <row r="153">
          <cell r="H153" t="str">
            <v>POR FIN SOLOSD</v>
          </cell>
          <cell r="I153">
            <v>2.2400000000000002</v>
          </cell>
        </row>
        <row r="154">
          <cell r="H154" t="str">
            <v>POR FIN SOLOSL</v>
          </cell>
          <cell r="I154">
            <v>1.96</v>
          </cell>
        </row>
        <row r="155">
          <cell r="H155" t="str">
            <v>POR FIN SOLOS (R)V</v>
          </cell>
          <cell r="I155">
            <v>1.76</v>
          </cell>
        </row>
        <row r="156">
          <cell r="H156" t="str">
            <v>POR FIN SOLOS (R)V</v>
          </cell>
          <cell r="I156">
            <v>1.76</v>
          </cell>
        </row>
        <row r="157">
          <cell r="H157" t="str">
            <v>POR FIN SOLOS (RESUMEN)L</v>
          </cell>
          <cell r="I157">
            <v>1.97</v>
          </cell>
        </row>
        <row r="158">
          <cell r="H158" t="str">
            <v>POR FIN SOLOS (RESUMEN)L</v>
          </cell>
          <cell r="I158">
            <v>1.97</v>
          </cell>
        </row>
        <row r="159">
          <cell r="H159" t="str">
            <v>PURO CHILEV</v>
          </cell>
          <cell r="I159">
            <v>1.1200000000000001</v>
          </cell>
        </row>
        <row r="160">
          <cell r="H160" t="str">
            <v>PURO CHILEV</v>
          </cell>
          <cell r="I160">
            <v>1.1200000000000001</v>
          </cell>
        </row>
        <row r="161">
          <cell r="H161" t="str">
            <v>PURO CHILE (R)D</v>
          </cell>
          <cell r="I161">
            <v>0.54</v>
          </cell>
        </row>
        <row r="162">
          <cell r="H162" t="str">
            <v>PURO CHILE (R)D</v>
          </cell>
          <cell r="I162">
            <v>0.54</v>
          </cell>
        </row>
        <row r="163">
          <cell r="H163" t="str">
            <v>ROMANE (R)LMWJV</v>
          </cell>
          <cell r="I163">
            <v>1.31</v>
          </cell>
        </row>
        <row r="164">
          <cell r="H164" t="str">
            <v>ROMANE (R)M</v>
          </cell>
          <cell r="I164">
            <v>1.59</v>
          </cell>
        </row>
        <row r="165">
          <cell r="H165" t="str">
            <v>ROMANE (R)L</v>
          </cell>
          <cell r="I165">
            <v>1.28</v>
          </cell>
        </row>
        <row r="166">
          <cell r="H166" t="str">
            <v>ROMANE (R)W</v>
          </cell>
          <cell r="I166">
            <v>1.27</v>
          </cell>
        </row>
        <row r="167">
          <cell r="H167" t="str">
            <v>ROMANE (R)J</v>
          </cell>
          <cell r="I167">
            <v>1.1599999999999999</v>
          </cell>
        </row>
        <row r="168">
          <cell r="H168" t="str">
            <v>ROMANE (R)V</v>
          </cell>
          <cell r="I168">
            <v>1.1499999999999999</v>
          </cell>
        </row>
        <row r="169">
          <cell r="H169" t="str">
            <v>SABADO DE K OS</v>
          </cell>
          <cell r="I169">
            <v>2.2200000000000002</v>
          </cell>
        </row>
        <row r="170">
          <cell r="H170" t="str">
            <v>SABADO DE K OS</v>
          </cell>
          <cell r="I170">
            <v>2.2200000000000002</v>
          </cell>
        </row>
        <row r="171">
          <cell r="H171" t="str">
            <v>SEMANA SANTAV</v>
          </cell>
          <cell r="I171">
            <v>3.14</v>
          </cell>
        </row>
        <row r="172">
          <cell r="H172" t="str">
            <v>SEMANA SANTAV</v>
          </cell>
          <cell r="I172">
            <v>3.14</v>
          </cell>
        </row>
        <row r="173">
          <cell r="H173" t="str">
            <v>SESIONES 24D</v>
          </cell>
          <cell r="I173">
            <v>0.11</v>
          </cell>
        </row>
        <row r="174">
          <cell r="H174" t="str">
            <v>SESIONES 24D</v>
          </cell>
          <cell r="I174">
            <v>0.11</v>
          </cell>
        </row>
        <row r="175">
          <cell r="H175" t="str">
            <v>SUPER CINES</v>
          </cell>
          <cell r="I175">
            <v>0.54</v>
          </cell>
        </row>
        <row r="176">
          <cell r="H176" t="str">
            <v>SUPER CINES</v>
          </cell>
          <cell r="I176">
            <v>0.54</v>
          </cell>
        </row>
        <row r="177">
          <cell r="H177" t="str">
            <v>TU MANANA 24 HORASLMWJV</v>
          </cell>
          <cell r="I177">
            <v>1.4</v>
          </cell>
        </row>
        <row r="178">
          <cell r="H178" t="str">
            <v>TU MANANA 24 HORASW</v>
          </cell>
          <cell r="I178">
            <v>1.59</v>
          </cell>
        </row>
        <row r="179">
          <cell r="H179" t="str">
            <v>TU MANANA 24 HORASL</v>
          </cell>
          <cell r="I179">
            <v>1.5</v>
          </cell>
        </row>
        <row r="180">
          <cell r="H180" t="str">
            <v>TU MANANA 24 HORASJ</v>
          </cell>
          <cell r="I180">
            <v>1.48</v>
          </cell>
        </row>
        <row r="181">
          <cell r="H181" t="str">
            <v>TU MANANA 24 HORASV</v>
          </cell>
          <cell r="I181">
            <v>1.32</v>
          </cell>
        </row>
        <row r="182">
          <cell r="H182" t="str">
            <v>TU MANANA 24 HORASM</v>
          </cell>
          <cell r="I182">
            <v>1.1399999999999999</v>
          </cell>
        </row>
        <row r="183">
          <cell r="H183" t="str">
            <v>TV TIEMPOLMWJVSD</v>
          </cell>
          <cell r="I183">
            <v>4.05</v>
          </cell>
        </row>
        <row r="184">
          <cell r="H184" t="str">
            <v>TV TIEMPOD</v>
          </cell>
          <cell r="I184">
            <v>4.8499999999999996</v>
          </cell>
        </row>
        <row r="185">
          <cell r="H185" t="str">
            <v>TV TIEMPOJ</v>
          </cell>
          <cell r="I185">
            <v>4.49</v>
          </cell>
        </row>
        <row r="186">
          <cell r="H186" t="str">
            <v>TV TIEMPOM</v>
          </cell>
          <cell r="I186">
            <v>4.49</v>
          </cell>
        </row>
        <row r="187">
          <cell r="H187" t="str">
            <v>TV TIEMPOL</v>
          </cell>
          <cell r="I187">
            <v>4.3</v>
          </cell>
        </row>
        <row r="188">
          <cell r="H188" t="str">
            <v>TV TIEMPOW</v>
          </cell>
          <cell r="I188">
            <v>4.16</v>
          </cell>
        </row>
        <row r="189">
          <cell r="H189" t="str">
            <v>TV TIEMPOV</v>
          </cell>
          <cell r="I189">
            <v>2.87</v>
          </cell>
        </row>
        <row r="190">
          <cell r="H190" t="str">
            <v>TV TIEMPOS</v>
          </cell>
          <cell r="I190">
            <v>2.5</v>
          </cell>
        </row>
        <row r="191">
          <cell r="H191" t="str">
            <v>VIRALM</v>
          </cell>
          <cell r="I191">
            <v>2.91</v>
          </cell>
        </row>
        <row r="192">
          <cell r="H192" t="str">
            <v>VIRALM</v>
          </cell>
          <cell r="I192">
            <v>2.91</v>
          </cell>
        </row>
        <row r="193">
          <cell r="H193" t="str">
            <v>MATRIARCASLMWJV</v>
          </cell>
          <cell r="I193">
            <v>1.7</v>
          </cell>
        </row>
        <row r="194">
          <cell r="H194" t="str">
            <v>HUMOR EN FESTIVAL DE OLMUE (LOJ</v>
          </cell>
          <cell r="I194">
            <v>3.4</v>
          </cell>
        </row>
        <row r="196">
          <cell r="H196" t="str">
            <v>MOISES LOS 10 MANDAMIENTOSLMWJ</v>
          </cell>
          <cell r="I196">
            <v>5.98</v>
          </cell>
        </row>
        <row r="197">
          <cell r="H197" t="str">
            <v>24 HORAS CENTRALLMWJV</v>
          </cell>
          <cell r="I197">
            <v>3.1719999999999997</v>
          </cell>
        </row>
        <row r="198">
          <cell r="H198" t="str">
            <v>24 HORAS AL DIALMWJV</v>
          </cell>
          <cell r="I198">
            <v>1.7899999999999998</v>
          </cell>
        </row>
      </sheetData>
      <sheetData sheetId="16">
        <row r="3">
          <cell r="H3" t="str">
            <v>MOISES LOS 10 MANDAMIENTOSLMWJD</v>
          </cell>
          <cell r="I3">
            <v>7.18</v>
          </cell>
        </row>
        <row r="4">
          <cell r="H4" t="str">
            <v>MOISES LOS 10 MANDAMIENTOSD</v>
          </cell>
          <cell r="I4">
            <v>7.81</v>
          </cell>
        </row>
        <row r="5">
          <cell r="H5" t="str">
            <v>MOISES LOS 10 MANDAMIENTOSL</v>
          </cell>
          <cell r="I5">
            <v>7.49</v>
          </cell>
        </row>
        <row r="6">
          <cell r="H6" t="str">
            <v>MOISES LOS 10 MANDAMIENTOSW</v>
          </cell>
          <cell r="I6">
            <v>7.09</v>
          </cell>
        </row>
        <row r="7">
          <cell r="H7" t="str">
            <v>MOISES LOS 10 MANDAMIENTOSJ</v>
          </cell>
          <cell r="I7">
            <v>7</v>
          </cell>
        </row>
        <row r="8">
          <cell r="H8" t="str">
            <v>MOISES LOS 10 MANDAMIENTOSM</v>
          </cell>
          <cell r="I8">
            <v>6.64</v>
          </cell>
        </row>
        <row r="9">
          <cell r="H9" t="str">
            <v>TV TIEMPOLMWJVSD</v>
          </cell>
          <cell r="I9">
            <v>4.8600000000000003</v>
          </cell>
        </row>
        <row r="10">
          <cell r="H10" t="str">
            <v>TV TIEMPOD</v>
          </cell>
          <cell r="I10">
            <v>5.67</v>
          </cell>
        </row>
        <row r="11">
          <cell r="H11" t="str">
            <v>TV TIEMPOW</v>
          </cell>
          <cell r="I11">
            <v>5.56</v>
          </cell>
        </row>
        <row r="12">
          <cell r="H12" t="str">
            <v>TV TIEMPOJ</v>
          </cell>
          <cell r="I12">
            <v>5.27</v>
          </cell>
        </row>
        <row r="13">
          <cell r="H13" t="str">
            <v>TV TIEMPOM</v>
          </cell>
          <cell r="I13">
            <v>5.24</v>
          </cell>
        </row>
        <row r="14">
          <cell r="H14" t="str">
            <v>TV TIEMPOL</v>
          </cell>
          <cell r="I14">
            <v>4.67</v>
          </cell>
        </row>
        <row r="15">
          <cell r="H15" t="str">
            <v>TV TIEMPOV</v>
          </cell>
          <cell r="I15">
            <v>3.78</v>
          </cell>
        </row>
        <row r="16">
          <cell r="H16" t="str">
            <v>TV TIEMPOS</v>
          </cell>
          <cell r="I16">
            <v>2.9</v>
          </cell>
        </row>
        <row r="17">
          <cell r="H17" t="str">
            <v>24 HORAS DOMINGOD</v>
          </cell>
          <cell r="I17">
            <v>4.46</v>
          </cell>
        </row>
        <row r="18">
          <cell r="H18" t="str">
            <v>24 HORAS DOMINGOD</v>
          </cell>
          <cell r="I18">
            <v>4.46</v>
          </cell>
        </row>
        <row r="19">
          <cell r="H19" t="str">
            <v>HISTORIA DE UN OSOS</v>
          </cell>
          <cell r="I19">
            <v>4.22</v>
          </cell>
        </row>
        <row r="20">
          <cell r="H20" t="str">
            <v>HISTORIA DE UN OSOS</v>
          </cell>
          <cell r="I20">
            <v>4.22</v>
          </cell>
        </row>
        <row r="21">
          <cell r="H21" t="str">
            <v>45 ANOS DE UN COCOJ</v>
          </cell>
          <cell r="I21">
            <v>4.1500000000000004</v>
          </cell>
        </row>
        <row r="22">
          <cell r="H22" t="str">
            <v>45 ANOS DE UN COCOJ</v>
          </cell>
          <cell r="I22">
            <v>4.1500000000000004</v>
          </cell>
        </row>
        <row r="23">
          <cell r="H23" t="str">
            <v>MOISES LOS 10 MANDAMIENTOS (RELMWJSD</v>
          </cell>
          <cell r="I23">
            <v>3.64</v>
          </cell>
        </row>
        <row r="24">
          <cell r="H24" t="str">
            <v>MOISES LOS 10 MANDAMIENTOS (RED</v>
          </cell>
          <cell r="I24">
            <v>6.79</v>
          </cell>
        </row>
        <row r="25">
          <cell r="H25" t="str">
            <v>MOISES LOS 10 MANDAMIENTOS (REW</v>
          </cell>
          <cell r="I25">
            <v>6.01</v>
          </cell>
        </row>
        <row r="26">
          <cell r="H26" t="str">
            <v>MOISES LOS 10 MANDAMIENTOS (REL</v>
          </cell>
          <cell r="I26">
            <v>5.94</v>
          </cell>
        </row>
        <row r="27">
          <cell r="H27" t="str">
            <v>MOISES LOS 10 MANDAMIENTOS (REM</v>
          </cell>
          <cell r="I27">
            <v>5.53</v>
          </cell>
        </row>
        <row r="28">
          <cell r="H28" t="str">
            <v>MOISES LOS 10 MANDAMIENTOS (REJ</v>
          </cell>
          <cell r="I28">
            <v>4.5999999999999996</v>
          </cell>
        </row>
        <row r="29">
          <cell r="H29" t="str">
            <v>MOISES LOS 10 MANDAMIENTOS (RES</v>
          </cell>
          <cell r="I29">
            <v>1.43</v>
          </cell>
        </row>
        <row r="30">
          <cell r="H30" t="str">
            <v>24 HORAS CENTRALLMWJVS</v>
          </cell>
          <cell r="I30">
            <v>3.53</v>
          </cell>
        </row>
        <row r="31">
          <cell r="H31" t="str">
            <v>24 HORAS CENTRALV</v>
          </cell>
          <cell r="I31">
            <v>3.99</v>
          </cell>
        </row>
        <row r="32">
          <cell r="H32" t="str">
            <v>24 HORAS CENTRALW</v>
          </cell>
          <cell r="I32">
            <v>3.79</v>
          </cell>
        </row>
        <row r="33">
          <cell r="H33" t="str">
            <v>24 HORAS CENTRALL</v>
          </cell>
          <cell r="I33">
            <v>3.73</v>
          </cell>
        </row>
        <row r="34">
          <cell r="H34" t="str">
            <v>24 HORAS CENTRALJ</v>
          </cell>
          <cell r="I34">
            <v>3.66</v>
          </cell>
        </row>
        <row r="35">
          <cell r="H35" t="str">
            <v>24 HORAS CENTRALM</v>
          </cell>
          <cell r="I35">
            <v>3.4</v>
          </cell>
        </row>
        <row r="36">
          <cell r="H36" t="str">
            <v>24 HORAS CENTRALS</v>
          </cell>
          <cell r="I36">
            <v>2.4700000000000002</v>
          </cell>
        </row>
        <row r="37">
          <cell r="H37" t="str">
            <v>VIRALM</v>
          </cell>
          <cell r="I37">
            <v>3.26</v>
          </cell>
        </row>
        <row r="38">
          <cell r="H38" t="str">
            <v>VIRALM</v>
          </cell>
          <cell r="I38">
            <v>3.26</v>
          </cell>
        </row>
        <row r="39">
          <cell r="H39" t="str">
            <v>SEMANA SANTAV</v>
          </cell>
          <cell r="I39">
            <v>3.14</v>
          </cell>
        </row>
        <row r="40">
          <cell r="H40" t="str">
            <v>SEMANA SANTAV</v>
          </cell>
          <cell r="I40">
            <v>3.14</v>
          </cell>
        </row>
        <row r="41">
          <cell r="H41" t="str">
            <v>JOSE DE EGIPTOV</v>
          </cell>
          <cell r="I41">
            <v>2.89</v>
          </cell>
        </row>
        <row r="42">
          <cell r="H42" t="str">
            <v>JOSE DE EGIPTOV</v>
          </cell>
          <cell r="I42">
            <v>2.89</v>
          </cell>
        </row>
        <row r="43">
          <cell r="H43" t="str">
            <v>POR FIN SOLOSLD</v>
          </cell>
          <cell r="I43">
            <v>2.77</v>
          </cell>
        </row>
        <row r="44">
          <cell r="H44" t="str">
            <v>POR FIN SOLOSD</v>
          </cell>
          <cell r="I44">
            <v>3.28</v>
          </cell>
        </row>
        <row r="45">
          <cell r="H45" t="str">
            <v>POR FIN SOLOSL</v>
          </cell>
          <cell r="I45">
            <v>2.44</v>
          </cell>
        </row>
        <row r="46">
          <cell r="H46" t="str">
            <v>SABADO DE K OS</v>
          </cell>
          <cell r="I46">
            <v>2.7</v>
          </cell>
        </row>
        <row r="47">
          <cell r="H47" t="str">
            <v>SABADO DE K OS</v>
          </cell>
          <cell r="I47">
            <v>2.7</v>
          </cell>
        </row>
        <row r="48">
          <cell r="H48" t="str">
            <v>POR FIN SOLOS (RESUMEN)L</v>
          </cell>
          <cell r="I48">
            <v>2.35</v>
          </cell>
        </row>
        <row r="49">
          <cell r="H49" t="str">
            <v>POR FIN SOLOS (RESUMEN)L</v>
          </cell>
          <cell r="I49">
            <v>2.35</v>
          </cell>
        </row>
        <row r="50">
          <cell r="H50" t="str">
            <v>DESTILANDO AMORLMWJV</v>
          </cell>
          <cell r="I50">
            <v>2.33</v>
          </cell>
        </row>
        <row r="51">
          <cell r="H51" t="str">
            <v>DESTILANDO AMORL</v>
          </cell>
          <cell r="I51">
            <v>2.72</v>
          </cell>
        </row>
        <row r="52">
          <cell r="H52" t="str">
            <v>DESTILANDO AMORM</v>
          </cell>
          <cell r="I52">
            <v>2.66</v>
          </cell>
        </row>
        <row r="53">
          <cell r="H53" t="str">
            <v>DESTILANDO AMORW</v>
          </cell>
          <cell r="I53">
            <v>2.38</v>
          </cell>
        </row>
        <row r="54">
          <cell r="H54" t="str">
            <v>DESTILANDO AMORV</v>
          </cell>
          <cell r="I54">
            <v>1.97</v>
          </cell>
        </row>
        <row r="55">
          <cell r="H55" t="str">
            <v>DESTILANDO AMORJ</v>
          </cell>
          <cell r="I55">
            <v>1.9</v>
          </cell>
        </row>
        <row r="56">
          <cell r="H56" t="str">
            <v>HABITANTES DEL PACIFICO (R)D</v>
          </cell>
          <cell r="I56">
            <v>2.11</v>
          </cell>
        </row>
        <row r="57">
          <cell r="H57" t="str">
            <v>HABITANTES DEL PACIFICO (R)D</v>
          </cell>
          <cell r="I57">
            <v>2.11</v>
          </cell>
        </row>
        <row r="58">
          <cell r="H58" t="str">
            <v>EL SECRETO DE PUENTE VIEJOLMWJV</v>
          </cell>
          <cell r="I58">
            <v>2.1</v>
          </cell>
        </row>
        <row r="59">
          <cell r="H59" t="str">
            <v>EL SECRETO DE PUENTE VIEJOW</v>
          </cell>
          <cell r="I59">
            <v>2.2799999999999998</v>
          </cell>
        </row>
        <row r="60">
          <cell r="H60" t="str">
            <v>EL SECRETO DE PUENTE VIEJOM</v>
          </cell>
          <cell r="I60">
            <v>2.2400000000000002</v>
          </cell>
        </row>
        <row r="61">
          <cell r="H61" t="str">
            <v>EL SECRETO DE PUENTE VIEJOV</v>
          </cell>
          <cell r="I61">
            <v>2.11</v>
          </cell>
        </row>
        <row r="62">
          <cell r="H62" t="str">
            <v>EL SECRETO DE PUENTE VIEJOL</v>
          </cell>
          <cell r="I62">
            <v>1.91</v>
          </cell>
        </row>
        <row r="63">
          <cell r="H63" t="str">
            <v>EL SECRETO DE PUENTE VIEJOJ</v>
          </cell>
          <cell r="I63">
            <v>1.89</v>
          </cell>
        </row>
        <row r="64">
          <cell r="H64" t="str">
            <v>CHILE CONECTADO (R)D</v>
          </cell>
          <cell r="I64">
            <v>2.08</v>
          </cell>
        </row>
        <row r="65">
          <cell r="H65" t="str">
            <v>CHILE CONECTADO (R)D</v>
          </cell>
          <cell r="I65">
            <v>2.08</v>
          </cell>
        </row>
        <row r="66">
          <cell r="H66" t="str">
            <v>ESA NO SOY YOLMWJV</v>
          </cell>
          <cell r="I66">
            <v>2.06</v>
          </cell>
        </row>
        <row r="67">
          <cell r="H67" t="str">
            <v>ESA NO SOY YOM</v>
          </cell>
          <cell r="I67">
            <v>2.38</v>
          </cell>
        </row>
        <row r="68">
          <cell r="H68" t="str">
            <v>ESA NO SOY YOL</v>
          </cell>
          <cell r="I68">
            <v>2.0699999999999998</v>
          </cell>
        </row>
        <row r="69">
          <cell r="H69" t="str">
            <v>ESA NO SOY YOW</v>
          </cell>
          <cell r="I69">
            <v>2.04</v>
          </cell>
        </row>
        <row r="70">
          <cell r="H70" t="str">
            <v>ESA NO SOY YOV</v>
          </cell>
          <cell r="I70">
            <v>2.0299999999999998</v>
          </cell>
        </row>
        <row r="71">
          <cell r="H71" t="str">
            <v>ESA NO SOY YOJ</v>
          </cell>
          <cell r="I71">
            <v>1.71</v>
          </cell>
        </row>
        <row r="72">
          <cell r="H72" t="str">
            <v>FRUTOS DEL PAIS (R)D</v>
          </cell>
          <cell r="I72">
            <v>2</v>
          </cell>
        </row>
        <row r="73">
          <cell r="H73" t="str">
            <v>FRUTOS DEL PAIS (R)D</v>
          </cell>
          <cell r="I73">
            <v>2</v>
          </cell>
        </row>
        <row r="74">
          <cell r="H74" t="str">
            <v>24 HORAS AL DIALMWJVSD</v>
          </cell>
          <cell r="I74">
            <v>1.99</v>
          </cell>
        </row>
        <row r="75">
          <cell r="H75" t="str">
            <v>24 HORAS AL DIAL</v>
          </cell>
          <cell r="I75">
            <v>2.64</v>
          </cell>
        </row>
        <row r="76">
          <cell r="H76" t="str">
            <v>24 HORAS AL DIAM</v>
          </cell>
          <cell r="I76">
            <v>2.2999999999999998</v>
          </cell>
        </row>
        <row r="77">
          <cell r="H77" t="str">
            <v>24 HORAS AL DIAV</v>
          </cell>
          <cell r="I77">
            <v>2.2200000000000002</v>
          </cell>
        </row>
        <row r="78">
          <cell r="H78" t="str">
            <v>24 HORAS AL DIAJ</v>
          </cell>
          <cell r="I78">
            <v>2.16</v>
          </cell>
        </row>
        <row r="79">
          <cell r="H79" t="str">
            <v>24 HORAS AL DIAW</v>
          </cell>
          <cell r="I79">
            <v>2.0299999999999998</v>
          </cell>
        </row>
        <row r="80">
          <cell r="H80" t="str">
            <v>24 HORAS AL DIAS</v>
          </cell>
          <cell r="I80">
            <v>1.54</v>
          </cell>
        </row>
        <row r="81">
          <cell r="H81" t="str">
            <v>24 HORAS AL DIAD</v>
          </cell>
          <cell r="I81">
            <v>1.2</v>
          </cell>
        </row>
        <row r="82">
          <cell r="H82" t="str">
            <v>FRUTOS DEL PAISD</v>
          </cell>
          <cell r="I82">
            <v>1.96</v>
          </cell>
        </row>
        <row r="83">
          <cell r="H83" t="str">
            <v>FRUTOS DEL PAISD</v>
          </cell>
          <cell r="I83">
            <v>1.96</v>
          </cell>
        </row>
        <row r="84">
          <cell r="H84" t="str">
            <v>POR FIN SOLOS (R)V</v>
          </cell>
          <cell r="I84">
            <v>1.93</v>
          </cell>
        </row>
        <row r="85">
          <cell r="H85" t="str">
            <v>POR FIN SOLOS (R)V</v>
          </cell>
          <cell r="I85">
            <v>1.93</v>
          </cell>
        </row>
        <row r="86">
          <cell r="H86" t="str">
            <v>4TO MEDIOLW</v>
          </cell>
          <cell r="I86">
            <v>1.79</v>
          </cell>
        </row>
        <row r="87">
          <cell r="H87" t="str">
            <v>4TO MEDIOW</v>
          </cell>
          <cell r="I87">
            <v>1.96</v>
          </cell>
        </row>
        <row r="88">
          <cell r="H88" t="str">
            <v>4TO MEDIOL</v>
          </cell>
          <cell r="I88">
            <v>0.84</v>
          </cell>
        </row>
        <row r="89">
          <cell r="H89" t="str">
            <v>TU MANANA 24 HORASLMWJV</v>
          </cell>
          <cell r="I89">
            <v>1.76</v>
          </cell>
        </row>
        <row r="90">
          <cell r="H90" t="str">
            <v>TU MANANA 24 HORASW</v>
          </cell>
          <cell r="I90">
            <v>2.0099999999999998</v>
          </cell>
        </row>
        <row r="91">
          <cell r="H91" t="str">
            <v>TU MANANA 24 HORASV</v>
          </cell>
          <cell r="I91">
            <v>1.82</v>
          </cell>
        </row>
        <row r="92">
          <cell r="H92" t="str">
            <v>TU MANANA 24 HORASJ</v>
          </cell>
          <cell r="I92">
            <v>1.8</v>
          </cell>
        </row>
        <row r="93">
          <cell r="H93" t="str">
            <v>TU MANANA 24 HORASL</v>
          </cell>
          <cell r="I93">
            <v>1.76</v>
          </cell>
        </row>
        <row r="94">
          <cell r="H94" t="str">
            <v>TU MANANA 24 HORASM</v>
          </cell>
          <cell r="I94">
            <v>1.46</v>
          </cell>
        </row>
        <row r="95">
          <cell r="H95" t="str">
            <v>ROMANE (R)LMWJV</v>
          </cell>
          <cell r="I95">
            <v>1.66</v>
          </cell>
        </row>
        <row r="96">
          <cell r="H96" t="str">
            <v>ROMANE (R)M</v>
          </cell>
          <cell r="I96">
            <v>2.1800000000000002</v>
          </cell>
        </row>
        <row r="97">
          <cell r="H97" t="str">
            <v>ROMANE (R)L</v>
          </cell>
          <cell r="I97">
            <v>1.88</v>
          </cell>
        </row>
        <row r="98">
          <cell r="H98" t="str">
            <v>ROMANE (R)V</v>
          </cell>
          <cell r="I98">
            <v>1.58</v>
          </cell>
        </row>
        <row r="99">
          <cell r="H99" t="str">
            <v>ROMANE (R)J</v>
          </cell>
          <cell r="I99">
            <v>1.51</v>
          </cell>
        </row>
        <row r="100">
          <cell r="H100" t="str">
            <v>ROMANE (R)W</v>
          </cell>
          <cell r="I100">
            <v>1.22</v>
          </cell>
        </row>
        <row r="101">
          <cell r="H101" t="str">
            <v>ESTADO NACIONALD</v>
          </cell>
          <cell r="I101">
            <v>1.64</v>
          </cell>
        </row>
        <row r="102">
          <cell r="H102" t="str">
            <v>ESTADO NACIONALD</v>
          </cell>
          <cell r="I102">
            <v>1.64</v>
          </cell>
        </row>
        <row r="103">
          <cell r="H103" t="str">
            <v>GRANDES PELICULASS</v>
          </cell>
          <cell r="I103">
            <v>1.64</v>
          </cell>
        </row>
        <row r="104">
          <cell r="H104" t="str">
            <v>GRANDES PELICULASS</v>
          </cell>
          <cell r="I104">
            <v>1.64</v>
          </cell>
        </row>
        <row r="105">
          <cell r="H105" t="str">
            <v>ENTRE PROGRAMASLMWJVSD</v>
          </cell>
          <cell r="I105">
            <v>1.63</v>
          </cell>
        </row>
        <row r="106">
          <cell r="H106" t="str">
            <v>ENTRE PROGRAMASM</v>
          </cell>
          <cell r="I106">
            <v>2.68</v>
          </cell>
        </row>
        <row r="107">
          <cell r="H107" t="str">
            <v>ENTRE PROGRAMASJ</v>
          </cell>
          <cell r="I107">
            <v>2.08</v>
          </cell>
        </row>
        <row r="108">
          <cell r="H108" t="str">
            <v>ENTRE PROGRAMASD</v>
          </cell>
          <cell r="I108">
            <v>1.59</v>
          </cell>
        </row>
        <row r="109">
          <cell r="H109" t="str">
            <v>ENTRE PROGRAMASL</v>
          </cell>
          <cell r="I109">
            <v>1.39</v>
          </cell>
        </row>
        <row r="110">
          <cell r="H110" t="str">
            <v>ENTRE PROGRAMASW</v>
          </cell>
          <cell r="I110">
            <v>1.1200000000000001</v>
          </cell>
        </row>
        <row r="111">
          <cell r="H111" t="str">
            <v>ENTRE PROGRAMASS</v>
          </cell>
          <cell r="I111">
            <v>0.99</v>
          </cell>
        </row>
        <row r="112">
          <cell r="H112" t="str">
            <v>ENTRE PROGRAMASV</v>
          </cell>
          <cell r="I112">
            <v>0.59</v>
          </cell>
        </row>
        <row r="113">
          <cell r="H113" t="str">
            <v>MEDIA NOCHELMWJV</v>
          </cell>
          <cell r="I113">
            <v>1.63</v>
          </cell>
        </row>
        <row r="114">
          <cell r="H114" t="str">
            <v>MEDIA NOCHEJ</v>
          </cell>
          <cell r="I114">
            <v>2.4500000000000002</v>
          </cell>
        </row>
        <row r="115">
          <cell r="H115" t="str">
            <v>MEDIA NOCHEM</v>
          </cell>
          <cell r="I115">
            <v>1.95</v>
          </cell>
        </row>
        <row r="116">
          <cell r="H116" t="str">
            <v>MEDIA NOCHEL</v>
          </cell>
          <cell r="I116">
            <v>1.77</v>
          </cell>
        </row>
        <row r="117">
          <cell r="H117" t="str">
            <v>MEDIA NOCHEW</v>
          </cell>
          <cell r="I117">
            <v>1.01</v>
          </cell>
        </row>
        <row r="118">
          <cell r="H118" t="str">
            <v>MEDIA NOCHEV</v>
          </cell>
          <cell r="I118">
            <v>0.79</v>
          </cell>
        </row>
        <row r="119">
          <cell r="H119" t="str">
            <v>ESA NO SOY YO (RESUMEN)LMWJV</v>
          </cell>
          <cell r="I119">
            <v>1.61</v>
          </cell>
        </row>
        <row r="120">
          <cell r="H120" t="str">
            <v>ESA NO SOY YO (RESUMEN)M</v>
          </cell>
          <cell r="I120">
            <v>1.81</v>
          </cell>
        </row>
        <row r="121">
          <cell r="H121" t="str">
            <v>ESA NO SOY YO (RESUMEN)V</v>
          </cell>
          <cell r="I121">
            <v>1.74</v>
          </cell>
        </row>
        <row r="122">
          <cell r="H122" t="str">
            <v>ESA NO SOY YO (RESUMEN)W</v>
          </cell>
          <cell r="I122">
            <v>1.72</v>
          </cell>
        </row>
        <row r="123">
          <cell r="H123" t="str">
            <v>ESA NO SOY YO (RESUMEN)L</v>
          </cell>
          <cell r="I123">
            <v>1.6</v>
          </cell>
        </row>
        <row r="124">
          <cell r="H124" t="str">
            <v>ESA NO SOY YO (RESUMEN)J</v>
          </cell>
          <cell r="I124">
            <v>1.17</v>
          </cell>
        </row>
        <row r="125">
          <cell r="H125" t="str">
            <v>DOCTOR HOUSE (R)LMWJVD</v>
          </cell>
          <cell r="I125">
            <v>1.6</v>
          </cell>
        </row>
        <row r="126">
          <cell r="H126" t="str">
            <v>DOCTOR HOUSE (R)M</v>
          </cell>
          <cell r="I126">
            <v>2.0099999999999998</v>
          </cell>
        </row>
        <row r="127">
          <cell r="H127" t="str">
            <v>DOCTOR HOUSE (R)J</v>
          </cell>
          <cell r="I127">
            <v>1.96</v>
          </cell>
        </row>
        <row r="128">
          <cell r="H128" t="str">
            <v>DOCTOR HOUSE (R)D</v>
          </cell>
          <cell r="I128">
            <v>1.63</v>
          </cell>
        </row>
        <row r="129">
          <cell r="H129" t="str">
            <v>DOCTOR HOUSE (R)L</v>
          </cell>
          <cell r="I129">
            <v>1.47</v>
          </cell>
        </row>
        <row r="130">
          <cell r="H130" t="str">
            <v>DOCTOR HOUSE (R)V</v>
          </cell>
          <cell r="I130">
            <v>1.17</v>
          </cell>
        </row>
        <row r="131">
          <cell r="H131" t="str">
            <v>DOCTOR HOUSE (R)W</v>
          </cell>
          <cell r="I131">
            <v>0.91</v>
          </cell>
        </row>
        <row r="132">
          <cell r="H132" t="str">
            <v>LA CULTURA ENTRETENIDAD</v>
          </cell>
          <cell r="I132">
            <v>1.6</v>
          </cell>
        </row>
        <row r="133">
          <cell r="H133" t="str">
            <v>LA CULTURA ENTRETENIDAD</v>
          </cell>
          <cell r="I133">
            <v>1.6</v>
          </cell>
        </row>
        <row r="134">
          <cell r="H134" t="str">
            <v>MELO Y ASTORGAS</v>
          </cell>
          <cell r="I134">
            <v>1.59</v>
          </cell>
        </row>
        <row r="135">
          <cell r="H135" t="str">
            <v>MELO Y ASTORGAS</v>
          </cell>
          <cell r="I135">
            <v>1.59</v>
          </cell>
        </row>
        <row r="136">
          <cell r="H136" t="str">
            <v>NUESTRO SIGLOS</v>
          </cell>
          <cell r="I136">
            <v>1.59</v>
          </cell>
        </row>
        <row r="137">
          <cell r="H137" t="str">
            <v>NUESTRO SIGLOS</v>
          </cell>
          <cell r="I137">
            <v>1.59</v>
          </cell>
        </row>
        <row r="138">
          <cell r="H138" t="str">
            <v>COPA DAVISVSD</v>
          </cell>
          <cell r="I138">
            <v>1.34</v>
          </cell>
        </row>
        <row r="139">
          <cell r="H139" t="str">
            <v>COPA DAVISS</v>
          </cell>
          <cell r="I139">
            <v>1.59</v>
          </cell>
        </row>
        <row r="140">
          <cell r="H140" t="str">
            <v>COPA DAVISV</v>
          </cell>
          <cell r="I140">
            <v>1.42</v>
          </cell>
        </row>
        <row r="141">
          <cell r="H141" t="str">
            <v>COPA DAVISD</v>
          </cell>
          <cell r="I141">
            <v>0.94</v>
          </cell>
        </row>
        <row r="142">
          <cell r="H142" t="str">
            <v>BUENOS DIAS A TODOS (B)LMWJV</v>
          </cell>
          <cell r="I142">
            <v>1.28</v>
          </cell>
        </row>
        <row r="143">
          <cell r="H143" t="str">
            <v>BUENOS DIAS A TODOS (B)J</v>
          </cell>
          <cell r="I143">
            <v>1.7</v>
          </cell>
        </row>
        <row r="144">
          <cell r="H144" t="str">
            <v>BUENOS DIAS A TODOS (B)M</v>
          </cell>
          <cell r="I144">
            <v>1.43</v>
          </cell>
        </row>
        <row r="145">
          <cell r="H145" t="str">
            <v>BUENOS DIAS A TODOS (B)V</v>
          </cell>
          <cell r="I145">
            <v>1.39</v>
          </cell>
        </row>
        <row r="146">
          <cell r="H146" t="str">
            <v>BUENOS DIAS A TODOS (B)L</v>
          </cell>
          <cell r="I146">
            <v>1.37</v>
          </cell>
        </row>
        <row r="147">
          <cell r="H147" t="str">
            <v>BUENOS DIAS A TODOS (B)W</v>
          </cell>
          <cell r="I147">
            <v>0.74</v>
          </cell>
        </row>
        <row r="148">
          <cell r="H148" t="str">
            <v>BUENOS DIAS A TODOS (A)LMWJV</v>
          </cell>
          <cell r="I148">
            <v>1.25</v>
          </cell>
        </row>
        <row r="149">
          <cell r="H149" t="str">
            <v>BUENOS DIAS A TODOS (A)V</v>
          </cell>
          <cell r="I149">
            <v>2.19</v>
          </cell>
        </row>
        <row r="150">
          <cell r="H150" t="str">
            <v>BUENOS DIAS A TODOS (A)L</v>
          </cell>
          <cell r="I150">
            <v>1.23</v>
          </cell>
        </row>
        <row r="151">
          <cell r="H151" t="str">
            <v>BUENOS DIAS A TODOS (A)W</v>
          </cell>
          <cell r="I151">
            <v>0.94</v>
          </cell>
        </row>
        <row r="152">
          <cell r="H152" t="str">
            <v>BUENOS DIAS A TODOS (A)J</v>
          </cell>
          <cell r="I152">
            <v>0.93</v>
          </cell>
        </row>
        <row r="153">
          <cell r="H153" t="str">
            <v>BUENOS DIAS A TODOS (A)M</v>
          </cell>
          <cell r="I153">
            <v>0.89</v>
          </cell>
        </row>
        <row r="154">
          <cell r="H154" t="str">
            <v>24 HORASD</v>
          </cell>
          <cell r="I154">
            <v>1.2</v>
          </cell>
        </row>
        <row r="155">
          <cell r="H155" t="str">
            <v>24 HORASD</v>
          </cell>
          <cell r="I155">
            <v>1.2</v>
          </cell>
        </row>
        <row r="156">
          <cell r="H156" t="str">
            <v>BEST SELLERVS</v>
          </cell>
          <cell r="I156">
            <v>1.18</v>
          </cell>
        </row>
        <row r="157">
          <cell r="H157" t="str">
            <v>BEST SELLERS</v>
          </cell>
          <cell r="I157">
            <v>1.73</v>
          </cell>
        </row>
        <row r="158">
          <cell r="H158" t="str">
            <v>BEST SELLERV</v>
          </cell>
          <cell r="I158">
            <v>0.93</v>
          </cell>
        </row>
        <row r="159">
          <cell r="H159" t="str">
            <v>PELOTON LA HISTORIA DEL HONORW</v>
          </cell>
          <cell r="I159">
            <v>1.05</v>
          </cell>
        </row>
        <row r="160">
          <cell r="H160" t="str">
            <v>PELOTON LA HISTORIA DEL HONORW</v>
          </cell>
          <cell r="I160">
            <v>1.05</v>
          </cell>
        </row>
        <row r="161">
          <cell r="H161" t="str">
            <v>PURO CHILEV</v>
          </cell>
          <cell r="I161">
            <v>1.01</v>
          </cell>
        </row>
        <row r="162">
          <cell r="H162" t="str">
            <v>PURO CHILEV</v>
          </cell>
          <cell r="I162">
            <v>1.01</v>
          </cell>
        </row>
        <row r="163">
          <cell r="H163" t="str">
            <v>PODIOD</v>
          </cell>
          <cell r="I163">
            <v>0.84</v>
          </cell>
        </row>
        <row r="164">
          <cell r="H164" t="str">
            <v>PODIOD</v>
          </cell>
          <cell r="I164">
            <v>0.84</v>
          </cell>
        </row>
        <row r="165">
          <cell r="H165" t="str">
            <v>BOXEO DE OROS</v>
          </cell>
          <cell r="I165">
            <v>0.8</v>
          </cell>
        </row>
        <row r="166">
          <cell r="H166" t="str">
            <v>BOXEO DE OROS</v>
          </cell>
          <cell r="I166">
            <v>0.8</v>
          </cell>
        </row>
        <row r="167">
          <cell r="H167" t="str">
            <v>SUPER CINES</v>
          </cell>
          <cell r="I167">
            <v>0.77</v>
          </cell>
        </row>
        <row r="168">
          <cell r="H168" t="str">
            <v>SUPER CINES</v>
          </cell>
          <cell r="I168">
            <v>0.77</v>
          </cell>
        </row>
        <row r="169">
          <cell r="H169" t="str">
            <v>CINEV</v>
          </cell>
          <cell r="I169">
            <v>0.71</v>
          </cell>
        </row>
        <row r="170">
          <cell r="H170" t="str">
            <v>CINEV</v>
          </cell>
          <cell r="I170">
            <v>0.71</v>
          </cell>
        </row>
        <row r="171">
          <cell r="H171" t="str">
            <v>PELICULA INFANTILS</v>
          </cell>
          <cell r="I171">
            <v>0.66</v>
          </cell>
        </row>
        <row r="172">
          <cell r="H172" t="str">
            <v>PELICULA INFANTILS</v>
          </cell>
          <cell r="I172">
            <v>0.66</v>
          </cell>
        </row>
        <row r="173">
          <cell r="H173" t="str">
            <v>HORACIO Y LOS PLASTICINESS</v>
          </cell>
          <cell r="I173">
            <v>0.63</v>
          </cell>
        </row>
        <row r="174">
          <cell r="H174" t="str">
            <v>HORACIO Y LOS PLASTICINESS</v>
          </cell>
          <cell r="I174">
            <v>0.63</v>
          </cell>
        </row>
        <row r="175">
          <cell r="H175" t="str">
            <v>NOTICREOS</v>
          </cell>
          <cell r="I175">
            <v>0.57999999999999996</v>
          </cell>
        </row>
        <row r="176">
          <cell r="H176" t="str">
            <v>NOTICREOS</v>
          </cell>
          <cell r="I176">
            <v>0.57999999999999996</v>
          </cell>
        </row>
        <row r="177">
          <cell r="H177" t="str">
            <v>PEPPA LA CERDITAS</v>
          </cell>
          <cell r="I177">
            <v>0.56999999999999995</v>
          </cell>
        </row>
        <row r="178">
          <cell r="H178" t="str">
            <v>PEPPA LA CERDITAS</v>
          </cell>
          <cell r="I178">
            <v>0.56999999999999995</v>
          </cell>
        </row>
        <row r="179">
          <cell r="H179" t="str">
            <v>PURO CHILE (R)D</v>
          </cell>
          <cell r="I179">
            <v>0.52</v>
          </cell>
        </row>
        <row r="180">
          <cell r="H180" t="str">
            <v>PURO CHILE (R)D</v>
          </cell>
          <cell r="I180">
            <v>0.52</v>
          </cell>
        </row>
        <row r="181">
          <cell r="H181" t="str">
            <v>0,243055555555556LMWJD</v>
          </cell>
          <cell r="I181">
            <v>0.49</v>
          </cell>
        </row>
        <row r="182">
          <cell r="H182" t="str">
            <v>0,243055555555556J</v>
          </cell>
          <cell r="I182">
            <v>0.7</v>
          </cell>
        </row>
        <row r="183">
          <cell r="H183" t="str">
            <v>0,243055555555556L</v>
          </cell>
          <cell r="I183">
            <v>0.65</v>
          </cell>
        </row>
        <row r="184">
          <cell r="H184" t="str">
            <v>0,243055555555556M</v>
          </cell>
          <cell r="I184">
            <v>0.55000000000000004</v>
          </cell>
        </row>
        <row r="185">
          <cell r="H185" t="str">
            <v>0,243055555555556W</v>
          </cell>
          <cell r="I185">
            <v>0.44</v>
          </cell>
        </row>
        <row r="186">
          <cell r="H186" t="str">
            <v>0,243055555555556D</v>
          </cell>
          <cell r="I186">
            <v>0.26</v>
          </cell>
        </row>
        <row r="187">
          <cell r="H187" t="str">
            <v>MIRADA ECONOMICAD</v>
          </cell>
          <cell r="I187">
            <v>0.44</v>
          </cell>
        </row>
        <row r="188">
          <cell r="H188" t="str">
            <v>MIRADA ECONOMICAD</v>
          </cell>
          <cell r="I188">
            <v>0.44</v>
          </cell>
        </row>
        <row r="189">
          <cell r="H189" t="str">
            <v>AVANCE 24D</v>
          </cell>
          <cell r="I189">
            <v>0.24</v>
          </cell>
        </row>
        <row r="190">
          <cell r="H190" t="str">
            <v>AVANCE 24D</v>
          </cell>
          <cell r="I190">
            <v>0.24</v>
          </cell>
        </row>
        <row r="191">
          <cell r="H191" t="str">
            <v>SESIONES 24D</v>
          </cell>
          <cell r="I191">
            <v>0.22</v>
          </cell>
        </row>
        <row r="192">
          <cell r="H192" t="str">
            <v>SESIONES 24D</v>
          </cell>
          <cell r="I192">
            <v>0.22</v>
          </cell>
        </row>
        <row r="193">
          <cell r="H193" t="str">
            <v>MATRIARCASLMWJV</v>
          </cell>
          <cell r="I193">
            <v>1.9</v>
          </cell>
        </row>
        <row r="194">
          <cell r="H194" t="str">
            <v>HUMOR EN FESTIVAL DE OLMUE (LOJ</v>
          </cell>
          <cell r="I194">
            <v>2.8</v>
          </cell>
        </row>
        <row r="196">
          <cell r="H196" t="str">
            <v>MOISES LOS 10 MANDAMIENTOSLMWJ</v>
          </cell>
          <cell r="I196">
            <v>7.0549999999999997</v>
          </cell>
        </row>
        <row r="197">
          <cell r="H197" t="str">
            <v>24 HORAS CENTRALLMWJV</v>
          </cell>
          <cell r="I197">
            <v>3.714</v>
          </cell>
        </row>
        <row r="198">
          <cell r="H198" t="str">
            <v>24 HORAS AL DIALMWJV</v>
          </cell>
          <cell r="I198">
            <v>2.27</v>
          </cell>
        </row>
      </sheetData>
      <sheetData sheetId="17">
        <row r="3">
          <cell r="H3" t="str">
            <v>MOISES LOS 10 MANDAMIENTOSLMWJD</v>
          </cell>
          <cell r="I3">
            <v>5.35</v>
          </cell>
        </row>
        <row r="4">
          <cell r="H4" t="str">
            <v>MOISES LOS 10 MANDAMIENTOSD</v>
          </cell>
          <cell r="I4">
            <v>5.77</v>
          </cell>
        </row>
        <row r="5">
          <cell r="H5" t="str">
            <v>MOISES LOS 10 MANDAMIENTOSW</v>
          </cell>
          <cell r="I5">
            <v>5.65</v>
          </cell>
        </row>
        <row r="6">
          <cell r="H6" t="str">
            <v>MOISES LOS 10 MANDAMIENTOSL</v>
          </cell>
          <cell r="I6">
            <v>5.5</v>
          </cell>
        </row>
        <row r="7">
          <cell r="H7" t="str">
            <v>MOISES LOS 10 MANDAMIENTOSJ</v>
          </cell>
          <cell r="I7">
            <v>4.9800000000000004</v>
          </cell>
        </row>
        <row r="8">
          <cell r="H8" t="str">
            <v>MOISES LOS 10 MANDAMIENTOSM</v>
          </cell>
          <cell r="I8">
            <v>4.8099999999999996</v>
          </cell>
        </row>
        <row r="9">
          <cell r="H9" t="str">
            <v>SEMANA SANTAV</v>
          </cell>
          <cell r="I9">
            <v>4.2300000000000004</v>
          </cell>
        </row>
        <row r="10">
          <cell r="H10" t="str">
            <v>SEMANA SANTAV</v>
          </cell>
          <cell r="I10">
            <v>4.2300000000000004</v>
          </cell>
        </row>
        <row r="11">
          <cell r="H11" t="str">
            <v>TV TIEMPOLMWJVSD</v>
          </cell>
          <cell r="I11">
            <v>3.91</v>
          </cell>
        </row>
        <row r="12">
          <cell r="H12" t="str">
            <v>TV TIEMPOD</v>
          </cell>
          <cell r="I12">
            <v>4.46</v>
          </cell>
        </row>
        <row r="13">
          <cell r="H13" t="str">
            <v>TV TIEMPOL</v>
          </cell>
          <cell r="I13">
            <v>4.3099999999999996</v>
          </cell>
        </row>
        <row r="14">
          <cell r="H14" t="str">
            <v>TV TIEMPOM</v>
          </cell>
          <cell r="I14">
            <v>4.29</v>
          </cell>
        </row>
        <row r="15">
          <cell r="H15" t="str">
            <v>TV TIEMPOW</v>
          </cell>
          <cell r="I15">
            <v>4.09</v>
          </cell>
        </row>
        <row r="16">
          <cell r="H16" t="str">
            <v>TV TIEMPOJ</v>
          </cell>
          <cell r="I16">
            <v>3.83</v>
          </cell>
        </row>
        <row r="17">
          <cell r="H17" t="str">
            <v>TV TIEMPOV</v>
          </cell>
          <cell r="I17">
            <v>3.35</v>
          </cell>
        </row>
        <row r="18">
          <cell r="H18" t="str">
            <v>TV TIEMPOS</v>
          </cell>
          <cell r="I18">
            <v>2.5</v>
          </cell>
        </row>
        <row r="19">
          <cell r="H19" t="str">
            <v>45 ANOS DE UN COCOJ</v>
          </cell>
          <cell r="I19">
            <v>3.64</v>
          </cell>
        </row>
        <row r="20">
          <cell r="H20" t="str">
            <v>45 ANOS DE UN COCOJ</v>
          </cell>
          <cell r="I20">
            <v>3.64</v>
          </cell>
        </row>
        <row r="21">
          <cell r="H21" t="str">
            <v>24 HORAS DOMINGOD</v>
          </cell>
          <cell r="I21">
            <v>3.29</v>
          </cell>
        </row>
        <row r="22">
          <cell r="H22" t="str">
            <v>24 HORAS DOMINGOD</v>
          </cell>
          <cell r="I22">
            <v>3.29</v>
          </cell>
        </row>
        <row r="23">
          <cell r="H23" t="str">
            <v>24 HORAS CENTRALLMWJVS</v>
          </cell>
          <cell r="I23">
            <v>3.04</v>
          </cell>
        </row>
        <row r="24">
          <cell r="H24" t="str">
            <v>24 HORAS CENTRALV</v>
          </cell>
          <cell r="I24">
            <v>3.48</v>
          </cell>
        </row>
        <row r="25">
          <cell r="H25" t="str">
            <v>24 HORAS CENTRALL</v>
          </cell>
          <cell r="I25">
            <v>3.18</v>
          </cell>
        </row>
        <row r="26">
          <cell r="H26" t="str">
            <v>24 HORAS CENTRALJ</v>
          </cell>
          <cell r="I26">
            <v>3.13</v>
          </cell>
        </row>
        <row r="27">
          <cell r="H27" t="str">
            <v>24 HORAS CENTRALM</v>
          </cell>
          <cell r="I27">
            <v>3.05</v>
          </cell>
        </row>
        <row r="28">
          <cell r="H28" t="str">
            <v>24 HORAS CENTRALW</v>
          </cell>
          <cell r="I28">
            <v>2.98</v>
          </cell>
        </row>
        <row r="29">
          <cell r="H29" t="str">
            <v>24 HORAS CENTRALS</v>
          </cell>
          <cell r="I29">
            <v>2.4</v>
          </cell>
        </row>
        <row r="30">
          <cell r="H30" t="str">
            <v>HISTORIA DE UN OSOS</v>
          </cell>
          <cell r="I30">
            <v>2.67</v>
          </cell>
        </row>
        <row r="31">
          <cell r="H31" t="str">
            <v>HISTORIA DE UN OSOS</v>
          </cell>
          <cell r="I31">
            <v>2.67</v>
          </cell>
        </row>
        <row r="32">
          <cell r="H32" t="str">
            <v>MOISES LOS 10 MANDAMIENTOS (RELMWJSD</v>
          </cell>
          <cell r="I32">
            <v>2.6</v>
          </cell>
        </row>
        <row r="33">
          <cell r="H33" t="str">
            <v>MOISES LOS 10 MANDAMIENTOS (RED</v>
          </cell>
          <cell r="I33">
            <v>4.87</v>
          </cell>
        </row>
        <row r="34">
          <cell r="H34" t="str">
            <v>MOISES LOS 10 MANDAMIENTOS (REL</v>
          </cell>
          <cell r="I34">
            <v>4.5999999999999996</v>
          </cell>
        </row>
        <row r="35">
          <cell r="H35" t="str">
            <v>MOISES LOS 10 MANDAMIENTOS (REW</v>
          </cell>
          <cell r="I35">
            <v>4.3099999999999996</v>
          </cell>
        </row>
        <row r="36">
          <cell r="H36" t="str">
            <v>MOISES LOS 10 MANDAMIENTOS (REM</v>
          </cell>
          <cell r="I36">
            <v>4.13</v>
          </cell>
        </row>
        <row r="37">
          <cell r="H37" t="str">
            <v>MOISES LOS 10 MANDAMIENTOS (REJ</v>
          </cell>
          <cell r="I37">
            <v>3.05</v>
          </cell>
        </row>
        <row r="38">
          <cell r="H38" t="str">
            <v>MOISES LOS 10 MANDAMIENTOS (RES</v>
          </cell>
          <cell r="I38">
            <v>0.98</v>
          </cell>
        </row>
        <row r="39">
          <cell r="H39" t="str">
            <v>JOSE DE EGIPTOV</v>
          </cell>
          <cell r="I39">
            <v>2.5499999999999998</v>
          </cell>
        </row>
        <row r="40">
          <cell r="H40" t="str">
            <v>JOSE DE EGIPTOV</v>
          </cell>
          <cell r="I40">
            <v>2.5499999999999998</v>
          </cell>
        </row>
        <row r="41">
          <cell r="H41" t="str">
            <v>DESTILANDO AMORLMWJV</v>
          </cell>
          <cell r="I41">
            <v>2.4</v>
          </cell>
        </row>
        <row r="42">
          <cell r="H42" t="str">
            <v>DESTILANDO AMORM</v>
          </cell>
          <cell r="I42">
            <v>2.6</v>
          </cell>
        </row>
        <row r="43">
          <cell r="H43" t="str">
            <v>DESTILANDO AMORL</v>
          </cell>
          <cell r="I43">
            <v>2.41</v>
          </cell>
        </row>
        <row r="44">
          <cell r="H44" t="str">
            <v>DESTILANDO AMORV</v>
          </cell>
          <cell r="I44">
            <v>2.38</v>
          </cell>
        </row>
        <row r="45">
          <cell r="H45" t="str">
            <v>DESTILANDO AMORW</v>
          </cell>
          <cell r="I45">
            <v>2.37</v>
          </cell>
        </row>
        <row r="46">
          <cell r="H46" t="str">
            <v>DESTILANDO AMORJ</v>
          </cell>
          <cell r="I46">
            <v>2.2200000000000002</v>
          </cell>
        </row>
        <row r="47">
          <cell r="H47" t="str">
            <v>VIRALM</v>
          </cell>
          <cell r="I47">
            <v>2.39</v>
          </cell>
        </row>
        <row r="48">
          <cell r="H48" t="str">
            <v>VIRALM</v>
          </cell>
          <cell r="I48">
            <v>2.39</v>
          </cell>
        </row>
        <row r="49">
          <cell r="H49" t="str">
            <v>FRUTOS DEL PAISD</v>
          </cell>
          <cell r="I49">
            <v>2.12</v>
          </cell>
        </row>
        <row r="50">
          <cell r="H50" t="str">
            <v>FRUTOS DEL PAISD</v>
          </cell>
          <cell r="I50">
            <v>2.12</v>
          </cell>
        </row>
        <row r="51">
          <cell r="H51" t="str">
            <v>SABADO DE K OS</v>
          </cell>
          <cell r="I51">
            <v>2.0699999999999998</v>
          </cell>
        </row>
        <row r="52">
          <cell r="H52" t="str">
            <v>SABADO DE K OS</v>
          </cell>
          <cell r="I52">
            <v>2.0699999999999998</v>
          </cell>
        </row>
        <row r="53">
          <cell r="H53" t="str">
            <v>ESA NO SOY YOLMWJV</v>
          </cell>
          <cell r="I53">
            <v>2.06</v>
          </cell>
        </row>
        <row r="54">
          <cell r="H54" t="str">
            <v>ESA NO SOY YOV</v>
          </cell>
          <cell r="I54">
            <v>2.66</v>
          </cell>
        </row>
        <row r="55">
          <cell r="H55" t="str">
            <v>ESA NO SOY YOM</v>
          </cell>
          <cell r="I55">
            <v>2.14</v>
          </cell>
        </row>
        <row r="56">
          <cell r="H56" t="str">
            <v>ESA NO SOY YOW</v>
          </cell>
          <cell r="I56">
            <v>2.0099999999999998</v>
          </cell>
        </row>
        <row r="57">
          <cell r="H57" t="str">
            <v>ESA NO SOY YOL</v>
          </cell>
          <cell r="I57">
            <v>2.0099999999999998</v>
          </cell>
        </row>
        <row r="58">
          <cell r="H58" t="str">
            <v>ESA NO SOY YOJ</v>
          </cell>
          <cell r="I58">
            <v>1.75</v>
          </cell>
        </row>
        <row r="59">
          <cell r="H59" t="str">
            <v>FRUTOS DEL PAIS (R)D</v>
          </cell>
          <cell r="I59">
            <v>1.89</v>
          </cell>
        </row>
        <row r="60">
          <cell r="H60" t="str">
            <v>FRUTOS DEL PAIS (R)D</v>
          </cell>
          <cell r="I60">
            <v>1.89</v>
          </cell>
        </row>
        <row r="61">
          <cell r="H61" t="str">
            <v>CHILE CONECTADO (R)D</v>
          </cell>
          <cell r="I61">
            <v>1.88</v>
          </cell>
        </row>
        <row r="62">
          <cell r="H62" t="str">
            <v>CHILE CONECTADO (R)D</v>
          </cell>
          <cell r="I62">
            <v>1.88</v>
          </cell>
        </row>
        <row r="63">
          <cell r="H63" t="str">
            <v>4TO MEDIOLW</v>
          </cell>
          <cell r="I63">
            <v>1.75</v>
          </cell>
        </row>
        <row r="64">
          <cell r="H64" t="str">
            <v>4TO MEDIOW</v>
          </cell>
          <cell r="I64">
            <v>1.94</v>
          </cell>
        </row>
        <row r="65">
          <cell r="H65" t="str">
            <v>4TO MEDIOL</v>
          </cell>
          <cell r="I65">
            <v>0.69</v>
          </cell>
        </row>
        <row r="66">
          <cell r="H66" t="str">
            <v>HABITANTES DEL PACIFICO (R)D</v>
          </cell>
          <cell r="I66">
            <v>1.71</v>
          </cell>
        </row>
        <row r="67">
          <cell r="H67" t="str">
            <v>HABITANTES DEL PACIFICO (R)D</v>
          </cell>
          <cell r="I67">
            <v>1.71</v>
          </cell>
        </row>
        <row r="68">
          <cell r="H68" t="str">
            <v>POR FIN SOLOSLD</v>
          </cell>
          <cell r="I68">
            <v>1.64</v>
          </cell>
        </row>
        <row r="69">
          <cell r="H69" t="str">
            <v>POR FIN SOLOSD</v>
          </cell>
          <cell r="I69">
            <v>1.83</v>
          </cell>
        </row>
        <row r="70">
          <cell r="H70" t="str">
            <v>POR FIN SOLOSL</v>
          </cell>
          <cell r="I70">
            <v>1.52</v>
          </cell>
        </row>
        <row r="71">
          <cell r="H71" t="str">
            <v>LA CULTURA ENTRETENIDAD</v>
          </cell>
          <cell r="I71">
            <v>1.62</v>
          </cell>
        </row>
        <row r="72">
          <cell r="H72" t="str">
            <v>LA CULTURA ENTRETENIDAD</v>
          </cell>
          <cell r="I72">
            <v>1.62</v>
          </cell>
        </row>
        <row r="73">
          <cell r="H73" t="str">
            <v>TU MANANA 24 HORASLMWJV</v>
          </cell>
          <cell r="I73">
            <v>1.59</v>
          </cell>
        </row>
        <row r="74">
          <cell r="H74" t="str">
            <v>TU MANANA 24 HORASL</v>
          </cell>
          <cell r="I74">
            <v>1.88</v>
          </cell>
        </row>
        <row r="75">
          <cell r="H75" t="str">
            <v>TU MANANA 24 HORASW</v>
          </cell>
          <cell r="I75">
            <v>1.72</v>
          </cell>
        </row>
        <row r="76">
          <cell r="H76" t="str">
            <v>TU MANANA 24 HORASV</v>
          </cell>
          <cell r="I76">
            <v>1.58</v>
          </cell>
        </row>
        <row r="77">
          <cell r="H77" t="str">
            <v>TU MANANA 24 HORASJ</v>
          </cell>
          <cell r="I77">
            <v>1.57</v>
          </cell>
        </row>
        <row r="78">
          <cell r="H78" t="str">
            <v>TU MANANA 24 HORASM</v>
          </cell>
          <cell r="I78">
            <v>1.26</v>
          </cell>
        </row>
        <row r="79">
          <cell r="H79" t="str">
            <v>COPA DAVISVSD</v>
          </cell>
          <cell r="I79">
            <v>1.59</v>
          </cell>
        </row>
        <row r="80">
          <cell r="H80" t="str">
            <v>COPA DAVISS</v>
          </cell>
          <cell r="I80">
            <v>1.91</v>
          </cell>
        </row>
        <row r="81">
          <cell r="H81" t="str">
            <v>COPA DAVISV</v>
          </cell>
          <cell r="I81">
            <v>1.56</v>
          </cell>
        </row>
        <row r="82">
          <cell r="H82" t="str">
            <v>COPA DAVISD</v>
          </cell>
          <cell r="I82">
            <v>1.46</v>
          </cell>
        </row>
        <row r="83">
          <cell r="H83" t="str">
            <v>MEDIA NOCHELMWJV</v>
          </cell>
          <cell r="I83">
            <v>1.56</v>
          </cell>
        </row>
        <row r="84">
          <cell r="H84" t="str">
            <v>MEDIA NOCHEJ</v>
          </cell>
          <cell r="I84">
            <v>1.86</v>
          </cell>
        </row>
        <row r="85">
          <cell r="H85" t="str">
            <v>MEDIA NOCHEW</v>
          </cell>
          <cell r="I85">
            <v>1.65</v>
          </cell>
        </row>
        <row r="86">
          <cell r="H86" t="str">
            <v>MEDIA NOCHEM</v>
          </cell>
          <cell r="I86">
            <v>1.65</v>
          </cell>
        </row>
        <row r="87">
          <cell r="H87" t="str">
            <v>MEDIA NOCHEL</v>
          </cell>
          <cell r="I87">
            <v>1.5</v>
          </cell>
        </row>
        <row r="88">
          <cell r="H88" t="str">
            <v>MEDIA NOCHEV</v>
          </cell>
          <cell r="I88">
            <v>0.84</v>
          </cell>
        </row>
        <row r="89">
          <cell r="H89" t="str">
            <v>POR FIN SOLOS (RESUMEN)L</v>
          </cell>
          <cell r="I89">
            <v>1.55</v>
          </cell>
        </row>
        <row r="90">
          <cell r="H90" t="str">
            <v>POR FIN SOLOS (RESUMEN)L</v>
          </cell>
          <cell r="I90">
            <v>1.55</v>
          </cell>
        </row>
        <row r="91">
          <cell r="H91" t="str">
            <v>24 HORAS AL DIALMWJVSD</v>
          </cell>
          <cell r="I91">
            <v>1.52</v>
          </cell>
        </row>
        <row r="92">
          <cell r="H92" t="str">
            <v>24 HORAS AL DIAL</v>
          </cell>
          <cell r="I92">
            <v>2</v>
          </cell>
        </row>
        <row r="93">
          <cell r="H93" t="str">
            <v>24 HORAS AL DIAW</v>
          </cell>
          <cell r="I93">
            <v>1.83</v>
          </cell>
        </row>
        <row r="94">
          <cell r="H94" t="str">
            <v>24 HORAS AL DIAV</v>
          </cell>
          <cell r="I94">
            <v>1.79</v>
          </cell>
        </row>
        <row r="95">
          <cell r="H95" t="str">
            <v>24 HORAS AL DIAM</v>
          </cell>
          <cell r="I95">
            <v>1.57</v>
          </cell>
        </row>
        <row r="96">
          <cell r="H96" t="str">
            <v>24 HORAS AL DIAJ</v>
          </cell>
          <cell r="I96">
            <v>1.37</v>
          </cell>
        </row>
        <row r="97">
          <cell r="H97" t="str">
            <v>24 HORAS AL DIAD</v>
          </cell>
          <cell r="I97">
            <v>1.1599999999999999</v>
          </cell>
        </row>
        <row r="98">
          <cell r="H98" t="str">
            <v>24 HORAS AL DIAS</v>
          </cell>
          <cell r="I98">
            <v>1.1200000000000001</v>
          </cell>
        </row>
        <row r="99">
          <cell r="H99" t="str">
            <v>EL SECRETO DE PUENTE VIEJOLMWJV</v>
          </cell>
          <cell r="I99">
            <v>1.52</v>
          </cell>
        </row>
        <row r="100">
          <cell r="H100" t="str">
            <v>EL SECRETO DE PUENTE VIEJOW</v>
          </cell>
          <cell r="I100">
            <v>1.67</v>
          </cell>
        </row>
        <row r="101">
          <cell r="H101" t="str">
            <v>EL SECRETO DE PUENTE VIEJOJ</v>
          </cell>
          <cell r="I101">
            <v>1.53</v>
          </cell>
        </row>
        <row r="102">
          <cell r="H102" t="str">
            <v>EL SECRETO DE PUENTE VIEJOV</v>
          </cell>
          <cell r="I102">
            <v>1.52</v>
          </cell>
        </row>
        <row r="103">
          <cell r="H103" t="str">
            <v>EL SECRETO DE PUENTE VIEJOL</v>
          </cell>
          <cell r="I103">
            <v>1.5</v>
          </cell>
        </row>
        <row r="104">
          <cell r="H104" t="str">
            <v>EL SECRETO DE PUENTE VIEJOM</v>
          </cell>
          <cell r="I104">
            <v>1.4</v>
          </cell>
        </row>
        <row r="105">
          <cell r="H105" t="str">
            <v>DOCTOR HOUSE (R)LMWJVD</v>
          </cell>
          <cell r="I105">
            <v>1.52</v>
          </cell>
        </row>
        <row r="106">
          <cell r="H106" t="str">
            <v>DOCTOR HOUSE (R)M</v>
          </cell>
          <cell r="I106">
            <v>1.7</v>
          </cell>
        </row>
        <row r="107">
          <cell r="H107" t="str">
            <v>DOCTOR HOUSE (R)W</v>
          </cell>
          <cell r="I107">
            <v>1.67</v>
          </cell>
        </row>
        <row r="108">
          <cell r="H108" t="str">
            <v>DOCTOR HOUSE (R)J</v>
          </cell>
          <cell r="I108">
            <v>1.49</v>
          </cell>
        </row>
        <row r="109">
          <cell r="H109" t="str">
            <v>DOCTOR HOUSE (R)V</v>
          </cell>
          <cell r="I109">
            <v>1.42</v>
          </cell>
        </row>
        <row r="110">
          <cell r="H110" t="str">
            <v>DOCTOR HOUSE (R)D</v>
          </cell>
          <cell r="I110">
            <v>1.37</v>
          </cell>
        </row>
        <row r="111">
          <cell r="H111" t="str">
            <v>DOCTOR HOUSE (R)L</v>
          </cell>
          <cell r="I111">
            <v>1.33</v>
          </cell>
        </row>
        <row r="112">
          <cell r="H112" t="str">
            <v>NUESTRO SIGLOS</v>
          </cell>
          <cell r="I112">
            <v>1.47</v>
          </cell>
        </row>
        <row r="113">
          <cell r="H113" t="str">
            <v>NUESTRO SIGLOS</v>
          </cell>
          <cell r="I113">
            <v>1.47</v>
          </cell>
        </row>
        <row r="114">
          <cell r="H114" t="str">
            <v>POR FIN SOLOS (R)V</v>
          </cell>
          <cell r="I114">
            <v>1.45</v>
          </cell>
        </row>
        <row r="115">
          <cell r="H115" t="str">
            <v>POR FIN SOLOS (R)V</v>
          </cell>
          <cell r="I115">
            <v>1.45</v>
          </cell>
        </row>
        <row r="116">
          <cell r="H116" t="str">
            <v>ENTRE PROGRAMASLMWJVSD</v>
          </cell>
          <cell r="I116">
            <v>1.43</v>
          </cell>
        </row>
        <row r="117">
          <cell r="H117" t="str">
            <v>ENTRE PROGRAMASM</v>
          </cell>
          <cell r="I117">
            <v>2.14</v>
          </cell>
        </row>
        <row r="118">
          <cell r="H118" t="str">
            <v>ENTRE PROGRAMASJ</v>
          </cell>
          <cell r="I118">
            <v>1.83</v>
          </cell>
        </row>
        <row r="119">
          <cell r="H119" t="str">
            <v>ENTRE PROGRAMASW</v>
          </cell>
          <cell r="I119">
            <v>1.48</v>
          </cell>
        </row>
        <row r="120">
          <cell r="H120" t="str">
            <v>ENTRE PROGRAMASS</v>
          </cell>
          <cell r="I120">
            <v>1.24</v>
          </cell>
        </row>
        <row r="121">
          <cell r="H121" t="str">
            <v>ENTRE PROGRAMASD</v>
          </cell>
          <cell r="I121">
            <v>1.17</v>
          </cell>
        </row>
        <row r="122">
          <cell r="H122" t="str">
            <v>ENTRE PROGRAMASL</v>
          </cell>
          <cell r="I122">
            <v>1.05</v>
          </cell>
        </row>
        <row r="123">
          <cell r="H123" t="str">
            <v>ENTRE PROGRAMASV</v>
          </cell>
          <cell r="I123">
            <v>0.78</v>
          </cell>
        </row>
        <row r="124">
          <cell r="H124" t="str">
            <v>ROMANE (R)LMWJV</v>
          </cell>
          <cell r="I124">
            <v>1.41</v>
          </cell>
        </row>
        <row r="125">
          <cell r="H125" t="str">
            <v>ROMANE (R)W</v>
          </cell>
          <cell r="I125">
            <v>1.58</v>
          </cell>
        </row>
        <row r="126">
          <cell r="H126" t="str">
            <v>ROMANE (R)M</v>
          </cell>
          <cell r="I126">
            <v>1.53</v>
          </cell>
        </row>
        <row r="127">
          <cell r="H127" t="str">
            <v>ROMANE (R)V</v>
          </cell>
          <cell r="I127">
            <v>1.38</v>
          </cell>
        </row>
        <row r="128">
          <cell r="H128" t="str">
            <v>ROMANE (R)L</v>
          </cell>
          <cell r="I128">
            <v>1.37</v>
          </cell>
        </row>
        <row r="129">
          <cell r="H129" t="str">
            <v>ROMANE (R)J</v>
          </cell>
          <cell r="I129">
            <v>1.1399999999999999</v>
          </cell>
        </row>
        <row r="130">
          <cell r="H130" t="str">
            <v>ESA NO SOY YO (RESUMEN)LMWJV</v>
          </cell>
          <cell r="I130">
            <v>1.36</v>
          </cell>
        </row>
        <row r="131">
          <cell r="H131" t="str">
            <v>ESA NO SOY YO (RESUMEN)V</v>
          </cell>
          <cell r="I131">
            <v>1.67</v>
          </cell>
        </row>
        <row r="132">
          <cell r="H132" t="str">
            <v>ESA NO SOY YO (RESUMEN)W</v>
          </cell>
          <cell r="I132">
            <v>1.45</v>
          </cell>
        </row>
        <row r="133">
          <cell r="H133" t="str">
            <v>ESA NO SOY YO (RESUMEN)L</v>
          </cell>
          <cell r="I133">
            <v>1.41</v>
          </cell>
        </row>
        <row r="134">
          <cell r="H134" t="str">
            <v>ESA NO SOY YO (RESUMEN)M</v>
          </cell>
          <cell r="I134">
            <v>1.39</v>
          </cell>
        </row>
        <row r="135">
          <cell r="H135" t="str">
            <v>ESA NO SOY YO (RESUMEN)J</v>
          </cell>
          <cell r="I135">
            <v>0.99</v>
          </cell>
        </row>
        <row r="136">
          <cell r="H136" t="str">
            <v>PELOTON LA HISTORIA DEL HONORW</v>
          </cell>
          <cell r="I136">
            <v>1.35</v>
          </cell>
        </row>
        <row r="137">
          <cell r="H137" t="str">
            <v>PELOTON LA HISTORIA DEL HONORW</v>
          </cell>
          <cell r="I137">
            <v>1.35</v>
          </cell>
        </row>
        <row r="138">
          <cell r="H138" t="str">
            <v>MELO Y ASTORGAS</v>
          </cell>
          <cell r="I138">
            <v>1.1100000000000001</v>
          </cell>
        </row>
        <row r="139">
          <cell r="H139" t="str">
            <v>MELO Y ASTORGAS</v>
          </cell>
          <cell r="I139">
            <v>1.1100000000000001</v>
          </cell>
        </row>
        <row r="140">
          <cell r="H140" t="str">
            <v>ESTADO NACIONALD</v>
          </cell>
          <cell r="I140">
            <v>1.07</v>
          </cell>
        </row>
        <row r="141">
          <cell r="H141" t="str">
            <v>ESTADO NACIONALD</v>
          </cell>
          <cell r="I141">
            <v>1.07</v>
          </cell>
        </row>
        <row r="142">
          <cell r="H142" t="str">
            <v>BUENOS DIAS A TODOS (A)LMWJV</v>
          </cell>
          <cell r="I142">
            <v>1.07</v>
          </cell>
        </row>
        <row r="143">
          <cell r="H143" t="str">
            <v>BUENOS DIAS A TODOS (A)V</v>
          </cell>
          <cell r="I143">
            <v>1.55</v>
          </cell>
        </row>
        <row r="144">
          <cell r="H144" t="str">
            <v>BUENOS DIAS A TODOS (A)L</v>
          </cell>
          <cell r="I144">
            <v>1.35</v>
          </cell>
        </row>
        <row r="145">
          <cell r="H145" t="str">
            <v>BUENOS DIAS A TODOS (A)J</v>
          </cell>
          <cell r="I145">
            <v>0.98</v>
          </cell>
        </row>
        <row r="146">
          <cell r="H146" t="str">
            <v>BUENOS DIAS A TODOS (A)W</v>
          </cell>
          <cell r="I146">
            <v>0.86</v>
          </cell>
        </row>
        <row r="147">
          <cell r="H147" t="str">
            <v>BUENOS DIAS A TODOS (A)M</v>
          </cell>
          <cell r="I147">
            <v>0.62</v>
          </cell>
        </row>
        <row r="148">
          <cell r="H148" t="str">
            <v>BEST SELLERVS</v>
          </cell>
          <cell r="I148">
            <v>1.06</v>
          </cell>
        </row>
        <row r="149">
          <cell r="H149" t="str">
            <v>BEST SELLERS</v>
          </cell>
          <cell r="I149">
            <v>1.61</v>
          </cell>
        </row>
        <row r="150">
          <cell r="H150" t="str">
            <v>BEST SELLERV</v>
          </cell>
          <cell r="I150">
            <v>0.81</v>
          </cell>
        </row>
        <row r="151">
          <cell r="H151" t="str">
            <v>BUENOS DIAS A TODOS (B)LMWJV</v>
          </cell>
          <cell r="I151">
            <v>1.01</v>
          </cell>
        </row>
        <row r="152">
          <cell r="H152" t="str">
            <v>BUENOS DIAS A TODOS (B)J</v>
          </cell>
          <cell r="I152">
            <v>1.27</v>
          </cell>
        </row>
        <row r="153">
          <cell r="H153" t="str">
            <v>BUENOS DIAS A TODOS (B)L</v>
          </cell>
          <cell r="I153">
            <v>1.03</v>
          </cell>
        </row>
        <row r="154">
          <cell r="H154" t="str">
            <v>BUENOS DIAS A TODOS (B)M</v>
          </cell>
          <cell r="I154">
            <v>0.93</v>
          </cell>
        </row>
        <row r="155">
          <cell r="H155" t="str">
            <v>BUENOS DIAS A TODOS (B)W</v>
          </cell>
          <cell r="I155">
            <v>0.92</v>
          </cell>
        </row>
        <row r="156">
          <cell r="H156" t="str">
            <v>BUENOS DIAS A TODOS (B)V</v>
          </cell>
          <cell r="I156">
            <v>0.86</v>
          </cell>
        </row>
        <row r="157">
          <cell r="H157" t="str">
            <v>GRANDES PELICULASS</v>
          </cell>
          <cell r="I157">
            <v>1</v>
          </cell>
        </row>
        <row r="158">
          <cell r="H158" t="str">
            <v>GRANDES PELICULASS</v>
          </cell>
          <cell r="I158">
            <v>1</v>
          </cell>
        </row>
        <row r="159">
          <cell r="H159" t="str">
            <v>CINEV</v>
          </cell>
          <cell r="I159">
            <v>0.97</v>
          </cell>
        </row>
        <row r="160">
          <cell r="H160" t="str">
            <v>CINEV</v>
          </cell>
          <cell r="I160">
            <v>0.97</v>
          </cell>
        </row>
        <row r="161">
          <cell r="H161" t="str">
            <v>PURO CHILEV</v>
          </cell>
          <cell r="I161">
            <v>0.93</v>
          </cell>
        </row>
        <row r="162">
          <cell r="H162" t="str">
            <v>PURO CHILEV</v>
          </cell>
          <cell r="I162">
            <v>0.93</v>
          </cell>
        </row>
        <row r="163">
          <cell r="H163" t="str">
            <v>PODIOD</v>
          </cell>
          <cell r="I163">
            <v>0.84</v>
          </cell>
        </row>
        <row r="164">
          <cell r="H164" t="str">
            <v>PODIOD</v>
          </cell>
          <cell r="I164">
            <v>0.84</v>
          </cell>
        </row>
        <row r="165">
          <cell r="H165" t="str">
            <v>BOXEO DE OROS</v>
          </cell>
          <cell r="I165">
            <v>0.81</v>
          </cell>
        </row>
        <row r="166">
          <cell r="H166" t="str">
            <v>BOXEO DE OROS</v>
          </cell>
          <cell r="I166">
            <v>0.81</v>
          </cell>
        </row>
        <row r="167">
          <cell r="H167" t="str">
            <v>SUPER CINES</v>
          </cell>
          <cell r="I167">
            <v>0.7</v>
          </cell>
        </row>
        <row r="168">
          <cell r="H168" t="str">
            <v>SUPER CINES</v>
          </cell>
          <cell r="I168">
            <v>0.7</v>
          </cell>
        </row>
        <row r="169">
          <cell r="H169" t="str">
            <v>PURO CHILE (R)D</v>
          </cell>
          <cell r="I169">
            <v>0.67</v>
          </cell>
        </row>
        <row r="170">
          <cell r="H170" t="str">
            <v>PURO CHILE (R)D</v>
          </cell>
          <cell r="I170">
            <v>0.67</v>
          </cell>
        </row>
        <row r="171">
          <cell r="H171" t="str">
            <v>24 HORASD</v>
          </cell>
          <cell r="I171">
            <v>0.64</v>
          </cell>
        </row>
        <row r="172">
          <cell r="H172" t="str">
            <v>24 HORASD</v>
          </cell>
          <cell r="I172">
            <v>0.64</v>
          </cell>
        </row>
        <row r="173">
          <cell r="H173" t="str">
            <v>0,243055555555556LMWJD</v>
          </cell>
          <cell r="I173">
            <v>0.57999999999999996</v>
          </cell>
        </row>
        <row r="174">
          <cell r="H174" t="str">
            <v>0,243055555555556L</v>
          </cell>
          <cell r="I174">
            <v>0.64</v>
          </cell>
        </row>
        <row r="175">
          <cell r="H175" t="str">
            <v>0,243055555555556W</v>
          </cell>
          <cell r="I175">
            <v>0.6</v>
          </cell>
        </row>
        <row r="176">
          <cell r="H176" t="str">
            <v>0,243055555555556J</v>
          </cell>
          <cell r="I176">
            <v>0.59</v>
          </cell>
        </row>
        <row r="177">
          <cell r="H177" t="str">
            <v>0,243055555555556M</v>
          </cell>
          <cell r="I177">
            <v>0.56000000000000005</v>
          </cell>
        </row>
        <row r="178">
          <cell r="H178" t="str">
            <v>0,243055555555556D</v>
          </cell>
          <cell r="I178">
            <v>0.53</v>
          </cell>
        </row>
        <row r="179">
          <cell r="H179" t="str">
            <v>PELICULA INFANTILS</v>
          </cell>
          <cell r="I179">
            <v>0.54</v>
          </cell>
        </row>
        <row r="180">
          <cell r="H180" t="str">
            <v>PELICULA INFANTILS</v>
          </cell>
          <cell r="I180">
            <v>0.54</v>
          </cell>
        </row>
        <row r="181">
          <cell r="H181" t="str">
            <v>NOTICREOS</v>
          </cell>
          <cell r="I181">
            <v>0.39</v>
          </cell>
        </row>
        <row r="182">
          <cell r="H182" t="str">
            <v>NOTICREOS</v>
          </cell>
          <cell r="I182">
            <v>0.39</v>
          </cell>
        </row>
        <row r="183">
          <cell r="H183" t="str">
            <v>PEPPA LA CERDITAS</v>
          </cell>
          <cell r="I183">
            <v>0.32</v>
          </cell>
        </row>
        <row r="184">
          <cell r="H184" t="str">
            <v>PEPPA LA CERDITAS</v>
          </cell>
          <cell r="I184">
            <v>0.32</v>
          </cell>
        </row>
        <row r="185">
          <cell r="H185" t="str">
            <v>HORACIO Y LOS PLASTICINESS</v>
          </cell>
          <cell r="I185">
            <v>0.27</v>
          </cell>
        </row>
        <row r="186">
          <cell r="H186" t="str">
            <v>HORACIO Y LOS PLASTICINESS</v>
          </cell>
          <cell r="I186">
            <v>0.27</v>
          </cell>
        </row>
        <row r="187">
          <cell r="H187" t="str">
            <v>AVANCE 24D</v>
          </cell>
          <cell r="I187">
            <v>0.25</v>
          </cell>
        </row>
        <row r="188">
          <cell r="H188" t="str">
            <v>AVANCE 24D</v>
          </cell>
          <cell r="I188">
            <v>0.25</v>
          </cell>
        </row>
        <row r="189">
          <cell r="H189" t="str">
            <v>MIRADA ECONOMICAD</v>
          </cell>
          <cell r="I189">
            <v>0.22</v>
          </cell>
        </row>
        <row r="190">
          <cell r="H190" t="str">
            <v>MIRADA ECONOMICAD</v>
          </cell>
          <cell r="I190">
            <v>0.22</v>
          </cell>
        </row>
        <row r="191">
          <cell r="H191" t="str">
            <v>SESIONES 24D</v>
          </cell>
          <cell r="I191">
            <v>7.0000000000000007E-2</v>
          </cell>
        </row>
        <row r="192">
          <cell r="H192" t="str">
            <v>SESIONES 24D</v>
          </cell>
          <cell r="I192">
            <v>7.0000000000000007E-2</v>
          </cell>
        </row>
        <row r="193">
          <cell r="H193" t="str">
            <v>MATRIARCASLMWJV</v>
          </cell>
          <cell r="I193">
            <v>1.9</v>
          </cell>
        </row>
        <row r="194">
          <cell r="H194" t="str">
            <v>HUMOR EN FESTIVAL DE OLMUE (LOJ</v>
          </cell>
          <cell r="I194">
            <v>3.5</v>
          </cell>
        </row>
        <row r="196">
          <cell r="H196" t="str">
            <v>MOISES LOS 10 MANDAMIENTOSLMWJ</v>
          </cell>
          <cell r="I196">
            <v>5.2349999999999994</v>
          </cell>
        </row>
        <row r="197">
          <cell r="H197" t="str">
            <v>24 HORAS CENTRALLMWJV</v>
          </cell>
          <cell r="I197">
            <v>3.1640000000000001</v>
          </cell>
        </row>
        <row r="198">
          <cell r="H198" t="str">
            <v>24 HORAS AL DIALMWJV</v>
          </cell>
          <cell r="I198">
            <v>1.7120000000000002</v>
          </cell>
        </row>
      </sheetData>
      <sheetData sheetId="18">
        <row r="2"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</row>
        <row r="3">
          <cell r="D3" t="str">
            <v>M 25-64 C2C3</v>
          </cell>
          <cell r="E3" t="str">
            <v>H 25-64 ABCD</v>
          </cell>
          <cell r="F3" t="str">
            <v>HM 18-24 ABC</v>
          </cell>
          <cell r="G3" t="str">
            <v>HM 25-49 ABC1C2</v>
          </cell>
          <cell r="H3" t="str">
            <v>HM 25-64 ABC</v>
          </cell>
          <cell r="I3" t="str">
            <v>M 25-64 ABC</v>
          </cell>
          <cell r="J3" t="str">
            <v>HM 25-64 ABCD</v>
          </cell>
        </row>
        <row r="4">
          <cell r="C4" t="str">
            <v>24 HORASD</v>
          </cell>
          <cell r="D4">
            <v>1.29</v>
          </cell>
          <cell r="E4">
            <v>0.39</v>
          </cell>
          <cell r="F4">
            <v>0.23</v>
          </cell>
          <cell r="G4">
            <v>0.47</v>
          </cell>
          <cell r="H4">
            <v>0.82</v>
          </cell>
          <cell r="I4">
            <v>1.2</v>
          </cell>
          <cell r="J4">
            <v>0.64</v>
          </cell>
        </row>
        <row r="5">
          <cell r="C5" t="str">
            <v>24 HORASD</v>
          </cell>
          <cell r="D5">
            <v>1.29</v>
          </cell>
          <cell r="E5">
            <v>0.39</v>
          </cell>
          <cell r="F5">
            <v>0.23</v>
          </cell>
          <cell r="G5">
            <v>0.47</v>
          </cell>
          <cell r="H5">
            <v>0.82</v>
          </cell>
          <cell r="I5">
            <v>1.2</v>
          </cell>
          <cell r="J5">
            <v>0.64</v>
          </cell>
        </row>
        <row r="6">
          <cell r="C6" t="str">
            <v>24 HORAS AL DIALMWJVSD</v>
          </cell>
          <cell r="D6">
            <v>2.13</v>
          </cell>
          <cell r="E6">
            <v>1.17</v>
          </cell>
          <cell r="F6">
            <v>0.59</v>
          </cell>
          <cell r="G6">
            <v>0.99</v>
          </cell>
          <cell r="H6">
            <v>1.64</v>
          </cell>
          <cell r="I6">
            <v>1.99</v>
          </cell>
          <cell r="J6">
            <v>1.52</v>
          </cell>
        </row>
        <row r="7">
          <cell r="C7" t="str">
            <v>24 HORAS AL DIAL</v>
          </cell>
          <cell r="D7">
            <v>2.88</v>
          </cell>
          <cell r="E7">
            <v>1.67</v>
          </cell>
          <cell r="F7">
            <v>0.79</v>
          </cell>
          <cell r="G7">
            <v>1.1200000000000001</v>
          </cell>
          <cell r="H7">
            <v>2.09</v>
          </cell>
          <cell r="I7">
            <v>2.64</v>
          </cell>
          <cell r="J7">
            <v>2</v>
          </cell>
        </row>
        <row r="8">
          <cell r="C8" t="str">
            <v>24 HORAS AL DIAV</v>
          </cell>
          <cell r="D8">
            <v>2.29</v>
          </cell>
          <cell r="E8">
            <v>1.21</v>
          </cell>
          <cell r="F8">
            <v>0.46</v>
          </cell>
          <cell r="G8">
            <v>0.74</v>
          </cell>
          <cell r="H8">
            <v>1.82</v>
          </cell>
          <cell r="I8">
            <v>2.2200000000000002</v>
          </cell>
          <cell r="J8">
            <v>1.79</v>
          </cell>
        </row>
        <row r="9">
          <cell r="C9" t="str">
            <v>24 HORAS AL DIAM</v>
          </cell>
          <cell r="D9">
            <v>2.5499999999999998</v>
          </cell>
          <cell r="E9">
            <v>0.8</v>
          </cell>
          <cell r="F9">
            <v>0.69</v>
          </cell>
          <cell r="G9">
            <v>0.99</v>
          </cell>
          <cell r="H9">
            <v>1.71</v>
          </cell>
          <cell r="I9">
            <v>2.2999999999999998</v>
          </cell>
          <cell r="J9">
            <v>1.57</v>
          </cell>
        </row>
        <row r="10">
          <cell r="C10" t="str">
            <v>24 HORAS AL DIAJ</v>
          </cell>
          <cell r="D10">
            <v>2.42</v>
          </cell>
          <cell r="E10">
            <v>0.98</v>
          </cell>
          <cell r="F10">
            <v>1.0900000000000001</v>
          </cell>
          <cell r="G10">
            <v>1.08</v>
          </cell>
          <cell r="H10">
            <v>1.69</v>
          </cell>
          <cell r="I10">
            <v>2.16</v>
          </cell>
          <cell r="J10">
            <v>1.37</v>
          </cell>
        </row>
        <row r="11">
          <cell r="C11" t="str">
            <v>24 HORAS AL DIAW</v>
          </cell>
          <cell r="D11">
            <v>2.0499999999999998</v>
          </cell>
          <cell r="E11">
            <v>1.47</v>
          </cell>
          <cell r="F11">
            <v>0.46</v>
          </cell>
          <cell r="G11">
            <v>1.46</v>
          </cell>
          <cell r="H11">
            <v>1.64</v>
          </cell>
          <cell r="I11">
            <v>2.0299999999999998</v>
          </cell>
          <cell r="J11">
            <v>1.83</v>
          </cell>
        </row>
        <row r="12">
          <cell r="C12" t="str">
            <v>24 HORAS AL DIAS</v>
          </cell>
          <cell r="D12">
            <v>1.64</v>
          </cell>
          <cell r="E12">
            <v>1.07</v>
          </cell>
          <cell r="F12">
            <v>0.15</v>
          </cell>
          <cell r="G12">
            <v>0.84</v>
          </cell>
          <cell r="H12">
            <v>1.34</v>
          </cell>
          <cell r="I12">
            <v>1.54</v>
          </cell>
          <cell r="J12">
            <v>1.1200000000000001</v>
          </cell>
        </row>
        <row r="13">
          <cell r="C13" t="str">
            <v>24 HORAS AL DIAD</v>
          </cell>
          <cell r="D13">
            <v>1.23</v>
          </cell>
          <cell r="E13">
            <v>1.07</v>
          </cell>
          <cell r="F13">
            <v>0.52</v>
          </cell>
          <cell r="G13">
            <v>0.63</v>
          </cell>
          <cell r="H13">
            <v>1.33</v>
          </cell>
          <cell r="I13">
            <v>1.2</v>
          </cell>
          <cell r="J13">
            <v>1.1599999999999999</v>
          </cell>
        </row>
        <row r="14">
          <cell r="C14" t="str">
            <v>24 HORAS AL DIALMWJV</v>
          </cell>
          <cell r="D14">
            <v>2.4379999999999997</v>
          </cell>
          <cell r="E14">
            <v>1.226</v>
          </cell>
          <cell r="F14">
            <v>0.69800000000000006</v>
          </cell>
          <cell r="G14">
            <v>1.0780000000000001</v>
          </cell>
          <cell r="H14">
            <v>1.7899999999999998</v>
          </cell>
          <cell r="I14">
            <v>2.27</v>
          </cell>
          <cell r="J14">
            <v>1.7120000000000002</v>
          </cell>
        </row>
        <row r="15">
          <cell r="C15" t="str">
            <v>24 HORAS CENTRALLMWJVS</v>
          </cell>
          <cell r="D15">
            <v>3.97</v>
          </cell>
          <cell r="E15">
            <v>2.56</v>
          </cell>
          <cell r="F15">
            <v>0.76</v>
          </cell>
          <cell r="G15">
            <v>1.7</v>
          </cell>
          <cell r="H15">
            <v>3.05</v>
          </cell>
          <cell r="I15">
            <v>3.53</v>
          </cell>
          <cell r="J15">
            <v>3.04</v>
          </cell>
        </row>
        <row r="16">
          <cell r="C16" t="str">
            <v>24 HORAS CENTRALLMWJV</v>
          </cell>
          <cell r="D16">
            <v>4.1659999999999995</v>
          </cell>
          <cell r="E16">
            <v>2.6619999999999999</v>
          </cell>
          <cell r="F16">
            <v>0.75800000000000001</v>
          </cell>
          <cell r="G16">
            <v>1.7879999999999998</v>
          </cell>
          <cell r="H16">
            <v>3.1719999999999997</v>
          </cell>
          <cell r="I16">
            <v>3.714</v>
          </cell>
          <cell r="J16">
            <v>3.1640000000000001</v>
          </cell>
        </row>
        <row r="17">
          <cell r="C17" t="str">
            <v>24 HORAS CENTRALV</v>
          </cell>
          <cell r="D17">
            <v>4.29</v>
          </cell>
          <cell r="E17">
            <v>2.97</v>
          </cell>
          <cell r="F17">
            <v>0.63</v>
          </cell>
          <cell r="G17">
            <v>1.56</v>
          </cell>
          <cell r="H17">
            <v>3.41</v>
          </cell>
          <cell r="I17">
            <v>3.99</v>
          </cell>
          <cell r="J17">
            <v>3.48</v>
          </cell>
        </row>
        <row r="18">
          <cell r="C18" t="str">
            <v>24 HORAS CENTRALL</v>
          </cell>
          <cell r="D18">
            <v>4.17</v>
          </cell>
          <cell r="E18">
            <v>2.78</v>
          </cell>
          <cell r="F18">
            <v>0.79</v>
          </cell>
          <cell r="G18">
            <v>2.2000000000000002</v>
          </cell>
          <cell r="H18">
            <v>3.38</v>
          </cell>
          <cell r="I18">
            <v>3.73</v>
          </cell>
          <cell r="J18">
            <v>3.18</v>
          </cell>
        </row>
        <row r="19">
          <cell r="C19" t="str">
            <v>24 HORAS CENTRALJ</v>
          </cell>
          <cell r="D19">
            <v>4.1500000000000004</v>
          </cell>
          <cell r="E19">
            <v>2.85</v>
          </cell>
          <cell r="F19">
            <v>0.8</v>
          </cell>
          <cell r="G19">
            <v>1.8</v>
          </cell>
          <cell r="H19">
            <v>3.19</v>
          </cell>
          <cell r="I19">
            <v>3.66</v>
          </cell>
          <cell r="J19">
            <v>3.13</v>
          </cell>
        </row>
        <row r="20">
          <cell r="C20" t="str">
            <v>24 HORAS CENTRALW</v>
          </cell>
          <cell r="D20">
            <v>4.34</v>
          </cell>
          <cell r="E20">
            <v>2.23</v>
          </cell>
          <cell r="F20">
            <v>0.6</v>
          </cell>
          <cell r="G20">
            <v>1.8</v>
          </cell>
          <cell r="H20">
            <v>3.01</v>
          </cell>
          <cell r="I20">
            <v>3.79</v>
          </cell>
          <cell r="J20">
            <v>2.98</v>
          </cell>
        </row>
        <row r="21">
          <cell r="C21" t="str">
            <v>24 HORAS CENTRALM</v>
          </cell>
          <cell r="D21">
            <v>3.88</v>
          </cell>
          <cell r="E21">
            <v>2.48</v>
          </cell>
          <cell r="F21">
            <v>0.97</v>
          </cell>
          <cell r="G21">
            <v>1.58</v>
          </cell>
          <cell r="H21">
            <v>2.87</v>
          </cell>
          <cell r="I21">
            <v>3.4</v>
          </cell>
          <cell r="J21">
            <v>3.05</v>
          </cell>
        </row>
        <row r="22">
          <cell r="C22" t="str">
            <v>24 HORAS CENTRALS</v>
          </cell>
          <cell r="D22">
            <v>2.74</v>
          </cell>
          <cell r="E22">
            <v>2.25</v>
          </cell>
          <cell r="F22">
            <v>0.69</v>
          </cell>
          <cell r="G22">
            <v>1.19</v>
          </cell>
          <cell r="H22">
            <v>2.4900000000000002</v>
          </cell>
          <cell r="I22">
            <v>2.4700000000000002</v>
          </cell>
          <cell r="J22">
            <v>2.4</v>
          </cell>
        </row>
        <row r="23">
          <cell r="C23" t="str">
            <v>24 HORAS DOMINGOD</v>
          </cell>
          <cell r="D23">
            <v>5.01</v>
          </cell>
          <cell r="E23">
            <v>2.83</v>
          </cell>
          <cell r="F23">
            <v>1.0900000000000001</v>
          </cell>
          <cell r="G23">
            <v>1.75</v>
          </cell>
          <cell r="H23">
            <v>3.79</v>
          </cell>
          <cell r="I23">
            <v>4.46</v>
          </cell>
          <cell r="J23">
            <v>3.29</v>
          </cell>
        </row>
        <row r="24">
          <cell r="C24" t="str">
            <v>24 HORAS DOMINGOD</v>
          </cell>
          <cell r="D24">
            <v>5.01</v>
          </cell>
          <cell r="E24">
            <v>2.83</v>
          </cell>
          <cell r="F24">
            <v>1.0900000000000001</v>
          </cell>
          <cell r="G24">
            <v>1.75</v>
          </cell>
          <cell r="H24">
            <v>3.79</v>
          </cell>
          <cell r="I24">
            <v>4.46</v>
          </cell>
          <cell r="J24">
            <v>3.29</v>
          </cell>
        </row>
        <row r="25">
          <cell r="C25" t="str">
            <v>45 ANOS DE UN COCOJ</v>
          </cell>
          <cell r="D25">
            <v>4.33</v>
          </cell>
          <cell r="E25">
            <v>3.62</v>
          </cell>
          <cell r="F25">
            <v>1.44</v>
          </cell>
          <cell r="G25">
            <v>2.71</v>
          </cell>
          <cell r="H25">
            <v>3.92</v>
          </cell>
          <cell r="I25">
            <v>4.1500000000000004</v>
          </cell>
          <cell r="J25">
            <v>3.64</v>
          </cell>
        </row>
        <row r="26">
          <cell r="C26" t="str">
            <v>45 ANOS DE UN COCOJ</v>
          </cell>
          <cell r="D26">
            <v>4.33</v>
          </cell>
          <cell r="E26">
            <v>3.62</v>
          </cell>
          <cell r="F26">
            <v>1.44</v>
          </cell>
          <cell r="G26">
            <v>2.71</v>
          </cell>
          <cell r="H26">
            <v>3.92</v>
          </cell>
          <cell r="I26">
            <v>4.1500000000000004</v>
          </cell>
          <cell r="J26">
            <v>3.64</v>
          </cell>
        </row>
        <row r="27">
          <cell r="C27" t="str">
            <v>4TO MEDIOLW</v>
          </cell>
          <cell r="D27">
            <v>2.0699999999999998</v>
          </cell>
          <cell r="E27">
            <v>1.9</v>
          </cell>
          <cell r="F27">
            <v>0.43</v>
          </cell>
          <cell r="G27">
            <v>1.1299999999999999</v>
          </cell>
          <cell r="H27">
            <v>1.68</v>
          </cell>
          <cell r="I27">
            <v>1.79</v>
          </cell>
          <cell r="J27">
            <v>1.75</v>
          </cell>
        </row>
        <row r="28">
          <cell r="C28" t="str">
            <v>4TO MEDIOW</v>
          </cell>
          <cell r="D28">
            <v>2.27</v>
          </cell>
          <cell r="E28">
            <v>2.09</v>
          </cell>
          <cell r="F28">
            <v>0.3</v>
          </cell>
          <cell r="G28">
            <v>1.3</v>
          </cell>
          <cell r="H28">
            <v>1.82</v>
          </cell>
          <cell r="I28">
            <v>1.96</v>
          </cell>
          <cell r="J28">
            <v>1.94</v>
          </cell>
        </row>
        <row r="29">
          <cell r="C29" t="str">
            <v>4TO MEDIOL</v>
          </cell>
          <cell r="D29">
            <v>0.93</v>
          </cell>
          <cell r="E29">
            <v>0.85</v>
          </cell>
          <cell r="F29">
            <v>1.1599999999999999</v>
          </cell>
          <cell r="G29">
            <v>0.22</v>
          </cell>
          <cell r="H29">
            <v>0.93</v>
          </cell>
          <cell r="I29">
            <v>0.84</v>
          </cell>
          <cell r="J29">
            <v>0.69</v>
          </cell>
        </row>
        <row r="30">
          <cell r="C30" t="str">
            <v>0,243055555555556LMWJD</v>
          </cell>
          <cell r="D30">
            <v>0.51</v>
          </cell>
          <cell r="E30">
            <v>0.54</v>
          </cell>
          <cell r="F30">
            <v>0</v>
          </cell>
          <cell r="G30">
            <v>0.3</v>
          </cell>
          <cell r="H30">
            <v>0.44</v>
          </cell>
          <cell r="I30">
            <v>0.49</v>
          </cell>
          <cell r="J30">
            <v>0.57999999999999996</v>
          </cell>
        </row>
        <row r="31">
          <cell r="C31" t="str">
            <v>0,243055555555556J</v>
          </cell>
          <cell r="D31">
            <v>0.67</v>
          </cell>
          <cell r="E31">
            <v>0.59</v>
          </cell>
          <cell r="F31">
            <v>0</v>
          </cell>
          <cell r="G31">
            <v>0.48</v>
          </cell>
          <cell r="H31">
            <v>0.69</v>
          </cell>
          <cell r="I31">
            <v>0.7</v>
          </cell>
          <cell r="J31">
            <v>0.59</v>
          </cell>
        </row>
        <row r="32">
          <cell r="C32" t="str">
            <v>0,243055555555556L</v>
          </cell>
          <cell r="D32">
            <v>0.7</v>
          </cell>
          <cell r="E32">
            <v>0.55000000000000004</v>
          </cell>
          <cell r="F32">
            <v>0</v>
          </cell>
          <cell r="G32">
            <v>0.51</v>
          </cell>
          <cell r="H32">
            <v>0.49</v>
          </cell>
          <cell r="I32">
            <v>0.65</v>
          </cell>
          <cell r="J32">
            <v>0.64</v>
          </cell>
        </row>
        <row r="33">
          <cell r="C33" t="str">
            <v>0,243055555555556D</v>
          </cell>
          <cell r="D33">
            <v>0.28999999999999998</v>
          </cell>
          <cell r="E33">
            <v>0.51</v>
          </cell>
          <cell r="F33">
            <v>0</v>
          </cell>
          <cell r="G33">
            <v>0.28000000000000003</v>
          </cell>
          <cell r="H33">
            <v>0.43</v>
          </cell>
          <cell r="I33">
            <v>0.26</v>
          </cell>
          <cell r="J33">
            <v>0.53</v>
          </cell>
        </row>
        <row r="34">
          <cell r="C34" t="str">
            <v>0,243055555555556M</v>
          </cell>
          <cell r="D34">
            <v>0.62</v>
          </cell>
          <cell r="E34">
            <v>0.41</v>
          </cell>
          <cell r="F34">
            <v>0</v>
          </cell>
          <cell r="G34">
            <v>0.37</v>
          </cell>
          <cell r="H34">
            <v>0.42</v>
          </cell>
          <cell r="I34">
            <v>0.55000000000000004</v>
          </cell>
          <cell r="J34">
            <v>0.56000000000000005</v>
          </cell>
        </row>
        <row r="35">
          <cell r="C35" t="str">
            <v>0,243055555555556W</v>
          </cell>
          <cell r="D35">
            <v>0.41</v>
          </cell>
          <cell r="E35">
            <v>0.66</v>
          </cell>
          <cell r="F35">
            <v>0</v>
          </cell>
          <cell r="G35">
            <v>0.09</v>
          </cell>
          <cell r="H35">
            <v>0.32</v>
          </cell>
          <cell r="I35">
            <v>0.44</v>
          </cell>
          <cell r="J35">
            <v>0.6</v>
          </cell>
        </row>
        <row r="36">
          <cell r="C36" t="str">
            <v>AVANCE 24D</v>
          </cell>
          <cell r="D36">
            <v>0.26</v>
          </cell>
          <cell r="E36">
            <v>0.25</v>
          </cell>
          <cell r="F36">
            <v>0</v>
          </cell>
          <cell r="G36">
            <v>0.12</v>
          </cell>
          <cell r="H36">
            <v>0.23</v>
          </cell>
          <cell r="I36">
            <v>0.24</v>
          </cell>
          <cell r="J36">
            <v>0.25</v>
          </cell>
        </row>
        <row r="37">
          <cell r="C37" t="str">
            <v>AVANCE 24D</v>
          </cell>
          <cell r="D37">
            <v>0.26</v>
          </cell>
          <cell r="E37">
            <v>0.25</v>
          </cell>
          <cell r="F37">
            <v>0</v>
          </cell>
          <cell r="G37">
            <v>0.12</v>
          </cell>
          <cell r="H37">
            <v>0.23</v>
          </cell>
          <cell r="I37">
            <v>0.24</v>
          </cell>
          <cell r="J37">
            <v>0.25</v>
          </cell>
        </row>
        <row r="38">
          <cell r="C38" t="str">
            <v>BEST SELLERVS</v>
          </cell>
          <cell r="D38">
            <v>1.1100000000000001</v>
          </cell>
          <cell r="E38">
            <v>0.97</v>
          </cell>
          <cell r="F38">
            <v>0.33</v>
          </cell>
          <cell r="G38">
            <v>0.84</v>
          </cell>
          <cell r="H38">
            <v>1.04</v>
          </cell>
          <cell r="I38">
            <v>1.18</v>
          </cell>
          <cell r="J38">
            <v>1.06</v>
          </cell>
        </row>
        <row r="39">
          <cell r="C39" t="str">
            <v>BEST SELLERS</v>
          </cell>
          <cell r="D39">
            <v>1.74</v>
          </cell>
          <cell r="E39">
            <v>1.36</v>
          </cell>
          <cell r="F39">
            <v>0.96</v>
          </cell>
          <cell r="G39">
            <v>0.79</v>
          </cell>
          <cell r="H39">
            <v>1.7</v>
          </cell>
          <cell r="I39">
            <v>1.73</v>
          </cell>
          <cell r="J39">
            <v>1.61</v>
          </cell>
        </row>
        <row r="40">
          <cell r="C40" t="str">
            <v>BEST SELLERV</v>
          </cell>
          <cell r="D40">
            <v>0.82</v>
          </cell>
          <cell r="E40">
            <v>0.79</v>
          </cell>
          <cell r="F40">
            <v>0.04</v>
          </cell>
          <cell r="G40">
            <v>0.86</v>
          </cell>
          <cell r="H40">
            <v>0.74</v>
          </cell>
          <cell r="I40">
            <v>0.93</v>
          </cell>
          <cell r="J40">
            <v>0.81</v>
          </cell>
        </row>
        <row r="41">
          <cell r="C41" t="str">
            <v>BOXEO DE OROS</v>
          </cell>
          <cell r="D41">
            <v>0.9</v>
          </cell>
          <cell r="E41">
            <v>0.84</v>
          </cell>
          <cell r="F41">
            <v>0.24</v>
          </cell>
          <cell r="G41">
            <v>0.38</v>
          </cell>
          <cell r="H41">
            <v>0.93</v>
          </cell>
          <cell r="I41">
            <v>0.8</v>
          </cell>
          <cell r="J41">
            <v>0.81</v>
          </cell>
        </row>
        <row r="42">
          <cell r="C42" t="str">
            <v>BOXEO DE OROS</v>
          </cell>
          <cell r="D42">
            <v>0.9</v>
          </cell>
          <cell r="E42">
            <v>0.84</v>
          </cell>
          <cell r="F42">
            <v>0.24</v>
          </cell>
          <cell r="G42">
            <v>0.38</v>
          </cell>
          <cell r="H42">
            <v>0.93</v>
          </cell>
          <cell r="I42">
            <v>0.8</v>
          </cell>
          <cell r="J42">
            <v>0.81</v>
          </cell>
        </row>
        <row r="43">
          <cell r="C43" t="str">
            <v>BUENOS DIAS A TODOS (A)LMWJV</v>
          </cell>
          <cell r="D43">
            <v>1.36</v>
          </cell>
          <cell r="E43">
            <v>0.64</v>
          </cell>
          <cell r="F43">
            <v>0.03</v>
          </cell>
          <cell r="G43">
            <v>0.63</v>
          </cell>
          <cell r="H43">
            <v>1.01</v>
          </cell>
          <cell r="I43">
            <v>1.25</v>
          </cell>
          <cell r="J43">
            <v>1.07</v>
          </cell>
        </row>
        <row r="44">
          <cell r="C44" t="str">
            <v>BUENOS DIAS A TODOS (A)V</v>
          </cell>
          <cell r="D44">
            <v>2.44</v>
          </cell>
          <cell r="E44">
            <v>1.28</v>
          </cell>
          <cell r="F44">
            <v>0.03</v>
          </cell>
          <cell r="G44">
            <v>1.04</v>
          </cell>
          <cell r="H44">
            <v>1.75</v>
          </cell>
          <cell r="I44">
            <v>2.19</v>
          </cell>
          <cell r="J44">
            <v>1.55</v>
          </cell>
        </row>
        <row r="45">
          <cell r="C45" t="str">
            <v>BUENOS DIAS A TODOS (A)L</v>
          </cell>
          <cell r="D45">
            <v>1.34</v>
          </cell>
          <cell r="E45">
            <v>0.47</v>
          </cell>
          <cell r="F45">
            <v>0.08</v>
          </cell>
          <cell r="G45">
            <v>0.44</v>
          </cell>
          <cell r="H45">
            <v>0.96</v>
          </cell>
          <cell r="I45">
            <v>1.23</v>
          </cell>
          <cell r="J45">
            <v>1.35</v>
          </cell>
        </row>
        <row r="46">
          <cell r="C46" t="str">
            <v>BUENOS DIAS A TODOS (A)J</v>
          </cell>
          <cell r="D46">
            <v>0.96</v>
          </cell>
          <cell r="E46">
            <v>0.78</v>
          </cell>
          <cell r="F46">
            <v>0</v>
          </cell>
          <cell r="G46">
            <v>0.75</v>
          </cell>
          <cell r="H46">
            <v>0.93</v>
          </cell>
          <cell r="I46">
            <v>0.93</v>
          </cell>
          <cell r="J46">
            <v>0.98</v>
          </cell>
        </row>
        <row r="47">
          <cell r="C47" t="str">
            <v>BUENOS DIAS A TODOS (A)W</v>
          </cell>
          <cell r="D47">
            <v>1.02</v>
          </cell>
          <cell r="E47">
            <v>0.44</v>
          </cell>
          <cell r="F47">
            <v>0.05</v>
          </cell>
          <cell r="G47">
            <v>0.23</v>
          </cell>
          <cell r="H47">
            <v>0.76</v>
          </cell>
          <cell r="I47">
            <v>0.94</v>
          </cell>
          <cell r="J47">
            <v>0.86</v>
          </cell>
        </row>
        <row r="48">
          <cell r="C48" t="str">
            <v>BUENOS DIAS A TODOS (A)M</v>
          </cell>
          <cell r="D48">
            <v>0.94</v>
          </cell>
          <cell r="E48">
            <v>0.27</v>
          </cell>
          <cell r="F48">
            <v>0</v>
          </cell>
          <cell r="G48">
            <v>0.73</v>
          </cell>
          <cell r="H48">
            <v>0.62</v>
          </cell>
          <cell r="I48">
            <v>0.89</v>
          </cell>
          <cell r="J48">
            <v>0.62</v>
          </cell>
        </row>
        <row r="49">
          <cell r="C49" t="str">
            <v>BUENOS DIAS A TODOS (B)LMWJV</v>
          </cell>
          <cell r="D49">
            <v>1.36</v>
          </cell>
          <cell r="E49">
            <v>0.71</v>
          </cell>
          <cell r="F49">
            <v>0.28999999999999998</v>
          </cell>
          <cell r="G49">
            <v>0.56999999999999995</v>
          </cell>
          <cell r="H49">
            <v>1.04</v>
          </cell>
          <cell r="I49">
            <v>1.28</v>
          </cell>
          <cell r="J49">
            <v>1.01</v>
          </cell>
        </row>
        <row r="50">
          <cell r="C50" t="str">
            <v>BUENOS DIAS A TODOS (B)J</v>
          </cell>
          <cell r="D50">
            <v>1.8</v>
          </cell>
          <cell r="E50">
            <v>0.98</v>
          </cell>
          <cell r="F50">
            <v>0.22</v>
          </cell>
          <cell r="G50">
            <v>0.71</v>
          </cell>
          <cell r="H50">
            <v>1.52</v>
          </cell>
          <cell r="I50">
            <v>1.7</v>
          </cell>
          <cell r="J50">
            <v>1.27</v>
          </cell>
        </row>
        <row r="51">
          <cell r="C51" t="str">
            <v>BUENOS DIAS A TODOS (B)M</v>
          </cell>
          <cell r="D51">
            <v>1.6</v>
          </cell>
          <cell r="E51">
            <v>0.5</v>
          </cell>
          <cell r="F51">
            <v>0.09</v>
          </cell>
          <cell r="G51">
            <v>0.42</v>
          </cell>
          <cell r="H51">
            <v>1.06</v>
          </cell>
          <cell r="I51">
            <v>1.43</v>
          </cell>
          <cell r="J51">
            <v>0.93</v>
          </cell>
        </row>
        <row r="52">
          <cell r="C52" t="str">
            <v>BUENOS DIAS A TODOS (B)V</v>
          </cell>
          <cell r="D52">
            <v>1.42</v>
          </cell>
          <cell r="E52">
            <v>0.49</v>
          </cell>
          <cell r="F52">
            <v>0.56000000000000005</v>
          </cell>
          <cell r="G52">
            <v>0.56000000000000005</v>
          </cell>
          <cell r="H52">
            <v>1.01</v>
          </cell>
          <cell r="I52">
            <v>1.39</v>
          </cell>
          <cell r="J52">
            <v>0.86</v>
          </cell>
        </row>
        <row r="53">
          <cell r="C53" t="str">
            <v>BUENOS DIAS A TODOS (B)L</v>
          </cell>
          <cell r="D53">
            <v>1.41</v>
          </cell>
          <cell r="E53">
            <v>0.59</v>
          </cell>
          <cell r="F53">
            <v>0.26</v>
          </cell>
          <cell r="G53">
            <v>0.63</v>
          </cell>
          <cell r="H53">
            <v>0.95</v>
          </cell>
          <cell r="I53">
            <v>1.37</v>
          </cell>
          <cell r="J53">
            <v>1.03</v>
          </cell>
        </row>
        <row r="54">
          <cell r="C54" t="str">
            <v>BUENOS DIAS A TODOS (B)W</v>
          </cell>
          <cell r="D54">
            <v>0.79</v>
          </cell>
          <cell r="E54">
            <v>0.83</v>
          </cell>
          <cell r="F54">
            <v>0.34</v>
          </cell>
          <cell r="G54">
            <v>0.51</v>
          </cell>
          <cell r="H54">
            <v>0.72</v>
          </cell>
          <cell r="I54">
            <v>0.74</v>
          </cell>
          <cell r="J54">
            <v>0.92</v>
          </cell>
        </row>
        <row r="55">
          <cell r="C55" t="str">
            <v>CHILE CONECTADO (R)D</v>
          </cell>
          <cell r="D55">
            <v>2.35</v>
          </cell>
          <cell r="E55">
            <v>1.68</v>
          </cell>
          <cell r="F55">
            <v>0.41</v>
          </cell>
          <cell r="G55">
            <v>1.05</v>
          </cell>
          <cell r="H55">
            <v>1.93</v>
          </cell>
          <cell r="I55">
            <v>2.08</v>
          </cell>
          <cell r="J55">
            <v>1.88</v>
          </cell>
        </row>
        <row r="56">
          <cell r="C56" t="str">
            <v>CHILE CONECTADO (R)D</v>
          </cell>
          <cell r="D56">
            <v>2.35</v>
          </cell>
          <cell r="E56">
            <v>1.68</v>
          </cell>
          <cell r="F56">
            <v>0.41</v>
          </cell>
          <cell r="G56">
            <v>1.05</v>
          </cell>
          <cell r="H56">
            <v>1.93</v>
          </cell>
          <cell r="I56">
            <v>2.08</v>
          </cell>
          <cell r="J56">
            <v>1.88</v>
          </cell>
        </row>
        <row r="57">
          <cell r="C57" t="str">
            <v>CINEV</v>
          </cell>
          <cell r="D57">
            <v>0.86</v>
          </cell>
          <cell r="E57">
            <v>0.62</v>
          </cell>
          <cell r="F57">
            <v>0</v>
          </cell>
          <cell r="G57">
            <v>0</v>
          </cell>
          <cell r="H57">
            <v>0.39</v>
          </cell>
          <cell r="I57">
            <v>0.71</v>
          </cell>
          <cell r="J57">
            <v>0.97</v>
          </cell>
        </row>
        <row r="58">
          <cell r="C58" t="str">
            <v>CINEV</v>
          </cell>
          <cell r="D58">
            <v>0.86</v>
          </cell>
          <cell r="E58">
            <v>0.62</v>
          </cell>
          <cell r="F58">
            <v>0</v>
          </cell>
          <cell r="G58">
            <v>0</v>
          </cell>
          <cell r="H58">
            <v>0.39</v>
          </cell>
          <cell r="I58">
            <v>0.71</v>
          </cell>
          <cell r="J58">
            <v>0.97</v>
          </cell>
        </row>
        <row r="59">
          <cell r="C59" t="str">
            <v>COPA DAVISVSD</v>
          </cell>
          <cell r="D59">
            <v>1.5</v>
          </cell>
          <cell r="E59">
            <v>1.97</v>
          </cell>
          <cell r="F59">
            <v>0.65</v>
          </cell>
          <cell r="G59">
            <v>0.66</v>
          </cell>
          <cell r="H59">
            <v>1.72</v>
          </cell>
          <cell r="I59">
            <v>1.34</v>
          </cell>
          <cell r="J59">
            <v>1.59</v>
          </cell>
        </row>
        <row r="60">
          <cell r="C60" t="str">
            <v>COPA DAVISS</v>
          </cell>
          <cell r="D60">
            <v>1.64</v>
          </cell>
          <cell r="E60">
            <v>2.4300000000000002</v>
          </cell>
          <cell r="F60">
            <v>0.78</v>
          </cell>
          <cell r="G60">
            <v>0.89</v>
          </cell>
          <cell r="H60">
            <v>1.88</v>
          </cell>
          <cell r="I60">
            <v>1.59</v>
          </cell>
          <cell r="J60">
            <v>1.91</v>
          </cell>
        </row>
        <row r="61">
          <cell r="C61" t="str">
            <v>COPA DAVISV</v>
          </cell>
          <cell r="D61">
            <v>1.59</v>
          </cell>
          <cell r="E61">
            <v>1.91</v>
          </cell>
          <cell r="F61">
            <v>0.54</v>
          </cell>
          <cell r="G61">
            <v>0.56000000000000005</v>
          </cell>
          <cell r="H61">
            <v>1.78</v>
          </cell>
          <cell r="I61">
            <v>1.42</v>
          </cell>
          <cell r="J61">
            <v>1.56</v>
          </cell>
        </row>
        <row r="62">
          <cell r="C62" t="str">
            <v>COPA DAVISD</v>
          </cell>
          <cell r="D62">
            <v>1.1299999999999999</v>
          </cell>
          <cell r="E62">
            <v>1.84</v>
          </cell>
          <cell r="F62">
            <v>0.9</v>
          </cell>
          <cell r="G62">
            <v>0.86</v>
          </cell>
          <cell r="H62">
            <v>1.43</v>
          </cell>
          <cell r="I62">
            <v>0.94</v>
          </cell>
          <cell r="J62">
            <v>1.46</v>
          </cell>
        </row>
        <row r="63">
          <cell r="C63" t="str">
            <v>DESTILANDO AMORLMWJV</v>
          </cell>
          <cell r="D63">
            <v>2.5499999999999998</v>
          </cell>
          <cell r="E63">
            <v>0.91</v>
          </cell>
          <cell r="F63">
            <v>0.38</v>
          </cell>
          <cell r="G63">
            <v>0.89</v>
          </cell>
          <cell r="H63">
            <v>1.55</v>
          </cell>
          <cell r="I63">
            <v>2.33</v>
          </cell>
          <cell r="J63">
            <v>2.4</v>
          </cell>
        </row>
        <row r="64">
          <cell r="C64" t="str">
            <v>DESTILANDO AMORL</v>
          </cell>
          <cell r="D64">
            <v>2.95</v>
          </cell>
          <cell r="E64">
            <v>0.88</v>
          </cell>
          <cell r="F64">
            <v>0.3</v>
          </cell>
          <cell r="G64">
            <v>1.07</v>
          </cell>
          <cell r="H64">
            <v>1.65</v>
          </cell>
          <cell r="I64">
            <v>2.72</v>
          </cell>
          <cell r="J64">
            <v>2.41</v>
          </cell>
        </row>
        <row r="65">
          <cell r="C65" t="str">
            <v>DESTILANDO AMORM</v>
          </cell>
          <cell r="D65">
            <v>2.87</v>
          </cell>
          <cell r="E65">
            <v>0.85</v>
          </cell>
          <cell r="F65">
            <v>0.48</v>
          </cell>
          <cell r="G65">
            <v>0.97</v>
          </cell>
          <cell r="H65">
            <v>1.64</v>
          </cell>
          <cell r="I65">
            <v>2.66</v>
          </cell>
          <cell r="J65">
            <v>2.6</v>
          </cell>
        </row>
        <row r="66">
          <cell r="C66" t="str">
            <v>DESTILANDO AMORV</v>
          </cell>
          <cell r="D66">
            <v>2.2599999999999998</v>
          </cell>
          <cell r="E66">
            <v>1.2</v>
          </cell>
          <cell r="F66">
            <v>0.1</v>
          </cell>
          <cell r="G66">
            <v>0.63</v>
          </cell>
          <cell r="H66">
            <v>1.55</v>
          </cell>
          <cell r="I66">
            <v>1.97</v>
          </cell>
          <cell r="J66">
            <v>2.38</v>
          </cell>
        </row>
        <row r="67">
          <cell r="C67" t="str">
            <v>DESTILANDO AMORW</v>
          </cell>
          <cell r="D67">
            <v>2.54</v>
          </cell>
          <cell r="E67">
            <v>0.88</v>
          </cell>
          <cell r="F67">
            <v>0.14000000000000001</v>
          </cell>
          <cell r="G67">
            <v>0.97</v>
          </cell>
          <cell r="H67">
            <v>1.54</v>
          </cell>
          <cell r="I67">
            <v>2.38</v>
          </cell>
          <cell r="J67">
            <v>2.37</v>
          </cell>
        </row>
        <row r="68">
          <cell r="C68" t="str">
            <v>DESTILANDO AMORJ</v>
          </cell>
          <cell r="D68">
            <v>2.13</v>
          </cell>
          <cell r="E68">
            <v>0.79</v>
          </cell>
          <cell r="F68">
            <v>0.84</v>
          </cell>
          <cell r="G68">
            <v>0.83</v>
          </cell>
          <cell r="H68">
            <v>1.38</v>
          </cell>
          <cell r="I68">
            <v>1.9</v>
          </cell>
          <cell r="J68">
            <v>2.2200000000000002</v>
          </cell>
        </row>
        <row r="69">
          <cell r="C69" t="str">
            <v>DOCTOR HOUSE (R)LMWJVD</v>
          </cell>
          <cell r="D69">
            <v>1.81</v>
          </cell>
          <cell r="E69">
            <v>1.52</v>
          </cell>
          <cell r="F69">
            <v>0.33</v>
          </cell>
          <cell r="G69">
            <v>0.93</v>
          </cell>
          <cell r="H69">
            <v>1.71</v>
          </cell>
          <cell r="I69">
            <v>1.6</v>
          </cell>
          <cell r="J69">
            <v>1.52</v>
          </cell>
        </row>
        <row r="70">
          <cell r="C70" t="str">
            <v>DOCTOR HOUSE (R)M</v>
          </cell>
          <cell r="D70">
            <v>2.35</v>
          </cell>
          <cell r="E70">
            <v>1.51</v>
          </cell>
          <cell r="F70">
            <v>0.46</v>
          </cell>
          <cell r="G70">
            <v>1.29</v>
          </cell>
          <cell r="H70">
            <v>1.98</v>
          </cell>
          <cell r="I70">
            <v>2.0099999999999998</v>
          </cell>
          <cell r="J70">
            <v>1.7</v>
          </cell>
        </row>
        <row r="71">
          <cell r="C71" t="str">
            <v>DOCTOR HOUSE (R)J</v>
          </cell>
          <cell r="D71">
            <v>2.21</v>
          </cell>
          <cell r="E71">
            <v>1.43</v>
          </cell>
          <cell r="F71">
            <v>0.32</v>
          </cell>
          <cell r="G71">
            <v>0.9</v>
          </cell>
          <cell r="H71">
            <v>1.86</v>
          </cell>
          <cell r="I71">
            <v>1.96</v>
          </cell>
          <cell r="J71">
            <v>1.49</v>
          </cell>
        </row>
        <row r="72">
          <cell r="C72" t="str">
            <v>DOCTOR HOUSE (R)L</v>
          </cell>
          <cell r="D72">
            <v>1.65</v>
          </cell>
          <cell r="E72">
            <v>1.38</v>
          </cell>
          <cell r="F72">
            <v>0.61</v>
          </cell>
          <cell r="G72">
            <v>0.98</v>
          </cell>
          <cell r="H72">
            <v>1.68</v>
          </cell>
          <cell r="I72">
            <v>1.47</v>
          </cell>
          <cell r="J72">
            <v>1.33</v>
          </cell>
        </row>
        <row r="73">
          <cell r="C73" t="str">
            <v>DOCTOR HOUSE (R)W</v>
          </cell>
          <cell r="D73">
            <v>1.05</v>
          </cell>
          <cell r="E73">
            <v>2.0499999999999998</v>
          </cell>
          <cell r="F73">
            <v>0.02</v>
          </cell>
          <cell r="G73">
            <v>0.46</v>
          </cell>
          <cell r="H73">
            <v>1.56</v>
          </cell>
          <cell r="I73">
            <v>0.91</v>
          </cell>
          <cell r="J73">
            <v>1.67</v>
          </cell>
        </row>
        <row r="74">
          <cell r="C74" t="str">
            <v>DOCTOR HOUSE (R)D</v>
          </cell>
          <cell r="D74">
            <v>1.74</v>
          </cell>
          <cell r="E74">
            <v>1.18</v>
          </cell>
          <cell r="F74">
            <v>0.25</v>
          </cell>
          <cell r="G74">
            <v>1.1100000000000001</v>
          </cell>
          <cell r="H74">
            <v>1.53</v>
          </cell>
          <cell r="I74">
            <v>1.63</v>
          </cell>
          <cell r="J74">
            <v>1.37</v>
          </cell>
        </row>
        <row r="75">
          <cell r="C75" t="str">
            <v>DOCTOR HOUSE (R)V</v>
          </cell>
          <cell r="D75">
            <v>1.26</v>
          </cell>
          <cell r="E75">
            <v>1.27</v>
          </cell>
          <cell r="F75">
            <v>0</v>
          </cell>
          <cell r="G75">
            <v>0.48</v>
          </cell>
          <cell r="H75">
            <v>0.89</v>
          </cell>
          <cell r="I75">
            <v>1.17</v>
          </cell>
          <cell r="J75">
            <v>1.42</v>
          </cell>
        </row>
        <row r="76">
          <cell r="C76" t="str">
            <v>EL SECRETO DE PUENTE VIEJOLMWJV</v>
          </cell>
          <cell r="D76">
            <v>2.2999999999999998</v>
          </cell>
          <cell r="E76">
            <v>0.68</v>
          </cell>
          <cell r="F76">
            <v>0.6</v>
          </cell>
          <cell r="G76">
            <v>0.64</v>
          </cell>
          <cell r="H76">
            <v>1.4</v>
          </cell>
          <cell r="I76">
            <v>2.1</v>
          </cell>
          <cell r="J76">
            <v>1.52</v>
          </cell>
        </row>
        <row r="77">
          <cell r="C77" t="str">
            <v>EL SECRETO DE PUENTE VIEJOW</v>
          </cell>
          <cell r="D77">
            <v>2.4700000000000002</v>
          </cell>
          <cell r="E77">
            <v>0.81</v>
          </cell>
          <cell r="F77">
            <v>0.4</v>
          </cell>
          <cell r="G77">
            <v>0.69</v>
          </cell>
          <cell r="H77">
            <v>1.55</v>
          </cell>
          <cell r="I77">
            <v>2.2799999999999998</v>
          </cell>
          <cell r="J77">
            <v>1.67</v>
          </cell>
        </row>
        <row r="78">
          <cell r="C78" t="str">
            <v>EL SECRETO DE PUENTE VIEJOL</v>
          </cell>
          <cell r="D78">
            <v>2.11</v>
          </cell>
          <cell r="E78">
            <v>0.85</v>
          </cell>
          <cell r="F78">
            <v>0.46</v>
          </cell>
          <cell r="G78">
            <v>0.73</v>
          </cell>
          <cell r="H78">
            <v>1.42</v>
          </cell>
          <cell r="I78">
            <v>1.91</v>
          </cell>
          <cell r="J78">
            <v>1.5</v>
          </cell>
        </row>
        <row r="79">
          <cell r="C79" t="str">
            <v>EL SECRETO DE PUENTE VIEJOV</v>
          </cell>
          <cell r="D79">
            <v>2.44</v>
          </cell>
          <cell r="E79">
            <v>0.57999999999999996</v>
          </cell>
          <cell r="F79">
            <v>0.27</v>
          </cell>
          <cell r="G79">
            <v>0.63</v>
          </cell>
          <cell r="H79">
            <v>1.38</v>
          </cell>
          <cell r="I79">
            <v>2.11</v>
          </cell>
          <cell r="J79">
            <v>1.52</v>
          </cell>
        </row>
        <row r="80">
          <cell r="C80" t="str">
            <v>EL SECRETO DE PUENTE VIEJOJ</v>
          </cell>
          <cell r="D80">
            <v>2.02</v>
          </cell>
          <cell r="E80">
            <v>0.88</v>
          </cell>
          <cell r="F80">
            <v>1.07</v>
          </cell>
          <cell r="G80">
            <v>0.46</v>
          </cell>
          <cell r="H80">
            <v>1.37</v>
          </cell>
          <cell r="I80">
            <v>1.89</v>
          </cell>
          <cell r="J80">
            <v>1.53</v>
          </cell>
        </row>
        <row r="81">
          <cell r="C81" t="str">
            <v>EL SECRETO DE PUENTE VIEJOM</v>
          </cell>
          <cell r="D81">
            <v>2.38</v>
          </cell>
          <cell r="E81">
            <v>0.34</v>
          </cell>
          <cell r="F81">
            <v>0.75</v>
          </cell>
          <cell r="G81">
            <v>0.69</v>
          </cell>
          <cell r="H81">
            <v>1.29</v>
          </cell>
          <cell r="I81">
            <v>2.2400000000000002</v>
          </cell>
          <cell r="J81">
            <v>1.4</v>
          </cell>
        </row>
        <row r="82">
          <cell r="C82" t="str">
            <v>ENTRE PROGRAMASLMWJVSD</v>
          </cell>
          <cell r="D82">
            <v>1.79</v>
          </cell>
          <cell r="E82">
            <v>1.29</v>
          </cell>
          <cell r="F82">
            <v>0.33</v>
          </cell>
          <cell r="G82">
            <v>0.99</v>
          </cell>
          <cell r="H82">
            <v>1.47</v>
          </cell>
          <cell r="I82">
            <v>1.63</v>
          </cell>
          <cell r="J82">
            <v>1.43</v>
          </cell>
        </row>
        <row r="83">
          <cell r="C83" t="str">
            <v>ENTRE PROGRAMASM</v>
          </cell>
          <cell r="D83">
            <v>3</v>
          </cell>
          <cell r="E83">
            <v>1.77</v>
          </cell>
          <cell r="F83">
            <v>0.44</v>
          </cell>
          <cell r="G83">
            <v>1.6</v>
          </cell>
          <cell r="H83">
            <v>2.35</v>
          </cell>
          <cell r="I83">
            <v>2.68</v>
          </cell>
          <cell r="J83">
            <v>2.14</v>
          </cell>
        </row>
        <row r="84">
          <cell r="C84" t="str">
            <v>ENTRE PROGRAMASJ</v>
          </cell>
          <cell r="D84">
            <v>2.31</v>
          </cell>
          <cell r="E84">
            <v>1.77</v>
          </cell>
          <cell r="F84">
            <v>0.32</v>
          </cell>
          <cell r="G84">
            <v>1.23</v>
          </cell>
          <cell r="H84">
            <v>2.0099999999999998</v>
          </cell>
          <cell r="I84">
            <v>2.08</v>
          </cell>
          <cell r="J84">
            <v>1.83</v>
          </cell>
        </row>
        <row r="85">
          <cell r="C85" t="str">
            <v>ENTRE PROGRAMASD</v>
          </cell>
          <cell r="D85">
            <v>1.74</v>
          </cell>
          <cell r="E85">
            <v>0.87</v>
          </cell>
          <cell r="F85">
            <v>0.28999999999999998</v>
          </cell>
          <cell r="G85">
            <v>0.96</v>
          </cell>
          <cell r="H85">
            <v>1.3</v>
          </cell>
          <cell r="I85">
            <v>1.59</v>
          </cell>
          <cell r="J85">
            <v>1.17</v>
          </cell>
        </row>
        <row r="86">
          <cell r="C86" t="str">
            <v>ENTRE PROGRAMASL</v>
          </cell>
          <cell r="D86">
            <v>1.49</v>
          </cell>
          <cell r="E86">
            <v>0.99</v>
          </cell>
          <cell r="F86">
            <v>0.44</v>
          </cell>
          <cell r="G86">
            <v>1.24</v>
          </cell>
          <cell r="H86">
            <v>1.25</v>
          </cell>
          <cell r="I86">
            <v>1.39</v>
          </cell>
          <cell r="J86">
            <v>1.05</v>
          </cell>
        </row>
        <row r="87">
          <cell r="C87" t="str">
            <v>ENTRE PROGRAMASS</v>
          </cell>
          <cell r="D87">
            <v>1.1000000000000001</v>
          </cell>
          <cell r="E87">
            <v>1.42</v>
          </cell>
          <cell r="F87">
            <v>0.49</v>
          </cell>
          <cell r="G87">
            <v>0.83</v>
          </cell>
          <cell r="H87">
            <v>1.1499999999999999</v>
          </cell>
          <cell r="I87">
            <v>0.99</v>
          </cell>
          <cell r="J87">
            <v>1.24</v>
          </cell>
        </row>
        <row r="88">
          <cell r="C88" t="str">
            <v>ENTRE PROGRAMASW</v>
          </cell>
          <cell r="D88">
            <v>1.21</v>
          </cell>
          <cell r="E88">
            <v>1.51</v>
          </cell>
          <cell r="F88">
            <v>0.25</v>
          </cell>
          <cell r="G88">
            <v>0.45</v>
          </cell>
          <cell r="H88">
            <v>1.1200000000000001</v>
          </cell>
          <cell r="I88">
            <v>1.1200000000000001</v>
          </cell>
          <cell r="J88">
            <v>1.48</v>
          </cell>
        </row>
        <row r="89">
          <cell r="C89" t="str">
            <v>ENTRE PROGRAMASV</v>
          </cell>
          <cell r="D89">
            <v>0.72</v>
          </cell>
          <cell r="E89">
            <v>1.1000000000000001</v>
          </cell>
          <cell r="F89">
            <v>0</v>
          </cell>
          <cell r="G89">
            <v>0.21</v>
          </cell>
          <cell r="H89">
            <v>0.74</v>
          </cell>
          <cell r="I89">
            <v>0.59</v>
          </cell>
          <cell r="J89">
            <v>0.78</v>
          </cell>
        </row>
        <row r="90">
          <cell r="C90" t="str">
            <v>ESA NO SOY YOLMWJV</v>
          </cell>
          <cell r="D90">
            <v>2.2000000000000002</v>
          </cell>
          <cell r="E90">
            <v>1.04</v>
          </cell>
          <cell r="F90">
            <v>0.56999999999999995</v>
          </cell>
          <cell r="G90">
            <v>0.81</v>
          </cell>
          <cell r="H90">
            <v>1.53</v>
          </cell>
          <cell r="I90">
            <v>2.06</v>
          </cell>
          <cell r="J90">
            <v>2.06</v>
          </cell>
        </row>
        <row r="91">
          <cell r="C91" t="str">
            <v>ESA NO SOY YOV</v>
          </cell>
          <cell r="D91">
            <v>2.1800000000000002</v>
          </cell>
          <cell r="E91">
            <v>1.53</v>
          </cell>
          <cell r="F91">
            <v>0.43</v>
          </cell>
          <cell r="G91">
            <v>0.95</v>
          </cell>
          <cell r="H91">
            <v>1.86</v>
          </cell>
          <cell r="I91">
            <v>2.0299999999999998</v>
          </cell>
          <cell r="J91">
            <v>2.66</v>
          </cell>
        </row>
        <row r="92">
          <cell r="C92" t="str">
            <v>ESA NO SOY YOM</v>
          </cell>
          <cell r="D92">
            <v>2.5299999999999998</v>
          </cell>
          <cell r="E92">
            <v>0.91</v>
          </cell>
          <cell r="F92">
            <v>0.66</v>
          </cell>
          <cell r="G92">
            <v>0.93</v>
          </cell>
          <cell r="H92">
            <v>1.61</v>
          </cell>
          <cell r="I92">
            <v>2.38</v>
          </cell>
          <cell r="J92">
            <v>2.14</v>
          </cell>
        </row>
        <row r="93">
          <cell r="C93" t="str">
            <v>ESA NO SOY YOL</v>
          </cell>
          <cell r="D93">
            <v>2.2000000000000002</v>
          </cell>
          <cell r="E93">
            <v>1.21</v>
          </cell>
          <cell r="F93">
            <v>0.57999999999999996</v>
          </cell>
          <cell r="G93">
            <v>0.79</v>
          </cell>
          <cell r="H93">
            <v>1.56</v>
          </cell>
          <cell r="I93">
            <v>2.0699999999999998</v>
          </cell>
          <cell r="J93">
            <v>2.0099999999999998</v>
          </cell>
        </row>
        <row r="94">
          <cell r="C94" t="str">
            <v>ESA NO SOY YOW</v>
          </cell>
          <cell r="D94">
            <v>2.13</v>
          </cell>
          <cell r="E94">
            <v>0.93</v>
          </cell>
          <cell r="F94">
            <v>0.42</v>
          </cell>
          <cell r="G94">
            <v>0.76</v>
          </cell>
          <cell r="H94">
            <v>1.45</v>
          </cell>
          <cell r="I94">
            <v>2.04</v>
          </cell>
          <cell r="J94">
            <v>2.0099999999999998</v>
          </cell>
        </row>
        <row r="95">
          <cell r="C95" t="str">
            <v>ESA NO SOY YOJ</v>
          </cell>
          <cell r="D95">
            <v>1.89</v>
          </cell>
          <cell r="E95">
            <v>0.9</v>
          </cell>
          <cell r="F95">
            <v>0.72</v>
          </cell>
          <cell r="G95">
            <v>0.67</v>
          </cell>
          <cell r="H95">
            <v>1.33</v>
          </cell>
          <cell r="I95">
            <v>1.71</v>
          </cell>
          <cell r="J95">
            <v>1.75</v>
          </cell>
        </row>
        <row r="96">
          <cell r="C96" t="str">
            <v>ESA NO SOY YO (RESUMEN)LMWJV</v>
          </cell>
          <cell r="D96">
            <v>1.72</v>
          </cell>
          <cell r="E96">
            <v>0.9</v>
          </cell>
          <cell r="F96">
            <v>0.5</v>
          </cell>
          <cell r="G96">
            <v>0.79</v>
          </cell>
          <cell r="H96">
            <v>1.3</v>
          </cell>
          <cell r="I96">
            <v>1.61</v>
          </cell>
          <cell r="J96">
            <v>1.36</v>
          </cell>
        </row>
        <row r="97">
          <cell r="C97" t="str">
            <v>ESA NO SOY YO (RESUMEN)V</v>
          </cell>
          <cell r="D97">
            <v>1.87</v>
          </cell>
          <cell r="E97">
            <v>1.01</v>
          </cell>
          <cell r="F97">
            <v>0.38</v>
          </cell>
          <cell r="G97">
            <v>0.55000000000000004</v>
          </cell>
          <cell r="H97">
            <v>1.57</v>
          </cell>
          <cell r="I97">
            <v>1.74</v>
          </cell>
          <cell r="J97">
            <v>1.67</v>
          </cell>
        </row>
        <row r="98">
          <cell r="C98" t="str">
            <v>ESA NO SOY YO (RESUMEN)L</v>
          </cell>
          <cell r="D98">
            <v>1.77</v>
          </cell>
          <cell r="E98">
            <v>1.04</v>
          </cell>
          <cell r="F98">
            <v>0.36</v>
          </cell>
          <cell r="G98">
            <v>0.85</v>
          </cell>
          <cell r="H98">
            <v>1.44</v>
          </cell>
          <cell r="I98">
            <v>1.6</v>
          </cell>
          <cell r="J98">
            <v>1.41</v>
          </cell>
        </row>
        <row r="99">
          <cell r="C99" t="str">
            <v>ESA NO SOY YO (RESUMEN)M</v>
          </cell>
          <cell r="D99">
            <v>1.96</v>
          </cell>
          <cell r="E99">
            <v>0.76</v>
          </cell>
          <cell r="F99">
            <v>0.6</v>
          </cell>
          <cell r="G99">
            <v>0.8</v>
          </cell>
          <cell r="H99">
            <v>1.37</v>
          </cell>
          <cell r="I99">
            <v>1.81</v>
          </cell>
          <cell r="J99">
            <v>1.39</v>
          </cell>
        </row>
        <row r="100">
          <cell r="C100" t="str">
            <v>ESA NO SOY YO (RESUMEN)W</v>
          </cell>
          <cell r="D100">
            <v>1.72</v>
          </cell>
          <cell r="E100">
            <v>0.97</v>
          </cell>
          <cell r="F100">
            <v>0.41</v>
          </cell>
          <cell r="G100">
            <v>0.99</v>
          </cell>
          <cell r="H100">
            <v>1.23</v>
          </cell>
          <cell r="I100">
            <v>1.72</v>
          </cell>
          <cell r="J100">
            <v>1.45</v>
          </cell>
        </row>
        <row r="101">
          <cell r="C101" t="str">
            <v>ESA NO SOY YO (RESUMEN)J</v>
          </cell>
          <cell r="D101">
            <v>1.33</v>
          </cell>
          <cell r="E101">
            <v>0.72</v>
          </cell>
          <cell r="F101">
            <v>0.75</v>
          </cell>
          <cell r="G101">
            <v>0.61</v>
          </cell>
          <cell r="H101">
            <v>1.01</v>
          </cell>
          <cell r="I101">
            <v>1.17</v>
          </cell>
          <cell r="J101">
            <v>0.99</v>
          </cell>
        </row>
        <row r="102">
          <cell r="C102" t="str">
            <v>ESTADO NACIONALD</v>
          </cell>
          <cell r="D102">
            <v>1.56</v>
          </cell>
          <cell r="E102">
            <v>0.83</v>
          </cell>
          <cell r="F102">
            <v>0.12</v>
          </cell>
          <cell r="G102">
            <v>0.81</v>
          </cell>
          <cell r="H102">
            <v>1.28</v>
          </cell>
          <cell r="I102">
            <v>1.64</v>
          </cell>
          <cell r="J102">
            <v>1.07</v>
          </cell>
        </row>
        <row r="103">
          <cell r="C103" t="str">
            <v>ESTADO NACIONALD</v>
          </cell>
          <cell r="D103">
            <v>1.56</v>
          </cell>
          <cell r="E103">
            <v>0.83</v>
          </cell>
          <cell r="F103">
            <v>0.12</v>
          </cell>
          <cell r="G103">
            <v>0.81</v>
          </cell>
          <cell r="H103">
            <v>1.28</v>
          </cell>
          <cell r="I103">
            <v>1.64</v>
          </cell>
          <cell r="J103">
            <v>1.07</v>
          </cell>
        </row>
        <row r="104">
          <cell r="C104" t="str">
            <v>FRUTOS DEL PAISD</v>
          </cell>
          <cell r="D104">
            <v>2.19</v>
          </cell>
          <cell r="E104">
            <v>1.76</v>
          </cell>
          <cell r="F104">
            <v>0.14000000000000001</v>
          </cell>
          <cell r="G104">
            <v>0.95</v>
          </cell>
          <cell r="H104">
            <v>1.66</v>
          </cell>
          <cell r="I104">
            <v>1.96</v>
          </cell>
          <cell r="J104">
            <v>2.12</v>
          </cell>
        </row>
        <row r="105">
          <cell r="C105" t="str">
            <v>FRUTOS DEL PAISD</v>
          </cell>
          <cell r="D105">
            <v>2.19</v>
          </cell>
          <cell r="E105">
            <v>1.76</v>
          </cell>
          <cell r="F105">
            <v>0.14000000000000001</v>
          </cell>
          <cell r="G105">
            <v>0.95</v>
          </cell>
          <cell r="H105">
            <v>1.66</v>
          </cell>
          <cell r="I105">
            <v>1.96</v>
          </cell>
          <cell r="J105">
            <v>2.12</v>
          </cell>
        </row>
        <row r="106">
          <cell r="C106" t="str">
            <v>FRUTOS DEL PAIS (R)D</v>
          </cell>
          <cell r="D106">
            <v>2.2200000000000002</v>
          </cell>
          <cell r="E106">
            <v>1.4</v>
          </cell>
          <cell r="F106">
            <v>0.18</v>
          </cell>
          <cell r="G106">
            <v>1.05</v>
          </cell>
          <cell r="H106">
            <v>1.71</v>
          </cell>
          <cell r="I106">
            <v>2</v>
          </cell>
          <cell r="J106">
            <v>1.89</v>
          </cell>
        </row>
        <row r="107">
          <cell r="C107" t="str">
            <v>FRUTOS DEL PAIS (R)D</v>
          </cell>
          <cell r="D107">
            <v>2.2200000000000002</v>
          </cell>
          <cell r="E107">
            <v>1.4</v>
          </cell>
          <cell r="F107">
            <v>0.18</v>
          </cell>
          <cell r="G107">
            <v>1.05</v>
          </cell>
          <cell r="H107">
            <v>1.71</v>
          </cell>
          <cell r="I107">
            <v>2</v>
          </cell>
          <cell r="J107">
            <v>1.89</v>
          </cell>
        </row>
        <row r="108">
          <cell r="C108" t="str">
            <v>GRANDES PELICULASS</v>
          </cell>
          <cell r="D108">
            <v>1.79</v>
          </cell>
          <cell r="E108">
            <v>0.64</v>
          </cell>
          <cell r="F108">
            <v>0</v>
          </cell>
          <cell r="G108">
            <v>0.24</v>
          </cell>
          <cell r="H108">
            <v>1.25</v>
          </cell>
          <cell r="I108">
            <v>1.64</v>
          </cell>
          <cell r="J108">
            <v>1</v>
          </cell>
        </row>
        <row r="109">
          <cell r="C109" t="str">
            <v>GRANDES PELICULASS</v>
          </cell>
          <cell r="D109">
            <v>1.79</v>
          </cell>
          <cell r="E109">
            <v>0.64</v>
          </cell>
          <cell r="F109">
            <v>0</v>
          </cell>
          <cell r="G109">
            <v>0.24</v>
          </cell>
          <cell r="H109">
            <v>1.25</v>
          </cell>
          <cell r="I109">
            <v>1.64</v>
          </cell>
          <cell r="J109">
            <v>1</v>
          </cell>
        </row>
        <row r="110">
          <cell r="C110" t="str">
            <v>HABITANTES DEL PACIFICO (R)D</v>
          </cell>
          <cell r="D110">
            <v>2.5</v>
          </cell>
          <cell r="E110">
            <v>1.41</v>
          </cell>
          <cell r="F110">
            <v>0.3</v>
          </cell>
          <cell r="G110">
            <v>0.88</v>
          </cell>
          <cell r="H110">
            <v>1.43</v>
          </cell>
          <cell r="I110">
            <v>2.11</v>
          </cell>
          <cell r="J110">
            <v>1.71</v>
          </cell>
        </row>
        <row r="111">
          <cell r="C111" t="str">
            <v>HABITANTES DEL PACIFICO (R)D</v>
          </cell>
          <cell r="D111">
            <v>2.5</v>
          </cell>
          <cell r="E111">
            <v>1.41</v>
          </cell>
          <cell r="F111">
            <v>0.3</v>
          </cell>
          <cell r="G111">
            <v>0.88</v>
          </cell>
          <cell r="H111">
            <v>1.43</v>
          </cell>
          <cell r="I111">
            <v>2.11</v>
          </cell>
          <cell r="J111">
            <v>1.71</v>
          </cell>
        </row>
        <row r="112">
          <cell r="C112" t="str">
            <v>HISTORIA DE UN OSOS</v>
          </cell>
          <cell r="D112">
            <v>4.17</v>
          </cell>
          <cell r="E112">
            <v>2.0499999999999998</v>
          </cell>
          <cell r="F112">
            <v>0</v>
          </cell>
          <cell r="G112">
            <v>3.2</v>
          </cell>
          <cell r="H112">
            <v>3.36</v>
          </cell>
          <cell r="I112">
            <v>4.22</v>
          </cell>
          <cell r="J112">
            <v>2.67</v>
          </cell>
        </row>
        <row r="113">
          <cell r="C113" t="str">
            <v>HISTORIA DE UN OSOS</v>
          </cell>
          <cell r="D113">
            <v>4.17</v>
          </cell>
          <cell r="E113">
            <v>2.0499999999999998</v>
          </cell>
          <cell r="F113">
            <v>0</v>
          </cell>
          <cell r="G113">
            <v>3.2</v>
          </cell>
          <cell r="H113">
            <v>3.36</v>
          </cell>
          <cell r="I113">
            <v>4.22</v>
          </cell>
          <cell r="J113">
            <v>2.67</v>
          </cell>
        </row>
        <row r="114">
          <cell r="C114" t="str">
            <v>HORACIO Y LOS PLASTICINESS</v>
          </cell>
          <cell r="D114">
            <v>0.76</v>
          </cell>
          <cell r="E114">
            <v>0.13</v>
          </cell>
          <cell r="F114">
            <v>0</v>
          </cell>
          <cell r="G114">
            <v>0.06</v>
          </cell>
          <cell r="H114">
            <v>0.42</v>
          </cell>
          <cell r="I114">
            <v>0.63</v>
          </cell>
          <cell r="J114">
            <v>0.27</v>
          </cell>
        </row>
        <row r="115">
          <cell r="C115" t="str">
            <v>HORACIO Y LOS PLASTICINESS</v>
          </cell>
          <cell r="D115">
            <v>0.76</v>
          </cell>
          <cell r="E115">
            <v>0.13</v>
          </cell>
          <cell r="F115">
            <v>0</v>
          </cell>
          <cell r="G115">
            <v>0.06</v>
          </cell>
          <cell r="H115">
            <v>0.42</v>
          </cell>
          <cell r="I115">
            <v>0.63</v>
          </cell>
          <cell r="J115">
            <v>0.27</v>
          </cell>
        </row>
        <row r="116">
          <cell r="C116" t="str">
            <v>JOSE DE EGIPTOV</v>
          </cell>
          <cell r="D116">
            <v>3.22</v>
          </cell>
          <cell r="E116">
            <v>1.86</v>
          </cell>
          <cell r="F116">
            <v>1.22</v>
          </cell>
          <cell r="G116">
            <v>1.39</v>
          </cell>
          <cell r="H116">
            <v>2.62</v>
          </cell>
          <cell r="I116">
            <v>2.89</v>
          </cell>
          <cell r="J116">
            <v>2.5499999999999998</v>
          </cell>
        </row>
        <row r="117">
          <cell r="C117" t="str">
            <v>JOSE DE EGIPTOV</v>
          </cell>
          <cell r="D117">
            <v>3.22</v>
          </cell>
          <cell r="E117">
            <v>1.86</v>
          </cell>
          <cell r="F117">
            <v>1.22</v>
          </cell>
          <cell r="G117">
            <v>1.39</v>
          </cell>
          <cell r="H117">
            <v>2.62</v>
          </cell>
          <cell r="I117">
            <v>2.89</v>
          </cell>
          <cell r="J117">
            <v>2.5499999999999998</v>
          </cell>
        </row>
        <row r="118">
          <cell r="C118" t="str">
            <v>LA CULTURA ENTRETENIDAD</v>
          </cell>
          <cell r="D118">
            <v>1.78</v>
          </cell>
          <cell r="E118">
            <v>1.27</v>
          </cell>
          <cell r="F118">
            <v>0.3</v>
          </cell>
          <cell r="G118">
            <v>0.77</v>
          </cell>
          <cell r="H118">
            <v>1.22</v>
          </cell>
          <cell r="I118">
            <v>1.6</v>
          </cell>
          <cell r="J118">
            <v>1.62</v>
          </cell>
        </row>
        <row r="119">
          <cell r="C119" t="str">
            <v>LA CULTURA ENTRETENIDAD</v>
          </cell>
          <cell r="D119">
            <v>1.78</v>
          </cell>
          <cell r="E119">
            <v>1.27</v>
          </cell>
          <cell r="F119">
            <v>0.3</v>
          </cell>
          <cell r="G119">
            <v>0.77</v>
          </cell>
          <cell r="H119">
            <v>1.22</v>
          </cell>
          <cell r="I119">
            <v>1.6</v>
          </cell>
          <cell r="J119">
            <v>1.62</v>
          </cell>
        </row>
        <row r="120">
          <cell r="C120" t="str">
            <v>MEDIA NOCHELMWJV</v>
          </cell>
          <cell r="D120">
            <v>1.84</v>
          </cell>
          <cell r="E120">
            <v>1.61</v>
          </cell>
          <cell r="F120">
            <v>0.28999999999999998</v>
          </cell>
          <cell r="G120">
            <v>0.92</v>
          </cell>
          <cell r="H120">
            <v>1.65</v>
          </cell>
          <cell r="I120">
            <v>1.63</v>
          </cell>
          <cell r="J120">
            <v>1.56</v>
          </cell>
        </row>
        <row r="121">
          <cell r="C121" t="str">
            <v>MEDIA NOCHEJ</v>
          </cell>
          <cell r="D121">
            <v>2.7</v>
          </cell>
          <cell r="E121">
            <v>1.66</v>
          </cell>
          <cell r="F121">
            <v>0.53</v>
          </cell>
          <cell r="G121">
            <v>1.05</v>
          </cell>
          <cell r="H121">
            <v>2.15</v>
          </cell>
          <cell r="I121">
            <v>2.4500000000000002</v>
          </cell>
          <cell r="J121">
            <v>1.86</v>
          </cell>
        </row>
        <row r="122">
          <cell r="C122" t="str">
            <v>MEDIA NOCHEM</v>
          </cell>
          <cell r="D122">
            <v>2.3199999999999998</v>
          </cell>
          <cell r="E122">
            <v>1.57</v>
          </cell>
          <cell r="F122">
            <v>0.43</v>
          </cell>
          <cell r="G122">
            <v>0.98</v>
          </cell>
          <cell r="H122">
            <v>1.89</v>
          </cell>
          <cell r="I122">
            <v>1.95</v>
          </cell>
          <cell r="J122">
            <v>1.65</v>
          </cell>
        </row>
        <row r="123">
          <cell r="C123" t="str">
            <v>MEDIA NOCHEL</v>
          </cell>
          <cell r="D123">
            <v>1.93</v>
          </cell>
          <cell r="E123">
            <v>1.5</v>
          </cell>
          <cell r="F123">
            <v>0.27</v>
          </cell>
          <cell r="G123">
            <v>1.67</v>
          </cell>
          <cell r="H123">
            <v>1.86</v>
          </cell>
          <cell r="I123">
            <v>1.77</v>
          </cell>
          <cell r="J123">
            <v>1.5</v>
          </cell>
        </row>
        <row r="124">
          <cell r="C124" t="str">
            <v>MEDIA NOCHEW</v>
          </cell>
          <cell r="D124">
            <v>1.1499999999999999</v>
          </cell>
          <cell r="E124">
            <v>1.97</v>
          </cell>
          <cell r="F124">
            <v>0.12</v>
          </cell>
          <cell r="G124">
            <v>0.54</v>
          </cell>
          <cell r="H124">
            <v>1.31</v>
          </cell>
          <cell r="I124">
            <v>1.01</v>
          </cell>
          <cell r="J124">
            <v>1.65</v>
          </cell>
        </row>
        <row r="125">
          <cell r="C125" t="str">
            <v>MEDIA NOCHEV</v>
          </cell>
          <cell r="D125">
            <v>0.89</v>
          </cell>
          <cell r="E125">
            <v>1.02</v>
          </cell>
          <cell r="F125">
            <v>0.01</v>
          </cell>
          <cell r="G125">
            <v>0.28000000000000003</v>
          </cell>
          <cell r="H125">
            <v>0.77</v>
          </cell>
          <cell r="I125">
            <v>0.79</v>
          </cell>
          <cell r="J125">
            <v>0.84</v>
          </cell>
        </row>
        <row r="126">
          <cell r="C126" t="str">
            <v>MELO Y ASTORGAS</v>
          </cell>
          <cell r="D126">
            <v>1.7</v>
          </cell>
          <cell r="E126">
            <v>0.91</v>
          </cell>
          <cell r="F126">
            <v>0.21</v>
          </cell>
          <cell r="G126">
            <v>0.78</v>
          </cell>
          <cell r="H126">
            <v>1.1200000000000001</v>
          </cell>
          <cell r="I126">
            <v>1.59</v>
          </cell>
          <cell r="J126">
            <v>1.1100000000000001</v>
          </cell>
        </row>
        <row r="127">
          <cell r="C127" t="str">
            <v>MELO Y ASTORGAS</v>
          </cell>
          <cell r="D127">
            <v>1.7</v>
          </cell>
          <cell r="E127">
            <v>0.91</v>
          </cell>
          <cell r="F127">
            <v>0.21</v>
          </cell>
          <cell r="G127">
            <v>0.78</v>
          </cell>
          <cell r="H127">
            <v>1.1200000000000001</v>
          </cell>
          <cell r="I127">
            <v>1.59</v>
          </cell>
          <cell r="J127">
            <v>1.1100000000000001</v>
          </cell>
        </row>
        <row r="128">
          <cell r="C128" t="str">
            <v>MIRADA ECONOMICAD</v>
          </cell>
          <cell r="D128">
            <v>0.49</v>
          </cell>
          <cell r="E128">
            <v>0.09</v>
          </cell>
          <cell r="F128">
            <v>0</v>
          </cell>
          <cell r="G128">
            <v>0.22</v>
          </cell>
          <cell r="H128">
            <v>0.28999999999999998</v>
          </cell>
          <cell r="I128">
            <v>0.44</v>
          </cell>
          <cell r="J128">
            <v>0.22</v>
          </cell>
        </row>
        <row r="129">
          <cell r="C129" t="str">
            <v>MIRADA ECONOMICAD</v>
          </cell>
          <cell r="D129">
            <v>0.49</v>
          </cell>
          <cell r="E129">
            <v>0.09</v>
          </cell>
          <cell r="F129">
            <v>0</v>
          </cell>
          <cell r="G129">
            <v>0.22</v>
          </cell>
          <cell r="H129">
            <v>0.28999999999999998</v>
          </cell>
          <cell r="I129">
            <v>0.44</v>
          </cell>
          <cell r="J129">
            <v>0.22</v>
          </cell>
        </row>
        <row r="130">
          <cell r="C130" t="str">
            <v>MOISES LOS 10 MANDAMIENTOSLMWJD</v>
          </cell>
          <cell r="D130">
            <v>8.0299999999999994</v>
          </cell>
          <cell r="E130">
            <v>4.16</v>
          </cell>
          <cell r="F130">
            <v>1.4</v>
          </cell>
          <cell r="G130">
            <v>3.04</v>
          </cell>
          <cell r="H130">
            <v>6.05</v>
          </cell>
          <cell r="I130">
            <v>7.18</v>
          </cell>
          <cell r="J130">
            <v>5.35</v>
          </cell>
        </row>
        <row r="131">
          <cell r="C131" t="str">
            <v>MOISES LOS 10 MANDAMIENTOSLMWj</v>
          </cell>
          <cell r="D131">
            <v>7.8449999999999998</v>
          </cell>
          <cell r="E131">
            <v>3.9775</v>
          </cell>
          <cell r="F131">
            <v>1.3325</v>
          </cell>
          <cell r="G131">
            <v>3.1375000000000002</v>
          </cell>
          <cell r="H131">
            <v>5.98</v>
          </cell>
          <cell r="I131">
            <v>7.0549999999999997</v>
          </cell>
          <cell r="J131">
            <v>5.2349999999999994</v>
          </cell>
        </row>
        <row r="132">
          <cell r="C132" t="str">
            <v>MOISES LOS 10 MANDAMIENTOSD</v>
          </cell>
          <cell r="D132">
            <v>8.86</v>
          </cell>
          <cell r="E132">
            <v>4.87</v>
          </cell>
          <cell r="F132">
            <v>1.76</v>
          </cell>
          <cell r="G132">
            <v>3.03</v>
          </cell>
          <cell r="H132">
            <v>6.4</v>
          </cell>
          <cell r="I132">
            <v>7.81</v>
          </cell>
          <cell r="J132">
            <v>5.77</v>
          </cell>
        </row>
        <row r="133">
          <cell r="C133" t="str">
            <v>MOISES LOS 10 MANDAMIENTOSL</v>
          </cell>
          <cell r="D133">
            <v>8.32</v>
          </cell>
          <cell r="E133">
            <v>4.09</v>
          </cell>
          <cell r="F133">
            <v>1.58</v>
          </cell>
          <cell r="G133">
            <v>3.3</v>
          </cell>
          <cell r="H133">
            <v>6.4</v>
          </cell>
          <cell r="I133">
            <v>7.49</v>
          </cell>
          <cell r="J133">
            <v>5.5</v>
          </cell>
        </row>
        <row r="134">
          <cell r="C134" t="str">
            <v>MOISES LOS 10 MANDAMIENTOSW</v>
          </cell>
          <cell r="D134">
            <v>8.0299999999999994</v>
          </cell>
          <cell r="E134">
            <v>4.29</v>
          </cell>
          <cell r="F134">
            <v>1.1100000000000001</v>
          </cell>
          <cell r="G134">
            <v>2.7</v>
          </cell>
          <cell r="H134">
            <v>6.03</v>
          </cell>
          <cell r="I134">
            <v>7.09</v>
          </cell>
          <cell r="J134">
            <v>5.65</v>
          </cell>
        </row>
        <row r="135">
          <cell r="C135" t="str">
            <v>MOISES LOS 10 MANDAMIENTOSJ</v>
          </cell>
          <cell r="D135">
            <v>7.63</v>
          </cell>
          <cell r="E135">
            <v>3.75</v>
          </cell>
          <cell r="F135">
            <v>1.17</v>
          </cell>
          <cell r="G135">
            <v>3.75</v>
          </cell>
          <cell r="H135">
            <v>5.87</v>
          </cell>
          <cell r="I135">
            <v>7</v>
          </cell>
          <cell r="J135">
            <v>4.9800000000000004</v>
          </cell>
        </row>
        <row r="136">
          <cell r="C136" t="str">
            <v>MOISES LOS 10 MANDAMIENTOSM</v>
          </cell>
          <cell r="D136">
            <v>7.4</v>
          </cell>
          <cell r="E136">
            <v>3.78</v>
          </cell>
          <cell r="F136">
            <v>1.47</v>
          </cell>
          <cell r="G136">
            <v>2.8</v>
          </cell>
          <cell r="H136">
            <v>5.62</v>
          </cell>
          <cell r="I136">
            <v>6.64</v>
          </cell>
          <cell r="J136">
            <v>4.8099999999999996</v>
          </cell>
        </row>
        <row r="137">
          <cell r="C137" t="str">
            <v>MOISES LOS 10 MANDAMIENTOS (RELMWJSD</v>
          </cell>
          <cell r="D137">
            <v>4.09</v>
          </cell>
          <cell r="E137">
            <v>1.97</v>
          </cell>
          <cell r="F137">
            <v>0.75</v>
          </cell>
          <cell r="G137">
            <v>1.52</v>
          </cell>
          <cell r="H137">
            <v>2.9</v>
          </cell>
          <cell r="I137">
            <v>3.64</v>
          </cell>
          <cell r="J137">
            <v>2.6</v>
          </cell>
        </row>
        <row r="138">
          <cell r="C138" t="str">
            <v>MOISES LOS 10 MANDAMIENTOS (RED</v>
          </cell>
          <cell r="D138">
            <v>7.87</v>
          </cell>
          <cell r="E138">
            <v>3.88</v>
          </cell>
          <cell r="F138">
            <v>0.88</v>
          </cell>
          <cell r="G138">
            <v>2.64</v>
          </cell>
          <cell r="H138">
            <v>5.39</v>
          </cell>
          <cell r="I138">
            <v>6.79</v>
          </cell>
          <cell r="J138">
            <v>4.87</v>
          </cell>
        </row>
        <row r="139">
          <cell r="C139" t="str">
            <v>MOISES LOS 10 MANDAMIENTOS (REL</v>
          </cell>
          <cell r="D139">
            <v>6.52</v>
          </cell>
          <cell r="E139">
            <v>3.91</v>
          </cell>
          <cell r="F139">
            <v>1.22</v>
          </cell>
          <cell r="G139">
            <v>3.57</v>
          </cell>
          <cell r="H139">
            <v>5.31</v>
          </cell>
          <cell r="I139">
            <v>5.94</v>
          </cell>
          <cell r="J139">
            <v>4.5999999999999996</v>
          </cell>
        </row>
        <row r="140">
          <cell r="C140" t="str">
            <v>MOISES LOS 10 MANDAMIENTOS (REW</v>
          </cell>
          <cell r="D140">
            <v>6.72</v>
          </cell>
          <cell r="E140">
            <v>3.19</v>
          </cell>
          <cell r="F140">
            <v>1</v>
          </cell>
          <cell r="G140">
            <v>2.19</v>
          </cell>
          <cell r="H140">
            <v>4.8</v>
          </cell>
          <cell r="I140">
            <v>6.01</v>
          </cell>
          <cell r="J140">
            <v>4.3099999999999996</v>
          </cell>
        </row>
        <row r="141">
          <cell r="C141" t="str">
            <v>MOISES LOS 10 MANDAMIENTOS (REM</v>
          </cell>
          <cell r="D141">
            <v>6.17</v>
          </cell>
          <cell r="E141">
            <v>3.19</v>
          </cell>
          <cell r="F141">
            <v>1.1499999999999999</v>
          </cell>
          <cell r="G141">
            <v>2.52</v>
          </cell>
          <cell r="H141">
            <v>4.5599999999999996</v>
          </cell>
          <cell r="I141">
            <v>5.53</v>
          </cell>
          <cell r="J141">
            <v>4.13</v>
          </cell>
        </row>
        <row r="142">
          <cell r="C142" t="str">
            <v>MOISES LOS 10 MANDAMIENTOS (REJ</v>
          </cell>
          <cell r="D142">
            <v>5.01</v>
          </cell>
          <cell r="E142">
            <v>2.0699999999999998</v>
          </cell>
          <cell r="F142">
            <v>1.29</v>
          </cell>
          <cell r="G142">
            <v>1.52</v>
          </cell>
          <cell r="H142">
            <v>3.65</v>
          </cell>
          <cell r="I142">
            <v>4.5999999999999996</v>
          </cell>
          <cell r="J142">
            <v>3.05</v>
          </cell>
        </row>
        <row r="143">
          <cell r="C143" t="str">
            <v>MOISES LOS 10 MANDAMIENTOS (RES</v>
          </cell>
          <cell r="D143">
            <v>1.67</v>
          </cell>
          <cell r="E143">
            <v>0.71</v>
          </cell>
          <cell r="F143">
            <v>0.32</v>
          </cell>
          <cell r="G143">
            <v>0.57999999999999996</v>
          </cell>
          <cell r="H143">
            <v>1</v>
          </cell>
          <cell r="I143">
            <v>1.43</v>
          </cell>
          <cell r="J143">
            <v>0.98</v>
          </cell>
        </row>
        <row r="144">
          <cell r="C144" t="str">
            <v>NOTICREOS</v>
          </cell>
          <cell r="D144">
            <v>0.56999999999999995</v>
          </cell>
          <cell r="E144">
            <v>0.35</v>
          </cell>
          <cell r="F144">
            <v>0.05</v>
          </cell>
          <cell r="G144">
            <v>0.36</v>
          </cell>
          <cell r="H144">
            <v>0.53</v>
          </cell>
          <cell r="I144">
            <v>0.57999999999999996</v>
          </cell>
          <cell r="J144">
            <v>0.39</v>
          </cell>
        </row>
        <row r="145">
          <cell r="C145" t="str">
            <v>NOTICREOS</v>
          </cell>
          <cell r="D145">
            <v>0.56999999999999995</v>
          </cell>
          <cell r="E145">
            <v>0.35</v>
          </cell>
          <cell r="F145">
            <v>0.05</v>
          </cell>
          <cell r="G145">
            <v>0.36</v>
          </cell>
          <cell r="H145">
            <v>0.53</v>
          </cell>
          <cell r="I145">
            <v>0.57999999999999996</v>
          </cell>
          <cell r="J145">
            <v>0.39</v>
          </cell>
        </row>
        <row r="146">
          <cell r="C146" t="str">
            <v>NUESTRO SIGLOS</v>
          </cell>
          <cell r="D146">
            <v>1.66</v>
          </cell>
          <cell r="E146">
            <v>1.39</v>
          </cell>
          <cell r="F146">
            <v>0.19</v>
          </cell>
          <cell r="G146">
            <v>0.98</v>
          </cell>
          <cell r="H146">
            <v>1.51</v>
          </cell>
          <cell r="I146">
            <v>1.59</v>
          </cell>
          <cell r="J146">
            <v>1.47</v>
          </cell>
        </row>
        <row r="147">
          <cell r="C147" t="str">
            <v>NUESTRO SIGLOS</v>
          </cell>
          <cell r="D147">
            <v>1.66</v>
          </cell>
          <cell r="E147">
            <v>1.39</v>
          </cell>
          <cell r="F147">
            <v>0.19</v>
          </cell>
          <cell r="G147">
            <v>0.98</v>
          </cell>
          <cell r="H147">
            <v>1.51</v>
          </cell>
          <cell r="I147">
            <v>1.59</v>
          </cell>
          <cell r="J147">
            <v>1.47</v>
          </cell>
        </row>
        <row r="148">
          <cell r="C148" t="str">
            <v>PELICULA INFANTILS</v>
          </cell>
          <cell r="D148">
            <v>0.79</v>
          </cell>
          <cell r="E148">
            <v>0.25</v>
          </cell>
          <cell r="F148">
            <v>0</v>
          </cell>
          <cell r="G148">
            <v>0.1</v>
          </cell>
          <cell r="H148">
            <v>0.45</v>
          </cell>
          <cell r="I148">
            <v>0.66</v>
          </cell>
          <cell r="J148">
            <v>0.54</v>
          </cell>
        </row>
        <row r="149">
          <cell r="C149" t="str">
            <v>PELICULA INFANTILS</v>
          </cell>
          <cell r="D149">
            <v>0.79</v>
          </cell>
          <cell r="E149">
            <v>0.25</v>
          </cell>
          <cell r="F149">
            <v>0</v>
          </cell>
          <cell r="G149">
            <v>0.1</v>
          </cell>
          <cell r="H149">
            <v>0.45</v>
          </cell>
          <cell r="I149">
            <v>0.66</v>
          </cell>
          <cell r="J149">
            <v>0.54</v>
          </cell>
        </row>
        <row r="150">
          <cell r="C150" t="str">
            <v>PELOTON LA HISTORIA DEL HONORW</v>
          </cell>
          <cell r="D150">
            <v>1.27</v>
          </cell>
          <cell r="E150">
            <v>1.4</v>
          </cell>
          <cell r="F150">
            <v>0.08</v>
          </cell>
          <cell r="G150">
            <v>0.47</v>
          </cell>
          <cell r="H150">
            <v>1.03</v>
          </cell>
          <cell r="I150">
            <v>1.05</v>
          </cell>
          <cell r="J150">
            <v>1.35</v>
          </cell>
        </row>
        <row r="151">
          <cell r="C151" t="str">
            <v>PELOTON LA HISTORIA DEL HONORW</v>
          </cell>
          <cell r="D151">
            <v>1.27</v>
          </cell>
          <cell r="E151">
            <v>1.4</v>
          </cell>
          <cell r="F151">
            <v>0.08</v>
          </cell>
          <cell r="G151">
            <v>0.47</v>
          </cell>
          <cell r="H151">
            <v>1.03</v>
          </cell>
          <cell r="I151">
            <v>1.05</v>
          </cell>
          <cell r="J151">
            <v>1.35</v>
          </cell>
        </row>
        <row r="152">
          <cell r="C152" t="str">
            <v>PEPPA LA CERDITAS</v>
          </cell>
          <cell r="D152">
            <v>0.69</v>
          </cell>
          <cell r="E152">
            <v>0.24</v>
          </cell>
          <cell r="F152">
            <v>0</v>
          </cell>
          <cell r="G152">
            <v>0.15</v>
          </cell>
          <cell r="H152">
            <v>0.48</v>
          </cell>
          <cell r="I152">
            <v>0.56999999999999995</v>
          </cell>
          <cell r="J152">
            <v>0.32</v>
          </cell>
        </row>
        <row r="153">
          <cell r="C153" t="str">
            <v>PEPPA LA CERDITAS</v>
          </cell>
          <cell r="D153">
            <v>0.69</v>
          </cell>
          <cell r="E153">
            <v>0.24</v>
          </cell>
          <cell r="F153">
            <v>0</v>
          </cell>
          <cell r="G153">
            <v>0.15</v>
          </cell>
          <cell r="H153">
            <v>0.48</v>
          </cell>
          <cell r="I153">
            <v>0.56999999999999995</v>
          </cell>
          <cell r="J153">
            <v>0.32</v>
          </cell>
        </row>
        <row r="154">
          <cell r="C154" t="str">
            <v>PODIOD</v>
          </cell>
          <cell r="D154">
            <v>0.94</v>
          </cell>
          <cell r="E154">
            <v>0.66</v>
          </cell>
          <cell r="F154">
            <v>0.31</v>
          </cell>
          <cell r="G154">
            <v>0.54</v>
          </cell>
          <cell r="H154">
            <v>0.8</v>
          </cell>
          <cell r="I154">
            <v>0.84</v>
          </cell>
          <cell r="J154">
            <v>0.84</v>
          </cell>
        </row>
        <row r="155">
          <cell r="C155" t="str">
            <v>PODIOD</v>
          </cell>
          <cell r="D155">
            <v>0.94</v>
          </cell>
          <cell r="E155">
            <v>0.66</v>
          </cell>
          <cell r="F155">
            <v>0.31</v>
          </cell>
          <cell r="G155">
            <v>0.54</v>
          </cell>
          <cell r="H155">
            <v>0.8</v>
          </cell>
          <cell r="I155">
            <v>0.84</v>
          </cell>
          <cell r="J155">
            <v>0.84</v>
          </cell>
        </row>
        <row r="156">
          <cell r="C156" t="str">
            <v>POR FIN SOLOSLD</v>
          </cell>
          <cell r="D156">
            <v>3.11</v>
          </cell>
          <cell r="E156">
            <v>1.04</v>
          </cell>
          <cell r="F156">
            <v>0.67</v>
          </cell>
          <cell r="G156">
            <v>1.53</v>
          </cell>
          <cell r="H156">
            <v>2.0699999999999998</v>
          </cell>
          <cell r="I156">
            <v>2.77</v>
          </cell>
          <cell r="J156">
            <v>1.64</v>
          </cell>
        </row>
        <row r="157">
          <cell r="C157" t="str">
            <v>POR FIN SOLOSD</v>
          </cell>
          <cell r="D157">
            <v>3.77</v>
          </cell>
          <cell r="E157">
            <v>1</v>
          </cell>
          <cell r="F157">
            <v>0.59</v>
          </cell>
          <cell r="G157">
            <v>1.62</v>
          </cell>
          <cell r="H157">
            <v>2.2400000000000002</v>
          </cell>
          <cell r="I157">
            <v>3.28</v>
          </cell>
          <cell r="J157">
            <v>1.83</v>
          </cell>
        </row>
        <row r="158">
          <cell r="C158" t="str">
            <v>POR FIN SOLOSL</v>
          </cell>
          <cell r="D158">
            <v>2.69</v>
          </cell>
          <cell r="E158">
            <v>1.07</v>
          </cell>
          <cell r="F158">
            <v>0.72</v>
          </cell>
          <cell r="G158">
            <v>1.47</v>
          </cell>
          <cell r="H158">
            <v>1.96</v>
          </cell>
          <cell r="I158">
            <v>2.44</v>
          </cell>
          <cell r="J158">
            <v>1.52</v>
          </cell>
        </row>
        <row r="159">
          <cell r="C159" t="str">
            <v>POR FIN SOLOS (R)V</v>
          </cell>
          <cell r="D159">
            <v>2.0099999999999998</v>
          </cell>
          <cell r="E159">
            <v>1.29</v>
          </cell>
          <cell r="F159">
            <v>0.78</v>
          </cell>
          <cell r="G159">
            <v>1.43</v>
          </cell>
          <cell r="H159">
            <v>1.76</v>
          </cell>
          <cell r="I159">
            <v>1.93</v>
          </cell>
          <cell r="J159">
            <v>1.45</v>
          </cell>
        </row>
        <row r="160">
          <cell r="C160" t="str">
            <v>POR FIN SOLOS (R)V</v>
          </cell>
          <cell r="D160">
            <v>2.0099999999999998</v>
          </cell>
          <cell r="E160">
            <v>1.29</v>
          </cell>
          <cell r="F160">
            <v>0.78</v>
          </cell>
          <cell r="G160">
            <v>1.43</v>
          </cell>
          <cell r="H160">
            <v>1.76</v>
          </cell>
          <cell r="I160">
            <v>1.93</v>
          </cell>
          <cell r="J160">
            <v>1.45</v>
          </cell>
        </row>
        <row r="161">
          <cell r="C161" t="str">
            <v>POR FIN SOLOS (RESUMEN)L</v>
          </cell>
          <cell r="D161">
            <v>2.73</v>
          </cell>
          <cell r="E161">
            <v>0.99</v>
          </cell>
          <cell r="F161">
            <v>1.1200000000000001</v>
          </cell>
          <cell r="G161">
            <v>2.25</v>
          </cell>
          <cell r="H161">
            <v>1.97</v>
          </cell>
          <cell r="I161">
            <v>2.35</v>
          </cell>
          <cell r="J161">
            <v>1.55</v>
          </cell>
        </row>
        <row r="162">
          <cell r="C162" t="str">
            <v>POR FIN SOLOS (RESUMEN)L</v>
          </cell>
          <cell r="D162">
            <v>2.73</v>
          </cell>
          <cell r="E162">
            <v>0.99</v>
          </cell>
          <cell r="F162">
            <v>1.1200000000000001</v>
          </cell>
          <cell r="G162">
            <v>2.25</v>
          </cell>
          <cell r="H162">
            <v>1.97</v>
          </cell>
          <cell r="I162">
            <v>2.35</v>
          </cell>
          <cell r="J162">
            <v>1.55</v>
          </cell>
        </row>
        <row r="163">
          <cell r="C163" t="str">
            <v>PURO CHILEV</v>
          </cell>
          <cell r="D163">
            <v>1.05</v>
          </cell>
          <cell r="E163">
            <v>1</v>
          </cell>
          <cell r="F163">
            <v>0.01</v>
          </cell>
          <cell r="G163">
            <v>1.03</v>
          </cell>
          <cell r="H163">
            <v>1.1200000000000001</v>
          </cell>
          <cell r="I163">
            <v>1.01</v>
          </cell>
          <cell r="J163">
            <v>0.93</v>
          </cell>
        </row>
        <row r="164">
          <cell r="C164" t="str">
            <v>PURO CHILEV</v>
          </cell>
          <cell r="D164">
            <v>1.05</v>
          </cell>
          <cell r="E164">
            <v>1</v>
          </cell>
          <cell r="F164">
            <v>0.01</v>
          </cell>
          <cell r="G164">
            <v>1.03</v>
          </cell>
          <cell r="H164">
            <v>1.1200000000000001</v>
          </cell>
          <cell r="I164">
            <v>1.01</v>
          </cell>
          <cell r="J164">
            <v>0.93</v>
          </cell>
        </row>
        <row r="165">
          <cell r="C165" t="str">
            <v>PURO CHILE (R)D</v>
          </cell>
          <cell r="D165">
            <v>0.51</v>
          </cell>
          <cell r="E165">
            <v>0.51</v>
          </cell>
          <cell r="F165">
            <v>0.5</v>
          </cell>
          <cell r="G165">
            <v>0.96</v>
          </cell>
          <cell r="H165">
            <v>0.54</v>
          </cell>
          <cell r="I165">
            <v>0.52</v>
          </cell>
          <cell r="J165">
            <v>0.67</v>
          </cell>
        </row>
        <row r="166">
          <cell r="C166" t="str">
            <v>PURO CHILE (R)D</v>
          </cell>
          <cell r="D166">
            <v>0.51</v>
          </cell>
          <cell r="E166">
            <v>0.51</v>
          </cell>
          <cell r="F166">
            <v>0.5</v>
          </cell>
          <cell r="G166">
            <v>0.96</v>
          </cell>
          <cell r="H166">
            <v>0.54</v>
          </cell>
          <cell r="I166">
            <v>0.52</v>
          </cell>
          <cell r="J166">
            <v>0.67</v>
          </cell>
        </row>
        <row r="167">
          <cell r="C167" t="str">
            <v>ROMANE (R)LMWJV</v>
          </cell>
          <cell r="D167">
            <v>1.91</v>
          </cell>
          <cell r="E167">
            <v>0.95</v>
          </cell>
          <cell r="F167">
            <v>0.52</v>
          </cell>
          <cell r="G167">
            <v>0.93</v>
          </cell>
          <cell r="H167">
            <v>1.31</v>
          </cell>
          <cell r="I167">
            <v>1.66</v>
          </cell>
          <cell r="J167">
            <v>1.41</v>
          </cell>
        </row>
        <row r="168">
          <cell r="C168" t="str">
            <v>ROMANE (R)M</v>
          </cell>
          <cell r="D168">
            <v>2.4300000000000002</v>
          </cell>
          <cell r="E168">
            <v>0.98</v>
          </cell>
          <cell r="F168">
            <v>0.66</v>
          </cell>
          <cell r="G168">
            <v>1.1599999999999999</v>
          </cell>
          <cell r="H168">
            <v>1.59</v>
          </cell>
          <cell r="I168">
            <v>2.1800000000000002</v>
          </cell>
          <cell r="J168">
            <v>1.53</v>
          </cell>
        </row>
        <row r="169">
          <cell r="C169" t="str">
            <v>ROMANE (R)L</v>
          </cell>
          <cell r="D169">
            <v>2.12</v>
          </cell>
          <cell r="E169">
            <v>0.77</v>
          </cell>
          <cell r="F169">
            <v>0.24</v>
          </cell>
          <cell r="G169">
            <v>1.1000000000000001</v>
          </cell>
          <cell r="H169">
            <v>1.28</v>
          </cell>
          <cell r="I169">
            <v>1.88</v>
          </cell>
          <cell r="J169">
            <v>1.37</v>
          </cell>
        </row>
        <row r="170">
          <cell r="C170" t="str">
            <v>ROMANE (R)W</v>
          </cell>
          <cell r="D170">
            <v>1.42</v>
          </cell>
          <cell r="E170">
            <v>1.32</v>
          </cell>
          <cell r="F170">
            <v>0.23</v>
          </cell>
          <cell r="G170">
            <v>0.78</v>
          </cell>
          <cell r="H170">
            <v>1.27</v>
          </cell>
          <cell r="I170">
            <v>1.22</v>
          </cell>
          <cell r="J170">
            <v>1.58</v>
          </cell>
        </row>
        <row r="171">
          <cell r="C171" t="str">
            <v>ROMANE (R)J</v>
          </cell>
          <cell r="D171">
            <v>1.82</v>
          </cell>
          <cell r="E171">
            <v>0.68</v>
          </cell>
          <cell r="F171">
            <v>1.08</v>
          </cell>
          <cell r="G171">
            <v>0.78</v>
          </cell>
          <cell r="H171">
            <v>1.1599999999999999</v>
          </cell>
          <cell r="I171">
            <v>1.51</v>
          </cell>
          <cell r="J171">
            <v>1.1399999999999999</v>
          </cell>
        </row>
        <row r="172">
          <cell r="C172" t="str">
            <v>ROMANE (R)V</v>
          </cell>
          <cell r="D172">
            <v>1.83</v>
          </cell>
          <cell r="E172">
            <v>0.88</v>
          </cell>
          <cell r="F172">
            <v>0.31</v>
          </cell>
          <cell r="G172">
            <v>0.87</v>
          </cell>
          <cell r="H172">
            <v>1.1499999999999999</v>
          </cell>
          <cell r="I172">
            <v>1.58</v>
          </cell>
          <cell r="J172">
            <v>1.38</v>
          </cell>
        </row>
        <row r="173">
          <cell r="C173" t="str">
            <v>SABADO DE K OS</v>
          </cell>
          <cell r="D173">
            <v>3.05</v>
          </cell>
          <cell r="E173">
            <v>1.66</v>
          </cell>
          <cell r="F173">
            <v>0.54</v>
          </cell>
          <cell r="G173">
            <v>1.61</v>
          </cell>
          <cell r="H173">
            <v>2.2200000000000002</v>
          </cell>
          <cell r="I173">
            <v>2.7</v>
          </cell>
          <cell r="J173">
            <v>2.0699999999999998</v>
          </cell>
        </row>
        <row r="174">
          <cell r="C174" t="str">
            <v>SABADO DE K OS</v>
          </cell>
          <cell r="D174">
            <v>3.05</v>
          </cell>
          <cell r="E174">
            <v>1.66</v>
          </cell>
          <cell r="F174">
            <v>0.54</v>
          </cell>
          <cell r="G174">
            <v>1.61</v>
          </cell>
          <cell r="H174">
            <v>2.2200000000000002</v>
          </cell>
          <cell r="I174">
            <v>2.7</v>
          </cell>
          <cell r="J174">
            <v>2.0699999999999998</v>
          </cell>
        </row>
        <row r="175">
          <cell r="C175" t="str">
            <v>SEMANA SANTAV</v>
          </cell>
          <cell r="D175">
            <v>3.3</v>
          </cell>
          <cell r="E175">
            <v>3.48</v>
          </cell>
          <cell r="F175">
            <v>0.43</v>
          </cell>
          <cell r="G175">
            <v>1.88</v>
          </cell>
          <cell r="H175">
            <v>3.14</v>
          </cell>
          <cell r="I175">
            <v>3.14</v>
          </cell>
          <cell r="J175">
            <v>4.2300000000000004</v>
          </cell>
        </row>
        <row r="176">
          <cell r="C176" t="str">
            <v>SEMANA SANTAV</v>
          </cell>
          <cell r="D176">
            <v>3.3</v>
          </cell>
          <cell r="E176">
            <v>3.48</v>
          </cell>
          <cell r="F176">
            <v>0.43</v>
          </cell>
          <cell r="G176">
            <v>1.88</v>
          </cell>
          <cell r="H176">
            <v>3.14</v>
          </cell>
          <cell r="I176">
            <v>3.14</v>
          </cell>
          <cell r="J176">
            <v>4.2300000000000004</v>
          </cell>
        </row>
        <row r="177">
          <cell r="C177" t="str">
            <v>SESIONES 24D</v>
          </cell>
          <cell r="D177">
            <v>0.27</v>
          </cell>
          <cell r="E177">
            <v>0</v>
          </cell>
          <cell r="F177">
            <v>0</v>
          </cell>
          <cell r="G177">
            <v>0</v>
          </cell>
          <cell r="H177">
            <v>0.11</v>
          </cell>
          <cell r="I177">
            <v>0.22</v>
          </cell>
          <cell r="J177">
            <v>7.0000000000000007E-2</v>
          </cell>
        </row>
        <row r="178">
          <cell r="C178" t="str">
            <v>SESIONES 24D</v>
          </cell>
          <cell r="D178">
            <v>0.27</v>
          </cell>
          <cell r="E178">
            <v>0</v>
          </cell>
          <cell r="F178">
            <v>0</v>
          </cell>
          <cell r="G178">
            <v>0</v>
          </cell>
          <cell r="H178">
            <v>0.11</v>
          </cell>
          <cell r="I178">
            <v>0.22</v>
          </cell>
          <cell r="J178">
            <v>7.0000000000000007E-2</v>
          </cell>
        </row>
        <row r="179">
          <cell r="C179" t="str">
            <v>SUPER CINES</v>
          </cell>
          <cell r="D179">
            <v>0.92</v>
          </cell>
          <cell r="E179">
            <v>0.42</v>
          </cell>
          <cell r="F179">
            <v>0.05</v>
          </cell>
          <cell r="G179">
            <v>0.56000000000000005</v>
          </cell>
          <cell r="H179">
            <v>0.54</v>
          </cell>
          <cell r="I179">
            <v>0.77</v>
          </cell>
          <cell r="J179">
            <v>0.7</v>
          </cell>
        </row>
        <row r="180">
          <cell r="C180" t="str">
            <v>SUPER CINES</v>
          </cell>
          <cell r="D180">
            <v>0.92</v>
          </cell>
          <cell r="E180">
            <v>0.42</v>
          </cell>
          <cell r="F180">
            <v>0.05</v>
          </cell>
          <cell r="G180">
            <v>0.56000000000000005</v>
          </cell>
          <cell r="H180">
            <v>0.54</v>
          </cell>
          <cell r="I180">
            <v>0.77</v>
          </cell>
          <cell r="J180">
            <v>0.7</v>
          </cell>
        </row>
        <row r="181">
          <cell r="C181" t="str">
            <v>TU MANANA 24 HORASLMWJV</v>
          </cell>
          <cell r="D181">
            <v>1.89</v>
          </cell>
          <cell r="E181">
            <v>1.1399999999999999</v>
          </cell>
          <cell r="F181">
            <v>0.25</v>
          </cell>
          <cell r="G181">
            <v>1.06</v>
          </cell>
          <cell r="H181">
            <v>1.4</v>
          </cell>
          <cell r="I181">
            <v>1.76</v>
          </cell>
          <cell r="J181">
            <v>1.59</v>
          </cell>
        </row>
        <row r="182">
          <cell r="C182" t="str">
            <v>TU MANANA 24 HORASW</v>
          </cell>
          <cell r="D182">
            <v>2.19</v>
          </cell>
          <cell r="E182">
            <v>1.08</v>
          </cell>
          <cell r="F182">
            <v>0.27</v>
          </cell>
          <cell r="G182">
            <v>1.2</v>
          </cell>
          <cell r="H182">
            <v>1.59</v>
          </cell>
          <cell r="I182">
            <v>2.0099999999999998</v>
          </cell>
          <cell r="J182">
            <v>1.72</v>
          </cell>
        </row>
        <row r="183">
          <cell r="C183" t="str">
            <v>TU MANANA 24 HORASL</v>
          </cell>
          <cell r="D183">
            <v>1.91</v>
          </cell>
          <cell r="E183">
            <v>1.44</v>
          </cell>
          <cell r="F183">
            <v>0.2</v>
          </cell>
          <cell r="G183">
            <v>1.32</v>
          </cell>
          <cell r="H183">
            <v>1.5</v>
          </cell>
          <cell r="I183">
            <v>1.76</v>
          </cell>
          <cell r="J183">
            <v>1.88</v>
          </cell>
        </row>
        <row r="184">
          <cell r="C184" t="str">
            <v>TU MANANA 24 HORASJ</v>
          </cell>
          <cell r="D184">
            <v>1.98</v>
          </cell>
          <cell r="E184">
            <v>1.36</v>
          </cell>
          <cell r="F184">
            <v>0.22</v>
          </cell>
          <cell r="G184">
            <v>0.89</v>
          </cell>
          <cell r="H184">
            <v>1.48</v>
          </cell>
          <cell r="I184">
            <v>1.8</v>
          </cell>
          <cell r="J184">
            <v>1.57</v>
          </cell>
        </row>
        <row r="185">
          <cell r="C185" t="str">
            <v>TU MANANA 24 HORASV</v>
          </cell>
          <cell r="D185">
            <v>1.92</v>
          </cell>
          <cell r="E185">
            <v>1.1100000000000001</v>
          </cell>
          <cell r="F185">
            <v>0.31</v>
          </cell>
          <cell r="G185">
            <v>1</v>
          </cell>
          <cell r="H185">
            <v>1.32</v>
          </cell>
          <cell r="I185">
            <v>1.82</v>
          </cell>
          <cell r="J185">
            <v>1.58</v>
          </cell>
        </row>
        <row r="186">
          <cell r="C186" t="str">
            <v>TU MANANA 24 HORASM</v>
          </cell>
          <cell r="D186">
            <v>1.5</v>
          </cell>
          <cell r="E186">
            <v>0.81</v>
          </cell>
          <cell r="F186">
            <v>0.26</v>
          </cell>
          <cell r="G186">
            <v>0.91</v>
          </cell>
          <cell r="H186">
            <v>1.1399999999999999</v>
          </cell>
          <cell r="I186">
            <v>1.46</v>
          </cell>
          <cell r="J186">
            <v>1.26</v>
          </cell>
        </row>
        <row r="187">
          <cell r="C187" t="str">
            <v>TV TIEMPOLMWJVSD</v>
          </cell>
          <cell r="D187">
            <v>5.52</v>
          </cell>
          <cell r="E187">
            <v>3.23</v>
          </cell>
          <cell r="F187">
            <v>0.82</v>
          </cell>
          <cell r="G187">
            <v>2.0099999999999998</v>
          </cell>
          <cell r="H187">
            <v>4.05</v>
          </cell>
          <cell r="I187">
            <v>4.8600000000000003</v>
          </cell>
          <cell r="J187">
            <v>3.91</v>
          </cell>
        </row>
        <row r="188">
          <cell r="C188" t="str">
            <v>TV TIEMPOD</v>
          </cell>
          <cell r="D188">
            <v>6.7</v>
          </cell>
          <cell r="E188">
            <v>4.03</v>
          </cell>
          <cell r="F188">
            <v>0.23</v>
          </cell>
          <cell r="G188">
            <v>1.92</v>
          </cell>
          <cell r="H188">
            <v>4.8499999999999996</v>
          </cell>
          <cell r="I188">
            <v>5.67</v>
          </cell>
          <cell r="J188">
            <v>4.46</v>
          </cell>
        </row>
        <row r="189">
          <cell r="C189" t="str">
            <v>TV TIEMPOJ</v>
          </cell>
          <cell r="D189">
            <v>5.86</v>
          </cell>
          <cell r="E189">
            <v>3.22</v>
          </cell>
          <cell r="F189">
            <v>1.1599999999999999</v>
          </cell>
          <cell r="G189">
            <v>2.5</v>
          </cell>
          <cell r="H189">
            <v>4.49</v>
          </cell>
          <cell r="I189">
            <v>5.27</v>
          </cell>
          <cell r="J189">
            <v>3.83</v>
          </cell>
        </row>
        <row r="190">
          <cell r="C190" t="str">
            <v>TV TIEMPOM</v>
          </cell>
          <cell r="D190">
            <v>5.93</v>
          </cell>
          <cell r="E190">
            <v>3.42</v>
          </cell>
          <cell r="F190">
            <v>1.07</v>
          </cell>
          <cell r="G190">
            <v>2.09</v>
          </cell>
          <cell r="H190">
            <v>4.49</v>
          </cell>
          <cell r="I190">
            <v>5.24</v>
          </cell>
          <cell r="J190">
            <v>4.29</v>
          </cell>
        </row>
        <row r="191">
          <cell r="C191" t="str">
            <v>TV TIEMPOL</v>
          </cell>
          <cell r="D191">
            <v>5.14</v>
          </cell>
          <cell r="E191">
            <v>4.09</v>
          </cell>
          <cell r="F191">
            <v>1.21</v>
          </cell>
          <cell r="G191">
            <v>2.64</v>
          </cell>
          <cell r="H191">
            <v>4.3</v>
          </cell>
          <cell r="I191">
            <v>4.67</v>
          </cell>
          <cell r="J191">
            <v>4.3099999999999996</v>
          </cell>
        </row>
        <row r="192">
          <cell r="C192" t="str">
            <v>TV TIEMPOW</v>
          </cell>
          <cell r="D192">
            <v>6.54</v>
          </cell>
          <cell r="E192">
            <v>2.89</v>
          </cell>
          <cell r="F192">
            <v>0.39</v>
          </cell>
          <cell r="G192">
            <v>1.87</v>
          </cell>
          <cell r="H192">
            <v>4.16</v>
          </cell>
          <cell r="I192">
            <v>5.56</v>
          </cell>
          <cell r="J192">
            <v>4.09</v>
          </cell>
        </row>
        <row r="193">
          <cell r="C193" t="str">
            <v>TV TIEMPOV</v>
          </cell>
          <cell r="D193">
            <v>4.22</v>
          </cell>
          <cell r="E193">
            <v>2.62</v>
          </cell>
          <cell r="F193">
            <v>0.23</v>
          </cell>
          <cell r="G193">
            <v>0.89</v>
          </cell>
          <cell r="H193">
            <v>2.87</v>
          </cell>
          <cell r="I193">
            <v>3.78</v>
          </cell>
          <cell r="J193">
            <v>3.35</v>
          </cell>
        </row>
        <row r="194">
          <cell r="C194" t="str">
            <v>TV TIEMPOS</v>
          </cell>
          <cell r="D194">
            <v>3.29</v>
          </cell>
          <cell r="E194">
            <v>2.1800000000000002</v>
          </cell>
          <cell r="F194">
            <v>0.99</v>
          </cell>
          <cell r="G194">
            <v>1.57</v>
          </cell>
          <cell r="H194">
            <v>2.5</v>
          </cell>
          <cell r="I194">
            <v>2.9</v>
          </cell>
          <cell r="J194">
            <v>2.5</v>
          </cell>
        </row>
        <row r="195">
          <cell r="C195" t="str">
            <v>VIRALM</v>
          </cell>
          <cell r="D195">
            <v>3.78</v>
          </cell>
          <cell r="E195">
            <v>2.04</v>
          </cell>
          <cell r="F195">
            <v>0.99</v>
          </cell>
          <cell r="G195">
            <v>2.75</v>
          </cell>
          <cell r="H195">
            <v>2.91</v>
          </cell>
          <cell r="I195">
            <v>3.26</v>
          </cell>
          <cell r="J195">
            <v>2.39</v>
          </cell>
        </row>
        <row r="196">
          <cell r="C196" t="str">
            <v>VIRALM</v>
          </cell>
          <cell r="D196">
            <v>3.78</v>
          </cell>
          <cell r="E196">
            <v>2.04</v>
          </cell>
          <cell r="F196">
            <v>0.99</v>
          </cell>
          <cell r="G196">
            <v>2.75</v>
          </cell>
          <cell r="H196">
            <v>2.91</v>
          </cell>
          <cell r="I196">
            <v>3.26</v>
          </cell>
          <cell r="J196">
            <v>2.39</v>
          </cell>
        </row>
        <row r="197">
          <cell r="C197" t="str">
            <v>MATRIARCASLMWJV</v>
          </cell>
          <cell r="D197">
            <v>1.8</v>
          </cell>
          <cell r="E197">
            <v>1.3</v>
          </cell>
          <cell r="F197">
            <v>1.2</v>
          </cell>
          <cell r="G197">
            <v>0.9</v>
          </cell>
          <cell r="H197">
            <v>1.7</v>
          </cell>
          <cell r="I197">
            <v>1.9</v>
          </cell>
          <cell r="J197">
            <v>1.9</v>
          </cell>
        </row>
        <row r="198">
          <cell r="C198" t="str">
            <v>HUMOR EN FESTIVAL DE OLMUE (LOJ</v>
          </cell>
          <cell r="D198">
            <v>2.8</v>
          </cell>
          <cell r="E198">
            <v>4.3</v>
          </cell>
          <cell r="F198">
            <v>0.9</v>
          </cell>
          <cell r="G198">
            <v>2.6</v>
          </cell>
          <cell r="H198">
            <v>3.4</v>
          </cell>
          <cell r="I198">
            <v>2.8</v>
          </cell>
          <cell r="J198">
            <v>3.5</v>
          </cell>
        </row>
        <row r="199">
          <cell r="D199" t="e">
            <v>#N/A</v>
          </cell>
          <cell r="E199" t="e">
            <v>#N/A</v>
          </cell>
          <cell r="F199" t="e">
            <v>#N/A</v>
          </cell>
          <cell r="G199" t="e">
            <v>#N/A</v>
          </cell>
          <cell r="H199" t="e">
            <v>#N/A</v>
          </cell>
          <cell r="I199" t="e">
            <v>#N/A</v>
          </cell>
          <cell r="J199" t="e">
            <v>#N/A</v>
          </cell>
        </row>
        <row r="200">
          <cell r="D200" t="e">
            <v>#N/A</v>
          </cell>
          <cell r="E200" t="e">
            <v>#N/A</v>
          </cell>
          <cell r="F200" t="e">
            <v>#N/A</v>
          </cell>
          <cell r="G200" t="e">
            <v>#N/A</v>
          </cell>
          <cell r="H200" t="e">
            <v>#N/A</v>
          </cell>
          <cell r="I200" t="e">
            <v>#N/A</v>
          </cell>
          <cell r="J200" t="e">
            <v>#N/A</v>
          </cell>
        </row>
        <row r="201">
          <cell r="D201" t="e">
            <v>#N/A</v>
          </cell>
          <cell r="E201" t="e">
            <v>#N/A</v>
          </cell>
          <cell r="F201" t="e">
            <v>#N/A</v>
          </cell>
          <cell r="G201" t="e">
            <v>#N/A</v>
          </cell>
          <cell r="H201" t="e">
            <v>#N/A</v>
          </cell>
          <cell r="I201" t="e">
            <v>#N/A</v>
          </cell>
          <cell r="J201" t="e">
            <v>#N/A</v>
          </cell>
        </row>
        <row r="202">
          <cell r="D202" t="e">
            <v>#N/A</v>
          </cell>
          <cell r="E202" t="e">
            <v>#N/A</v>
          </cell>
          <cell r="F202" t="e">
            <v>#N/A</v>
          </cell>
          <cell r="G202" t="e">
            <v>#N/A</v>
          </cell>
          <cell r="H202" t="e">
            <v>#N/A</v>
          </cell>
          <cell r="I202" t="e">
            <v>#N/A</v>
          </cell>
          <cell r="J202" t="e">
            <v>#N/A</v>
          </cell>
        </row>
        <row r="203">
          <cell r="D203" t="e">
            <v>#N/A</v>
          </cell>
          <cell r="E203" t="e">
            <v>#N/A</v>
          </cell>
          <cell r="F203" t="e">
            <v>#N/A</v>
          </cell>
          <cell r="G203" t="e">
            <v>#N/A</v>
          </cell>
          <cell r="H203" t="e">
            <v>#N/A</v>
          </cell>
          <cell r="I203" t="e">
            <v>#N/A</v>
          </cell>
          <cell r="J203" t="e">
            <v>#N/A</v>
          </cell>
        </row>
        <row r="204">
          <cell r="D204" t="e">
            <v>#N/A</v>
          </cell>
          <cell r="E204" t="e">
            <v>#N/A</v>
          </cell>
          <cell r="F204" t="e">
            <v>#N/A</v>
          </cell>
          <cell r="G204" t="e">
            <v>#N/A</v>
          </cell>
          <cell r="H204" t="e">
            <v>#N/A</v>
          </cell>
          <cell r="I204" t="e">
            <v>#N/A</v>
          </cell>
          <cell r="J204" t="e">
            <v>#N/A</v>
          </cell>
        </row>
        <row r="205">
          <cell r="D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  <cell r="H205" t="e">
            <v>#N/A</v>
          </cell>
          <cell r="I205" t="e">
            <v>#N/A</v>
          </cell>
          <cell r="J205" t="e">
            <v>#N/A</v>
          </cell>
        </row>
        <row r="206">
          <cell r="D206" t="e">
            <v>#N/A</v>
          </cell>
          <cell r="E206" t="e">
            <v>#N/A</v>
          </cell>
          <cell r="F206" t="e">
            <v>#N/A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</row>
        <row r="207">
          <cell r="D207" t="e">
            <v>#N/A</v>
          </cell>
          <cell r="E207" t="e">
            <v>#N/A</v>
          </cell>
          <cell r="F207" t="e">
            <v>#N/A</v>
          </cell>
          <cell r="G207" t="e">
            <v>#N/A</v>
          </cell>
          <cell r="H207" t="e">
            <v>#N/A</v>
          </cell>
          <cell r="I207" t="e">
            <v>#N/A</v>
          </cell>
          <cell r="J207" t="e">
            <v>#N/A</v>
          </cell>
        </row>
        <row r="208">
          <cell r="D208" t="e">
            <v>#N/A</v>
          </cell>
          <cell r="E208" t="e">
            <v>#N/A</v>
          </cell>
          <cell r="F208" t="e">
            <v>#N/A</v>
          </cell>
          <cell r="G208" t="e">
            <v>#N/A</v>
          </cell>
          <cell r="H208" t="e">
            <v>#N/A</v>
          </cell>
          <cell r="I208" t="e">
            <v>#N/A</v>
          </cell>
          <cell r="J208" t="e">
            <v>#N/A</v>
          </cell>
        </row>
        <row r="209">
          <cell r="D209" t="e">
            <v>#N/A</v>
          </cell>
          <cell r="E209" t="e">
            <v>#N/A</v>
          </cell>
          <cell r="F209" t="e">
            <v>#N/A</v>
          </cell>
          <cell r="G209" t="e">
            <v>#N/A</v>
          </cell>
          <cell r="H209" t="e">
            <v>#N/A</v>
          </cell>
          <cell r="I209" t="e">
            <v>#N/A</v>
          </cell>
          <cell r="J209" t="e">
            <v>#N/A</v>
          </cell>
        </row>
        <row r="210">
          <cell r="D210" t="e">
            <v>#N/A</v>
          </cell>
          <cell r="E210" t="e">
            <v>#N/A</v>
          </cell>
          <cell r="F210" t="e">
            <v>#N/A</v>
          </cell>
          <cell r="G210" t="e">
            <v>#N/A</v>
          </cell>
          <cell r="H210" t="e">
            <v>#N/A</v>
          </cell>
          <cell r="I210" t="e">
            <v>#N/A</v>
          </cell>
          <cell r="J210" t="e">
            <v>#N/A</v>
          </cell>
        </row>
        <row r="211">
          <cell r="D211" t="e">
            <v>#N/A</v>
          </cell>
          <cell r="E211" t="e">
            <v>#N/A</v>
          </cell>
          <cell r="F211" t="e">
            <v>#N/A</v>
          </cell>
          <cell r="G211" t="e">
            <v>#N/A</v>
          </cell>
          <cell r="H211" t="e">
            <v>#N/A</v>
          </cell>
          <cell r="I211" t="e">
            <v>#N/A</v>
          </cell>
          <cell r="J211" t="e">
            <v>#N/A</v>
          </cell>
        </row>
        <row r="212">
          <cell r="D212" t="e">
            <v>#N/A</v>
          </cell>
          <cell r="E212" t="e">
            <v>#N/A</v>
          </cell>
          <cell r="F212" t="e">
            <v>#N/A</v>
          </cell>
          <cell r="G212" t="e">
            <v>#N/A</v>
          </cell>
          <cell r="H212" t="e">
            <v>#N/A</v>
          </cell>
          <cell r="I212" t="e">
            <v>#N/A</v>
          </cell>
          <cell r="J212" t="e">
            <v>#N/A</v>
          </cell>
        </row>
        <row r="213">
          <cell r="D213" t="e">
            <v>#N/A</v>
          </cell>
          <cell r="E213" t="e">
            <v>#N/A</v>
          </cell>
          <cell r="F213" t="e">
            <v>#N/A</v>
          </cell>
          <cell r="G213" t="e">
            <v>#N/A</v>
          </cell>
          <cell r="H213" t="e">
            <v>#N/A</v>
          </cell>
          <cell r="I213" t="e">
            <v>#N/A</v>
          </cell>
          <cell r="J213" t="e">
            <v>#N/A</v>
          </cell>
        </row>
        <row r="214">
          <cell r="D214" t="e">
            <v>#N/A</v>
          </cell>
          <cell r="E214" t="e">
            <v>#N/A</v>
          </cell>
          <cell r="F214" t="e">
            <v>#N/A</v>
          </cell>
          <cell r="G214" t="e">
            <v>#N/A</v>
          </cell>
          <cell r="H214" t="e">
            <v>#N/A</v>
          </cell>
          <cell r="I214" t="e">
            <v>#N/A</v>
          </cell>
          <cell r="J214" t="e">
            <v>#N/A</v>
          </cell>
        </row>
        <row r="215">
          <cell r="D215" t="e">
            <v>#N/A</v>
          </cell>
          <cell r="E215" t="e">
            <v>#N/A</v>
          </cell>
          <cell r="F215" t="e">
            <v>#N/A</v>
          </cell>
          <cell r="G215" t="e">
            <v>#N/A</v>
          </cell>
          <cell r="H215" t="e">
            <v>#N/A</v>
          </cell>
          <cell r="I215" t="e">
            <v>#N/A</v>
          </cell>
          <cell r="J215" t="e">
            <v>#N/A</v>
          </cell>
        </row>
        <row r="216">
          <cell r="D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  <cell r="H216" t="e">
            <v>#N/A</v>
          </cell>
          <cell r="I216" t="e">
            <v>#N/A</v>
          </cell>
          <cell r="J216" t="e">
            <v>#N/A</v>
          </cell>
        </row>
        <row r="217">
          <cell r="D217" t="e">
            <v>#N/A</v>
          </cell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  <cell r="I217" t="e">
            <v>#N/A</v>
          </cell>
          <cell r="J217" t="e">
            <v>#N/A</v>
          </cell>
        </row>
        <row r="218">
          <cell r="D218" t="e">
            <v>#N/A</v>
          </cell>
          <cell r="E218" t="e">
            <v>#N/A</v>
          </cell>
          <cell r="F218" t="e">
            <v>#N/A</v>
          </cell>
          <cell r="G218" t="e">
            <v>#N/A</v>
          </cell>
          <cell r="H218" t="e">
            <v>#N/A</v>
          </cell>
          <cell r="I218" t="e">
            <v>#N/A</v>
          </cell>
          <cell r="J218" t="e">
            <v>#N/A</v>
          </cell>
        </row>
        <row r="219">
          <cell r="D219" t="e">
            <v>#N/A</v>
          </cell>
          <cell r="E219" t="e">
            <v>#N/A</v>
          </cell>
          <cell r="F219" t="e">
            <v>#N/A</v>
          </cell>
          <cell r="G219" t="e">
            <v>#N/A</v>
          </cell>
          <cell r="H219" t="e">
            <v>#N/A</v>
          </cell>
          <cell r="I219" t="e">
            <v>#N/A</v>
          </cell>
          <cell r="J219" t="e">
            <v>#N/A</v>
          </cell>
        </row>
        <row r="220">
          <cell r="D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  <cell r="H220" t="e">
            <v>#N/A</v>
          </cell>
          <cell r="I220" t="e">
            <v>#N/A</v>
          </cell>
          <cell r="J220" t="e">
            <v>#N/A</v>
          </cell>
        </row>
        <row r="221">
          <cell r="D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  <cell r="H221" t="e">
            <v>#N/A</v>
          </cell>
          <cell r="I221" t="e">
            <v>#N/A</v>
          </cell>
          <cell r="J221" t="e">
            <v>#N/A</v>
          </cell>
        </row>
        <row r="222">
          <cell r="D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  <cell r="H222" t="e">
            <v>#N/A</v>
          </cell>
          <cell r="I222" t="e">
            <v>#N/A</v>
          </cell>
          <cell r="J222" t="e">
            <v>#N/A</v>
          </cell>
        </row>
        <row r="223">
          <cell r="D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  <cell r="H223" t="e">
            <v>#N/A</v>
          </cell>
          <cell r="I223" t="e">
            <v>#N/A</v>
          </cell>
          <cell r="J223" t="e">
            <v>#N/A</v>
          </cell>
        </row>
        <row r="224">
          <cell r="D224" t="e">
            <v>#N/A</v>
          </cell>
          <cell r="E224" t="e">
            <v>#N/A</v>
          </cell>
          <cell r="F224" t="e">
            <v>#N/A</v>
          </cell>
          <cell r="G224" t="e">
            <v>#N/A</v>
          </cell>
          <cell r="H224" t="e">
            <v>#N/A</v>
          </cell>
          <cell r="I224" t="e">
            <v>#N/A</v>
          </cell>
          <cell r="J224" t="e">
            <v>#N/A</v>
          </cell>
        </row>
        <row r="225">
          <cell r="D225" t="e">
            <v>#N/A</v>
          </cell>
          <cell r="E225" t="e">
            <v>#N/A</v>
          </cell>
          <cell r="F225" t="e">
            <v>#N/A</v>
          </cell>
          <cell r="G225" t="e">
            <v>#N/A</v>
          </cell>
          <cell r="H225" t="e">
            <v>#N/A</v>
          </cell>
          <cell r="I225" t="e">
            <v>#N/A</v>
          </cell>
          <cell r="J225" t="e">
            <v>#N/A</v>
          </cell>
        </row>
        <row r="226">
          <cell r="D226" t="e">
            <v>#N/A</v>
          </cell>
          <cell r="E226" t="e">
            <v>#N/A</v>
          </cell>
          <cell r="F226" t="e">
            <v>#N/A</v>
          </cell>
          <cell r="G226" t="e">
            <v>#N/A</v>
          </cell>
          <cell r="H226" t="e">
            <v>#N/A</v>
          </cell>
          <cell r="I226" t="e">
            <v>#N/A</v>
          </cell>
          <cell r="J226" t="e">
            <v>#N/A</v>
          </cell>
        </row>
        <row r="227">
          <cell r="D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  <cell r="H227" t="e">
            <v>#N/A</v>
          </cell>
          <cell r="I227" t="e">
            <v>#N/A</v>
          </cell>
          <cell r="J227" t="e">
            <v>#N/A</v>
          </cell>
        </row>
        <row r="228">
          <cell r="D228" t="e">
            <v>#N/A</v>
          </cell>
          <cell r="E228" t="e">
            <v>#N/A</v>
          </cell>
          <cell r="F228" t="e">
            <v>#N/A</v>
          </cell>
          <cell r="G228" t="e">
            <v>#N/A</v>
          </cell>
          <cell r="H228" t="e">
            <v>#N/A</v>
          </cell>
          <cell r="I228" t="e">
            <v>#N/A</v>
          </cell>
          <cell r="J228" t="e">
            <v>#N/A</v>
          </cell>
        </row>
        <row r="229">
          <cell r="D229" t="e">
            <v>#N/A</v>
          </cell>
          <cell r="E229" t="e">
            <v>#N/A</v>
          </cell>
          <cell r="F229" t="e">
            <v>#N/A</v>
          </cell>
          <cell r="G229" t="e">
            <v>#N/A</v>
          </cell>
          <cell r="H229" t="e">
            <v>#N/A</v>
          </cell>
          <cell r="I229" t="e">
            <v>#N/A</v>
          </cell>
          <cell r="J229" t="e">
            <v>#N/A</v>
          </cell>
        </row>
        <row r="230">
          <cell r="D230" t="e">
            <v>#N/A</v>
          </cell>
          <cell r="E230" t="e">
            <v>#N/A</v>
          </cell>
          <cell r="F230" t="e">
            <v>#N/A</v>
          </cell>
          <cell r="G230" t="e">
            <v>#N/A</v>
          </cell>
          <cell r="H230" t="e">
            <v>#N/A</v>
          </cell>
          <cell r="I230" t="e">
            <v>#N/A</v>
          </cell>
          <cell r="J230" t="e">
            <v>#N/A</v>
          </cell>
        </row>
        <row r="231">
          <cell r="D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  <cell r="H231" t="e">
            <v>#N/A</v>
          </cell>
          <cell r="I231" t="e">
            <v>#N/A</v>
          </cell>
          <cell r="J231" t="e">
            <v>#N/A</v>
          </cell>
        </row>
        <row r="232">
          <cell r="D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  <cell r="H232" t="e">
            <v>#N/A</v>
          </cell>
          <cell r="I232" t="e">
            <v>#N/A</v>
          </cell>
          <cell r="J232" t="e">
            <v>#N/A</v>
          </cell>
        </row>
        <row r="233">
          <cell r="D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  <cell r="H233" t="e">
            <v>#N/A</v>
          </cell>
          <cell r="I233" t="e">
            <v>#N/A</v>
          </cell>
          <cell r="J233" t="e">
            <v>#N/A</v>
          </cell>
        </row>
        <row r="234">
          <cell r="D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</row>
        <row r="235">
          <cell r="D235" t="e">
            <v>#N/A</v>
          </cell>
          <cell r="E235" t="e">
            <v>#N/A</v>
          </cell>
          <cell r="F235" t="e">
            <v>#N/A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</row>
        <row r="236">
          <cell r="D236" t="e">
            <v>#N/A</v>
          </cell>
          <cell r="E236" t="e">
            <v>#N/A</v>
          </cell>
          <cell r="F236" t="e">
            <v>#N/A</v>
          </cell>
          <cell r="G236" t="e">
            <v>#N/A</v>
          </cell>
          <cell r="H236" t="e">
            <v>#N/A</v>
          </cell>
          <cell r="I236" t="e">
            <v>#N/A</v>
          </cell>
          <cell r="J236" t="e">
            <v>#N/A</v>
          </cell>
        </row>
        <row r="237">
          <cell r="D237" t="e">
            <v>#N/A</v>
          </cell>
          <cell r="E237" t="e">
            <v>#N/A</v>
          </cell>
          <cell r="F237" t="e">
            <v>#N/A</v>
          </cell>
          <cell r="G237" t="e">
            <v>#N/A</v>
          </cell>
          <cell r="H237" t="e">
            <v>#N/A</v>
          </cell>
          <cell r="I237" t="e">
            <v>#N/A</v>
          </cell>
          <cell r="J237" t="e">
            <v>#N/A</v>
          </cell>
        </row>
        <row r="238">
          <cell r="D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  <cell r="H238" t="e">
            <v>#N/A</v>
          </cell>
          <cell r="I238" t="e">
            <v>#N/A</v>
          </cell>
          <cell r="J238" t="e">
            <v>#N/A</v>
          </cell>
        </row>
        <row r="239">
          <cell r="D239" t="e">
            <v>#N/A</v>
          </cell>
          <cell r="E239" t="e">
            <v>#N/A</v>
          </cell>
          <cell r="F239" t="e">
            <v>#N/A</v>
          </cell>
          <cell r="G239" t="e">
            <v>#N/A</v>
          </cell>
          <cell r="H239" t="e">
            <v>#N/A</v>
          </cell>
          <cell r="I239" t="e">
            <v>#N/A</v>
          </cell>
          <cell r="J239" t="e">
            <v>#N/A</v>
          </cell>
        </row>
        <row r="240">
          <cell r="D240" t="e">
            <v>#N/A</v>
          </cell>
          <cell r="E240" t="e">
            <v>#N/A</v>
          </cell>
          <cell r="F240" t="e">
            <v>#N/A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</row>
        <row r="241">
          <cell r="D241" t="e">
            <v>#N/A</v>
          </cell>
          <cell r="E241" t="e">
            <v>#N/A</v>
          </cell>
          <cell r="F241" t="e">
            <v>#N/A</v>
          </cell>
          <cell r="G241" t="e">
            <v>#N/A</v>
          </cell>
          <cell r="H241" t="e">
            <v>#N/A</v>
          </cell>
          <cell r="I241" t="e">
            <v>#N/A</v>
          </cell>
          <cell r="J241" t="e">
            <v>#N/A</v>
          </cell>
        </row>
        <row r="242">
          <cell r="D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  <cell r="H242" t="e">
            <v>#N/A</v>
          </cell>
          <cell r="I242" t="e">
            <v>#N/A</v>
          </cell>
          <cell r="J242" t="e">
            <v>#N/A</v>
          </cell>
        </row>
        <row r="243">
          <cell r="D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</row>
        <row r="244">
          <cell r="D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  <cell r="H244" t="e">
            <v>#N/A</v>
          </cell>
          <cell r="I244" t="e">
            <v>#N/A</v>
          </cell>
          <cell r="J244" t="e">
            <v>#N/A</v>
          </cell>
        </row>
        <row r="245">
          <cell r="D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  <cell r="H245" t="e">
            <v>#N/A</v>
          </cell>
          <cell r="I245" t="e">
            <v>#N/A</v>
          </cell>
          <cell r="J245" t="e">
            <v>#N/A</v>
          </cell>
        </row>
        <row r="246">
          <cell r="D246" t="e">
            <v>#N/A</v>
          </cell>
          <cell r="E246" t="e">
            <v>#N/A</v>
          </cell>
          <cell r="F246" t="e">
            <v>#N/A</v>
          </cell>
          <cell r="G246" t="e">
            <v>#N/A</v>
          </cell>
          <cell r="H246" t="e">
            <v>#N/A</v>
          </cell>
          <cell r="I246" t="e">
            <v>#N/A</v>
          </cell>
          <cell r="J246" t="e">
            <v>#N/A</v>
          </cell>
        </row>
        <row r="247">
          <cell r="D247" t="e">
            <v>#N/A</v>
          </cell>
          <cell r="E247" t="e">
            <v>#N/A</v>
          </cell>
          <cell r="F247" t="e">
            <v>#N/A</v>
          </cell>
          <cell r="G247" t="e">
            <v>#N/A</v>
          </cell>
          <cell r="H247" t="e">
            <v>#N/A</v>
          </cell>
          <cell r="I247" t="e">
            <v>#N/A</v>
          </cell>
          <cell r="J247" t="e">
            <v>#N/A</v>
          </cell>
        </row>
        <row r="248">
          <cell r="D248" t="e">
            <v>#N/A</v>
          </cell>
          <cell r="E248" t="e">
            <v>#N/A</v>
          </cell>
          <cell r="F248" t="e">
            <v>#N/A</v>
          </cell>
          <cell r="G248" t="e">
            <v>#N/A</v>
          </cell>
          <cell r="H248" t="e">
            <v>#N/A</v>
          </cell>
          <cell r="I248" t="e">
            <v>#N/A</v>
          </cell>
          <cell r="J248" t="e">
            <v>#N/A</v>
          </cell>
        </row>
        <row r="249">
          <cell r="D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  <cell r="H249" t="e">
            <v>#N/A</v>
          </cell>
          <cell r="I249" t="e">
            <v>#N/A</v>
          </cell>
          <cell r="J249" t="e">
            <v>#N/A</v>
          </cell>
        </row>
        <row r="250">
          <cell r="D250" t="e">
            <v>#N/A</v>
          </cell>
          <cell r="E250" t="e">
            <v>#N/A</v>
          </cell>
          <cell r="F250" t="e">
            <v>#N/A</v>
          </cell>
          <cell r="G250" t="e">
            <v>#N/A</v>
          </cell>
          <cell r="H250" t="e">
            <v>#N/A</v>
          </cell>
          <cell r="I250" t="e">
            <v>#N/A</v>
          </cell>
          <cell r="J250" t="e">
            <v>#N/A</v>
          </cell>
        </row>
        <row r="251">
          <cell r="D251" t="e">
            <v>#N/A</v>
          </cell>
          <cell r="E251" t="e">
            <v>#N/A</v>
          </cell>
          <cell r="F251" t="e">
            <v>#N/A</v>
          </cell>
          <cell r="G251" t="e">
            <v>#N/A</v>
          </cell>
          <cell r="H251" t="e">
            <v>#N/A</v>
          </cell>
          <cell r="I251" t="e">
            <v>#N/A</v>
          </cell>
          <cell r="J251" t="e">
            <v>#N/A</v>
          </cell>
        </row>
        <row r="252">
          <cell r="D252" t="e">
            <v>#N/A</v>
          </cell>
          <cell r="E252" t="e">
            <v>#N/A</v>
          </cell>
          <cell r="F252" t="e">
            <v>#N/A</v>
          </cell>
          <cell r="G252" t="e">
            <v>#N/A</v>
          </cell>
          <cell r="H252" t="e">
            <v>#N/A</v>
          </cell>
          <cell r="I252" t="e">
            <v>#N/A</v>
          </cell>
          <cell r="J252" t="e">
            <v>#N/A</v>
          </cell>
        </row>
        <row r="253">
          <cell r="D253" t="e">
            <v>#N/A</v>
          </cell>
          <cell r="E253" t="e">
            <v>#N/A</v>
          </cell>
          <cell r="F253" t="e">
            <v>#N/A</v>
          </cell>
          <cell r="G253" t="e">
            <v>#N/A</v>
          </cell>
          <cell r="H253" t="e">
            <v>#N/A</v>
          </cell>
          <cell r="I253" t="e">
            <v>#N/A</v>
          </cell>
          <cell r="J253" t="e">
            <v>#N/A</v>
          </cell>
        </row>
        <row r="254">
          <cell r="D254" t="e">
            <v>#N/A</v>
          </cell>
          <cell r="E254" t="e">
            <v>#N/A</v>
          </cell>
          <cell r="F254" t="e">
            <v>#N/A</v>
          </cell>
          <cell r="G254" t="e">
            <v>#N/A</v>
          </cell>
          <cell r="H254" t="e">
            <v>#N/A</v>
          </cell>
          <cell r="I254" t="e">
            <v>#N/A</v>
          </cell>
          <cell r="J254" t="e">
            <v>#N/A</v>
          </cell>
        </row>
        <row r="255">
          <cell r="D255" t="e">
            <v>#N/A</v>
          </cell>
          <cell r="E255" t="e">
            <v>#N/A</v>
          </cell>
          <cell r="F255" t="e">
            <v>#N/A</v>
          </cell>
          <cell r="G255" t="e">
            <v>#N/A</v>
          </cell>
          <cell r="H255" t="e">
            <v>#N/A</v>
          </cell>
          <cell r="I255" t="e">
            <v>#N/A</v>
          </cell>
          <cell r="J255" t="e">
            <v>#N/A</v>
          </cell>
        </row>
        <row r="256">
          <cell r="D256" t="e">
            <v>#N/A</v>
          </cell>
          <cell r="E256" t="e">
            <v>#N/A</v>
          </cell>
          <cell r="F256" t="e">
            <v>#N/A</v>
          </cell>
          <cell r="G256" t="e">
            <v>#N/A</v>
          </cell>
          <cell r="H256" t="e">
            <v>#N/A</v>
          </cell>
          <cell r="I256" t="e">
            <v>#N/A</v>
          </cell>
          <cell r="J256" t="e">
            <v>#N/A</v>
          </cell>
        </row>
        <row r="257">
          <cell r="D257" t="e">
            <v>#N/A</v>
          </cell>
          <cell r="E257" t="e">
            <v>#N/A</v>
          </cell>
          <cell r="F257" t="e">
            <v>#N/A</v>
          </cell>
          <cell r="G257" t="e">
            <v>#N/A</v>
          </cell>
          <cell r="H257" t="e">
            <v>#N/A</v>
          </cell>
          <cell r="I257" t="e">
            <v>#N/A</v>
          </cell>
          <cell r="J257" t="e">
            <v>#N/A</v>
          </cell>
        </row>
        <row r="258">
          <cell r="D258" t="e">
            <v>#N/A</v>
          </cell>
          <cell r="E258" t="e">
            <v>#N/A</v>
          </cell>
          <cell r="F258" t="e">
            <v>#N/A</v>
          </cell>
          <cell r="G258" t="e">
            <v>#N/A</v>
          </cell>
          <cell r="H258" t="e">
            <v>#N/A</v>
          </cell>
          <cell r="I258" t="e">
            <v>#N/A</v>
          </cell>
          <cell r="J258" t="e">
            <v>#N/A</v>
          </cell>
        </row>
        <row r="259">
          <cell r="D259" t="e">
            <v>#N/A</v>
          </cell>
          <cell r="E259" t="e">
            <v>#N/A</v>
          </cell>
          <cell r="F259" t="e">
            <v>#N/A</v>
          </cell>
          <cell r="G259" t="e">
            <v>#N/A</v>
          </cell>
          <cell r="H259" t="e">
            <v>#N/A</v>
          </cell>
          <cell r="I259" t="e">
            <v>#N/A</v>
          </cell>
          <cell r="J259" t="e">
            <v>#N/A</v>
          </cell>
        </row>
        <row r="260">
          <cell r="D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  <cell r="H260" t="e">
            <v>#N/A</v>
          </cell>
          <cell r="I260" t="e">
            <v>#N/A</v>
          </cell>
          <cell r="J260" t="e">
            <v>#N/A</v>
          </cell>
        </row>
        <row r="261">
          <cell r="D261" t="e">
            <v>#N/A</v>
          </cell>
          <cell r="E261" t="e">
            <v>#N/A</v>
          </cell>
          <cell r="F261" t="e">
            <v>#N/A</v>
          </cell>
          <cell r="G261" t="e">
            <v>#N/A</v>
          </cell>
          <cell r="H261" t="e">
            <v>#N/A</v>
          </cell>
          <cell r="I261" t="e">
            <v>#N/A</v>
          </cell>
          <cell r="J261" t="e">
            <v>#N/A</v>
          </cell>
        </row>
        <row r="262">
          <cell r="D262" t="e">
            <v>#N/A</v>
          </cell>
          <cell r="E262" t="e">
            <v>#N/A</v>
          </cell>
          <cell r="F262" t="e">
            <v>#N/A</v>
          </cell>
          <cell r="G262" t="e">
            <v>#N/A</v>
          </cell>
          <cell r="H262" t="e">
            <v>#N/A</v>
          </cell>
          <cell r="I262" t="e">
            <v>#N/A</v>
          </cell>
          <cell r="J262" t="e">
            <v>#N/A</v>
          </cell>
        </row>
        <row r="263">
          <cell r="D263" t="e">
            <v>#N/A</v>
          </cell>
          <cell r="E263" t="e">
            <v>#N/A</v>
          </cell>
          <cell r="F263" t="e">
            <v>#N/A</v>
          </cell>
          <cell r="G263" t="e">
            <v>#N/A</v>
          </cell>
          <cell r="H263" t="e">
            <v>#N/A</v>
          </cell>
          <cell r="I263" t="e">
            <v>#N/A</v>
          </cell>
          <cell r="J263" t="e">
            <v>#N/A</v>
          </cell>
        </row>
        <row r="264">
          <cell r="D264" t="e">
            <v>#N/A</v>
          </cell>
          <cell r="E264" t="e">
            <v>#N/A</v>
          </cell>
          <cell r="F264" t="e">
            <v>#N/A</v>
          </cell>
          <cell r="G264" t="e">
            <v>#N/A</v>
          </cell>
          <cell r="H264" t="e">
            <v>#N/A</v>
          </cell>
          <cell r="I264" t="e">
            <v>#N/A</v>
          </cell>
          <cell r="J264" t="e">
            <v>#N/A</v>
          </cell>
        </row>
        <row r="265">
          <cell r="D265" t="e">
            <v>#N/A</v>
          </cell>
          <cell r="E265" t="e">
            <v>#N/A</v>
          </cell>
          <cell r="F265" t="e">
            <v>#N/A</v>
          </cell>
          <cell r="G265" t="e">
            <v>#N/A</v>
          </cell>
          <cell r="H265" t="e">
            <v>#N/A</v>
          </cell>
          <cell r="I265" t="e">
            <v>#N/A</v>
          </cell>
          <cell r="J265" t="e">
            <v>#N/A</v>
          </cell>
        </row>
        <row r="266">
          <cell r="D266" t="e">
            <v>#N/A</v>
          </cell>
          <cell r="E266" t="e">
            <v>#N/A</v>
          </cell>
          <cell r="F266" t="e">
            <v>#N/A</v>
          </cell>
          <cell r="G266" t="e">
            <v>#N/A</v>
          </cell>
          <cell r="H266" t="e">
            <v>#N/A</v>
          </cell>
          <cell r="I266" t="e">
            <v>#N/A</v>
          </cell>
          <cell r="J266" t="e">
            <v>#N/A</v>
          </cell>
        </row>
        <row r="267">
          <cell r="D267" t="e">
            <v>#N/A</v>
          </cell>
          <cell r="E267" t="e">
            <v>#N/A</v>
          </cell>
          <cell r="F267" t="e">
            <v>#N/A</v>
          </cell>
          <cell r="G267" t="e">
            <v>#N/A</v>
          </cell>
          <cell r="H267" t="e">
            <v>#N/A</v>
          </cell>
          <cell r="I267" t="e">
            <v>#N/A</v>
          </cell>
          <cell r="J267" t="e">
            <v>#N/A</v>
          </cell>
        </row>
        <row r="268">
          <cell r="D268" t="e">
            <v>#N/A</v>
          </cell>
          <cell r="E268" t="e">
            <v>#N/A</v>
          </cell>
          <cell r="F268" t="e">
            <v>#N/A</v>
          </cell>
          <cell r="G268" t="e">
            <v>#N/A</v>
          </cell>
          <cell r="H268" t="e">
            <v>#N/A</v>
          </cell>
          <cell r="I268" t="e">
            <v>#N/A</v>
          </cell>
          <cell r="J268" t="e">
            <v>#N/A</v>
          </cell>
        </row>
        <row r="269">
          <cell r="D269" t="e">
            <v>#N/A</v>
          </cell>
          <cell r="E269" t="e">
            <v>#N/A</v>
          </cell>
          <cell r="F269" t="e">
            <v>#N/A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</row>
        <row r="270">
          <cell r="D270" t="e">
            <v>#N/A</v>
          </cell>
          <cell r="E270" t="e">
            <v>#N/A</v>
          </cell>
          <cell r="F270" t="e">
            <v>#N/A</v>
          </cell>
          <cell r="G270" t="e">
            <v>#N/A</v>
          </cell>
          <cell r="H270" t="e">
            <v>#N/A</v>
          </cell>
          <cell r="I270" t="e">
            <v>#N/A</v>
          </cell>
          <cell r="J270" t="e">
            <v>#N/A</v>
          </cell>
        </row>
        <row r="271">
          <cell r="D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  <cell r="H271" t="e">
            <v>#N/A</v>
          </cell>
          <cell r="I271" t="e">
            <v>#N/A</v>
          </cell>
          <cell r="J271" t="e">
            <v>#N/A</v>
          </cell>
        </row>
        <row r="272">
          <cell r="D272" t="e">
            <v>#N/A</v>
          </cell>
          <cell r="E272" t="e">
            <v>#N/A</v>
          </cell>
          <cell r="F272" t="e">
            <v>#N/A</v>
          </cell>
          <cell r="G272" t="e">
            <v>#N/A</v>
          </cell>
          <cell r="H272" t="e">
            <v>#N/A</v>
          </cell>
          <cell r="I272" t="e">
            <v>#N/A</v>
          </cell>
          <cell r="J272" t="e">
            <v>#N/A</v>
          </cell>
        </row>
        <row r="273">
          <cell r="D273" t="e">
            <v>#N/A</v>
          </cell>
          <cell r="E273" t="e">
            <v>#N/A</v>
          </cell>
          <cell r="F273" t="e">
            <v>#N/A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</row>
        <row r="274">
          <cell r="D274" t="e">
            <v>#N/A</v>
          </cell>
          <cell r="E274" t="e">
            <v>#N/A</v>
          </cell>
          <cell r="F274" t="e">
            <v>#N/A</v>
          </cell>
          <cell r="G274" t="e">
            <v>#N/A</v>
          </cell>
          <cell r="H274" t="e">
            <v>#N/A</v>
          </cell>
          <cell r="I274" t="e">
            <v>#N/A</v>
          </cell>
          <cell r="J274" t="e">
            <v>#N/A</v>
          </cell>
        </row>
        <row r="275">
          <cell r="D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  <cell r="H275" t="e">
            <v>#N/A</v>
          </cell>
          <cell r="I275" t="e">
            <v>#N/A</v>
          </cell>
          <cell r="J275" t="e">
            <v>#N/A</v>
          </cell>
        </row>
        <row r="276">
          <cell r="D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  <cell r="H276" t="e">
            <v>#N/A</v>
          </cell>
          <cell r="I276" t="e">
            <v>#N/A</v>
          </cell>
          <cell r="J276" t="e">
            <v>#N/A</v>
          </cell>
        </row>
        <row r="277">
          <cell r="D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  <cell r="H277" t="e">
            <v>#N/A</v>
          </cell>
          <cell r="I277" t="e">
            <v>#N/A</v>
          </cell>
          <cell r="J277" t="e">
            <v>#N/A</v>
          </cell>
        </row>
        <row r="278">
          <cell r="D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  <cell r="H278" t="e">
            <v>#N/A</v>
          </cell>
          <cell r="I278" t="e">
            <v>#N/A</v>
          </cell>
          <cell r="J278" t="e">
            <v>#N/A</v>
          </cell>
        </row>
        <row r="279">
          <cell r="D279" t="e">
            <v>#N/A</v>
          </cell>
          <cell r="E279" t="e">
            <v>#N/A</v>
          </cell>
          <cell r="F279" t="e">
            <v>#N/A</v>
          </cell>
          <cell r="G279" t="e">
            <v>#N/A</v>
          </cell>
          <cell r="H279" t="e">
            <v>#N/A</v>
          </cell>
          <cell r="I279" t="e">
            <v>#N/A</v>
          </cell>
          <cell r="J279" t="e">
            <v>#N/A</v>
          </cell>
        </row>
        <row r="280">
          <cell r="D280" t="e">
            <v>#N/A</v>
          </cell>
          <cell r="E280" t="e">
            <v>#N/A</v>
          </cell>
          <cell r="F280" t="e">
            <v>#N/A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</row>
        <row r="281">
          <cell r="D281" t="e">
            <v>#N/A</v>
          </cell>
          <cell r="E281" t="e">
            <v>#N/A</v>
          </cell>
          <cell r="F281" t="e">
            <v>#N/A</v>
          </cell>
          <cell r="G281" t="e">
            <v>#N/A</v>
          </cell>
          <cell r="H281" t="e">
            <v>#N/A</v>
          </cell>
          <cell r="I281" t="e">
            <v>#N/A</v>
          </cell>
          <cell r="J281" t="e">
            <v>#N/A</v>
          </cell>
        </row>
        <row r="282">
          <cell r="D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  <cell r="H282" t="e">
            <v>#N/A</v>
          </cell>
          <cell r="I282" t="e">
            <v>#N/A</v>
          </cell>
          <cell r="J282" t="e">
            <v>#N/A</v>
          </cell>
        </row>
        <row r="283">
          <cell r="D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  <cell r="I283" t="e">
            <v>#N/A</v>
          </cell>
          <cell r="J283" t="e">
            <v>#N/A</v>
          </cell>
        </row>
        <row r="284">
          <cell r="D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  <cell r="H284" t="e">
            <v>#N/A</v>
          </cell>
          <cell r="I284" t="e">
            <v>#N/A</v>
          </cell>
          <cell r="J284" t="e">
            <v>#N/A</v>
          </cell>
        </row>
        <row r="285">
          <cell r="D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  <cell r="H285" t="e">
            <v>#N/A</v>
          </cell>
          <cell r="I285" t="e">
            <v>#N/A</v>
          </cell>
          <cell r="J285" t="e">
            <v>#N/A</v>
          </cell>
        </row>
        <row r="286">
          <cell r="D286" t="e">
            <v>#N/A</v>
          </cell>
          <cell r="E286" t="e">
            <v>#N/A</v>
          </cell>
          <cell r="F286" t="e">
            <v>#N/A</v>
          </cell>
          <cell r="G286" t="e">
            <v>#N/A</v>
          </cell>
          <cell r="H286" t="e">
            <v>#N/A</v>
          </cell>
          <cell r="I286" t="e">
            <v>#N/A</v>
          </cell>
          <cell r="J286" t="e">
            <v>#N/A</v>
          </cell>
        </row>
        <row r="287">
          <cell r="D287" t="e">
            <v>#N/A</v>
          </cell>
          <cell r="E287" t="e">
            <v>#N/A</v>
          </cell>
          <cell r="F287" t="e">
            <v>#N/A</v>
          </cell>
          <cell r="G287" t="e">
            <v>#N/A</v>
          </cell>
          <cell r="H287" t="e">
            <v>#N/A</v>
          </cell>
          <cell r="I287" t="e">
            <v>#N/A</v>
          </cell>
          <cell r="J287" t="e">
            <v>#N/A</v>
          </cell>
        </row>
        <row r="288">
          <cell r="D288" t="e">
            <v>#N/A</v>
          </cell>
          <cell r="E288" t="e">
            <v>#N/A</v>
          </cell>
          <cell r="F288" t="e">
            <v>#N/A</v>
          </cell>
          <cell r="G288" t="e">
            <v>#N/A</v>
          </cell>
          <cell r="H288" t="e">
            <v>#N/A</v>
          </cell>
          <cell r="I288" t="e">
            <v>#N/A</v>
          </cell>
          <cell r="J288" t="e">
            <v>#N/A</v>
          </cell>
        </row>
        <row r="289">
          <cell r="D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  <cell r="H289" t="e">
            <v>#N/A</v>
          </cell>
          <cell r="I289" t="e">
            <v>#N/A</v>
          </cell>
          <cell r="J289" t="e">
            <v>#N/A</v>
          </cell>
        </row>
        <row r="290">
          <cell r="D290" t="e">
            <v>#N/A</v>
          </cell>
          <cell r="E290" t="e">
            <v>#N/A</v>
          </cell>
          <cell r="F290" t="e">
            <v>#N/A</v>
          </cell>
          <cell r="G290" t="e">
            <v>#N/A</v>
          </cell>
          <cell r="H290" t="e">
            <v>#N/A</v>
          </cell>
          <cell r="I290" t="e">
            <v>#N/A</v>
          </cell>
          <cell r="J290" t="e">
            <v>#N/A</v>
          </cell>
        </row>
        <row r="291">
          <cell r="D291" t="e">
            <v>#N/A</v>
          </cell>
          <cell r="E291" t="e">
            <v>#N/A</v>
          </cell>
          <cell r="F291" t="e">
            <v>#N/A</v>
          </cell>
          <cell r="G291" t="e">
            <v>#N/A</v>
          </cell>
          <cell r="H291" t="e">
            <v>#N/A</v>
          </cell>
          <cell r="I291" t="e">
            <v>#N/A</v>
          </cell>
          <cell r="J291" t="e">
            <v>#N/A</v>
          </cell>
        </row>
        <row r="292">
          <cell r="D292" t="e">
            <v>#N/A</v>
          </cell>
          <cell r="E292" t="e">
            <v>#N/A</v>
          </cell>
          <cell r="F292" t="e">
            <v>#N/A</v>
          </cell>
          <cell r="G292" t="e">
            <v>#N/A</v>
          </cell>
          <cell r="H292" t="e">
            <v>#N/A</v>
          </cell>
          <cell r="I292" t="e">
            <v>#N/A</v>
          </cell>
          <cell r="J292" t="e">
            <v>#N/A</v>
          </cell>
        </row>
        <row r="293">
          <cell r="D293" t="e">
            <v>#N/A</v>
          </cell>
          <cell r="E293" t="e">
            <v>#N/A</v>
          </cell>
          <cell r="F293" t="e">
            <v>#N/A</v>
          </cell>
          <cell r="G293" t="e">
            <v>#N/A</v>
          </cell>
          <cell r="H293" t="e">
            <v>#N/A</v>
          </cell>
          <cell r="I293" t="e">
            <v>#N/A</v>
          </cell>
          <cell r="J293" t="e">
            <v>#N/A</v>
          </cell>
        </row>
        <row r="294">
          <cell r="D294" t="e">
            <v>#N/A</v>
          </cell>
          <cell r="E294" t="e">
            <v>#N/A</v>
          </cell>
          <cell r="F294" t="e">
            <v>#N/A</v>
          </cell>
          <cell r="G294" t="e">
            <v>#N/A</v>
          </cell>
          <cell r="H294" t="e">
            <v>#N/A</v>
          </cell>
          <cell r="I294" t="e">
            <v>#N/A</v>
          </cell>
          <cell r="J294" t="e">
            <v>#N/A</v>
          </cell>
        </row>
        <row r="295">
          <cell r="D295" t="e">
            <v>#N/A</v>
          </cell>
          <cell r="E295" t="e">
            <v>#N/A</v>
          </cell>
          <cell r="F295" t="e">
            <v>#N/A</v>
          </cell>
          <cell r="G295" t="e">
            <v>#N/A</v>
          </cell>
          <cell r="H295" t="e">
            <v>#N/A</v>
          </cell>
          <cell r="I295" t="e">
            <v>#N/A</v>
          </cell>
          <cell r="J295" t="e">
            <v>#N/A</v>
          </cell>
        </row>
        <row r="296">
          <cell r="D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  <cell r="H296" t="e">
            <v>#N/A</v>
          </cell>
          <cell r="I296" t="e">
            <v>#N/A</v>
          </cell>
          <cell r="J296" t="e">
            <v>#N/A</v>
          </cell>
        </row>
        <row r="297">
          <cell r="D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  <cell r="H297" t="e">
            <v>#N/A</v>
          </cell>
          <cell r="I297" t="e">
            <v>#N/A</v>
          </cell>
          <cell r="J297" t="e">
            <v>#N/A</v>
          </cell>
        </row>
        <row r="298">
          <cell r="D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  <cell r="H298" t="e">
            <v>#N/A</v>
          </cell>
          <cell r="I298" t="e">
            <v>#N/A</v>
          </cell>
          <cell r="J298" t="e">
            <v>#N/A</v>
          </cell>
        </row>
        <row r="299">
          <cell r="D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  <cell r="H299" t="e">
            <v>#N/A</v>
          </cell>
          <cell r="I299" t="e">
            <v>#N/A</v>
          </cell>
          <cell r="J299" t="e">
            <v>#N/A</v>
          </cell>
        </row>
        <row r="300">
          <cell r="D300" t="e">
            <v>#N/A</v>
          </cell>
          <cell r="E300" t="e">
            <v>#N/A</v>
          </cell>
          <cell r="F300" t="e">
            <v>#N/A</v>
          </cell>
          <cell r="G300" t="e">
            <v>#N/A</v>
          </cell>
          <cell r="H300" t="e">
            <v>#N/A</v>
          </cell>
          <cell r="I300" t="e">
            <v>#N/A</v>
          </cell>
          <cell r="J300" t="e">
            <v>#N/A</v>
          </cell>
        </row>
        <row r="301">
          <cell r="D301" t="e">
            <v>#N/A</v>
          </cell>
          <cell r="E301" t="e">
            <v>#N/A</v>
          </cell>
          <cell r="F301" t="e">
            <v>#N/A</v>
          </cell>
          <cell r="G301" t="e">
            <v>#N/A</v>
          </cell>
          <cell r="H301" t="e">
            <v>#N/A</v>
          </cell>
          <cell r="I301" t="e">
            <v>#N/A</v>
          </cell>
          <cell r="J301" t="e">
            <v>#N/A</v>
          </cell>
        </row>
        <row r="302">
          <cell r="D302" t="e">
            <v>#N/A</v>
          </cell>
          <cell r="E302" t="e">
            <v>#N/A</v>
          </cell>
          <cell r="F302" t="e">
            <v>#N/A</v>
          </cell>
          <cell r="G302" t="e">
            <v>#N/A</v>
          </cell>
          <cell r="H302" t="e">
            <v>#N/A</v>
          </cell>
          <cell r="I302" t="e">
            <v>#N/A</v>
          </cell>
          <cell r="J302" t="e">
            <v>#N/A</v>
          </cell>
        </row>
        <row r="303">
          <cell r="D303" t="e">
            <v>#N/A</v>
          </cell>
          <cell r="E303" t="e">
            <v>#N/A</v>
          </cell>
          <cell r="F303" t="e">
            <v>#N/A</v>
          </cell>
          <cell r="G303" t="e">
            <v>#N/A</v>
          </cell>
          <cell r="H303" t="e">
            <v>#N/A</v>
          </cell>
          <cell r="I303" t="e">
            <v>#N/A</v>
          </cell>
          <cell r="J303" t="e">
            <v>#N/A</v>
          </cell>
        </row>
        <row r="304">
          <cell r="D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  <cell r="H304" t="e">
            <v>#N/A</v>
          </cell>
          <cell r="I304" t="e">
            <v>#N/A</v>
          </cell>
          <cell r="J304" t="e">
            <v>#N/A</v>
          </cell>
        </row>
        <row r="305">
          <cell r="D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</row>
        <row r="306">
          <cell r="D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  <cell r="H306" t="e">
            <v>#N/A</v>
          </cell>
          <cell r="I306" t="e">
            <v>#N/A</v>
          </cell>
          <cell r="J306" t="e">
            <v>#N/A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MOISES LOS 10 MANDAMIENTOSLMWJD</v>
          </cell>
        </row>
      </sheetData>
      <sheetData sheetId="31">
        <row r="3">
          <cell r="H3" t="str">
            <v>MOISES LOS 10 MANDAMIENTOSLMWJD</v>
          </cell>
        </row>
      </sheetData>
      <sheetData sheetId="32">
        <row r="3">
          <cell r="H3" t="str">
            <v>MOISES LOS 10 MANDAMIENTOSLMWJD</v>
          </cell>
        </row>
      </sheetData>
      <sheetData sheetId="33">
        <row r="3">
          <cell r="H3" t="str">
            <v>MOISES LOS 10 MANDAMIENTOSLMWJD</v>
          </cell>
        </row>
      </sheetData>
      <sheetData sheetId="34">
        <row r="3">
          <cell r="H3" t="str">
            <v>45 ANOS DE UN COCOJ</v>
          </cell>
        </row>
      </sheetData>
      <sheetData sheetId="35">
        <row r="3">
          <cell r="H3" t="str">
            <v>HISTORIA DE UN OSOS</v>
          </cell>
        </row>
      </sheetData>
      <sheetData sheetId="36">
        <row r="3">
          <cell r="H3" t="str">
            <v>24 HORASD</v>
          </cell>
        </row>
      </sheetData>
      <sheetData sheetId="37">
        <row r="2">
          <cell r="D2">
            <v>2</v>
          </cell>
        </row>
      </sheetData>
      <sheetData sheetId="38">
        <row r="3">
          <cell r="H3" t="str">
            <v>MOISES LOS 10 MANDAMIENTOSLMWJD</v>
          </cell>
        </row>
      </sheetData>
      <sheetData sheetId="39">
        <row r="2">
          <cell r="D2">
            <v>2</v>
          </cell>
        </row>
      </sheetData>
      <sheetData sheetId="40">
        <row r="3">
          <cell r="H3" t="str">
            <v>MOISES LOS 10 MANDAMIENTOSLMWJD</v>
          </cell>
        </row>
      </sheetData>
      <sheetData sheetId="41">
        <row r="2">
          <cell r="D2">
            <v>2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>
        <row r="3">
          <cell r="H3" t="str">
            <v>MOISES LOS 10 MANDAMIENTOSLMWJD</v>
          </cell>
        </row>
      </sheetData>
      <sheetData sheetId="82">
        <row r="3">
          <cell r="H3" t="str">
            <v>MOISES LOS 10 MANDAMIENTOSLMWJD</v>
          </cell>
        </row>
      </sheetData>
      <sheetData sheetId="83">
        <row r="3">
          <cell r="H3" t="str">
            <v>45 ANOS DE UN COCOJ</v>
          </cell>
        </row>
      </sheetData>
      <sheetData sheetId="84">
        <row r="3">
          <cell r="H3" t="str">
            <v>HISTORIA DE UN OSOS</v>
          </cell>
        </row>
      </sheetData>
      <sheetData sheetId="85">
        <row r="3">
          <cell r="H3" t="str">
            <v>24 HORASD</v>
          </cell>
        </row>
      </sheetData>
      <sheetData sheetId="86">
        <row r="3">
          <cell r="H3" t="str">
            <v>MOISES LOS 10 MANDAMIENTOSLMWJD</v>
          </cell>
        </row>
      </sheetData>
      <sheetData sheetId="87">
        <row r="3">
          <cell r="H3" t="str">
            <v>MOISES LOS 10 MANDAMIENTOSLMWJD</v>
          </cell>
        </row>
      </sheetData>
      <sheetData sheetId="88">
        <row r="2">
          <cell r="D2">
            <v>2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egociaciones1"/>
    </sheetNames>
    <sheetDataSet>
      <sheetData sheetId="0" refreshError="1">
        <row r="4">
          <cell r="D4" t="str">
            <v>Big Banner</v>
          </cell>
        </row>
        <row r="5">
          <cell r="D5" t="str">
            <v>Boton1</v>
          </cell>
        </row>
        <row r="6">
          <cell r="D6" t="str">
            <v xml:space="preserve">Push </v>
          </cell>
        </row>
        <row r="7">
          <cell r="D7" t="str">
            <v>Push Expand</v>
          </cell>
        </row>
        <row r="8">
          <cell r="D8" t="str">
            <v>Roba Página</v>
          </cell>
        </row>
        <row r="9">
          <cell r="D9" t="str">
            <v>Roba Página video</v>
          </cell>
        </row>
        <row r="10">
          <cell r="D10" t="str">
            <v>Sky crapper</v>
          </cell>
        </row>
        <row r="11">
          <cell r="D11" t="str">
            <v>Doble sky crapper</v>
          </cell>
        </row>
        <row r="12">
          <cell r="D12" t="str">
            <v>Galería logo</v>
          </cell>
        </row>
        <row r="13">
          <cell r="D13" t="str">
            <v>Boton2</v>
          </cell>
        </row>
        <row r="14">
          <cell r="D14" t="str">
            <v>Boton3</v>
          </cell>
        </row>
        <row r="15">
          <cell r="D15" t="str">
            <v>Boton4</v>
          </cell>
        </row>
        <row r="16">
          <cell r="D16" t="str">
            <v>Widget</v>
          </cell>
        </row>
        <row r="17">
          <cell r="D17" t="str">
            <v>Mid Banner</v>
          </cell>
        </row>
        <row r="18">
          <cell r="D18" t="str">
            <v>Intersitial</v>
          </cell>
        </row>
        <row r="19">
          <cell r="D19" t="str">
            <v>Page Peel</v>
          </cell>
        </row>
        <row r="20">
          <cell r="D20" t="str">
            <v>Skin</v>
          </cell>
        </row>
        <row r="21">
          <cell r="D21" t="str">
            <v>Layer</v>
          </cell>
        </row>
        <row r="22">
          <cell r="D22" t="str">
            <v>Video Layer</v>
          </cell>
        </row>
        <row r="23">
          <cell r="D23" t="str">
            <v>Galería logo</v>
          </cell>
        </row>
        <row r="24">
          <cell r="D24" t="str">
            <v>Huincha Animada en Video</v>
          </cell>
        </row>
        <row r="25">
          <cell r="D25" t="str">
            <v>Roba página M</v>
          </cell>
        </row>
        <row r="26">
          <cell r="D26" t="str">
            <v>Media Página</v>
          </cell>
        </row>
        <row r="27">
          <cell r="D27" t="str">
            <v>Media Página Video</v>
          </cell>
        </row>
        <row r="28">
          <cell r="D28" t="str">
            <v>Skin</v>
          </cell>
        </row>
        <row r="29">
          <cell r="D29" t="str">
            <v xml:space="preserve">Push </v>
          </cell>
        </row>
        <row r="30">
          <cell r="D30" t="str">
            <v>Push Expand</v>
          </cell>
        </row>
      </sheetData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rch"/>
      <sheetName val="Hoja1"/>
      <sheetName val="Hoja1 (2)"/>
      <sheetName val="PreEv STAY FRIENDS (F-M)"/>
      <sheetName val="KeyMeasure"/>
    </sheetNames>
    <definedNames>
      <definedName name="fox" refersTo="#¡REF!" sheetId="2"/>
      <definedName name="LSILVA" refersTo="#¡REF!" sheetId="2"/>
    </defined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UTA NEGRO AUSPICIOS 2° M "/>
      <sheetName val="PORTADA"/>
      <sheetName val="PLAN VERANO"/>
      <sheetName val="PAUTA PROMO. AUSPICIOS 1° MES"/>
      <sheetName val="PAUTA NEGRO AUSPICIOS 1° M "/>
      <sheetName val="PAUTA PROMO. AUSPICIOS 2° MES"/>
      <sheetName val="PAUTA REVISTA NEGRO"/>
      <sheetName val="PAUTA VIA PUBLICA NEGRO"/>
      <sheetName val="PAUTA TUR BUS 1MES"/>
      <sheetName val="VIA PUBLICA"/>
      <sheetName val="Tapa"/>
      <sheetName val="datos universos"/>
      <sheetName val="rating "/>
      <sheetName val="P_Diarios Santiago"/>
      <sheetName val="Flowchart_Donnasept_2002"/>
      <sheetName val="Hoja1"/>
      <sheetName val="resumen campaña"/>
      <sheetName val="NokiaBackToSchool"/>
      <sheetName val="Tarifas"/>
      <sheetName val="DataInternet"/>
      <sheetName val="Tarifas_Cable"/>
      <sheetName val="negociaciones1"/>
      <sheetName val="PAUTA_NEGRO_AUSPICIOS_2°_M_"/>
      <sheetName val="PLAN_VERANO"/>
      <sheetName val="PAUTA_PROMO__AUSPICIOS_1°_MES"/>
      <sheetName val="PAUTA_NEGRO_AUSPICIOS_1°_M_"/>
      <sheetName val="PAUTA_PROMO__AUSPICIOS_2°_MES"/>
      <sheetName val="PAUTA_REVISTA_NEGRO"/>
      <sheetName val="PAUTA_VIA_PUBLICA_NEGRO"/>
      <sheetName val="PAUTA_TUR_BUS_1MES"/>
      <sheetName val="VIA_PUBLICA"/>
      <sheetName val="PAUTA_NEGRO_AUSPICIOS_2°_M_1"/>
      <sheetName val="PLAN_VERANO1"/>
      <sheetName val="PAUTA_PROMO__AUSPICIOS_1°_MES1"/>
      <sheetName val="PAUTA_NEGRO_AUSPICIOS_1°_M_1"/>
      <sheetName val="PAUTA_PROMO__AUSPICIOS_2°_MES1"/>
      <sheetName val="PAUTA_REVISTA_NEGRO1"/>
      <sheetName val="PAUTA_VIA_PUBLICA_NEGRO1"/>
      <sheetName val="PAUTA_TUR_BUS_1MES1"/>
      <sheetName val="VIA_PUBLICA1"/>
      <sheetName val="PAUTA_NEGRO_AUSPICIOS_2°_M_2"/>
      <sheetName val="PLAN_VERANO2"/>
      <sheetName val="PAUTA_PROMO__AUSPICIOS_1°_MES2"/>
      <sheetName val="PAUTA_NEGRO_AUSPICIOS_1°_M_2"/>
      <sheetName val="PAUTA_PROMO__AUSPICIOS_2°_MES2"/>
      <sheetName val="PAUTA_REVISTA_NEGRO2"/>
      <sheetName val="PAUTA_VIA_PUBLICA_NEGRO2"/>
      <sheetName val="PAUTA_TUR_BUS_1MES2"/>
      <sheetName val="VIA_PUBLICA2"/>
      <sheetName val="Tarifario"/>
      <sheetName val="datos_universos"/>
      <sheetName val="rating_"/>
      <sheetName val="P_Diarios_Santiago"/>
      <sheetName val="JORGE"/>
      <sheetName val="VIA_PUBLICA3"/>
      <sheetName val="VIA_PUBLICA5"/>
      <sheetName val="PAUTA_NEGRO_AUSPICIOS_2°_M_4"/>
      <sheetName val="PLAN_VERANO4"/>
      <sheetName val="PAUTA_PROMO__AUSPICIOS_1°_MES4"/>
      <sheetName val="PAUTA_NEGRO_AUSPICIOS_1°_M_4"/>
      <sheetName val="PAUTA_PROMO__AUSPICIOS_2°_MES4"/>
      <sheetName val="PAUTA_REVISTA_NEGRO4"/>
      <sheetName val="PAUTA_VIA_PUBLICA_NEGRO4"/>
      <sheetName val="PAUTA_TUR_BUS_1MES4"/>
      <sheetName val="resumen_campaña1"/>
      <sheetName val="datos_universos2"/>
      <sheetName val="rating_2"/>
      <sheetName val="P_Diarios_Santiago2"/>
      <sheetName val="VIA_PUBLICA4"/>
      <sheetName val="PAUTA_NEGRO_AUSPICIOS_2°_M_3"/>
      <sheetName val="PLAN_VERANO3"/>
      <sheetName val="PAUTA_PROMO__AUSPICIOS_1°_MES3"/>
      <sheetName val="PAUTA_NEGRO_AUSPICIOS_1°_M_3"/>
      <sheetName val="PAUTA_PROMO__AUSPICIOS_2°_MES3"/>
      <sheetName val="PAUTA_REVISTA_NEGRO3"/>
      <sheetName val="PAUTA_VIA_PUBLICA_NEGRO3"/>
      <sheetName val="PAUTA_TUR_BUS_1MES3"/>
      <sheetName val="resumen_campaña"/>
      <sheetName val="datos_universos1"/>
      <sheetName val="rating_1"/>
      <sheetName val="P_Diarios_Santiago1"/>
      <sheetName val="VIA_PUBLICA6"/>
      <sheetName val="PAUTA_NEGRO_AUSPICIOS_2°_M_5"/>
      <sheetName val="PLAN_VERANO5"/>
      <sheetName val="PAUTA_PROMO__AUSPICIOS_1°_MES5"/>
      <sheetName val="PAUTA_NEGRO_AUSPICIOS_1°_M_5"/>
      <sheetName val="PAUTA_PROMO__AUSPICIOS_2°_MES5"/>
      <sheetName val="PAUTA_REVISTA_NEGRO5"/>
      <sheetName val="PAUTA_VIA_PUBLICA_NEGRO5"/>
      <sheetName val="PAUTA_TUR_BUS_1MES5"/>
      <sheetName val="resumen_campaña2"/>
      <sheetName val="datos_universos3"/>
      <sheetName val="rating_3"/>
      <sheetName val="P_Diarios_Santiago3"/>
      <sheetName val="VIA_PUBLICA7"/>
      <sheetName val="PAUTA_NEGRO_AUSPICIOS_2°_M_6"/>
      <sheetName val="PLAN_VERANO6"/>
      <sheetName val="PAUTA_PROMO__AUSPICIOS_1°_MES6"/>
      <sheetName val="PAUTA_NEGRO_AUSPICIOS_1°_M_6"/>
      <sheetName val="PAUTA_PROMO__AUSPICIOS_2°_MES6"/>
      <sheetName val="PAUTA_REVISTA_NEGRO6"/>
      <sheetName val="PAUTA_VIA_PUBLICA_NEGRO6"/>
      <sheetName val="PAUTA_TUR_BUS_1MES6"/>
      <sheetName val="resumen_campaña3"/>
      <sheetName val="datos_universos4"/>
      <sheetName val="rating_4"/>
      <sheetName val="P_Diarios_Santiago4"/>
      <sheetName val="Filtros"/>
      <sheetName val="Materiales"/>
      <sheetName val="VIA_PUBLICA8"/>
      <sheetName val="PAUTA_NEGRO_AUSPICIOS_2°_M_7"/>
      <sheetName val="PLAN_VERANO7"/>
      <sheetName val="PAUTA_PROMO__AUSPICIOS_1°_MES7"/>
      <sheetName val="PAUTA_NEGRO_AUSPICIOS_1°_M_7"/>
      <sheetName val="PAUTA_PROMO__AUSPICIOS_2°_MES7"/>
      <sheetName val="PAUTA_REVISTA_NEGRO7"/>
      <sheetName val="PAUTA_VIA_PUBLICA_NEGRO7"/>
      <sheetName val="PAUTA_TUR_BUS_1MES7"/>
      <sheetName val="resumen_campaña4"/>
      <sheetName val="datos_universos5"/>
      <sheetName val="rating_5"/>
      <sheetName val="P_Diarios_Santiago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pa"/>
      <sheetName val="JORGE"/>
      <sheetName val="Country Review"/>
      <sheetName val="negociaciones1"/>
      <sheetName val="TV2549ABC"/>
      <sheetName val="TV2564ABC"/>
      <sheetName val="resumen campaña"/>
      <sheetName val="Rating"/>
      <sheetName val="ENERO 2008"/>
      <sheetName val="rating (2)"/>
      <sheetName val="01_2000"/>
      <sheetName val="#G.O."/>
      <sheetName val="Country_Review"/>
      <sheetName val="Country_Review1"/>
      <sheetName val="ENERO_2008"/>
      <sheetName val="rating_(2)"/>
      <sheetName val="resumen_campaña"/>
      <sheetName val="Tarifario"/>
      <sheetName val="PAUTA"/>
      <sheetName val="A-BASE"/>
      <sheetName val="A&amp;F MAN 2DO"/>
      <sheetName val="A&amp;F MAN 1ER"/>
      <sheetName val="A&amp;F_MAN_2DO"/>
      <sheetName val="A&amp;F_MAN_1ER"/>
      <sheetName val="Hoja1"/>
      <sheetName val="RK TV"/>
      <sheetName val="A&amp;F_MAN_2DO1"/>
      <sheetName val="A&amp;F_MAN_1ER1"/>
      <sheetName val="Alc y Fr Nin"/>
      <sheetName val="Alc y Fre Amas"/>
      <sheetName val="Country_Review2"/>
      <sheetName val="resumen_campaña1"/>
      <sheetName val="ENERO_20081"/>
      <sheetName val="rating_(2)1"/>
      <sheetName val="#G_O_"/>
      <sheetName val="Planejamento"/>
      <sheetName val="Country_Review3"/>
      <sheetName val="resumen_campaña2"/>
      <sheetName val="ENERO_20082"/>
      <sheetName val="rating_(2)2"/>
      <sheetName val="#G_O_1"/>
      <sheetName val="A&amp;F_MAN_2DO2"/>
      <sheetName val="A&amp;F_MAN_1ER2"/>
      <sheetName val="RK_TV"/>
      <sheetName val="Alc_y_Fr_Nin"/>
      <sheetName val="Alc_y_Fre_Amas"/>
      <sheetName val="Country_Review4"/>
      <sheetName val="resumen_campaña3"/>
      <sheetName val="ENERO_20083"/>
      <sheetName val="rating_(2)3"/>
      <sheetName val="#G_O_2"/>
      <sheetName val="A&amp;F_MAN_2DO3"/>
      <sheetName val="A&amp;F_MAN_1ER3"/>
      <sheetName val="RK_TV1"/>
      <sheetName val="Alc_y_Fr_Nin1"/>
      <sheetName val="Alc_y_Fre_Amas1"/>
      <sheetName val="aca-"/>
      <sheetName val="rating "/>
      <sheetName val="Instructions"/>
      <sheetName val="Validadores"/>
      <sheetName val="Setup+Base"/>
      <sheetName val="NokiaBackToSchool"/>
      <sheetName val="Country_Review5"/>
      <sheetName val="resumen_campaña4"/>
      <sheetName val="ENERO_20084"/>
      <sheetName val="rating_(2)4"/>
      <sheetName val="#G_O_3"/>
      <sheetName val="A&amp;F_MAN_2DO4"/>
      <sheetName val="A&amp;F_MAN_1ER4"/>
      <sheetName val="RK_TV2"/>
      <sheetName val="Alc_y_Fr_Nin2"/>
      <sheetName val="Alc_y_Fre_Amas2"/>
      <sheetName val="rating_"/>
      <sheetName val="RKG TV abierta"/>
      <sheetName val="RKG_TV_abierta"/>
      <sheetName val="A-BASE.XLS"/>
      <sheetName val="FC"/>
      <sheetName val="Schedule"/>
      <sheetName val="Septiembre 2018"/>
      <sheetName val="Country_Review6"/>
      <sheetName val="resumen_campaña5"/>
      <sheetName val="ENERO_20085"/>
      <sheetName val="rating_(2)5"/>
      <sheetName val="#G_O_4"/>
      <sheetName val="A&amp;F_MAN_2DO5"/>
      <sheetName val="A&amp;F_MAN_1ER5"/>
      <sheetName val="RK_TV3"/>
      <sheetName val="Alc_y_Fr_Nin3"/>
      <sheetName val="Alc_y_Fre_Amas3"/>
      <sheetName val="RKG_TV_abierta1"/>
      <sheetName val="Hoja2"/>
      <sheetName val="BASE"/>
      <sheetName val="expertisse"/>
      <sheetName val="Tvsa"/>
      <sheetName val="Country_Review7"/>
      <sheetName val="resumen_campaña6"/>
      <sheetName val="ENERO_20086"/>
      <sheetName val="rating_(2)6"/>
      <sheetName val="#G_O_5"/>
      <sheetName val="A&amp;F_MAN_2DO6"/>
      <sheetName val="A&amp;F_MAN_1ER6"/>
      <sheetName val="RK_TV4"/>
      <sheetName val="Alc_y_Fr_Nin4"/>
      <sheetName val="Alc_y_Fre_Amas4"/>
      <sheetName val="RKG_TV_abierta2"/>
      <sheetName val="RADIO FRANCISCO STEREO"/>
      <sheetName val="FLOW "/>
      <sheetName val="TV NACIONAL"/>
      <sheetName val="PAUTA TV REGIONAL "/>
      <sheetName val="RADIOS LOCALES"/>
      <sheetName val="LA OTRA GYQ"/>
      <sheetName val="CANELA GYQ "/>
      <sheetName val="RADIO NACIONAL"/>
      <sheetName val="RADIO MAS"/>
      <sheetName val="ALFA STEREO"/>
      <sheetName val="PAUTA TV NACIONAL"/>
      <sheetName val="PAUTA TV REGIONAL"/>
      <sheetName val="RADIO NACIONAL 38 S"/>
      <sheetName val="ARMONICA"/>
      <sheetName val="SUCRE"/>
      <sheetName val="CARAVANA"/>
      <sheetName val="FC STEREO"/>
      <sheetName val="GALAXIA"/>
      <sheetName val="HUNCAVILCA"/>
      <sheetName val="PLATINUM"/>
      <sheetName val="PUBLICA EC"/>
      <sheetName val="SONORAMA"/>
      <sheetName val="TROPICALIDA"/>
      <sheetName val="VISION"/>
      <sheetName val="ZARACAY"/>
      <sheetName val="URBANA"/>
      <sheetName val="LA OTRA"/>
      <sheetName val="JC RADIO"/>
      <sheetName val="HCJB"/>
      <sheetName val="RADIO NACIONAL "/>
      <sheetName val="RADIO LOCAL 38 S"/>
      <sheetName val="RD ARMONICA"/>
      <sheetName val="SUCRE "/>
      <sheetName val="CARAVANA "/>
      <sheetName val="FCO STEREO "/>
      <sheetName val="GALAXIA "/>
      <sheetName val="HUANCAVILCA "/>
      <sheetName val="PLATINUM "/>
      <sheetName val="PUBLICA EC "/>
      <sheetName val="SONORAMA "/>
      <sheetName val="TROPICALIDA "/>
      <sheetName val="VISION "/>
      <sheetName val="ZARACAY "/>
      <sheetName val="URBANA "/>
      <sheetName val="LA OTRA UIO "/>
      <sheetName val="LA OTRA  GYQ"/>
      <sheetName val="JC RADIO "/>
      <sheetName val="HCJB "/>
      <sheetName val="RADIO LOCAL"/>
      <sheetName val="RD LATINA"/>
      <sheetName val="RD UNICA"/>
      <sheetName val="UNICA"/>
      <sheetName val="LATINA"/>
      <sheetName val="Country_Review8"/>
      <sheetName val="resumen_campaña7"/>
      <sheetName val="ENERO_20087"/>
      <sheetName val="rating_(2)7"/>
      <sheetName val="#G_O_6"/>
      <sheetName val="A&amp;F_MAN_2DO7"/>
      <sheetName val="A&amp;F_MAN_1ER7"/>
      <sheetName val="RK_TV5"/>
      <sheetName val="Alc_y_Fr_Nin5"/>
      <sheetName val="Alc_y_Fre_Amas5"/>
      <sheetName val="rating_1"/>
      <sheetName val="RKG_TV_abierta3"/>
      <sheetName val="A-BASE_XLS"/>
      <sheetName val="Septiembre_2018"/>
      <sheetName val="RADIO_FRANCISCO_STEREO"/>
      <sheetName val="FLOW_"/>
      <sheetName val="TV_NACIONAL"/>
      <sheetName val="PAUTA_TV_REGIONAL_"/>
      <sheetName val="RADIOS_LOCALES"/>
      <sheetName val="LA_OTRA_GYQ"/>
      <sheetName val="CANELA_GYQ_"/>
      <sheetName val="RADIO_NACIONAL"/>
      <sheetName val="RADIO_MAS"/>
      <sheetName val="ALFA_STEREO"/>
      <sheetName val="PAUTA_TV_NACIONAL"/>
      <sheetName val="PAUTA_TV_REGIONAL"/>
      <sheetName val="RADIO_NACIONAL_38_S"/>
      <sheetName val="FC_STEREO"/>
      <sheetName val="PUBLICA_EC"/>
      <sheetName val="LA_OTRA"/>
      <sheetName val="JC_RADIO"/>
      <sheetName val="RADIO_NACIONAL_"/>
      <sheetName val="RADIO_LOCAL_38_S"/>
      <sheetName val="RD_ARMONICA"/>
      <sheetName val="SUCRE_"/>
      <sheetName val="CARAVANA_"/>
      <sheetName val="FCO_STEREO_"/>
      <sheetName val="GALAXIA_"/>
      <sheetName val="HUANCAVILCA_"/>
      <sheetName val="PLATINUM_"/>
      <sheetName val="PUBLICA_EC_"/>
      <sheetName val="SONORAMA_"/>
      <sheetName val="TROPICALIDA_"/>
      <sheetName val="VISION_"/>
      <sheetName val="ZARACAY_"/>
      <sheetName val="URBANA_"/>
      <sheetName val="LA_OTRA_UIO_"/>
      <sheetName val="LA_OTRA__GYQ"/>
      <sheetName val="JC_RADIO_"/>
      <sheetName val="HCJB_"/>
      <sheetName val="RADIO_LOCAL"/>
      <sheetName val="RD_LATINA"/>
      <sheetName val="RD_UNICA"/>
      <sheetName val="DATA"/>
      <sheetName val="PLAN"/>
      <sheetName val="PauT_Hmno 1"/>
      <sheetName val="PauT_Hmno 2"/>
      <sheetName val="PauT_Hmno 3"/>
      <sheetName val="PauT_Hmno 4"/>
      <sheetName val="Resumen anual acumulado"/>
      <sheetName val="P_Diarios Santiago"/>
      <sheetName val="Plan Digital Mantención "/>
      <sheetName val="CANAL 2"/>
      <sheetName val="CANAL 4"/>
      <sheetName val="CANAL 5"/>
      <sheetName val="Canal 7"/>
      <sheetName val="CANAL 9"/>
      <sheetName val="CANAL 13"/>
      <sheetName val="Diccionario"/>
      <sheetName val="Portada"/>
      <sheetName val="Plan Prensa"/>
      <sheetName val="Plan Radio 30&quot;"/>
      <sheetName val="Plan Television Ejercicio 1 "/>
      <sheetName val="Plan Television Ejercicio 2"/>
      <sheetName val="OOH"/>
      <sheetName val="Plan Digital "/>
      <sheetName val="Plan Digital Plataformas"/>
      <sheetName val="Eva Plan Digital Plataformas TP"/>
      <sheetName val="Eva Plan Digital Plataformas UI"/>
      <sheetName val="Segmentación Plataformas"/>
      <sheetName val="Eva Plan Digital Directo"/>
      <sheetName val="Rankeador Radios"/>
      <sheetName val="Lectoría Prensa"/>
      <sheetName val="Plan Television P1"/>
      <sheetName val="CAPA"/>
      <sheetName val="crger"/>
      <sheetName val="tv"/>
      <sheetName val="rev"/>
      <sheetName val="fut"/>
      <sheetName val="REV ger"/>
      <sheetName val="back pac"/>
      <sheetName val="outdr"/>
      <sheetName val="outdr (2)"/>
      <sheetName val="cin"/>
      <sheetName val="cabo esc abr"/>
      <sheetName val="cabo esc mai"/>
      <sheetName val="cabo linha jun"/>
      <sheetName val="cabo lin jul"/>
      <sheetName val="cabo lin ago"/>
      <sheetName val="cabo esc set"/>
      <sheetName val="cabo esc out"/>
      <sheetName val="REV 1.6"/>
      <sheetName val="REV 2001"/>
      <sheetName val="REV svp"/>
      <sheetName val="menu"/>
      <sheetName val="perfil_fx_Hor"/>
      <sheetName val="REV_ger"/>
      <sheetName val="back_pac"/>
      <sheetName val="outdr_(2)"/>
      <sheetName val="cabo_esc_abr"/>
      <sheetName val="cabo_esc_mai"/>
      <sheetName val="cabo_linha_jun"/>
      <sheetName val="cabo_lin_jul"/>
      <sheetName val="cabo_lin_ago"/>
      <sheetName val="cabo_esc_set"/>
      <sheetName val="cabo_esc_out"/>
      <sheetName val="REV_1_6"/>
      <sheetName val="REV_2001"/>
      <sheetName val="REV_svp"/>
      <sheetName val="Gráfico - Share Net"/>
      <sheetName val="PARAMETRES"/>
      <sheetName val="costos utilizados"/>
      <sheetName val="costos OLD act 1 enero"/>
      <sheetName val="TOUS"/>
      <sheetName val="Integração - Earned Value"/>
      <sheetName val="Feriados"/>
      <sheetName val="Anual"/>
      <sheetName val="POA"/>
      <sheetName val="SOI Categoría"/>
      <sheetName val="OPEX.9.3.LC"/>
      <sheetName val="REV.9.3.LC"/>
      <sheetName val="FACTURACION"/>
      <sheetName val="Country_Review9"/>
      <sheetName val="ENERO_20088"/>
      <sheetName val="rating_(2)8"/>
      <sheetName val="resumen_campaña8"/>
      <sheetName val="#G_O_7"/>
      <sheetName val="A&amp;F_MAN_2DO8"/>
      <sheetName val="A&amp;F_MAN_1ER8"/>
      <sheetName val="RK_TV6"/>
      <sheetName val="Alc_y_Fr_Nin6"/>
      <sheetName val="Alc_y_Fre_Amas6"/>
      <sheetName val="rating_2"/>
      <sheetName val="RKG_TV_abierta4"/>
      <sheetName val="A-BASE_XLS1"/>
      <sheetName val="Septiembre_20181"/>
      <sheetName val="RADIO_FRANCISCO_STEREO1"/>
      <sheetName val="FLOW_1"/>
      <sheetName val="TV_NACIONAL1"/>
      <sheetName val="PAUTA_TV_REGIONAL_1"/>
      <sheetName val="RADIOS_LOCALES1"/>
      <sheetName val="LA_OTRA_GYQ1"/>
      <sheetName val="CANELA_GYQ_1"/>
      <sheetName val="RADIO_NACIONAL1"/>
      <sheetName val="RADIO_MAS1"/>
      <sheetName val="ALFA_STEREO1"/>
      <sheetName val="PAUTA_TV_NACIONAL1"/>
      <sheetName val="PAUTA_TV_REGIONAL1"/>
      <sheetName val="RADIO_NACIONAL_38_S1"/>
      <sheetName val="FC_STEREO1"/>
      <sheetName val="PUBLICA_EC1"/>
      <sheetName val="LA_OTRA1"/>
      <sheetName val="JC_RADIO1"/>
      <sheetName val="RADIO_NACIONAL_1"/>
      <sheetName val="RADIO_LOCAL_38_S1"/>
      <sheetName val="RD_ARMONICA1"/>
      <sheetName val="SUCRE_1"/>
      <sheetName val="CARAVANA_1"/>
      <sheetName val="FCO_STEREO_1"/>
      <sheetName val="GALAXIA_1"/>
      <sheetName val="HUANCAVILCA_1"/>
      <sheetName val="PLATINUM_1"/>
      <sheetName val="PUBLICA_EC_1"/>
      <sheetName val="SONORAMA_1"/>
      <sheetName val="TROPICALIDA_1"/>
      <sheetName val="VISION_1"/>
      <sheetName val="ZARACAY_1"/>
      <sheetName val="URBANA_1"/>
      <sheetName val="LA_OTRA_UIO_1"/>
      <sheetName val="LA_OTRA__GYQ1"/>
      <sheetName val="JC_RADIO_1"/>
      <sheetName val="HCJB_1"/>
      <sheetName val="RADIO_LOCAL1"/>
      <sheetName val="RD_LATINA1"/>
      <sheetName val="RD_UNICA1"/>
      <sheetName val="ORDEN "/>
      <sheetName val="CHECK LIST PRECIOS LATAM"/>
      <sheetName val="Tarifas a usar"/>
      <sheetName val="Inversión estimada "/>
      <sheetName val="Validación tarifas TIPO 1"/>
      <sheetName val="Validación tarifas TIPO 2"/>
      <sheetName val="Validación tarifas TIPO 3"/>
      <sheetName val="Estrategia de precios"/>
      <sheetName val="Compara Rounds"/>
      <sheetName val="Inflaciones estimadas LATAM"/>
      <sheetName val="CANAL_2"/>
      <sheetName val="CANAL_4"/>
      <sheetName val="CANAL_5"/>
      <sheetName val="Canal_7"/>
      <sheetName val="CANAL_9"/>
      <sheetName val="CANAL_13"/>
      <sheetName val="PauT_Hmno_1"/>
      <sheetName val="PauT_Hmno_2"/>
      <sheetName val="PauT_Hmno_3"/>
      <sheetName val="PauT_Hmno_4"/>
      <sheetName val="Resumen_anual_acumulado"/>
      <sheetName val="P_Diarios_Santiago"/>
      <sheetName val="Plan_Digital_Mantención_"/>
      <sheetName val="TARIFAS"/>
      <sheetName val="Tablas"/>
      <sheetName val="Caras Viejas"/>
      <sheetName val="Salas 2"/>
      <sheetName val="Rank Lima"/>
      <sheetName val="RANK1"/>
      <sheetName val="Bloques"/>
      <sheetName val="Country_Review10"/>
      <sheetName val="resumen_campaña9"/>
      <sheetName val="ENERO_20089"/>
      <sheetName val="rating_(2)9"/>
      <sheetName val="#G_O_8"/>
      <sheetName val="A&amp;F_MAN_2DO9"/>
      <sheetName val="A&amp;F_MAN_1ER9"/>
      <sheetName val="RK_TV7"/>
      <sheetName val="Alc_y_Fr_Nin7"/>
      <sheetName val="Alc_y_Fre_Amas7"/>
      <sheetName val="RKG_TV_abierta5"/>
      <sheetName val="rating_3"/>
      <sheetName val="A-BASE_XLS2"/>
      <sheetName val="RADIO_FRANCISCO_STEREO2"/>
      <sheetName val="Septiembre_20182"/>
      <sheetName val="FLOW_2"/>
      <sheetName val="TV_NACIONAL2"/>
      <sheetName val="PAUTA_TV_REGIONAL_2"/>
      <sheetName val="RADIOS_LOCALES2"/>
      <sheetName val="LA_OTRA_GYQ2"/>
      <sheetName val="CANELA_GYQ_2"/>
      <sheetName val="RADIO_NACIONAL2"/>
      <sheetName val="RADIO_MAS2"/>
      <sheetName val="ALFA_STEREO2"/>
      <sheetName val="PAUTA_TV_NACIONAL2"/>
      <sheetName val="PAUTA_TV_REGIONAL2"/>
      <sheetName val="RADIO_NACIONAL_38_S2"/>
      <sheetName val="FC_STEREO2"/>
      <sheetName val="PUBLICA_EC2"/>
      <sheetName val="LA_OTRA2"/>
      <sheetName val="JC_RADIO2"/>
      <sheetName val="RADIO_NACIONAL_2"/>
      <sheetName val="RADIO_LOCAL_38_S2"/>
      <sheetName val="RD_ARMONICA2"/>
      <sheetName val="SUCRE_2"/>
      <sheetName val="CARAVANA_2"/>
      <sheetName val="FCO_STEREO_2"/>
      <sheetName val="GALAXIA_2"/>
      <sheetName val="HUANCAVILCA_2"/>
      <sheetName val="PLATINUM_2"/>
      <sheetName val="PUBLICA_EC_2"/>
      <sheetName val="SONORAMA_2"/>
      <sheetName val="TROPICALIDA_2"/>
      <sheetName val="VISION_2"/>
      <sheetName val="ZARACAY_2"/>
      <sheetName val="URBANA_2"/>
      <sheetName val="LA_OTRA_UIO_2"/>
      <sheetName val="LA_OTRA__GYQ2"/>
      <sheetName val="JC_RADIO_2"/>
      <sheetName val="HCJB_2"/>
      <sheetName val="RADIO_LOCAL2"/>
      <sheetName val="RD_LATINA2"/>
      <sheetName val="RD_UNICA2"/>
      <sheetName val="PauT_Hmno_11"/>
      <sheetName val="PauT_Hmno_21"/>
      <sheetName val="PauT_Hmno_31"/>
      <sheetName val="PauT_Hmno_41"/>
      <sheetName val="CANAL_21"/>
      <sheetName val="CANAL_41"/>
      <sheetName val="CANAL_51"/>
      <sheetName val="Canal_71"/>
      <sheetName val="CANAL_91"/>
      <sheetName val="CANAL_131"/>
      <sheetName val="Resumen_anual_acumulado1"/>
      <sheetName val="P_Diarios_Santiago1"/>
      <sheetName val="Plan_Digital_Mantención_1"/>
      <sheetName val="ORDEN_"/>
      <sheetName val="REV_ger1"/>
      <sheetName val="back_pac1"/>
      <sheetName val="outdr_(2)1"/>
      <sheetName val="cabo_esc_abr1"/>
      <sheetName val="cabo_esc_mai1"/>
      <sheetName val="cabo_linha_jun1"/>
      <sheetName val="cabo_lin_jul1"/>
      <sheetName val="cabo_lin_ago1"/>
      <sheetName val="cabo_esc_set1"/>
      <sheetName val="cabo_esc_out1"/>
      <sheetName val="REV_1_61"/>
      <sheetName val="REV_20011"/>
      <sheetName val="REV_svp1"/>
      <sheetName val="Gráfico_-_Share_Net"/>
      <sheetName val="costos_utilizados"/>
      <sheetName val="costos_OLD_act_1_enero"/>
      <sheetName val="Integração_-_Earned_Value"/>
      <sheetName val="Plan_Prensa"/>
      <sheetName val="Plan_Radio_30&quot;"/>
      <sheetName val="Plan_Television_Ejercicio_1_"/>
      <sheetName val="Plan_Television_Ejercicio_2"/>
      <sheetName val="Plan_Digital_"/>
      <sheetName val="Plan_Digital_Plataformas"/>
      <sheetName val="Eva_Plan_Digital_Plataformas_TP"/>
      <sheetName val="Eva_Plan_Digital_Plataformas_UI"/>
      <sheetName val="Segmentación_Plataformas"/>
      <sheetName val="Eva_Plan_Digital_Directo"/>
      <sheetName val="Rankeador_Radios"/>
      <sheetName val="Lectoría_Prensa"/>
      <sheetName val="Plan_Television_P1"/>
      <sheetName val="SOI_Categoría"/>
      <sheetName val="OPEX_9_3_LC"/>
      <sheetName val="REV_9_3_LC"/>
      <sheetName val="CHECK_LIST_PRECIOS_LATAM"/>
      <sheetName val="Tarifas_a_usar"/>
      <sheetName val="Inversión_estimada_"/>
      <sheetName val="Validación_tarifas_TIPO_1"/>
      <sheetName val="Validación_tarifas_TIPO_2"/>
      <sheetName val="Validación_tarifas_TIPO_3"/>
      <sheetName val="Estrategia_de_precios"/>
      <sheetName val="Compara_Rounds"/>
      <sheetName val="Inflaciones_estimadas_LATAM"/>
      <sheetName val="Country_Review11"/>
      <sheetName val="resumen_campaña10"/>
      <sheetName val="ENERO_200810"/>
      <sheetName val="rating_(2)10"/>
      <sheetName val="#G_O_9"/>
      <sheetName val="A&amp;F_MAN_2DO10"/>
      <sheetName val="A&amp;F_MAN_1ER10"/>
      <sheetName val="RK_TV8"/>
      <sheetName val="Alc_y_Fr_Nin8"/>
      <sheetName val="Alc_y_Fre_Amas8"/>
      <sheetName val="rating_4"/>
      <sheetName val="RKG_TV_abierta6"/>
      <sheetName val="A-BASE_XLS3"/>
      <sheetName val="Septiembre_20183"/>
      <sheetName val="RADIO_FRANCISCO_STEREO3"/>
      <sheetName val="FLOW_3"/>
      <sheetName val="TV_NACIONAL3"/>
      <sheetName val="PAUTA_TV_REGIONAL_3"/>
      <sheetName val="RADIOS_LOCALES3"/>
      <sheetName val="LA_OTRA_GYQ3"/>
      <sheetName val="CANELA_GYQ_3"/>
      <sheetName val="RADIO_NACIONAL3"/>
      <sheetName val="RADIO_MAS3"/>
      <sheetName val="ALFA_STEREO3"/>
      <sheetName val="PAUTA_TV_NACIONAL3"/>
      <sheetName val="PAUTA_TV_REGIONAL3"/>
      <sheetName val="RADIO_NACIONAL_38_S3"/>
      <sheetName val="FC_STEREO3"/>
      <sheetName val="PUBLICA_EC3"/>
      <sheetName val="LA_OTRA3"/>
      <sheetName val="JC_RADIO3"/>
      <sheetName val="RADIO_NACIONAL_3"/>
      <sheetName val="RADIO_LOCAL_38_S3"/>
      <sheetName val="RD_ARMONICA3"/>
      <sheetName val="SUCRE_3"/>
      <sheetName val="CARAVANA_3"/>
      <sheetName val="FCO_STEREO_3"/>
      <sheetName val="GALAXIA_3"/>
      <sheetName val="HUANCAVILCA_3"/>
      <sheetName val="PLATINUM_3"/>
      <sheetName val="PUBLICA_EC_3"/>
      <sheetName val="SONORAMA_3"/>
      <sheetName val="TROPICALIDA_3"/>
      <sheetName val="VISION_3"/>
      <sheetName val="ZARACAY_3"/>
      <sheetName val="URBANA_3"/>
      <sheetName val="LA_OTRA_UIO_3"/>
      <sheetName val="LA_OTRA__GYQ3"/>
      <sheetName val="JC_RADIO_3"/>
      <sheetName val="HCJB_3"/>
      <sheetName val="RADIO_LOCAL3"/>
      <sheetName val="RD_LATINA3"/>
      <sheetName val="RD_UNICA3"/>
      <sheetName val="Plan_Prensa1"/>
      <sheetName val="Plan_Radio_30&quot;1"/>
      <sheetName val="Plan_Television_Ejercicio_1_1"/>
      <sheetName val="Plan_Television_Ejercicio_21"/>
      <sheetName val="Plan_Digital_1"/>
      <sheetName val="Plan_Digital_Plataformas1"/>
      <sheetName val="Eva_Plan_Digital_Plataformas_T1"/>
      <sheetName val="Eva_Plan_Digital_Plataformas_U1"/>
      <sheetName val="Segmentación_Plataformas1"/>
      <sheetName val="Eva_Plan_Digital_Directo1"/>
      <sheetName val="Rankeador_Radios1"/>
      <sheetName val="Lectoría_Prensa1"/>
      <sheetName val="Plan_Television_P11"/>
      <sheetName val="REV_ger2"/>
      <sheetName val="back_pac2"/>
      <sheetName val="outdr_(2)2"/>
      <sheetName val="cabo_esc_abr2"/>
      <sheetName val="cabo_esc_mai2"/>
      <sheetName val="cabo_linha_jun2"/>
      <sheetName val="cabo_lin_jul2"/>
      <sheetName val="cabo_lin_ago2"/>
      <sheetName val="cabo_esc_set2"/>
      <sheetName val="cabo_esc_out2"/>
      <sheetName val="REV_1_62"/>
      <sheetName val="REV_20012"/>
      <sheetName val="REV_svp2"/>
      <sheetName val="Gráfico_-_Share_Net1"/>
      <sheetName val="costos_utilizados1"/>
      <sheetName val="costos_OLD_act_1_enero1"/>
      <sheetName val="Integração_-_Earned_Value1"/>
      <sheetName val="SOI_Categoría1"/>
      <sheetName val="OPEX_9_3_LC1"/>
      <sheetName val="REV_9_3_LC1"/>
      <sheetName val="CHECK_LIST_PRECIOS_LATAM1"/>
      <sheetName val="Tarifas_a_usar1"/>
      <sheetName val="Inversión_estimada_1"/>
      <sheetName val="Validación_tarifas_TIPO_11"/>
      <sheetName val="Validación_tarifas_TIPO_21"/>
      <sheetName val="Validación_tarifas_TIPO_31"/>
      <sheetName val="Estrategia_de_precios1"/>
      <sheetName val="Compara_Rounds1"/>
      <sheetName val="Inflaciones_estimadas_LATAM1"/>
      <sheetName val="ORDEN_1"/>
      <sheetName val="Country_Review12"/>
      <sheetName val="resumen_campaña11"/>
      <sheetName val="ENERO_200811"/>
      <sheetName val="rating_(2)11"/>
      <sheetName val="#G_O_10"/>
      <sheetName val="A&amp;F_MAN_2DO11"/>
      <sheetName val="A&amp;F_MAN_1ER11"/>
      <sheetName val="RK_TV9"/>
      <sheetName val="Alc_y_Fr_Nin9"/>
      <sheetName val="Alc_y_Fre_Amas9"/>
      <sheetName val="rating_5"/>
      <sheetName val="RKG_TV_abierta7"/>
      <sheetName val="A-BASE_XLS4"/>
      <sheetName val="Septiembre_20184"/>
      <sheetName val="RADIO_FRANCISCO_STEREO4"/>
      <sheetName val="FLOW_4"/>
      <sheetName val="TV_NACIONAL4"/>
      <sheetName val="PAUTA_TV_REGIONAL_4"/>
      <sheetName val="RADIOS_LOCALES4"/>
      <sheetName val="LA_OTRA_GYQ4"/>
      <sheetName val="CANELA_GYQ_4"/>
      <sheetName val="RADIO_NACIONAL4"/>
      <sheetName val="RADIO_MAS4"/>
      <sheetName val="ALFA_STEREO4"/>
      <sheetName val="PAUTA_TV_NACIONAL4"/>
      <sheetName val="PAUTA_TV_REGIONAL4"/>
      <sheetName val="RADIO_NACIONAL_38_S4"/>
      <sheetName val="FC_STEREO4"/>
      <sheetName val="PUBLICA_EC4"/>
      <sheetName val="LA_OTRA4"/>
      <sheetName val="JC_RADIO4"/>
      <sheetName val="RADIO_NACIONAL_4"/>
      <sheetName val="RADIO_LOCAL_38_S4"/>
      <sheetName val="RD_ARMONICA4"/>
      <sheetName val="SUCRE_4"/>
      <sheetName val="CARAVANA_4"/>
      <sheetName val="FCO_STEREO_4"/>
      <sheetName val="GALAXIA_4"/>
      <sheetName val="HUANCAVILCA_4"/>
      <sheetName val="PLATINUM_4"/>
      <sheetName val="PUBLICA_EC_4"/>
      <sheetName val="SONORAMA_4"/>
      <sheetName val="TROPICALIDA_4"/>
      <sheetName val="VISION_4"/>
      <sheetName val="ZARACAY_4"/>
      <sheetName val="URBANA_4"/>
      <sheetName val="LA_OTRA_UIO_4"/>
      <sheetName val="LA_OTRA__GYQ4"/>
      <sheetName val="JC_RADIO_4"/>
      <sheetName val="HCJB_4"/>
      <sheetName val="RADIO_LOCAL4"/>
      <sheetName val="RD_LATINA4"/>
      <sheetName val="RD_UNICA4"/>
      <sheetName val="PauT_Hmno_12"/>
      <sheetName val="PauT_Hmno_22"/>
      <sheetName val="PauT_Hmno_32"/>
      <sheetName val="PauT_Hmno_42"/>
      <sheetName val="Resumen_anual_acumulado2"/>
      <sheetName val="P_Diarios_Santiago2"/>
      <sheetName val="CANAL_22"/>
      <sheetName val="CANAL_42"/>
      <sheetName val="CANAL_52"/>
      <sheetName val="Canal_72"/>
      <sheetName val="CANAL_92"/>
      <sheetName val="CANAL_132"/>
      <sheetName val="Plan_Digital_Mantención_2"/>
      <sheetName val="Plan_Prensa2"/>
      <sheetName val="Plan_Radio_30&quot;2"/>
      <sheetName val="Plan_Television_Ejercicio_1_2"/>
      <sheetName val="Plan_Television_Ejercicio_22"/>
      <sheetName val="Plan_Digital_2"/>
      <sheetName val="Plan_Digital_Plataformas2"/>
      <sheetName val="Eva_Plan_Digital_Plataformas_T2"/>
      <sheetName val="Eva_Plan_Digital_Plataformas_U2"/>
      <sheetName val="Segmentación_Plataformas2"/>
      <sheetName val="Eva_Plan_Digital_Directo2"/>
      <sheetName val="Rankeador_Radios2"/>
      <sheetName val="Lectoría_Prensa2"/>
      <sheetName val="Plan_Television_P12"/>
      <sheetName val="REV_ger3"/>
      <sheetName val="back_pac3"/>
      <sheetName val="outdr_(2)3"/>
      <sheetName val="cabo_esc_abr3"/>
      <sheetName val="cabo_esc_mai3"/>
      <sheetName val="cabo_linha_jun3"/>
      <sheetName val="cabo_lin_jul3"/>
      <sheetName val="cabo_lin_ago3"/>
      <sheetName val="cabo_esc_set3"/>
      <sheetName val="cabo_esc_out3"/>
      <sheetName val="REV_1_63"/>
      <sheetName val="REV_20013"/>
      <sheetName val="REV_svp3"/>
      <sheetName val="Gráfico_-_Share_Net2"/>
      <sheetName val="costos_utilizados2"/>
      <sheetName val="costos_OLD_act_1_enero2"/>
      <sheetName val="Integração_-_Earned_Value2"/>
      <sheetName val="SOI_Categoría2"/>
      <sheetName val="OPEX_9_3_LC2"/>
      <sheetName val="REV_9_3_LC2"/>
      <sheetName val="CHECK_LIST_PRECIOS_LATAM2"/>
      <sheetName val="Tarifas_a_usar2"/>
      <sheetName val="Inversión_estimada_2"/>
      <sheetName val="Validación_tarifas_TIPO_12"/>
      <sheetName val="Validación_tarifas_TIPO_22"/>
      <sheetName val="Validación_tarifas_TIPO_32"/>
      <sheetName val="Estrategia_de_precios2"/>
      <sheetName val="Compara_Rounds2"/>
      <sheetName val="Inflaciones_estimadas_LATAM2"/>
      <sheetName val="ORDEN_2"/>
      <sheetName val="Auxiliar"/>
      <sheetName val="VIA PUBLICA"/>
      <sheetName val="01_1999"/>
      <sheetName val="Niveles Com TV"/>
      <sheetName val="Rank_Lima"/>
      <sheetName val="CANAL_23"/>
      <sheetName val="CANAL_43"/>
      <sheetName val="CANAL_53"/>
      <sheetName val="Canal_73"/>
      <sheetName val="CANAL_93"/>
      <sheetName val="CANAL_133"/>
      <sheetName val="PauT_Hmno_13"/>
      <sheetName val="PauT_Hmno_23"/>
      <sheetName val="PauT_Hmno_33"/>
      <sheetName val="PauT_Hmno_43"/>
      <sheetName val="Rank_Lima1"/>
      <sheetName val="Niveles_Com_TV"/>
      <sheetName val="Caras_Viejas"/>
      <sheetName val="Salas_2"/>
      <sheetName val="Resumen  Ene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 Verano"/>
      <sheetName val="pauta 2"/>
      <sheetName val="pauta 1"/>
      <sheetName val="Hoja1"/>
      <sheetName val="datos universos"/>
      <sheetName val="rating"/>
      <sheetName val="plan 2004"/>
      <sheetName val="actual MAY03"/>
      <sheetName val="pauta libre"/>
      <sheetName val="ANEXOS"/>
      <sheetName val="Visual Presentada ultimareunion"/>
      <sheetName val="pauta 27&quot;"/>
      <sheetName val="F13525"/>
      <sheetName val="F2 3525"/>
      <sheetName val="F33525"/>
      <sheetName val="F13525 (A)"/>
      <sheetName val="F2 3525 (A)"/>
      <sheetName val="F33525 a"/>
      <sheetName val="SOLICITUD CLIENTE"/>
      <sheetName val="RECOMEND AGENCIA"/>
      <sheetName val="PRE3525"/>
      <sheetName val="F12525"/>
      <sheetName val="F22525"/>
      <sheetName val="PRE2525"/>
      <sheetName val="MAYO 2004"/>
      <sheetName val="OCTUBRE 2004"/>
      <sheetName val="PRE-EVALUACION F1"/>
      <sheetName val="PRE-EVALUACION F1 2"/>
      <sheetName val="F1"/>
      <sheetName val="pauta 30"/>
      <sheetName val="F2 "/>
      <sheetName val="F3"/>
      <sheetName val="Hoja2"/>
      <sheetName val="PAUTA DE radios"/>
      <sheetName val="PAUTA GRAFICA"/>
      <sheetName val="PAUTA DE TV"/>
      <sheetName val="RATING RADIOS"/>
      <sheetName val="RATING TV"/>
      <sheetName val="PRE-EVALUACION"/>
      <sheetName val="Hoja2 (2)"/>
      <sheetName val="Hoja3"/>
      <sheetName val="Sheet2"/>
      <sheetName val="Sheet3"/>
      <sheetName val="Invxmes"/>
      <sheetName val="resumen total"/>
      <sheetName val="TvAbierta"/>
      <sheetName val="visual Anual resumen"/>
      <sheetName val="Fligth 1tvcable"/>
      <sheetName val="Radio"/>
      <sheetName val="revistas "/>
      <sheetName val="Via Publica"/>
      <sheetName val="Via Publica (2)"/>
      <sheetName val="Auxiliar"/>
      <sheetName val="negociaciones1"/>
      <sheetName val="analisis"/>
      <sheetName val="PLANGENERAL"/>
      <sheetName val="parametros"/>
      <sheetName val="matriz sitios"/>
      <sheetName val="Anunciantes"/>
      <sheetName val="Marcas"/>
      <sheetName val="MarcasCli"/>
      <sheetName val="Rubros"/>
      <sheetName val="Plan_Verano"/>
      <sheetName val="pauta_2"/>
      <sheetName val="pauta_1"/>
      <sheetName val="datos_universos"/>
      <sheetName val="plan_2004"/>
      <sheetName val="actual_MAY03"/>
      <sheetName val="pauta_libre"/>
      <sheetName val="Visual_Presentada_ultimareunion"/>
      <sheetName val="pauta_27&quot;"/>
      <sheetName val="F2_3525"/>
      <sheetName val="F13525_(A)"/>
      <sheetName val="F2_3525_(A)"/>
      <sheetName val="F33525_a"/>
      <sheetName val="SOLICITUD_CLIENTE"/>
      <sheetName val="RECOMEND_AGENCIA"/>
      <sheetName val="MAYO_2004"/>
      <sheetName val="OCTUBRE_2004"/>
      <sheetName val="PRE-EVALUACION_F1"/>
      <sheetName val="PRE-EVALUACION_F1_2"/>
      <sheetName val="pauta_30"/>
      <sheetName val="F2_"/>
      <sheetName val="PAUTA_DE_radios"/>
      <sheetName val="PAUTA_GRAFICA"/>
      <sheetName val="PAUTA_DE_TV"/>
      <sheetName val="RATING_RADIOS"/>
      <sheetName val="RATING_TV"/>
      <sheetName val="Hoja2_(2)"/>
      <sheetName val="resumen_total"/>
      <sheetName val="visual_Anual_resumen"/>
      <sheetName val="Fligth_1tvcable"/>
      <sheetName val="revistas_"/>
      <sheetName val="Via_Publica"/>
      <sheetName val="Via_Publica_(2)"/>
      <sheetName val="Plan_Verano1"/>
      <sheetName val="pauta_21"/>
      <sheetName val="pauta_11"/>
      <sheetName val="datos_universos1"/>
      <sheetName val="plan_20041"/>
      <sheetName val="actual_MAY031"/>
      <sheetName val="pauta_libre1"/>
      <sheetName val="Visual_Presentada_ultimareunio1"/>
      <sheetName val="pauta_27&quot;1"/>
      <sheetName val="F2_35251"/>
      <sheetName val="F13525_(A)1"/>
      <sheetName val="F2_3525_(A)1"/>
      <sheetName val="F33525_a1"/>
      <sheetName val="SOLICITUD_CLIENTE1"/>
      <sheetName val="RECOMEND_AGENCIA1"/>
      <sheetName val="MAYO_20041"/>
      <sheetName val="OCTUBRE_20041"/>
      <sheetName val="PRE-EVALUACION_F11"/>
      <sheetName val="PRE-EVALUACION_F1_21"/>
      <sheetName val="pauta_301"/>
      <sheetName val="F2_1"/>
      <sheetName val="PAUTA_DE_radios1"/>
      <sheetName val="PAUTA_GRAFICA1"/>
      <sheetName val="PAUTA_DE_TV1"/>
      <sheetName val="RATING_RADIOS1"/>
      <sheetName val="RATING_TV1"/>
      <sheetName val="Hoja2_(2)1"/>
      <sheetName val="resumen_total1"/>
      <sheetName val="visual_Anual_resumen1"/>
      <sheetName val="Fligth_1tvcable1"/>
      <sheetName val="revistas_1"/>
      <sheetName val="Via_Publica1"/>
      <sheetName val="Via_Publica_(2)1"/>
      <sheetName val="Plan_Verano2"/>
      <sheetName val="pauta_22"/>
      <sheetName val="pauta_12"/>
      <sheetName val="datos_universos2"/>
      <sheetName val="plan_20042"/>
      <sheetName val="actual_MAY032"/>
      <sheetName val="pauta_libre2"/>
      <sheetName val="Visual_Presentada_ultimareunio2"/>
      <sheetName val="pauta_27&quot;2"/>
      <sheetName val="F2_35252"/>
      <sheetName val="F13525_(A)2"/>
      <sheetName val="F2_3525_(A)2"/>
      <sheetName val="F33525_a2"/>
      <sheetName val="SOLICITUD_CLIENTE2"/>
      <sheetName val="RECOMEND_AGENCIA2"/>
      <sheetName val="MAYO_20042"/>
      <sheetName val="OCTUBRE_20042"/>
      <sheetName val="PRE-EVALUACION_F12"/>
      <sheetName val="PRE-EVALUACION_F1_22"/>
      <sheetName val="pauta_302"/>
      <sheetName val="F2_2"/>
      <sheetName val="PAUTA_DE_radios2"/>
      <sheetName val="PAUTA_GRAFICA2"/>
      <sheetName val="PAUTA_DE_TV2"/>
      <sheetName val="RATING_RADIOS2"/>
      <sheetName val="RATING_TV2"/>
      <sheetName val="Hoja2_(2)2"/>
      <sheetName val="resumen_total2"/>
      <sheetName val="visual_Anual_resumen2"/>
      <sheetName val="Fligth_1tvcable2"/>
      <sheetName val="revistas_2"/>
      <sheetName val="Via_Publica2"/>
      <sheetName val="Via_Publica_(2)2"/>
      <sheetName val="Plan_Verano3"/>
      <sheetName val="pauta_23"/>
      <sheetName val="pauta_13"/>
      <sheetName val="datos_universos3"/>
      <sheetName val="plan_20043"/>
      <sheetName val="actual_MAY033"/>
      <sheetName val="pauta_libre3"/>
      <sheetName val="Visual_Presentada_ultimareunio3"/>
      <sheetName val="pauta_27&quot;3"/>
      <sheetName val="F2_35253"/>
      <sheetName val="F13525_(A)3"/>
      <sheetName val="F2_3525_(A)3"/>
      <sheetName val="F33525_a3"/>
      <sheetName val="SOLICITUD_CLIENTE3"/>
      <sheetName val="RECOMEND_AGENCIA3"/>
      <sheetName val="MAYO_20043"/>
      <sheetName val="OCTUBRE_20043"/>
      <sheetName val="PRE-EVALUACION_F13"/>
      <sheetName val="PRE-EVALUACION_F1_23"/>
      <sheetName val="pauta_303"/>
      <sheetName val="F2_3"/>
      <sheetName val="PAUTA_DE_radios3"/>
      <sheetName val="PAUTA_GRAFICA3"/>
      <sheetName val="PAUTA_DE_TV3"/>
      <sheetName val="RATING_RADIOS3"/>
      <sheetName val="RATING_TV3"/>
      <sheetName val="Hoja2_(2)3"/>
      <sheetName val="resumen_total3"/>
      <sheetName val="visual_Anual_resumen3"/>
      <sheetName val="Fligth_1tvcable3"/>
      <sheetName val="revistas_3"/>
      <sheetName val="Via_Publica3"/>
      <sheetName val="Via_Publica_(2)3"/>
      <sheetName val="Plan_Verano5"/>
      <sheetName val="pauta_25"/>
      <sheetName val="pauta_15"/>
      <sheetName val="datos_universos5"/>
      <sheetName val="plan_20045"/>
      <sheetName val="actual_MAY035"/>
      <sheetName val="pauta_libre5"/>
      <sheetName val="Visual_Presentada_ultimareunio5"/>
      <sheetName val="pauta_27&quot;5"/>
      <sheetName val="F2_35255"/>
      <sheetName val="F13525_(A)5"/>
      <sheetName val="F2_3525_(A)5"/>
      <sheetName val="F33525_a5"/>
      <sheetName val="SOLICITUD_CLIENTE5"/>
      <sheetName val="RECOMEND_AGENCIA5"/>
      <sheetName val="MAYO_20045"/>
      <sheetName val="OCTUBRE_20045"/>
      <sheetName val="PRE-EVALUACION_F15"/>
      <sheetName val="PRE-EVALUACION_F1_25"/>
      <sheetName val="pauta_305"/>
      <sheetName val="F2_5"/>
      <sheetName val="PAUTA_DE_radios5"/>
      <sheetName val="PAUTA_GRAFICA5"/>
      <sheetName val="PAUTA_DE_TV5"/>
      <sheetName val="RATING_RADIOS5"/>
      <sheetName val="RATING_TV5"/>
      <sheetName val="Hoja2_(2)5"/>
      <sheetName val="resumen_total5"/>
      <sheetName val="visual_Anual_resumen5"/>
      <sheetName val="Fligth_1tvcable5"/>
      <sheetName val="revistas_5"/>
      <sheetName val="Via_Publica5"/>
      <sheetName val="Via_Publica_(2)5"/>
      <sheetName val="Plan_Verano4"/>
      <sheetName val="pauta_24"/>
      <sheetName val="pauta_14"/>
      <sheetName val="datos_universos4"/>
      <sheetName val="plan_20044"/>
      <sheetName val="actual_MAY034"/>
      <sheetName val="pauta_libre4"/>
      <sheetName val="Visual_Presentada_ultimareunio4"/>
      <sheetName val="pauta_27&quot;4"/>
      <sheetName val="F2_35254"/>
      <sheetName val="F13525_(A)4"/>
      <sheetName val="F2_3525_(A)4"/>
      <sheetName val="F33525_a4"/>
      <sheetName val="SOLICITUD_CLIENTE4"/>
      <sheetName val="RECOMEND_AGENCIA4"/>
      <sheetName val="MAYO_20044"/>
      <sheetName val="OCTUBRE_20044"/>
      <sheetName val="PRE-EVALUACION_F14"/>
      <sheetName val="PRE-EVALUACION_F1_24"/>
      <sheetName val="pauta_304"/>
      <sheetName val="F2_4"/>
      <sheetName val="PAUTA_DE_radios4"/>
      <sheetName val="PAUTA_GRAFICA4"/>
      <sheetName val="PAUTA_DE_TV4"/>
      <sheetName val="RATING_RADIOS4"/>
      <sheetName val="RATING_TV4"/>
      <sheetName val="Hoja2_(2)4"/>
      <sheetName val="resumen_total4"/>
      <sheetName val="visual_Anual_resumen4"/>
      <sheetName val="Fligth_1tvcable4"/>
      <sheetName val="revistas_4"/>
      <sheetName val="Via_Publica4"/>
      <sheetName val="Via_Publica_(2)4"/>
      <sheetName val="Plan_Verano7"/>
      <sheetName val="pauta_27"/>
      <sheetName val="pauta_17"/>
      <sheetName val="datos_universos7"/>
      <sheetName val="plan_20047"/>
      <sheetName val="actual_MAY037"/>
      <sheetName val="pauta_libre7"/>
      <sheetName val="Visual_Presentada_ultimareunio7"/>
      <sheetName val="pauta_27&quot;7"/>
      <sheetName val="F2_35257"/>
      <sheetName val="F13525_(A)7"/>
      <sheetName val="F2_3525_(A)7"/>
      <sheetName val="F33525_a7"/>
      <sheetName val="SOLICITUD_CLIENTE7"/>
      <sheetName val="RECOMEND_AGENCIA7"/>
      <sheetName val="MAYO_20047"/>
      <sheetName val="OCTUBRE_20047"/>
      <sheetName val="PRE-EVALUACION_F17"/>
      <sheetName val="PRE-EVALUACION_F1_27"/>
      <sheetName val="pauta_307"/>
      <sheetName val="F2_7"/>
      <sheetName val="PAUTA_DE_radios7"/>
      <sheetName val="PAUTA_GRAFICA7"/>
      <sheetName val="PAUTA_DE_TV7"/>
      <sheetName val="RATING_RADIOS7"/>
      <sheetName val="RATING_TV7"/>
      <sheetName val="Hoja2_(2)7"/>
      <sheetName val="resumen_total7"/>
      <sheetName val="visual_Anual_resumen7"/>
      <sheetName val="Fligth_1tvcable7"/>
      <sheetName val="revistas_7"/>
      <sheetName val="Via_Publica7"/>
      <sheetName val="Via_Publica_(2)7"/>
      <sheetName val="Plan_Verano6"/>
      <sheetName val="pauta_26"/>
      <sheetName val="pauta_16"/>
      <sheetName val="datos_universos6"/>
      <sheetName val="plan_20046"/>
      <sheetName val="actual_MAY036"/>
      <sheetName val="pauta_libre6"/>
      <sheetName val="Visual_Presentada_ultimareunio6"/>
      <sheetName val="pauta_27&quot;6"/>
      <sheetName val="F2_35256"/>
      <sheetName val="F13525_(A)6"/>
      <sheetName val="F2_3525_(A)6"/>
      <sheetName val="F33525_a6"/>
      <sheetName val="SOLICITUD_CLIENTE6"/>
      <sheetName val="RECOMEND_AGENCIA6"/>
      <sheetName val="MAYO_20046"/>
      <sheetName val="OCTUBRE_20046"/>
      <sheetName val="PRE-EVALUACION_F16"/>
      <sheetName val="PRE-EVALUACION_F1_26"/>
      <sheetName val="pauta_306"/>
      <sheetName val="F2_6"/>
      <sheetName val="PAUTA_DE_radios6"/>
      <sheetName val="PAUTA_GRAFICA6"/>
      <sheetName val="PAUTA_DE_TV6"/>
      <sheetName val="RATING_RADIOS6"/>
      <sheetName val="RATING_TV6"/>
      <sheetName val="Hoja2_(2)6"/>
      <sheetName val="resumen_total6"/>
      <sheetName val="visual_Anual_resumen6"/>
      <sheetName val="Fligth_1tvcable6"/>
      <sheetName val="revistas_6"/>
      <sheetName val="Via_Publica6"/>
      <sheetName val="Via_Publica_(2)6"/>
      <sheetName val="Plan_Verano8"/>
      <sheetName val="pauta_28"/>
      <sheetName val="pauta_18"/>
      <sheetName val="datos_universos8"/>
      <sheetName val="plan_20048"/>
      <sheetName val="actual_MAY038"/>
      <sheetName val="pauta_libre8"/>
      <sheetName val="Visual_Presentada_ultimareunio8"/>
      <sheetName val="pauta_27&quot;8"/>
      <sheetName val="F2_35258"/>
      <sheetName val="F13525_(A)8"/>
      <sheetName val="F2_3525_(A)8"/>
      <sheetName val="F33525_a8"/>
      <sheetName val="SOLICITUD_CLIENTE8"/>
      <sheetName val="RECOMEND_AGENCIA8"/>
      <sheetName val="MAYO_20048"/>
      <sheetName val="OCTUBRE_20048"/>
      <sheetName val="PRE-EVALUACION_F18"/>
      <sheetName val="PRE-EVALUACION_F1_28"/>
      <sheetName val="pauta_308"/>
      <sheetName val="F2_8"/>
      <sheetName val="PAUTA_DE_radios8"/>
      <sheetName val="PAUTA_GRAFICA8"/>
      <sheetName val="PAUTA_DE_TV8"/>
      <sheetName val="RATING_RADIOS8"/>
      <sheetName val="RATING_TV8"/>
      <sheetName val="Hoja2_(2)8"/>
      <sheetName val="resumen_total8"/>
      <sheetName val="visual_Anual_resumen8"/>
      <sheetName val="Fligth_1tvcable8"/>
      <sheetName val="revistas_8"/>
      <sheetName val="Via_Publica8"/>
      <sheetName val="Via_Publica_(2)8"/>
      <sheetName val="Plan_Verano9"/>
      <sheetName val="pauta_29"/>
      <sheetName val="pauta_19"/>
      <sheetName val="datos_universos9"/>
      <sheetName val="plan_20049"/>
      <sheetName val="actual_MAY039"/>
      <sheetName val="pauta_libre9"/>
      <sheetName val="Visual_Presentada_ultimareunio9"/>
      <sheetName val="pauta_27&quot;9"/>
      <sheetName val="F2_35259"/>
      <sheetName val="F13525_(A)9"/>
      <sheetName val="F2_3525_(A)9"/>
      <sheetName val="F33525_a9"/>
      <sheetName val="SOLICITUD_CLIENTE9"/>
      <sheetName val="RECOMEND_AGENCIA9"/>
      <sheetName val="MAYO_20049"/>
      <sheetName val="OCTUBRE_20049"/>
      <sheetName val="PRE-EVALUACION_F19"/>
      <sheetName val="PRE-EVALUACION_F1_29"/>
      <sheetName val="pauta_309"/>
      <sheetName val="F2_9"/>
      <sheetName val="PAUTA_DE_radios9"/>
      <sheetName val="PAUTA_GRAFICA9"/>
      <sheetName val="PAUTA_DE_TV9"/>
      <sheetName val="RATING_RADIOS9"/>
      <sheetName val="RATING_TV9"/>
      <sheetName val="Hoja2_(2)9"/>
      <sheetName val="resumen_total9"/>
      <sheetName val="visual_Anual_resumen9"/>
      <sheetName val="Fligth_1tvcable9"/>
      <sheetName val="revistas_9"/>
      <sheetName val="Via_Publica9"/>
      <sheetName val="Via_Publica_(2)9"/>
      <sheetName val="1"/>
      <sheetName val="pautatvn"/>
      <sheetName val="Regiones Noviembre 2002"/>
      <sheetName val="#g.o."/>
      <sheetName val="Plan_Verano10"/>
      <sheetName val="pauta_210"/>
      <sheetName val="pauta_110"/>
      <sheetName val="datos_universos10"/>
      <sheetName val="plan_200410"/>
      <sheetName val="actual_MAY0310"/>
      <sheetName val="pauta_libre10"/>
      <sheetName val="Visual_Presentada_ultimareuni10"/>
      <sheetName val="pauta_27&quot;10"/>
      <sheetName val="F2_352510"/>
      <sheetName val="F13525_(A)10"/>
      <sheetName val="F2_3525_(A)10"/>
      <sheetName val="F33525_a10"/>
      <sheetName val="SOLICITUD_CLIENTE10"/>
      <sheetName val="RECOMEND_AGENCIA10"/>
      <sheetName val="MAYO_200410"/>
      <sheetName val="OCTUBRE_200410"/>
      <sheetName val="PRE-EVALUACION_F110"/>
      <sheetName val="PRE-EVALUACION_F1_210"/>
      <sheetName val="pauta_3010"/>
      <sheetName val="F2_10"/>
      <sheetName val="PAUTA_DE_radios10"/>
      <sheetName val="PAUTA_GRAFICA10"/>
      <sheetName val="PAUTA_DE_TV10"/>
      <sheetName val="RATING_RADIOS10"/>
      <sheetName val="RATING_TV10"/>
      <sheetName val="Hoja2_(2)10"/>
      <sheetName val="resumen_total10"/>
      <sheetName val="visual_Anual_resumen10"/>
      <sheetName val="Fligth_1tvcable10"/>
      <sheetName val="revistas_10"/>
      <sheetName val="Via_Publica10"/>
      <sheetName val="Via_Publica_(2)10"/>
      <sheetName val="matriz_sitios"/>
      <sheetName val="Regiones_Noviembre_2002"/>
      <sheetName val="#g_o_"/>
      <sheetName val="Plan_Verano11"/>
      <sheetName val="pauta_211"/>
      <sheetName val="pauta_111"/>
      <sheetName val="datos_universos11"/>
      <sheetName val="plan_200411"/>
      <sheetName val="actual_MAY0311"/>
      <sheetName val="pauta_libre11"/>
      <sheetName val="Visual_Presentada_ultimareuni11"/>
      <sheetName val="pauta_27&quot;11"/>
      <sheetName val="F2_352511"/>
      <sheetName val="F13525_(A)11"/>
      <sheetName val="F2_3525_(A)11"/>
      <sheetName val="F33525_a11"/>
      <sheetName val="SOLICITUD_CLIENTE11"/>
      <sheetName val="RECOMEND_AGENCIA11"/>
      <sheetName val="MAYO_200411"/>
      <sheetName val="OCTUBRE_200411"/>
      <sheetName val="PRE-EVALUACION_F111"/>
      <sheetName val="PRE-EVALUACION_F1_211"/>
      <sheetName val="pauta_3011"/>
      <sheetName val="F2_11"/>
      <sheetName val="PAUTA_DE_radios11"/>
      <sheetName val="PAUTA_GRAFICA11"/>
      <sheetName val="PAUTA_DE_TV11"/>
      <sheetName val="RATING_RADIOS11"/>
      <sheetName val="RATING_TV11"/>
      <sheetName val="Hoja2_(2)11"/>
      <sheetName val="resumen_total11"/>
      <sheetName val="visual_Anual_resumen11"/>
      <sheetName val="Fligth_1tvcable11"/>
      <sheetName val="revistas_11"/>
      <sheetName val="Via_Publica11"/>
      <sheetName val="Via_Publica_(2)11"/>
      <sheetName val="matriz_sitios1"/>
      <sheetName val="Regiones_Noviembre_20021"/>
      <sheetName val="#g_o_1"/>
      <sheetName val="Plan_Verano12"/>
      <sheetName val="pauta_212"/>
      <sheetName val="pauta_112"/>
      <sheetName val="datos_universos12"/>
      <sheetName val="plan_200412"/>
      <sheetName val="actual_MAY0312"/>
      <sheetName val="pauta_libre12"/>
      <sheetName val="Visual_Presentada_ultimareuni12"/>
      <sheetName val="pauta_27&quot;12"/>
      <sheetName val="F2_352512"/>
      <sheetName val="F13525_(A)12"/>
      <sheetName val="F2_3525_(A)12"/>
      <sheetName val="F33525_a12"/>
      <sheetName val="SOLICITUD_CLIENTE12"/>
      <sheetName val="RECOMEND_AGENCIA12"/>
      <sheetName val="MAYO_200412"/>
      <sheetName val="OCTUBRE_200412"/>
      <sheetName val="PRE-EVALUACION_F112"/>
      <sheetName val="PRE-EVALUACION_F1_212"/>
      <sheetName val="pauta_3012"/>
      <sheetName val="F2_12"/>
      <sheetName val="PAUTA_DE_radios12"/>
      <sheetName val="PAUTA_GRAFICA12"/>
      <sheetName val="PAUTA_DE_TV12"/>
      <sheetName val="RATING_RADIOS12"/>
      <sheetName val="RATING_TV12"/>
      <sheetName val="Hoja2_(2)12"/>
      <sheetName val="resumen_total12"/>
      <sheetName val="visual_Anual_resumen12"/>
      <sheetName val="Fligth_1tvcable12"/>
      <sheetName val="revistas_12"/>
      <sheetName val="Via_Publica12"/>
      <sheetName val="Via_Publica_(2)12"/>
      <sheetName val="matriz_sitios2"/>
      <sheetName val="Regiones_Noviembre_20022"/>
      <sheetName val="#g_o_2"/>
      <sheetName val="Plan_Verano13"/>
      <sheetName val="pauta_213"/>
      <sheetName val="pauta_113"/>
      <sheetName val="datos_universos13"/>
      <sheetName val="plan_200413"/>
      <sheetName val="actual_MAY0313"/>
      <sheetName val="pauta_libre13"/>
      <sheetName val="Visual_Presentada_ultimareuni13"/>
      <sheetName val="pauta_27&quot;13"/>
      <sheetName val="F2_352513"/>
      <sheetName val="F13525_(A)13"/>
      <sheetName val="F2_3525_(A)13"/>
      <sheetName val="F33525_a13"/>
      <sheetName val="SOLICITUD_CLIENTE13"/>
      <sheetName val="RECOMEND_AGENCIA13"/>
      <sheetName val="MAYO_200413"/>
      <sheetName val="OCTUBRE_200413"/>
      <sheetName val="PRE-EVALUACION_F113"/>
      <sheetName val="PRE-EVALUACION_F1_213"/>
      <sheetName val="pauta_3013"/>
      <sheetName val="F2_13"/>
      <sheetName val="PAUTA_DE_radios13"/>
      <sheetName val="PAUTA_GRAFICA13"/>
      <sheetName val="PAUTA_DE_TV13"/>
      <sheetName val="RATING_RADIOS13"/>
      <sheetName val="RATING_TV13"/>
      <sheetName val="Hoja2_(2)13"/>
      <sheetName val="resumen_total13"/>
      <sheetName val="visual_Anual_resumen13"/>
      <sheetName val="Fligth_1tvcable13"/>
      <sheetName val="revistas_13"/>
      <sheetName val="Via_Publica13"/>
      <sheetName val="Via_Publica_(2)13"/>
      <sheetName val="matriz_sitios3"/>
      <sheetName val="Regiones_Noviembre_20023"/>
      <sheetName val="#g_o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ómo se ocupan estas listas"/>
      <sheetName val="Cuantificador"/>
      <sheetName val="datos universos"/>
      <sheetName val="ANEXOS"/>
      <sheetName val="Cómo se hace"/>
      <sheetName val="Tarifas Enero 2009"/>
      <sheetName val="tablas final 2°sem 2008"/>
      <sheetName val="Rating"/>
      <sheetName val="Resumen"/>
      <sheetName val="Ant,Cal,At,Valp,Tal,O'H, BB,Tem"/>
      <sheetName val="Arica, Iqu, Vald, Osor, Pto M"/>
      <sheetName val="Coqu, Pta A"/>
      <sheetName val="Cómo_se_ocupan_estas_listas"/>
      <sheetName val="datos_universos"/>
      <sheetName val="Cómo_se_hace"/>
      <sheetName val="Tarifas_Enero_2009"/>
      <sheetName val="tablas_final_2°sem_2008"/>
      <sheetName val="Ant,Cal,At,Valp,Tal,O'H,_BB,Tem"/>
      <sheetName val="Arica,_Iqu,_Vald,_Osor,_Pto_M"/>
      <sheetName val="Coqu,_Pta_A"/>
      <sheetName val="Cómo_se_ocupan_estas_listas1"/>
      <sheetName val="datos_universos1"/>
      <sheetName val="Cómo_se_hace1"/>
      <sheetName val="Tarifas_Enero_20091"/>
      <sheetName val="tablas_final_2°sem_20081"/>
      <sheetName val="Ant,Cal,At,Valp,Tal,O'H,_BB,Te1"/>
      <sheetName val="Arica,_Iqu,_Vald,_Osor,_Pto_M1"/>
      <sheetName val="Coqu,_Pta_A1"/>
      <sheetName val="Cómo_se_ocupan_estas_listas2"/>
      <sheetName val="datos_universos2"/>
      <sheetName val="Cómo_se_hace2"/>
      <sheetName val="Tarifas_Enero_20092"/>
      <sheetName val="tablas_final_2°sem_20082"/>
      <sheetName val="Ant,Cal,At,Valp,Tal,O'H,_BB,Te2"/>
      <sheetName val="Arica,_Iqu,_Vald,_Osor,_Pto_M2"/>
      <sheetName val="Coqu,_Pta_A2"/>
      <sheetName val="tablas_final_2°sem_20083"/>
      <sheetName val="Cómo_se_ocupan_estas_listas4"/>
      <sheetName val="datos_universos4"/>
      <sheetName val="Cómo_se_hace4"/>
      <sheetName val="Tarifas_Enero_20094"/>
      <sheetName val="tablas_final_2°sem_20085"/>
      <sheetName val="Ant,Cal,At,Valp,Tal,O'H,_BB,Te4"/>
      <sheetName val="Arica,_Iqu,_Vald,_Osor,_Pto_M4"/>
      <sheetName val="Coqu,_Pta_A4"/>
      <sheetName val="Cómo_se_ocupan_estas_listas3"/>
      <sheetName val="datos_universos3"/>
      <sheetName val="Cómo_se_hace3"/>
      <sheetName val="Tarifas_Enero_20093"/>
      <sheetName val="tablas_final_2°sem_20084"/>
      <sheetName val="Ant,Cal,At,Valp,Tal,O'H,_BB,Te3"/>
      <sheetName val="Arica,_Iqu,_Vald,_Osor,_Pto_M3"/>
      <sheetName val="Coqu,_Pta_A3"/>
      <sheetName val="Cómo_se_ocupan_estas_listas5"/>
      <sheetName val="datos_universos5"/>
      <sheetName val="Cómo_se_hace5"/>
      <sheetName val="Tarifas_Enero_20095"/>
      <sheetName val="tablas_final_2°sem_20086"/>
      <sheetName val="Ant,Cal,At,Valp,Tal,O'H,_BB,Te5"/>
      <sheetName val="Arica,_Iqu,_Vald,_Osor,_Pto_M5"/>
      <sheetName val="Coqu,_Pta_A5"/>
      <sheetName val="Cómo_se_ocupan_estas_listas6"/>
      <sheetName val="datos_universos6"/>
      <sheetName val="Cómo_se_hace6"/>
      <sheetName val="Tarifas_Enero_20096"/>
      <sheetName val="tablas_final_2°sem_20087"/>
      <sheetName val="Ant,Cal,At,Valp,Tal,O'H,_BB,Te6"/>
      <sheetName val="Arica,_Iqu,_Vald,_Osor,_Pto_M6"/>
      <sheetName val="Coqu,_Pta_A6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aciones1"/>
      <sheetName val="analisis"/>
      <sheetName val="Portada"/>
      <sheetName val="Resumen General"/>
      <sheetName val="Resumen Prensa"/>
      <sheetName val="Plan Prensa Nacional"/>
      <sheetName val="Negociaciones"/>
      <sheetName val="Kantar"/>
      <sheetName val="Graficos"/>
      <sheetName val="KPMG"/>
      <sheetName val="Módulo1"/>
      <sheetName val="Módulo2"/>
      <sheetName val="Módulo3"/>
      <sheetName val="Módulo4"/>
      <sheetName val="Plan Prensa Regiones"/>
      <sheetName val="expertisse"/>
      <sheetName val="aca-"/>
      <sheetName val="Tapa"/>
      <sheetName val="Planes%20prensa%201.xls"/>
      <sheetName val="Planes prensa 1"/>
      <sheetName val="Resumen_General"/>
      <sheetName val="Resumen_Prensa"/>
      <sheetName val="Plan_Prensa_Nacional"/>
      <sheetName val="Resumen_General2"/>
      <sheetName val="Resumen_Prensa2"/>
      <sheetName val="Plan_Prensa_Nacional2"/>
      <sheetName val="Resumen_General1"/>
      <sheetName val="Resumen_Prensa1"/>
      <sheetName val="Plan_Prensa_Nacional1"/>
      <sheetName val="Resumen_General4"/>
      <sheetName val="Resumen_Prensa4"/>
      <sheetName val="Plan_Prensa_Nacional4"/>
      <sheetName val="Resumen_General3"/>
      <sheetName val="Resumen_Prensa3"/>
      <sheetName val="Plan_Prensa_Nacional3"/>
      <sheetName val="Plan_Prensa_Regiones"/>
      <sheetName val="Plan_Prensa_Regiones2"/>
      <sheetName val="Plan_Prensa_Regiones1"/>
      <sheetName val="Plan_Prensa_Regiones4"/>
      <sheetName val="Plan_Prensa_Regiones3"/>
      <sheetName val="Resumen_General5"/>
      <sheetName val="Resumen_Prensa5"/>
      <sheetName val="Plan_Prensa_Nacional5"/>
      <sheetName val="Resumen_General6"/>
      <sheetName val="Resumen_Prensa6"/>
      <sheetName val="Plan_Prensa_Nacional6"/>
      <sheetName val="Plan_Prensa_Regiones5"/>
      <sheetName val="Plan_Prensa_Regiones6"/>
      <sheetName val="#g.o."/>
      <sheetName val="Ad Placement"/>
      <sheetName val="Country"/>
      <sheetName val="ACCESO"/>
      <sheetName val="ANDEN"/>
      <sheetName val="ANTEPECHO"/>
      <sheetName val="BARANDAL"/>
      <sheetName val="ESTACION"/>
      <sheetName val="MATRIZ"/>
      <sheetName val="PERALTE"/>
      <sheetName val="RELOJ"/>
      <sheetName val="TOLVA"/>
      <sheetName val="TRABE"/>
      <sheetName val="Pub1 L"/>
      <sheetName val="Rental"/>
      <sheetName val="anarev"/>
      <sheetName val="Resumen_General7"/>
      <sheetName val="Resumen_Prensa7"/>
      <sheetName val="Plan_Prensa_Nacional7"/>
      <sheetName val="Plan_Prensa_Regiones7"/>
      <sheetName val="Planes%20prensa%201_xls"/>
      <sheetName val="Planes_prensa_1"/>
      <sheetName val="#g_o_"/>
      <sheetName val="Auxiliar"/>
      <sheetName val="Resumen_General8"/>
      <sheetName val="Resumen_Prensa8"/>
      <sheetName val="Plan_Prensa_Nacional8"/>
      <sheetName val="Plan_Prensa_Regiones8"/>
      <sheetName val="Ad_Placement"/>
      <sheetName val="Planes%20prensa%201_xls1"/>
      <sheetName val="Planes_prensa_11"/>
      <sheetName val="#g_o_1"/>
      <sheetName val="Pub1_L"/>
      <sheetName val="TP ABRIL"/>
      <sheetName val="COL"/>
      <sheetName val="bases"/>
      <sheetName val="Pautas 24 horas"/>
      <sheetName val="Niveles ABRIL"/>
      <sheetName val="Tarifas Canal 24H"/>
      <sheetName val="Rk"/>
    </sheetNames>
    <sheetDataSet>
      <sheetData sheetId="0" refreshError="1"/>
      <sheetData sheetId="1" refreshError="1">
        <row r="12">
          <cell r="A12" t="str">
            <v>VAS</v>
          </cell>
        </row>
        <row r="19">
          <cell r="A19" t="str">
            <v xml:space="preserve">Diarios            </v>
          </cell>
          <cell r="B19" t="str">
            <v>FRECUE.</v>
          </cell>
          <cell r="C19" t="str">
            <v>ALCANC.</v>
          </cell>
          <cell r="D19" t="str">
            <v>Lu-Vi</v>
          </cell>
          <cell r="E19" t="str">
            <v xml:space="preserve">   LUN.</v>
          </cell>
          <cell r="F19" t="str">
            <v xml:space="preserve">   MAR.</v>
          </cell>
          <cell r="G19" t="str">
            <v xml:space="preserve">   MIE.</v>
          </cell>
          <cell r="H19" t="str">
            <v xml:space="preserve">   JUE.</v>
          </cell>
          <cell r="I19" t="str">
            <v xml:space="preserve">   VIE.</v>
          </cell>
          <cell r="J19" t="str">
            <v xml:space="preserve">   SAB.</v>
          </cell>
          <cell r="K19" t="str">
            <v xml:space="preserve">   DOM.</v>
          </cell>
          <cell r="L19" t="str">
            <v xml:space="preserve"> LU-DO </v>
          </cell>
          <cell r="M19" t="str">
            <v>ALCANC.</v>
          </cell>
          <cell r="N19" t="str">
            <v>FRECUE.</v>
          </cell>
        </row>
        <row r="20">
          <cell r="A20" t="str">
            <v>El Mercurio</v>
          </cell>
          <cell r="D20">
            <v>11.602</v>
          </cell>
          <cell r="E20">
            <v>12.51</v>
          </cell>
          <cell r="F20">
            <v>11.01</v>
          </cell>
          <cell r="G20">
            <v>10.130000000000001</v>
          </cell>
          <cell r="H20">
            <v>12.06</v>
          </cell>
          <cell r="I20">
            <v>12.3</v>
          </cell>
          <cell r="J20">
            <v>12.49</v>
          </cell>
          <cell r="K20">
            <v>24.03</v>
          </cell>
          <cell r="L20">
            <v>13.504285714285714</v>
          </cell>
        </row>
        <row r="21">
          <cell r="A21" t="str">
            <v>La Cuarta</v>
          </cell>
          <cell r="D21">
            <v>10.88</v>
          </cell>
          <cell r="E21">
            <v>11.64</v>
          </cell>
          <cell r="F21">
            <v>10.79</v>
          </cell>
          <cell r="G21">
            <v>9.5299999999999994</v>
          </cell>
          <cell r="H21">
            <v>11.38</v>
          </cell>
          <cell r="I21">
            <v>11.06</v>
          </cell>
          <cell r="J21">
            <v>9.3699999999999992</v>
          </cell>
          <cell r="K21">
            <v>8.7799999999999994</v>
          </cell>
          <cell r="L21">
            <v>10.364285714285714</v>
          </cell>
        </row>
        <row r="22">
          <cell r="A22" t="str">
            <v>La Nación</v>
          </cell>
          <cell r="D22">
            <v>0.33200000000000002</v>
          </cell>
          <cell r="E22">
            <v>0.5</v>
          </cell>
          <cell r="F22">
            <v>0.49</v>
          </cell>
          <cell r="G22">
            <v>0.26</v>
          </cell>
          <cell r="H22">
            <v>0.06</v>
          </cell>
          <cell r="I22">
            <v>0.35</v>
          </cell>
          <cell r="J22">
            <v>0</v>
          </cell>
          <cell r="K22">
            <v>0.65</v>
          </cell>
          <cell r="L22">
            <v>0.33</v>
          </cell>
        </row>
        <row r="23">
          <cell r="A23" t="str">
            <v>La Segunda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La Tercera</v>
          </cell>
          <cell r="D24">
            <v>10.1</v>
          </cell>
          <cell r="E24">
            <v>9.9700000000000006</v>
          </cell>
          <cell r="F24">
            <v>9.43</v>
          </cell>
          <cell r="G24">
            <v>11.19</v>
          </cell>
          <cell r="H24">
            <v>10.36</v>
          </cell>
          <cell r="I24">
            <v>9.5500000000000007</v>
          </cell>
          <cell r="J24">
            <v>16.32</v>
          </cell>
          <cell r="K24">
            <v>14.78</v>
          </cell>
          <cell r="L24">
            <v>11.657142857142857</v>
          </cell>
        </row>
        <row r="25">
          <cell r="A25" t="str">
            <v>Las Últimas Noticias</v>
          </cell>
          <cell r="D25">
            <v>12.129999999999999</v>
          </cell>
          <cell r="E25">
            <v>13.56</v>
          </cell>
          <cell r="F25">
            <v>12.04</v>
          </cell>
          <cell r="G25">
            <v>12.36</v>
          </cell>
          <cell r="H25">
            <v>11.86</v>
          </cell>
          <cell r="I25">
            <v>10.83</v>
          </cell>
          <cell r="J25">
            <v>9.5500000000000007</v>
          </cell>
          <cell r="K25">
            <v>7.97</v>
          </cell>
          <cell r="L25">
            <v>11.167142857142858</v>
          </cell>
        </row>
        <row r="26">
          <cell r="A26" t="str">
            <v>La Hora de la Tarde</v>
          </cell>
          <cell r="D26">
            <v>0.8</v>
          </cell>
          <cell r="E26">
            <v>0.75</v>
          </cell>
          <cell r="F26">
            <v>0</v>
          </cell>
          <cell r="G26">
            <v>1.19</v>
          </cell>
          <cell r="H26">
            <v>1.02</v>
          </cell>
          <cell r="I26">
            <v>1.04</v>
          </cell>
          <cell r="J26">
            <v>0</v>
          </cell>
          <cell r="K26">
            <v>0</v>
          </cell>
          <cell r="L26">
            <v>0.5714285714285714</v>
          </cell>
        </row>
        <row r="27">
          <cell r="A27" t="str">
            <v>La Hora</v>
          </cell>
          <cell r="D27">
            <v>7.3120000000000003</v>
          </cell>
          <cell r="E27">
            <v>7.25</v>
          </cell>
          <cell r="F27">
            <v>7.94</v>
          </cell>
          <cell r="G27">
            <v>7.36</v>
          </cell>
          <cell r="H27">
            <v>7.34</v>
          </cell>
          <cell r="I27">
            <v>6.67</v>
          </cell>
          <cell r="J27">
            <v>0</v>
          </cell>
          <cell r="K27">
            <v>0</v>
          </cell>
          <cell r="L27">
            <v>5.2228571428571433</v>
          </cell>
        </row>
        <row r="28">
          <cell r="A28" t="str">
            <v>Publimetro</v>
          </cell>
          <cell r="D28">
            <v>10.904</v>
          </cell>
          <cell r="E28">
            <v>10.91</v>
          </cell>
          <cell r="F28">
            <v>11.94</v>
          </cell>
          <cell r="G28">
            <v>10.19</v>
          </cell>
          <cell r="H28">
            <v>11.78</v>
          </cell>
          <cell r="I28">
            <v>9.6999999999999993</v>
          </cell>
          <cell r="J28">
            <v>1.92</v>
          </cell>
          <cell r="K28">
            <v>0</v>
          </cell>
          <cell r="L28">
            <v>8.0628571428571423</v>
          </cell>
        </row>
        <row r="29">
          <cell r="A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ómo se ocupan estas listas"/>
      <sheetName val="Cuantificador"/>
      <sheetName val="datos universos"/>
      <sheetName val="ANEXOS"/>
      <sheetName val="Cómo se hace"/>
      <sheetName val="Tarifas Enero 2009"/>
      <sheetName val="tablas final 2°sem 2008"/>
      <sheetName val="Rating"/>
      <sheetName val="Resumen"/>
      <sheetName val="Propuesta 1_Febrero 2010"/>
      <sheetName val="Propuesta 2_Mes tipo 2010"/>
      <sheetName val="Cómo_se_ocupan_estas_listas"/>
      <sheetName val="datos_universos"/>
      <sheetName val="Cómo_se_hace"/>
      <sheetName val="Tarifas_Enero_2009"/>
      <sheetName val="tablas_final_2°sem_2008"/>
      <sheetName val="Propuesta_1_Febrero_2010"/>
      <sheetName val="Propuesta_2_Mes_tipo_2010"/>
      <sheetName val="Cómo_se_ocupan_estas_listas1"/>
      <sheetName val="datos_universos1"/>
      <sheetName val="Cómo_se_hace1"/>
      <sheetName val="Tarifas_Enero_20091"/>
      <sheetName val="tablas_final_2°sem_20081"/>
      <sheetName val="Propuesta_1_Febrero_20101"/>
      <sheetName val="Propuesta_2_Mes_tipo_20101"/>
      <sheetName val="Cómo_se_ocupan_estas_listas2"/>
      <sheetName val="datos_universos2"/>
      <sheetName val="Cómo_se_hace2"/>
      <sheetName val="Tarifas_Enero_20092"/>
      <sheetName val="tablas_final_2°sem_20082"/>
      <sheetName val="Propuesta_1_Febrero_20102"/>
      <sheetName val="Propuesta_2_Mes_tipo_20102"/>
      <sheetName val="tablas_final_2°sem_20083"/>
      <sheetName val="Cómo_se_ocupan_estas_listas4"/>
      <sheetName val="datos_universos4"/>
      <sheetName val="Cómo_se_hace4"/>
      <sheetName val="Tarifas_Enero_20094"/>
      <sheetName val="tablas_final_2°sem_20085"/>
      <sheetName val="Propuesta_1_Febrero_20104"/>
      <sheetName val="Propuesta_2_Mes_tipo_20104"/>
      <sheetName val="Cómo_se_ocupan_estas_listas3"/>
      <sheetName val="datos_universos3"/>
      <sheetName val="Cómo_se_hace3"/>
      <sheetName val="Tarifas_Enero_20093"/>
      <sheetName val="tablas_final_2°sem_20084"/>
      <sheetName val="Propuesta_1_Febrero_20103"/>
      <sheetName val="Propuesta_2_Mes_tipo_20103"/>
      <sheetName val="Cómo_se_ocupan_estas_listas5"/>
      <sheetName val="datos_universos5"/>
      <sheetName val="Cómo_se_hace5"/>
      <sheetName val="Tarifas_Enero_20095"/>
      <sheetName val="tablas_final_2°sem_20086"/>
      <sheetName val="Propuesta_1_Febrero_20105"/>
      <sheetName val="Propuesta_2_Mes_tipo_20105"/>
      <sheetName val="Cómo_se_ocupan_estas_listas6"/>
      <sheetName val="datos_universos6"/>
      <sheetName val="Cómo_se_hace6"/>
      <sheetName val="Tarifas_Enero_20096"/>
      <sheetName val="tablas_final_2°sem_20087"/>
      <sheetName val="Propuesta_1_Febrero_20106"/>
      <sheetName val="Propuesta_2_Mes_tipo_201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"/>
      <sheetName val="Reservas"/>
      <sheetName val="Borrador"/>
      <sheetName val="RLira"/>
      <sheetName val="CONCIERTO"/>
      <sheetName val="FUTURO"/>
      <sheetName val="ROCK &amp; POP "/>
      <sheetName val="ESPACIOS EN INTERNET"/>
      <sheetName val="RESPONSABLES"/>
      <sheetName val="Tapa"/>
      <sheetName val="Sheet1"/>
      <sheetName val="tablas final 2°sem 2008"/>
      <sheetName val="tablas final 1°sem 2009"/>
      <sheetName val="ROCK_&amp;_POP_"/>
      <sheetName val="ESPACIOS_EN_INTERNET"/>
      <sheetName val="tablas_final_2°sem_2008"/>
      <sheetName val="ROCK_&amp;_POP_1"/>
      <sheetName val="ESPACIOS_EN_INTERNET1"/>
      <sheetName val="tablas_final_2°sem_20081"/>
      <sheetName val="tablas_final_1°sem_2009"/>
      <sheetName val="ROCK_&amp;_POP_2"/>
      <sheetName val="ESPACIOS_EN_INTERNET2"/>
      <sheetName val="tablas_final_2°sem_20082"/>
      <sheetName val="tablas_final_1°sem_20091"/>
      <sheetName val="ROCK_&amp;_POP_3"/>
      <sheetName val="ESPACIOS_EN_INTERNET3"/>
      <sheetName val="tablas_final_2°sem_20083"/>
      <sheetName val="tablas_final_1°sem_20092"/>
      <sheetName val="AUX EXTERIOR"/>
      <sheetName val="AUXILIAR"/>
      <sheetName val="LOGO"/>
      <sheetName val="1.Tapa"/>
      <sheetName val="Rating"/>
      <sheetName val="tablas final 2°sem"/>
      <sheetName val="ROCK_&amp;_POP_4"/>
      <sheetName val="ESPACIOS_EN_INTERNET4"/>
      <sheetName val="tablas_final_1°sem_20093"/>
      <sheetName val="tablas_final_2°sem_20084"/>
      <sheetName val="AUX_EXTERIOR"/>
      <sheetName val="1_Tapa"/>
      <sheetName val="ROCK_&amp;_POP_6"/>
      <sheetName val="ESPACIOS_EN_INTERNET6"/>
      <sheetName val="tablas_final_1°sem_20095"/>
      <sheetName val="tablas_final_2°sem_20086"/>
      <sheetName val="AUX_EXTERIOR2"/>
      <sheetName val="1_Tapa2"/>
      <sheetName val="ROCK_&amp;_POP_5"/>
      <sheetName val="ESPACIOS_EN_INTERNET5"/>
      <sheetName val="tablas_final_1°sem_20094"/>
      <sheetName val="tablas_final_2°sem_20085"/>
      <sheetName val="AUX_EXTERIOR1"/>
      <sheetName val="1_Tapa1"/>
      <sheetName val="ROCK_&amp;_POP_8"/>
      <sheetName val="ESPACIOS_EN_INTERNET8"/>
      <sheetName val="tablas_final_2°sem_20088"/>
      <sheetName val="tablas_final_1°sem_20097"/>
      <sheetName val="AUX_EXTERIOR4"/>
      <sheetName val="1_Tapa4"/>
      <sheetName val="tablas_final_2°sem"/>
      <sheetName val="ROCK_&amp;_POP_7"/>
      <sheetName val="ESPACIOS_EN_INTERNET7"/>
      <sheetName val="tablas_final_1°sem_20096"/>
      <sheetName val="tablas_final_2°sem_20087"/>
      <sheetName val="AUX_EXTERIOR3"/>
      <sheetName val="1_Tapa3"/>
      <sheetName val="analisis"/>
      <sheetName val="negociaciones1"/>
      <sheetName val="#g.o."/>
      <sheetName val="Regiones Noviembre 2002"/>
      <sheetName val="Half Life Definitions"/>
      <sheetName val="Start"/>
      <sheetName val="Months"/>
      <sheetName val="ROCK_&amp;_POP_9"/>
      <sheetName val="ESPACIOS_EN_INTERNET9"/>
      <sheetName val="tablas_final_1°sem_20098"/>
      <sheetName val="tablas_final_2°sem_20089"/>
      <sheetName val="AUX_EXTERIOR5"/>
      <sheetName val="1_Tapa5"/>
      <sheetName val="tablas_final_2°sem1"/>
      <sheetName val="ROCK_&amp;_POP_10"/>
      <sheetName val="ESPACIOS_EN_INTERNET10"/>
      <sheetName val="tablas_final_1°sem_20099"/>
      <sheetName val="tablas_final_2°sem_200810"/>
      <sheetName val="AUX_EXTERIOR6"/>
      <sheetName val="1_Tapa6"/>
      <sheetName val="tablas_final_2°sem2"/>
      <sheetName val="Hoja1"/>
      <sheetName val="ROCK_&amp;_POP_11"/>
      <sheetName val="ESPACIOS_EN_INTERNET11"/>
      <sheetName val="tablas_final_2°sem_200811"/>
      <sheetName val="tablas_final_1°sem_200910"/>
      <sheetName val="AUX_EXTERIOR7"/>
      <sheetName val="1_Tapa7"/>
      <sheetName val="tablas_final_2°sem3"/>
      <sheetName val="Half_Life_Definitions"/>
      <sheetName val="#g_o_"/>
      <sheetName val="Regiones_Noviembre_2002"/>
      <sheetName val="ROCK_&amp;_POP_13"/>
      <sheetName val="ESPACIOS_EN_INTERNET13"/>
      <sheetName val="tablas_final_2°sem_200813"/>
      <sheetName val="tablas_final_1°sem_200912"/>
      <sheetName val="AUX_EXTERIOR9"/>
      <sheetName val="1_Tapa9"/>
      <sheetName val="tablas_final_2°sem5"/>
      <sheetName val="Half_Life_Definitions2"/>
      <sheetName val="#g_o_2"/>
      <sheetName val="Regiones_Noviembre_20022"/>
      <sheetName val="ROCK_&amp;_POP_12"/>
      <sheetName val="ESPACIOS_EN_INTERNET12"/>
      <sheetName val="tablas_final_2°sem_200812"/>
      <sheetName val="tablas_final_1°sem_200911"/>
      <sheetName val="AUX_EXTERIOR8"/>
      <sheetName val="1_Tapa8"/>
      <sheetName val="tablas_final_2°sem4"/>
      <sheetName val="Half_Life_Definitions1"/>
      <sheetName val="#g_o_1"/>
      <sheetName val="Regiones_Noviembre_20021"/>
      <sheetName val="ROCK_&amp;_POP_14"/>
      <sheetName val="ESPACIOS_EN_INTERNET14"/>
      <sheetName val="tablas_final_2°sem_200814"/>
      <sheetName val="tablas_final_1°sem_200913"/>
      <sheetName val="AUX_EXTERIOR10"/>
      <sheetName val="1_Tapa10"/>
      <sheetName val="tablas_final_2°sem6"/>
      <sheetName val="Half_Life_Definitions3"/>
      <sheetName val="#g_o_3"/>
      <sheetName val="Regiones_Noviembre_20023"/>
      <sheetName val="ROCK_&amp;_POP_15"/>
      <sheetName val="ESPACIOS_EN_INTERNET15"/>
      <sheetName val="tablas_final_2°sem_200815"/>
      <sheetName val="tablas_final_1°sem_200914"/>
      <sheetName val="AUX_EXTERIOR11"/>
      <sheetName val="1_Tapa11"/>
      <sheetName val="tablas_final_2°sem7"/>
      <sheetName val="Half_Life_Definitions4"/>
      <sheetName val="#g_o_4"/>
      <sheetName val="Regiones_Noviembre_20024"/>
      <sheetName val="BBDD Seguimiento"/>
      <sheetName val="Post-Eva Alcances"/>
      <sheetName val="Post-Eva GRPs"/>
      <sheetName val="Portada"/>
      <sheetName val="KPI´S TV"/>
      <sheetName val="Resumen"/>
      <sheetName val="PLAN TV_Abierta"/>
      <sheetName val="Rankeador TVA"/>
      <sheetName val="Ranking Radio"/>
      <sheetName val="Perfil Radio"/>
      <sheetName val="Ranking por hora"/>
      <sheetName val="Tabla 1º sem 2010"/>
      <sheetName val="plan"/>
    </sheetNames>
    <sheetDataSet>
      <sheetData sheetId="0" refreshError="1">
        <row r="1">
          <cell r="A1">
            <v>38123</v>
          </cell>
        </row>
        <row r="4">
          <cell r="A4">
            <v>37622</v>
          </cell>
          <cell r="B4" t="str">
            <v>Fuera de Plazo</v>
          </cell>
        </row>
        <row r="5">
          <cell r="A5">
            <v>37623</v>
          </cell>
          <cell r="B5" t="str">
            <v>Fuera de Plazo</v>
          </cell>
        </row>
        <row r="6">
          <cell r="A6">
            <v>37624</v>
          </cell>
          <cell r="B6" t="str">
            <v>Fuera de Plazo</v>
          </cell>
        </row>
        <row r="7">
          <cell r="A7">
            <v>37625</v>
          </cell>
          <cell r="B7" t="str">
            <v>Fuera de Plazo</v>
          </cell>
        </row>
        <row r="8">
          <cell r="A8">
            <v>37626</v>
          </cell>
          <cell r="B8" t="str">
            <v>Fuera de Plazo</v>
          </cell>
        </row>
        <row r="9">
          <cell r="A9">
            <v>37627</v>
          </cell>
          <cell r="B9" t="str">
            <v>Fuera de Plazo</v>
          </cell>
        </row>
        <row r="10">
          <cell r="A10">
            <v>37628</v>
          </cell>
          <cell r="B10" t="str">
            <v>Fuera de Plazo</v>
          </cell>
        </row>
        <row r="11">
          <cell r="A11">
            <v>37629</v>
          </cell>
          <cell r="B11" t="str">
            <v>Fuera de Plazo</v>
          </cell>
        </row>
        <row r="12">
          <cell r="A12">
            <v>37630</v>
          </cell>
          <cell r="B12" t="str">
            <v>Fuera de Plazo</v>
          </cell>
        </row>
        <row r="13">
          <cell r="A13">
            <v>37631</v>
          </cell>
          <cell r="B13" t="str">
            <v>Fuera de Plazo</v>
          </cell>
        </row>
        <row r="14">
          <cell r="A14">
            <v>37632</v>
          </cell>
          <cell r="B14" t="str">
            <v>Fuera de Plazo</v>
          </cell>
        </row>
        <row r="15">
          <cell r="A15">
            <v>37633</v>
          </cell>
          <cell r="B15" t="str">
            <v>Fuera de Plazo</v>
          </cell>
        </row>
        <row r="16">
          <cell r="A16">
            <v>37634</v>
          </cell>
          <cell r="B16" t="str">
            <v>Fuera de Plazo</v>
          </cell>
        </row>
        <row r="17">
          <cell r="A17">
            <v>37635</v>
          </cell>
          <cell r="B17" t="str">
            <v>Fuera de Plazo</v>
          </cell>
        </row>
        <row r="18">
          <cell r="A18">
            <v>37636</v>
          </cell>
          <cell r="B18" t="str">
            <v>Fuera de Plazo</v>
          </cell>
        </row>
        <row r="19">
          <cell r="A19">
            <v>37637</v>
          </cell>
          <cell r="B19" t="str">
            <v>Fuera de Plazo</v>
          </cell>
        </row>
        <row r="20">
          <cell r="A20">
            <v>37638</v>
          </cell>
          <cell r="B20" t="str">
            <v>Fuera de Plazo</v>
          </cell>
        </row>
        <row r="21">
          <cell r="A21">
            <v>37639</v>
          </cell>
          <cell r="B21" t="str">
            <v>Fuera de Plazo</v>
          </cell>
        </row>
        <row r="22">
          <cell r="A22">
            <v>37640</v>
          </cell>
          <cell r="B22" t="str">
            <v>Fuera de Plazo</v>
          </cell>
        </row>
        <row r="23">
          <cell r="A23">
            <v>37641</v>
          </cell>
          <cell r="B23" t="str">
            <v>Fuera de Plazo</v>
          </cell>
        </row>
        <row r="24">
          <cell r="A24">
            <v>37642</v>
          </cell>
          <cell r="B24" t="str">
            <v>Fuera de Plazo</v>
          </cell>
        </row>
        <row r="25">
          <cell r="A25">
            <v>37643</v>
          </cell>
          <cell r="B25" t="str">
            <v>Fuera de Plazo</v>
          </cell>
        </row>
        <row r="26">
          <cell r="A26">
            <v>37644</v>
          </cell>
          <cell r="B26" t="str">
            <v>Fuera de Plazo</v>
          </cell>
        </row>
        <row r="27">
          <cell r="A27">
            <v>37645</v>
          </cell>
          <cell r="B27" t="str">
            <v>Fuera de Plazo</v>
          </cell>
        </row>
        <row r="28">
          <cell r="A28">
            <v>37646</v>
          </cell>
          <cell r="B28" t="str">
            <v>Fuera de Plazo</v>
          </cell>
        </row>
        <row r="29">
          <cell r="A29">
            <v>37647</v>
          </cell>
          <cell r="B29" t="str">
            <v>Fuera de Plazo</v>
          </cell>
        </row>
        <row r="30">
          <cell r="A30">
            <v>37648</v>
          </cell>
          <cell r="B30" t="str">
            <v>Fuera de Plazo</v>
          </cell>
        </row>
        <row r="31">
          <cell r="A31">
            <v>37649</v>
          </cell>
          <cell r="B31" t="str">
            <v>Fuera de Plazo</v>
          </cell>
        </row>
        <row r="32">
          <cell r="A32">
            <v>37650</v>
          </cell>
          <cell r="B32" t="str">
            <v>Fuera de Plazo</v>
          </cell>
        </row>
        <row r="33">
          <cell r="A33">
            <v>37651</v>
          </cell>
          <cell r="B33" t="str">
            <v>Fuera de Plazo</v>
          </cell>
        </row>
        <row r="34">
          <cell r="A34">
            <v>37652</v>
          </cell>
          <cell r="B34" t="str">
            <v>Fuera de Plazo</v>
          </cell>
        </row>
        <row r="35">
          <cell r="A35">
            <v>37653</v>
          </cell>
          <cell r="B35" t="str">
            <v>Fuera de Plazo</v>
          </cell>
        </row>
        <row r="36">
          <cell r="A36">
            <v>37654</v>
          </cell>
          <cell r="B36" t="str">
            <v>Fuera de Plazo</v>
          </cell>
        </row>
        <row r="37">
          <cell r="A37">
            <v>37655</v>
          </cell>
          <cell r="B37" t="str">
            <v>Fuera de Plazo</v>
          </cell>
        </row>
        <row r="38">
          <cell r="A38">
            <v>37656</v>
          </cell>
          <cell r="B38" t="str">
            <v>Fuera de Plazo</v>
          </cell>
        </row>
        <row r="39">
          <cell r="A39">
            <v>37657</v>
          </cell>
          <cell r="B39" t="str">
            <v>Fuera de Plazo</v>
          </cell>
        </row>
        <row r="40">
          <cell r="A40">
            <v>37658</v>
          </cell>
          <cell r="B40" t="str">
            <v>Fuera de Plazo</v>
          </cell>
        </row>
        <row r="41">
          <cell r="A41">
            <v>37659</v>
          </cell>
          <cell r="B41" t="str">
            <v>Fuera de Plazo</v>
          </cell>
        </row>
        <row r="42">
          <cell r="A42">
            <v>37660</v>
          </cell>
          <cell r="B42" t="str">
            <v>Fuera de Plazo</v>
          </cell>
        </row>
        <row r="43">
          <cell r="A43">
            <v>37661</v>
          </cell>
          <cell r="B43" t="str">
            <v>Fuera de Plazo</v>
          </cell>
        </row>
        <row r="44">
          <cell r="A44">
            <v>37662</v>
          </cell>
          <cell r="B44" t="str">
            <v>Fuera de Plazo</v>
          </cell>
        </row>
        <row r="45">
          <cell r="A45">
            <v>37663</v>
          </cell>
          <cell r="B45" t="str">
            <v>Fuera de Plazo</v>
          </cell>
        </row>
        <row r="46">
          <cell r="A46">
            <v>37664</v>
          </cell>
          <cell r="B46" t="str">
            <v>Fuera de Plazo</v>
          </cell>
        </row>
        <row r="47">
          <cell r="A47">
            <v>37665</v>
          </cell>
          <cell r="B47" t="str">
            <v>Fuera de Plazo</v>
          </cell>
        </row>
        <row r="48">
          <cell r="A48">
            <v>37666</v>
          </cell>
          <cell r="B48" t="str">
            <v>Fuera de Plazo</v>
          </cell>
        </row>
        <row r="49">
          <cell r="A49">
            <v>37667</v>
          </cell>
          <cell r="B49" t="str">
            <v>Fuera de Plazo</v>
          </cell>
        </row>
        <row r="50">
          <cell r="A50">
            <v>37668</v>
          </cell>
          <cell r="B50" t="str">
            <v>Fuera de Plazo</v>
          </cell>
        </row>
        <row r="51">
          <cell r="A51">
            <v>37669</v>
          </cell>
          <cell r="B51" t="str">
            <v>Fuera de Plazo</v>
          </cell>
        </row>
        <row r="52">
          <cell r="A52">
            <v>37670</v>
          </cell>
          <cell r="B52" t="str">
            <v>Fuera de Plazo</v>
          </cell>
        </row>
        <row r="53">
          <cell r="A53">
            <v>37671</v>
          </cell>
          <cell r="B53" t="str">
            <v>Fuera de Plazo</v>
          </cell>
        </row>
        <row r="54">
          <cell r="A54">
            <v>37672</v>
          </cell>
          <cell r="B54" t="str">
            <v>Fuera de Plazo</v>
          </cell>
        </row>
        <row r="55">
          <cell r="A55">
            <v>37673</v>
          </cell>
          <cell r="B55" t="str">
            <v>Fuera de Plazo</v>
          </cell>
        </row>
        <row r="56">
          <cell r="A56">
            <v>37674</v>
          </cell>
          <cell r="B56" t="str">
            <v>Fuera de Plazo</v>
          </cell>
        </row>
        <row r="57">
          <cell r="A57">
            <v>37675</v>
          </cell>
          <cell r="B57" t="str">
            <v>Fuera de Plazo</v>
          </cell>
        </row>
        <row r="58">
          <cell r="A58">
            <v>37676</v>
          </cell>
          <cell r="B58" t="str">
            <v>Fuera de Plazo</v>
          </cell>
        </row>
        <row r="59">
          <cell r="A59">
            <v>37677</v>
          </cell>
          <cell r="B59" t="str">
            <v>Fuera de Plazo</v>
          </cell>
        </row>
        <row r="60">
          <cell r="A60">
            <v>37678</v>
          </cell>
          <cell r="B60" t="str">
            <v>Fuera de Plazo</v>
          </cell>
        </row>
        <row r="61">
          <cell r="A61">
            <v>37679</v>
          </cell>
          <cell r="B61" t="str">
            <v>Fuera de Plazo</v>
          </cell>
        </row>
        <row r="62">
          <cell r="A62">
            <v>37680</v>
          </cell>
          <cell r="B62" t="str">
            <v>Fuera de Plazo</v>
          </cell>
        </row>
        <row r="63">
          <cell r="A63">
            <v>37681</v>
          </cell>
          <cell r="B63" t="str">
            <v>Fuera de Plazo</v>
          </cell>
        </row>
        <row r="64">
          <cell r="A64">
            <v>37682</v>
          </cell>
          <cell r="B64" t="str">
            <v>Fuera de Plazo</v>
          </cell>
        </row>
        <row r="65">
          <cell r="A65">
            <v>37683</v>
          </cell>
          <cell r="B65" t="str">
            <v>Fuera de Plazo</v>
          </cell>
        </row>
        <row r="66">
          <cell r="A66">
            <v>37684</v>
          </cell>
          <cell r="B66" t="str">
            <v>Fuera de Plazo</v>
          </cell>
        </row>
        <row r="67">
          <cell r="A67">
            <v>37685</v>
          </cell>
          <cell r="B67" t="str">
            <v>Fuera de Plazo</v>
          </cell>
        </row>
        <row r="68">
          <cell r="A68">
            <v>37686</v>
          </cell>
          <cell r="B68" t="str">
            <v>Fuera de Plazo</v>
          </cell>
        </row>
        <row r="69">
          <cell r="A69">
            <v>37687</v>
          </cell>
          <cell r="B69" t="str">
            <v>Fuera de Plazo</v>
          </cell>
        </row>
        <row r="70">
          <cell r="A70">
            <v>37688</v>
          </cell>
          <cell r="B70" t="str">
            <v>Fuera de Plazo</v>
          </cell>
        </row>
        <row r="71">
          <cell r="A71">
            <v>37689</v>
          </cell>
          <cell r="B71" t="str">
            <v>Fuera de Plazo</v>
          </cell>
        </row>
        <row r="72">
          <cell r="A72">
            <v>37690</v>
          </cell>
          <cell r="B72" t="str">
            <v>Fuera de Plazo</v>
          </cell>
        </row>
        <row r="73">
          <cell r="A73">
            <v>37691</v>
          </cell>
          <cell r="B73" t="str">
            <v>Fuera de Plazo</v>
          </cell>
        </row>
        <row r="74">
          <cell r="A74">
            <v>37692</v>
          </cell>
          <cell r="B74" t="str">
            <v>Fuera de Plazo</v>
          </cell>
        </row>
        <row r="75">
          <cell r="A75">
            <v>37693</v>
          </cell>
          <cell r="B75" t="str">
            <v>Fuera de Plazo</v>
          </cell>
        </row>
        <row r="76">
          <cell r="A76">
            <v>37694</v>
          </cell>
          <cell r="B76" t="str">
            <v>Fuera de Plazo</v>
          </cell>
        </row>
        <row r="77">
          <cell r="A77">
            <v>37695</v>
          </cell>
          <cell r="B77" t="str">
            <v>Fuera de Plazo</v>
          </cell>
        </row>
        <row r="78">
          <cell r="A78">
            <v>37696</v>
          </cell>
          <cell r="B78" t="str">
            <v>Fuera de Plazo</v>
          </cell>
        </row>
        <row r="79">
          <cell r="A79">
            <v>37697</v>
          </cell>
          <cell r="B79" t="str">
            <v>Fuera de Plazo</v>
          </cell>
        </row>
        <row r="80">
          <cell r="A80">
            <v>37698</v>
          </cell>
          <cell r="B80" t="str">
            <v>Fuera de Plazo</v>
          </cell>
        </row>
        <row r="81">
          <cell r="A81">
            <v>37699</v>
          </cell>
          <cell r="B81" t="str">
            <v>Fuera de Plazo</v>
          </cell>
        </row>
        <row r="82">
          <cell r="A82">
            <v>37700</v>
          </cell>
          <cell r="B82" t="str">
            <v>Fuera de Plazo</v>
          </cell>
        </row>
        <row r="83">
          <cell r="A83">
            <v>37701</v>
          </cell>
          <cell r="B83" t="str">
            <v>Fuera de Plazo</v>
          </cell>
        </row>
        <row r="84">
          <cell r="A84">
            <v>37702</v>
          </cell>
          <cell r="B84" t="str">
            <v>Fuera de Plazo</v>
          </cell>
        </row>
        <row r="85">
          <cell r="A85">
            <v>37703</v>
          </cell>
          <cell r="B85" t="str">
            <v>Fuera de Plazo</v>
          </cell>
        </row>
        <row r="86">
          <cell r="A86">
            <v>37704</v>
          </cell>
          <cell r="B86" t="str">
            <v>Fuera de Plazo</v>
          </cell>
        </row>
        <row r="87">
          <cell r="A87">
            <v>37705</v>
          </cell>
          <cell r="B87" t="str">
            <v>Fuera de Plazo</v>
          </cell>
        </row>
        <row r="88">
          <cell r="A88">
            <v>37706</v>
          </cell>
          <cell r="B88" t="str">
            <v>Fuera de Plazo</v>
          </cell>
        </row>
        <row r="89">
          <cell r="A89">
            <v>37707</v>
          </cell>
          <cell r="B89" t="str">
            <v>Fuera de Plazo</v>
          </cell>
        </row>
        <row r="90">
          <cell r="A90">
            <v>37708</v>
          </cell>
          <cell r="B90" t="str">
            <v>Fuera de Plazo</v>
          </cell>
        </row>
        <row r="91">
          <cell r="A91">
            <v>37709</v>
          </cell>
          <cell r="B91" t="str">
            <v>Fuera de Plazo</v>
          </cell>
        </row>
        <row r="92">
          <cell r="A92">
            <v>37710</v>
          </cell>
          <cell r="B92" t="str">
            <v>Fuera de Plazo</v>
          </cell>
        </row>
        <row r="93">
          <cell r="A93">
            <v>37711</v>
          </cell>
          <cell r="B93" t="str">
            <v>Fuera de Plazo</v>
          </cell>
        </row>
        <row r="94">
          <cell r="A94">
            <v>37712</v>
          </cell>
          <cell r="B94" t="str">
            <v>Fuera de Plazo</v>
          </cell>
        </row>
        <row r="95">
          <cell r="A95">
            <v>37713</v>
          </cell>
          <cell r="B95" t="str">
            <v>Fuera de Plazo</v>
          </cell>
        </row>
        <row r="96">
          <cell r="A96">
            <v>37714</v>
          </cell>
          <cell r="B96" t="str">
            <v>Fuera de Plazo</v>
          </cell>
        </row>
        <row r="97">
          <cell r="A97">
            <v>37715</v>
          </cell>
          <cell r="B97" t="str">
            <v>Fuera de Plazo</v>
          </cell>
        </row>
        <row r="98">
          <cell r="A98">
            <v>37716</v>
          </cell>
          <cell r="B98" t="str">
            <v>Fuera de Plazo</v>
          </cell>
        </row>
        <row r="99">
          <cell r="A99">
            <v>37717</v>
          </cell>
          <cell r="B99" t="str">
            <v>Fuera de Plazo</v>
          </cell>
        </row>
        <row r="100">
          <cell r="A100">
            <v>37718</v>
          </cell>
          <cell r="B100" t="str">
            <v>Fuera de Plazo</v>
          </cell>
        </row>
        <row r="101">
          <cell r="A101">
            <v>37719</v>
          </cell>
          <cell r="B101" t="str">
            <v>Fuera de Plazo</v>
          </cell>
        </row>
        <row r="102">
          <cell r="A102">
            <v>37720</v>
          </cell>
          <cell r="B102" t="str">
            <v>Fuera de Plazo</v>
          </cell>
        </row>
        <row r="103">
          <cell r="A103">
            <v>37721</v>
          </cell>
          <cell r="B103" t="str">
            <v>Fuera de Plazo</v>
          </cell>
        </row>
        <row r="104">
          <cell r="A104">
            <v>37722</v>
          </cell>
          <cell r="B104" t="str">
            <v>Fuera de Plazo</v>
          </cell>
        </row>
        <row r="105">
          <cell r="A105">
            <v>37723</v>
          </cell>
          <cell r="B105" t="str">
            <v>Fuera de Plazo</v>
          </cell>
        </row>
        <row r="106">
          <cell r="A106">
            <v>37724</v>
          </cell>
          <cell r="B106" t="str">
            <v>Fuera de Plazo</v>
          </cell>
        </row>
        <row r="107">
          <cell r="A107">
            <v>37725</v>
          </cell>
          <cell r="B107" t="str">
            <v>Fuera de Plazo</v>
          </cell>
        </row>
        <row r="108">
          <cell r="A108">
            <v>37726</v>
          </cell>
          <cell r="B108" t="str">
            <v>Fuera de Plazo</v>
          </cell>
        </row>
        <row r="109">
          <cell r="A109">
            <v>37727</v>
          </cell>
          <cell r="B109" t="str">
            <v>Fuera de Plazo</v>
          </cell>
        </row>
        <row r="110">
          <cell r="A110">
            <v>37728</v>
          </cell>
          <cell r="B110" t="str">
            <v>Fuera de Plazo</v>
          </cell>
        </row>
        <row r="111">
          <cell r="A111">
            <v>37729</v>
          </cell>
          <cell r="B111" t="str">
            <v>Fuera de Plazo</v>
          </cell>
        </row>
        <row r="112">
          <cell r="A112">
            <v>37730</v>
          </cell>
          <cell r="B112" t="str">
            <v>Fuera de Plazo</v>
          </cell>
        </row>
        <row r="113">
          <cell r="A113">
            <v>37731</v>
          </cell>
          <cell r="B113" t="str">
            <v>Fuera de Plazo</v>
          </cell>
        </row>
        <row r="114">
          <cell r="A114">
            <v>37732</v>
          </cell>
          <cell r="B114" t="str">
            <v>Fuera de Plazo</v>
          </cell>
        </row>
        <row r="115">
          <cell r="A115">
            <v>37733</v>
          </cell>
          <cell r="B115" t="str">
            <v>Fuera de Plazo</v>
          </cell>
        </row>
        <row r="116">
          <cell r="A116">
            <v>37734</v>
          </cell>
          <cell r="B116" t="str">
            <v>Fuera de Plazo</v>
          </cell>
        </row>
        <row r="117">
          <cell r="A117">
            <v>37735</v>
          </cell>
          <cell r="B117" t="str">
            <v>Fuera de Plazo</v>
          </cell>
        </row>
        <row r="118">
          <cell r="A118">
            <v>37736</v>
          </cell>
          <cell r="B118" t="str">
            <v>Fuera de Plazo</v>
          </cell>
        </row>
        <row r="119">
          <cell r="A119">
            <v>37737</v>
          </cell>
          <cell r="B119" t="str">
            <v>Fuera de Plazo</v>
          </cell>
        </row>
        <row r="120">
          <cell r="A120">
            <v>37738</v>
          </cell>
          <cell r="B120" t="str">
            <v>Fuera de Plazo</v>
          </cell>
        </row>
        <row r="121">
          <cell r="A121">
            <v>37739</v>
          </cell>
          <cell r="B121" t="str">
            <v>Fuera de Plazo</v>
          </cell>
        </row>
        <row r="122">
          <cell r="A122">
            <v>37740</v>
          </cell>
          <cell r="B122" t="str">
            <v>Fuera de Plazo</v>
          </cell>
        </row>
        <row r="123">
          <cell r="A123">
            <v>37741</v>
          </cell>
          <cell r="B123" t="str">
            <v>Fuera de Plazo</v>
          </cell>
        </row>
        <row r="124">
          <cell r="A124">
            <v>37742</v>
          </cell>
          <cell r="B124" t="str">
            <v>Fuera de Plazo</v>
          </cell>
        </row>
        <row r="125">
          <cell r="A125">
            <v>37743</v>
          </cell>
          <cell r="B125" t="str">
            <v>Fuera de Plazo</v>
          </cell>
        </row>
        <row r="126">
          <cell r="A126">
            <v>37744</v>
          </cell>
          <cell r="B126" t="str">
            <v>Fuera de Plazo</v>
          </cell>
        </row>
        <row r="127">
          <cell r="A127">
            <v>37745</v>
          </cell>
          <cell r="B127" t="str">
            <v>Fuera de Plazo</v>
          </cell>
        </row>
        <row r="128">
          <cell r="A128">
            <v>37746</v>
          </cell>
          <cell r="B128" t="str">
            <v>Fuera de Plazo</v>
          </cell>
        </row>
        <row r="129">
          <cell r="A129">
            <v>37747</v>
          </cell>
          <cell r="B129" t="str">
            <v>Fuera de Plazo</v>
          </cell>
        </row>
        <row r="130">
          <cell r="A130">
            <v>37748</v>
          </cell>
          <cell r="B130" t="str">
            <v>Fuera de Plazo</v>
          </cell>
        </row>
        <row r="131">
          <cell r="A131">
            <v>37749</v>
          </cell>
          <cell r="B131" t="str">
            <v>Fuera de Plazo</v>
          </cell>
        </row>
        <row r="132">
          <cell r="A132">
            <v>37750</v>
          </cell>
          <cell r="B132" t="str">
            <v>Fuera de Plazo</v>
          </cell>
        </row>
        <row r="133">
          <cell r="A133">
            <v>37751</v>
          </cell>
          <cell r="B133" t="str">
            <v>Fuera de Plazo</v>
          </cell>
        </row>
        <row r="134">
          <cell r="A134">
            <v>37752</v>
          </cell>
          <cell r="B134" t="str">
            <v>Fuera de Plazo</v>
          </cell>
        </row>
        <row r="135">
          <cell r="A135">
            <v>37753</v>
          </cell>
          <cell r="B135" t="str">
            <v>Fuera de Plazo</v>
          </cell>
        </row>
        <row r="136">
          <cell r="A136">
            <v>37754</v>
          </cell>
          <cell r="B136" t="str">
            <v>Fuera de Plazo</v>
          </cell>
        </row>
        <row r="137">
          <cell r="A137">
            <v>37755</v>
          </cell>
          <cell r="B137" t="str">
            <v>Fuera de Plazo</v>
          </cell>
        </row>
        <row r="138">
          <cell r="A138">
            <v>37756</v>
          </cell>
          <cell r="B138" t="str">
            <v>Fuera de Plazo</v>
          </cell>
        </row>
        <row r="139">
          <cell r="A139">
            <v>37757</v>
          </cell>
          <cell r="B139" t="str">
            <v>Fuera de Plazo</v>
          </cell>
        </row>
        <row r="140">
          <cell r="A140">
            <v>37758</v>
          </cell>
          <cell r="B140" t="str">
            <v>Fuera de Plazo</v>
          </cell>
        </row>
        <row r="141">
          <cell r="A141">
            <v>37759</v>
          </cell>
          <cell r="B141" t="str">
            <v>Fuera de Plazo</v>
          </cell>
        </row>
        <row r="142">
          <cell r="A142">
            <v>37760</v>
          </cell>
          <cell r="B142" t="str">
            <v>Fuera de Plazo</v>
          </cell>
        </row>
        <row r="143">
          <cell r="A143">
            <v>37761</v>
          </cell>
          <cell r="B143" t="str">
            <v>Fuera de Plazo</v>
          </cell>
        </row>
        <row r="144">
          <cell r="A144">
            <v>37762</v>
          </cell>
          <cell r="B144" t="str">
            <v>Fuera de Plazo</v>
          </cell>
        </row>
        <row r="145">
          <cell r="A145">
            <v>37763</v>
          </cell>
          <cell r="B145" t="str">
            <v>Fuera de Plazo</v>
          </cell>
        </row>
        <row r="146">
          <cell r="A146">
            <v>37764</v>
          </cell>
          <cell r="B146" t="str">
            <v>Fuera de Plazo</v>
          </cell>
        </row>
        <row r="147">
          <cell r="A147">
            <v>37765</v>
          </cell>
          <cell r="B147" t="str">
            <v>Fuera de Plazo</v>
          </cell>
        </row>
        <row r="148">
          <cell r="A148">
            <v>37766</v>
          </cell>
          <cell r="B148" t="str">
            <v>Fuera de Plazo</v>
          </cell>
        </row>
        <row r="149">
          <cell r="A149">
            <v>37767</v>
          </cell>
          <cell r="B149" t="str">
            <v>Fuera de Plazo</v>
          </cell>
        </row>
        <row r="150">
          <cell r="A150">
            <v>37768</v>
          </cell>
          <cell r="B150" t="str">
            <v>Fuera de Plazo</v>
          </cell>
        </row>
        <row r="151">
          <cell r="A151">
            <v>37769</v>
          </cell>
          <cell r="B151" t="str">
            <v>Fuera de Plazo</v>
          </cell>
        </row>
        <row r="152">
          <cell r="A152">
            <v>37770</v>
          </cell>
          <cell r="B152" t="str">
            <v>Fuera de Plazo</v>
          </cell>
        </row>
        <row r="153">
          <cell r="A153">
            <v>37771</v>
          </cell>
          <cell r="B153" t="str">
            <v>Fuera de Plazo</v>
          </cell>
        </row>
        <row r="154">
          <cell r="A154">
            <v>37772</v>
          </cell>
          <cell r="B154" t="str">
            <v>Fuera de Plazo</v>
          </cell>
        </row>
        <row r="155">
          <cell r="A155">
            <v>37773</v>
          </cell>
          <cell r="B155" t="str">
            <v>Fuera de Plazo</v>
          </cell>
        </row>
        <row r="156">
          <cell r="A156">
            <v>37774</v>
          </cell>
          <cell r="B156" t="str">
            <v>Fuera de Plazo</v>
          </cell>
        </row>
        <row r="157">
          <cell r="A157">
            <v>37775</v>
          </cell>
          <cell r="B157" t="str">
            <v>Fuera de Plazo</v>
          </cell>
        </row>
        <row r="158">
          <cell r="A158">
            <v>37776</v>
          </cell>
          <cell r="B158" t="str">
            <v>Fuera de Plazo</v>
          </cell>
        </row>
        <row r="159">
          <cell r="A159">
            <v>37777</v>
          </cell>
          <cell r="B159" t="str">
            <v>Fuera de Plazo</v>
          </cell>
        </row>
        <row r="160">
          <cell r="A160">
            <v>37778</v>
          </cell>
          <cell r="B160" t="str">
            <v>Fuera de Plazo</v>
          </cell>
        </row>
        <row r="161">
          <cell r="A161">
            <v>37779</v>
          </cell>
          <cell r="B161" t="str">
            <v>Fuera de Plazo</v>
          </cell>
        </row>
        <row r="162">
          <cell r="A162">
            <v>37780</v>
          </cell>
          <cell r="B162" t="str">
            <v>Fuera de Plazo</v>
          </cell>
        </row>
        <row r="163">
          <cell r="A163">
            <v>37781</v>
          </cell>
          <cell r="B163" t="str">
            <v>Fuera de Plazo</v>
          </cell>
        </row>
        <row r="164">
          <cell r="A164">
            <v>37782</v>
          </cell>
          <cell r="B164" t="str">
            <v>Fuera de Plazo</v>
          </cell>
        </row>
        <row r="165">
          <cell r="A165">
            <v>37783</v>
          </cell>
          <cell r="B165" t="str">
            <v>Fuera de Plazo</v>
          </cell>
        </row>
        <row r="166">
          <cell r="A166">
            <v>37784</v>
          </cell>
          <cell r="B166" t="str">
            <v>Fuera de Plazo</v>
          </cell>
        </row>
        <row r="167">
          <cell r="A167">
            <v>37785</v>
          </cell>
          <cell r="B167" t="str">
            <v>Fuera de Plazo</v>
          </cell>
        </row>
        <row r="168">
          <cell r="A168">
            <v>37786</v>
          </cell>
          <cell r="B168" t="str">
            <v>Fuera de Plazo</v>
          </cell>
        </row>
        <row r="169">
          <cell r="A169">
            <v>37787</v>
          </cell>
          <cell r="B169" t="str">
            <v>Fuera de Plazo</v>
          </cell>
        </row>
        <row r="170">
          <cell r="A170">
            <v>37788</v>
          </cell>
          <cell r="B170" t="str">
            <v>Fuera de Plazo</v>
          </cell>
        </row>
        <row r="171">
          <cell r="A171">
            <v>37789</v>
          </cell>
          <cell r="B171" t="str">
            <v>Fuera de Plazo</v>
          </cell>
        </row>
        <row r="172">
          <cell r="A172">
            <v>37790</v>
          </cell>
          <cell r="B172" t="str">
            <v>Fuera de Plazo</v>
          </cell>
        </row>
        <row r="173">
          <cell r="A173">
            <v>37791</v>
          </cell>
          <cell r="B173" t="str">
            <v>Fuera de Plazo</v>
          </cell>
        </row>
        <row r="174">
          <cell r="A174">
            <v>37792</v>
          </cell>
          <cell r="B174" t="str">
            <v>Fuera de Plazo</v>
          </cell>
        </row>
        <row r="175">
          <cell r="A175">
            <v>37793</v>
          </cell>
          <cell r="B175" t="str">
            <v>Fuera de Plazo</v>
          </cell>
        </row>
        <row r="176">
          <cell r="A176">
            <v>37794</v>
          </cell>
          <cell r="B176" t="str">
            <v>Fuera de Plazo</v>
          </cell>
        </row>
        <row r="177">
          <cell r="A177">
            <v>37795</v>
          </cell>
          <cell r="B177" t="str">
            <v>Fuera de Plazo</v>
          </cell>
        </row>
        <row r="178">
          <cell r="A178">
            <v>37796</v>
          </cell>
          <cell r="B178" t="str">
            <v>Fuera de Plazo</v>
          </cell>
        </row>
        <row r="179">
          <cell r="A179">
            <v>37797</v>
          </cell>
          <cell r="B179" t="str">
            <v>Fuera de Plazo</v>
          </cell>
        </row>
        <row r="180">
          <cell r="A180">
            <v>37798</v>
          </cell>
          <cell r="B180" t="str">
            <v>Fuera de Plazo</v>
          </cell>
        </row>
        <row r="181">
          <cell r="A181">
            <v>37799</v>
          </cell>
          <cell r="B181" t="str">
            <v>Fuera de Plazo</v>
          </cell>
        </row>
        <row r="182">
          <cell r="A182">
            <v>37800</v>
          </cell>
          <cell r="B182" t="str">
            <v>Fuera de Plazo</v>
          </cell>
        </row>
        <row r="183">
          <cell r="A183">
            <v>37801</v>
          </cell>
          <cell r="B183" t="str">
            <v>Fuera de Plazo</v>
          </cell>
        </row>
        <row r="184">
          <cell r="A184">
            <v>37802</v>
          </cell>
          <cell r="B184" t="str">
            <v>Fuera de Plazo</v>
          </cell>
        </row>
        <row r="185">
          <cell r="A185">
            <v>37803</v>
          </cell>
          <cell r="B185" t="str">
            <v>Fuera de Plazo</v>
          </cell>
        </row>
        <row r="186">
          <cell r="A186">
            <v>37804</v>
          </cell>
          <cell r="B186" t="str">
            <v>Fuera de Plazo</v>
          </cell>
        </row>
        <row r="187">
          <cell r="A187">
            <v>37805</v>
          </cell>
          <cell r="B187" t="str">
            <v>Fuera de Plazo</v>
          </cell>
        </row>
        <row r="188">
          <cell r="A188">
            <v>37806</v>
          </cell>
          <cell r="B188" t="str">
            <v>Fuera de Plazo</v>
          </cell>
        </row>
        <row r="189">
          <cell r="A189">
            <v>37807</v>
          </cell>
          <cell r="B189" t="str">
            <v>Fuera de Plazo</v>
          </cell>
        </row>
        <row r="190">
          <cell r="A190">
            <v>37808</v>
          </cell>
          <cell r="B190" t="str">
            <v>Fuera de Plazo</v>
          </cell>
        </row>
        <row r="191">
          <cell r="A191">
            <v>37809</v>
          </cell>
          <cell r="B191" t="str">
            <v>Fuera de Plazo</v>
          </cell>
        </row>
        <row r="192">
          <cell r="A192">
            <v>37810</v>
          </cell>
          <cell r="B192" t="str">
            <v>Fuera de Plazo</v>
          </cell>
        </row>
        <row r="193">
          <cell r="A193">
            <v>37811</v>
          </cell>
          <cell r="B193" t="str">
            <v>Fuera de Plazo</v>
          </cell>
        </row>
        <row r="194">
          <cell r="A194">
            <v>37812</v>
          </cell>
          <cell r="B194" t="str">
            <v>Fuera de Plazo</v>
          </cell>
        </row>
        <row r="195">
          <cell r="A195">
            <v>37813</v>
          </cell>
          <cell r="B195" t="str">
            <v>Fuera de Plazo</v>
          </cell>
        </row>
        <row r="196">
          <cell r="A196">
            <v>37814</v>
          </cell>
          <cell r="B196" t="str">
            <v>Fuera de Plazo</v>
          </cell>
        </row>
        <row r="197">
          <cell r="A197">
            <v>37815</v>
          </cell>
          <cell r="B197" t="str">
            <v>Fuera de Plazo</v>
          </cell>
        </row>
        <row r="198">
          <cell r="A198">
            <v>37816</v>
          </cell>
          <cell r="B198" t="str">
            <v>Fuera de Plazo</v>
          </cell>
        </row>
        <row r="199">
          <cell r="A199">
            <v>37817</v>
          </cell>
          <cell r="B199" t="str">
            <v>Fuera de Plazo</v>
          </cell>
        </row>
        <row r="200">
          <cell r="A200">
            <v>37818</v>
          </cell>
          <cell r="B200" t="str">
            <v>Fuera de Plazo</v>
          </cell>
        </row>
        <row r="201">
          <cell r="A201">
            <v>37819</v>
          </cell>
          <cell r="B201" t="str">
            <v>Fuera de Plazo</v>
          </cell>
        </row>
        <row r="202">
          <cell r="A202">
            <v>37820</v>
          </cell>
          <cell r="B202" t="str">
            <v>Fuera de Plazo</v>
          </cell>
        </row>
        <row r="203">
          <cell r="A203">
            <v>37821</v>
          </cell>
          <cell r="B203" t="str">
            <v>Fuera de Plazo</v>
          </cell>
        </row>
        <row r="204">
          <cell r="A204">
            <v>37822</v>
          </cell>
          <cell r="B204" t="str">
            <v>Fuera de Plazo</v>
          </cell>
        </row>
        <row r="205">
          <cell r="A205">
            <v>37823</v>
          </cell>
          <cell r="B205" t="str">
            <v>Fuera de Plazo</v>
          </cell>
        </row>
        <row r="206">
          <cell r="A206">
            <v>37824</v>
          </cell>
          <cell r="B206" t="str">
            <v>Fuera de Plazo</v>
          </cell>
        </row>
        <row r="207">
          <cell r="A207">
            <v>37825</v>
          </cell>
          <cell r="B207" t="str">
            <v>Fuera de Plazo</v>
          </cell>
        </row>
        <row r="208">
          <cell r="A208">
            <v>37826</v>
          </cell>
          <cell r="B208" t="str">
            <v>Fuera de Plazo</v>
          </cell>
        </row>
        <row r="209">
          <cell r="A209">
            <v>37827</v>
          </cell>
          <cell r="B209" t="str">
            <v>Fuera de Plazo</v>
          </cell>
        </row>
        <row r="210">
          <cell r="A210">
            <v>37828</v>
          </cell>
          <cell r="B210" t="str">
            <v>Fuera de Plazo</v>
          </cell>
        </row>
        <row r="211">
          <cell r="A211">
            <v>37829</v>
          </cell>
          <cell r="B211" t="str">
            <v>Fuera de Plazo</v>
          </cell>
        </row>
        <row r="212">
          <cell r="A212">
            <v>37830</v>
          </cell>
          <cell r="B212" t="str">
            <v>Fuera de Plazo</v>
          </cell>
        </row>
        <row r="213">
          <cell r="A213">
            <v>37831</v>
          </cell>
          <cell r="B213" t="str">
            <v>Fuera de Plazo</v>
          </cell>
        </row>
        <row r="214">
          <cell r="A214">
            <v>37832</v>
          </cell>
          <cell r="B214" t="str">
            <v>Fuera de Plazo</v>
          </cell>
        </row>
        <row r="215">
          <cell r="A215">
            <v>37833</v>
          </cell>
          <cell r="B215" t="str">
            <v>Fuera de Plazo</v>
          </cell>
        </row>
        <row r="216">
          <cell r="A216">
            <v>37834</v>
          </cell>
          <cell r="B216" t="str">
            <v>Fuera de Plazo</v>
          </cell>
        </row>
        <row r="217">
          <cell r="A217">
            <v>37835</v>
          </cell>
          <cell r="B217" t="str">
            <v>Fuera de Plazo</v>
          </cell>
        </row>
        <row r="218">
          <cell r="A218">
            <v>37836</v>
          </cell>
          <cell r="B218" t="str">
            <v>Fuera de Plazo</v>
          </cell>
        </row>
        <row r="219">
          <cell r="A219">
            <v>37837</v>
          </cell>
          <cell r="B219" t="str">
            <v>Fuera de Plazo</v>
          </cell>
        </row>
        <row r="220">
          <cell r="A220">
            <v>37838</v>
          </cell>
          <cell r="B220" t="str">
            <v>Fuera de Plazo</v>
          </cell>
        </row>
        <row r="221">
          <cell r="A221">
            <v>37839</v>
          </cell>
          <cell r="B221" t="str">
            <v>Fuera de Plazo</v>
          </cell>
        </row>
        <row r="222">
          <cell r="A222">
            <v>37840</v>
          </cell>
          <cell r="B222" t="str">
            <v>Fuera de Plazo</v>
          </cell>
        </row>
        <row r="223">
          <cell r="A223">
            <v>37841</v>
          </cell>
          <cell r="B223" t="str">
            <v>Fuera de Plazo</v>
          </cell>
        </row>
        <row r="224">
          <cell r="A224">
            <v>37842</v>
          </cell>
          <cell r="B224" t="str">
            <v>Fuera de Plazo</v>
          </cell>
        </row>
        <row r="225">
          <cell r="A225">
            <v>37843</v>
          </cell>
          <cell r="B225" t="str">
            <v>Fuera de Plazo</v>
          </cell>
        </row>
        <row r="226">
          <cell r="A226">
            <v>37844</v>
          </cell>
          <cell r="B226" t="str">
            <v>Fuera de Plazo</v>
          </cell>
        </row>
        <row r="227">
          <cell r="A227">
            <v>37845</v>
          </cell>
          <cell r="B227" t="str">
            <v>Fuera de Plazo</v>
          </cell>
        </row>
        <row r="228">
          <cell r="A228">
            <v>37846</v>
          </cell>
          <cell r="B228" t="str">
            <v>Fuera de Plazo</v>
          </cell>
        </row>
        <row r="229">
          <cell r="A229">
            <v>37847</v>
          </cell>
          <cell r="B229" t="str">
            <v>Fuera de Plazo</v>
          </cell>
        </row>
        <row r="230">
          <cell r="A230">
            <v>37848</v>
          </cell>
          <cell r="B230" t="str">
            <v>Fuera de Plazo</v>
          </cell>
        </row>
        <row r="231">
          <cell r="A231">
            <v>37849</v>
          </cell>
          <cell r="B231" t="str">
            <v>Fuera de Plazo</v>
          </cell>
        </row>
        <row r="232">
          <cell r="A232">
            <v>37850</v>
          </cell>
          <cell r="B232" t="str">
            <v>Fuera de Plazo</v>
          </cell>
        </row>
        <row r="233">
          <cell r="A233">
            <v>37851</v>
          </cell>
          <cell r="B233" t="str">
            <v>Fuera de Plazo</v>
          </cell>
        </row>
        <row r="234">
          <cell r="A234">
            <v>37852</v>
          </cell>
          <cell r="B234" t="str">
            <v>Fuera de Plazo</v>
          </cell>
        </row>
        <row r="235">
          <cell r="A235">
            <v>37853</v>
          </cell>
          <cell r="B235" t="str">
            <v>Fuera de Plazo</v>
          </cell>
        </row>
        <row r="236">
          <cell r="A236">
            <v>37854</v>
          </cell>
          <cell r="B236" t="str">
            <v>Fuera de Plazo</v>
          </cell>
        </row>
        <row r="237">
          <cell r="A237">
            <v>37855</v>
          </cell>
          <cell r="B237" t="str">
            <v>Fuera de Plazo</v>
          </cell>
        </row>
        <row r="238">
          <cell r="A238">
            <v>37856</v>
          </cell>
          <cell r="B238" t="str">
            <v>Fuera de Plazo</v>
          </cell>
        </row>
        <row r="239">
          <cell r="A239">
            <v>37857</v>
          </cell>
          <cell r="B239" t="str">
            <v>Fuera de Plazo</v>
          </cell>
        </row>
        <row r="240">
          <cell r="A240">
            <v>37858</v>
          </cell>
          <cell r="B240" t="str">
            <v>Fuera de Plazo</v>
          </cell>
        </row>
        <row r="241">
          <cell r="A241">
            <v>37859</v>
          </cell>
          <cell r="B241" t="str">
            <v>Fuera de Plazo</v>
          </cell>
        </row>
        <row r="242">
          <cell r="A242">
            <v>37860</v>
          </cell>
          <cell r="B242" t="str">
            <v>Fuera de Plazo</v>
          </cell>
        </row>
        <row r="243">
          <cell r="A243">
            <v>37861</v>
          </cell>
          <cell r="B243" t="str">
            <v>Fuera de Plazo</v>
          </cell>
        </row>
        <row r="244">
          <cell r="A244">
            <v>37862</v>
          </cell>
          <cell r="B244" t="str">
            <v>Fuera de Plazo</v>
          </cell>
        </row>
        <row r="245">
          <cell r="A245">
            <v>37863</v>
          </cell>
          <cell r="B245" t="str">
            <v>Fuera de Plazo</v>
          </cell>
        </row>
        <row r="246">
          <cell r="A246">
            <v>37864</v>
          </cell>
          <cell r="B246" t="str">
            <v>Fuera de Plazo</v>
          </cell>
        </row>
        <row r="247">
          <cell r="A247">
            <v>37865</v>
          </cell>
          <cell r="B247" t="str">
            <v>Fuera de Plazo</v>
          </cell>
        </row>
        <row r="248">
          <cell r="A248">
            <v>37866</v>
          </cell>
          <cell r="B248" t="str">
            <v>Fuera de Plazo</v>
          </cell>
        </row>
        <row r="249">
          <cell r="A249">
            <v>37867</v>
          </cell>
          <cell r="B249" t="str">
            <v>Fuera de Plazo</v>
          </cell>
        </row>
        <row r="250">
          <cell r="A250">
            <v>37868</v>
          </cell>
          <cell r="B250" t="str">
            <v>Fuera de Plazo</v>
          </cell>
        </row>
        <row r="251">
          <cell r="A251">
            <v>37869</v>
          </cell>
          <cell r="B251" t="str">
            <v>Fuera de Plazo</v>
          </cell>
        </row>
        <row r="252">
          <cell r="A252">
            <v>37870</v>
          </cell>
          <cell r="B252" t="str">
            <v>Fuera de Plazo</v>
          </cell>
        </row>
        <row r="253">
          <cell r="A253">
            <v>37871</v>
          </cell>
          <cell r="B253" t="str">
            <v>Fuera de Plazo</v>
          </cell>
        </row>
        <row r="254">
          <cell r="A254">
            <v>37872</v>
          </cell>
          <cell r="B254" t="str">
            <v>Fuera de Plazo</v>
          </cell>
        </row>
        <row r="255">
          <cell r="A255">
            <v>37873</v>
          </cell>
          <cell r="B255" t="str">
            <v>Fuera de Plazo</v>
          </cell>
        </row>
        <row r="256">
          <cell r="A256">
            <v>37874</v>
          </cell>
          <cell r="B256" t="str">
            <v>Fuera de Plazo</v>
          </cell>
        </row>
        <row r="257">
          <cell r="A257">
            <v>37875</v>
          </cell>
          <cell r="B257" t="str">
            <v>Fuera de Plazo</v>
          </cell>
        </row>
        <row r="258">
          <cell r="A258">
            <v>37876</v>
          </cell>
          <cell r="B258" t="str">
            <v>Fuera de Plazo</v>
          </cell>
        </row>
        <row r="259">
          <cell r="A259">
            <v>37877</v>
          </cell>
          <cell r="B259" t="str">
            <v>Fuera de Plazo</v>
          </cell>
        </row>
        <row r="260">
          <cell r="A260">
            <v>37878</v>
          </cell>
          <cell r="B260" t="str">
            <v>Fuera de Plazo</v>
          </cell>
        </row>
        <row r="261">
          <cell r="A261">
            <v>37879</v>
          </cell>
          <cell r="B261" t="str">
            <v>Fuera de Plazo</v>
          </cell>
        </row>
        <row r="262">
          <cell r="A262">
            <v>37880</v>
          </cell>
          <cell r="B262" t="str">
            <v>Fuera de Plazo</v>
          </cell>
        </row>
        <row r="263">
          <cell r="A263">
            <v>37881</v>
          </cell>
          <cell r="B263" t="str">
            <v>Fuera de Plazo</v>
          </cell>
        </row>
        <row r="264">
          <cell r="A264">
            <v>37882</v>
          </cell>
          <cell r="B264" t="str">
            <v>Fuera de Plazo</v>
          </cell>
        </row>
        <row r="265">
          <cell r="A265">
            <v>37883</v>
          </cell>
          <cell r="B265" t="str">
            <v>Fuera de Plazo</v>
          </cell>
        </row>
        <row r="266">
          <cell r="A266">
            <v>37884</v>
          </cell>
          <cell r="B266" t="str">
            <v>Fuera de Plazo</v>
          </cell>
        </row>
        <row r="267">
          <cell r="A267">
            <v>37885</v>
          </cell>
          <cell r="B267" t="str">
            <v>Fuera de Plazo</v>
          </cell>
        </row>
        <row r="268">
          <cell r="A268">
            <v>37886</v>
          </cell>
          <cell r="B268" t="str">
            <v>Fuera de Plazo</v>
          </cell>
        </row>
        <row r="269">
          <cell r="A269">
            <v>37887</v>
          </cell>
          <cell r="B269" t="str">
            <v>Fuera de Plazo</v>
          </cell>
        </row>
        <row r="270">
          <cell r="A270">
            <v>37888</v>
          </cell>
          <cell r="B270" t="str">
            <v>Fuera de Plazo</v>
          </cell>
        </row>
        <row r="271">
          <cell r="A271">
            <v>37889</v>
          </cell>
          <cell r="B271" t="str">
            <v>Fuera de Plazo</v>
          </cell>
        </row>
        <row r="272">
          <cell r="A272">
            <v>37890</v>
          </cell>
          <cell r="B272" t="str">
            <v>Fuera de Plazo</v>
          </cell>
        </row>
        <row r="273">
          <cell r="A273">
            <v>37891</v>
          </cell>
          <cell r="B273" t="str">
            <v>Fuera de Plazo</v>
          </cell>
        </row>
        <row r="274">
          <cell r="A274">
            <v>37892</v>
          </cell>
          <cell r="B274" t="str">
            <v>Fuera de Plazo</v>
          </cell>
        </row>
        <row r="275">
          <cell r="A275">
            <v>37893</v>
          </cell>
          <cell r="B275" t="str">
            <v>Fuera de Plazo</v>
          </cell>
        </row>
        <row r="276">
          <cell r="A276">
            <v>37894</v>
          </cell>
          <cell r="B276" t="str">
            <v>Fuera de Plazo</v>
          </cell>
        </row>
        <row r="277">
          <cell r="A277">
            <v>37895</v>
          </cell>
          <cell r="B277" t="str">
            <v>Fuera de Plazo</v>
          </cell>
        </row>
        <row r="278">
          <cell r="A278">
            <v>37896</v>
          </cell>
          <cell r="B278" t="str">
            <v>Fuera de Plazo</v>
          </cell>
        </row>
        <row r="279">
          <cell r="A279">
            <v>37897</v>
          </cell>
          <cell r="B279" t="str">
            <v>Fuera de Plazo</v>
          </cell>
        </row>
        <row r="280">
          <cell r="A280">
            <v>37898</v>
          </cell>
          <cell r="B280" t="str">
            <v>Fuera de Plazo</v>
          </cell>
        </row>
        <row r="281">
          <cell r="A281">
            <v>37899</v>
          </cell>
          <cell r="B281" t="str">
            <v>Fuera de Plazo</v>
          </cell>
        </row>
        <row r="282">
          <cell r="A282">
            <v>37900</v>
          </cell>
          <cell r="B282" t="str">
            <v>Fuera de Plazo</v>
          </cell>
        </row>
        <row r="283">
          <cell r="A283">
            <v>37901</v>
          </cell>
          <cell r="B283" t="str">
            <v>Fuera de Plazo</v>
          </cell>
        </row>
        <row r="284">
          <cell r="A284">
            <v>37902</v>
          </cell>
          <cell r="B284" t="str">
            <v>Fuera de Plazo</v>
          </cell>
        </row>
        <row r="285">
          <cell r="A285">
            <v>37903</v>
          </cell>
          <cell r="B285" t="str">
            <v>Fuera de Plazo</v>
          </cell>
        </row>
        <row r="286">
          <cell r="A286">
            <v>37904</v>
          </cell>
          <cell r="B286" t="str">
            <v>Fuera de Plazo</v>
          </cell>
        </row>
        <row r="287">
          <cell r="A287">
            <v>37905</v>
          </cell>
          <cell r="B287" t="str">
            <v>Fuera de Plazo</v>
          </cell>
        </row>
        <row r="288">
          <cell r="A288">
            <v>37906</v>
          </cell>
          <cell r="B288" t="str">
            <v>Fuera de Plazo</v>
          </cell>
        </row>
        <row r="289">
          <cell r="A289">
            <v>37907</v>
          </cell>
          <cell r="B289" t="str">
            <v>Fuera de Plazo</v>
          </cell>
        </row>
        <row r="290">
          <cell r="A290">
            <v>37908</v>
          </cell>
          <cell r="B290" t="str">
            <v>Fuera de Plazo</v>
          </cell>
        </row>
        <row r="291">
          <cell r="A291">
            <v>37909</v>
          </cell>
          <cell r="B291" t="str">
            <v>Fuera de Plazo</v>
          </cell>
        </row>
        <row r="292">
          <cell r="A292">
            <v>37910</v>
          </cell>
          <cell r="B292" t="str">
            <v>Fuera de Plazo</v>
          </cell>
        </row>
        <row r="293">
          <cell r="A293">
            <v>37911</v>
          </cell>
          <cell r="B293" t="str">
            <v>Fuera de Plazo</v>
          </cell>
        </row>
        <row r="294">
          <cell r="A294">
            <v>37912</v>
          </cell>
          <cell r="B294" t="str">
            <v>Fuera de Plazo</v>
          </cell>
        </row>
        <row r="295">
          <cell r="A295">
            <v>37913</v>
          </cell>
          <cell r="B295" t="str">
            <v>Fuera de Plazo</v>
          </cell>
        </row>
        <row r="296">
          <cell r="A296">
            <v>37914</v>
          </cell>
          <cell r="B296" t="str">
            <v>Fuera de Plazo</v>
          </cell>
        </row>
        <row r="297">
          <cell r="A297">
            <v>37915</v>
          </cell>
          <cell r="B297" t="str">
            <v>Fuera de Plazo</v>
          </cell>
        </row>
        <row r="298">
          <cell r="A298">
            <v>37916</v>
          </cell>
          <cell r="B298" t="str">
            <v>Fuera de Plazo</v>
          </cell>
        </row>
        <row r="299">
          <cell r="A299">
            <v>37917</v>
          </cell>
          <cell r="B299" t="str">
            <v>Fuera de Plazo</v>
          </cell>
        </row>
        <row r="300">
          <cell r="A300">
            <v>37918</v>
          </cell>
          <cell r="B300" t="str">
            <v>Fuera de Plazo</v>
          </cell>
        </row>
        <row r="301">
          <cell r="A301">
            <v>37919</v>
          </cell>
          <cell r="B301" t="str">
            <v>Fuera de Plazo</v>
          </cell>
        </row>
        <row r="302">
          <cell r="A302">
            <v>37920</v>
          </cell>
          <cell r="B302" t="str">
            <v>Fuera de Plazo</v>
          </cell>
        </row>
        <row r="303">
          <cell r="A303">
            <v>37921</v>
          </cell>
          <cell r="B303" t="str">
            <v>Fuera de Plazo</v>
          </cell>
        </row>
        <row r="304">
          <cell r="A304">
            <v>37922</v>
          </cell>
          <cell r="B304" t="str">
            <v>Fuera de Plazo</v>
          </cell>
        </row>
        <row r="305">
          <cell r="A305">
            <v>37923</v>
          </cell>
          <cell r="B305" t="str">
            <v>Fuera de Plazo</v>
          </cell>
        </row>
        <row r="306">
          <cell r="A306">
            <v>37924</v>
          </cell>
          <cell r="B306" t="str">
            <v>Fuera de Plazo</v>
          </cell>
        </row>
        <row r="307">
          <cell r="A307">
            <v>37925</v>
          </cell>
          <cell r="B307" t="str">
            <v>Fuera de Plazo</v>
          </cell>
        </row>
        <row r="308">
          <cell r="A308">
            <v>37926</v>
          </cell>
          <cell r="B308" t="str">
            <v>Fuera de Plazo</v>
          </cell>
        </row>
        <row r="309">
          <cell r="A309">
            <v>37927</v>
          </cell>
          <cell r="B309" t="str">
            <v>Fuera de Plazo</v>
          </cell>
        </row>
        <row r="310">
          <cell r="A310">
            <v>37928</v>
          </cell>
          <cell r="B310" t="str">
            <v>Fuera de Plazo</v>
          </cell>
        </row>
        <row r="311">
          <cell r="A311">
            <v>37929</v>
          </cell>
          <cell r="B311" t="str">
            <v>Fuera de Plazo</v>
          </cell>
        </row>
        <row r="312">
          <cell r="A312">
            <v>37930</v>
          </cell>
          <cell r="B312" t="str">
            <v>Fuera de Plazo</v>
          </cell>
        </row>
        <row r="313">
          <cell r="A313">
            <v>37931</v>
          </cell>
          <cell r="B313" t="str">
            <v>Fuera de Plazo</v>
          </cell>
        </row>
        <row r="314">
          <cell r="A314">
            <v>37932</v>
          </cell>
          <cell r="B314" t="str">
            <v>Fuera de Plazo</v>
          </cell>
        </row>
        <row r="315">
          <cell r="A315">
            <v>37933</v>
          </cell>
          <cell r="B315" t="str">
            <v>Fuera de Plazo</v>
          </cell>
        </row>
        <row r="316">
          <cell r="A316">
            <v>37934</v>
          </cell>
          <cell r="B316" t="str">
            <v>Fuera de Plazo</v>
          </cell>
        </row>
        <row r="317">
          <cell r="A317">
            <v>37935</v>
          </cell>
          <cell r="B317" t="str">
            <v>Fuera de Plazo</v>
          </cell>
        </row>
        <row r="318">
          <cell r="A318">
            <v>37936</v>
          </cell>
          <cell r="B318" t="str">
            <v>Fuera de Plazo</v>
          </cell>
        </row>
        <row r="319">
          <cell r="A319">
            <v>37937</v>
          </cell>
          <cell r="B319" t="str">
            <v>Fuera de Plazo</v>
          </cell>
        </row>
        <row r="320">
          <cell r="A320">
            <v>37938</v>
          </cell>
          <cell r="B320" t="str">
            <v>Fuera de Plazo</v>
          </cell>
        </row>
        <row r="321">
          <cell r="A321">
            <v>37939</v>
          </cell>
          <cell r="B321" t="str">
            <v>Fuera de Plazo</v>
          </cell>
        </row>
        <row r="322">
          <cell r="A322">
            <v>37940</v>
          </cell>
          <cell r="B322" t="str">
            <v>Fuera de Plazo</v>
          </cell>
        </row>
        <row r="323">
          <cell r="A323">
            <v>37941</v>
          </cell>
          <cell r="B323" t="str">
            <v>Fuera de Plazo</v>
          </cell>
        </row>
        <row r="324">
          <cell r="A324">
            <v>37942</v>
          </cell>
          <cell r="B324" t="str">
            <v>Fuera de Plazo</v>
          </cell>
        </row>
        <row r="325">
          <cell r="A325">
            <v>37943</v>
          </cell>
          <cell r="B325" t="str">
            <v>Fuera de Plazo</v>
          </cell>
        </row>
        <row r="326">
          <cell r="A326">
            <v>37944</v>
          </cell>
          <cell r="B326" t="str">
            <v>Fuera de Plazo</v>
          </cell>
        </row>
        <row r="327">
          <cell r="A327">
            <v>37945</v>
          </cell>
          <cell r="B327" t="str">
            <v>Fuera de Plazo</v>
          </cell>
        </row>
        <row r="328">
          <cell r="A328">
            <v>37946</v>
          </cell>
          <cell r="B328" t="str">
            <v>Fuera de Plazo</v>
          </cell>
        </row>
        <row r="329">
          <cell r="A329">
            <v>37947</v>
          </cell>
          <cell r="B329" t="str">
            <v>Fuera de Plazo</v>
          </cell>
        </row>
        <row r="330">
          <cell r="A330">
            <v>37948</v>
          </cell>
          <cell r="B330" t="str">
            <v>Fuera de Plazo</v>
          </cell>
        </row>
        <row r="331">
          <cell r="A331">
            <v>37949</v>
          </cell>
          <cell r="B331" t="str">
            <v>Fuera de Plazo</v>
          </cell>
        </row>
        <row r="332">
          <cell r="A332">
            <v>37950</v>
          </cell>
          <cell r="B332" t="str">
            <v>Fuera de Plazo</v>
          </cell>
        </row>
        <row r="333">
          <cell r="A333">
            <v>37951</v>
          </cell>
          <cell r="B333" t="str">
            <v>Fuera de Plazo</v>
          </cell>
        </row>
        <row r="334">
          <cell r="A334">
            <v>37952</v>
          </cell>
          <cell r="B334" t="str">
            <v>Fuera de Plazo</v>
          </cell>
        </row>
        <row r="335">
          <cell r="A335">
            <v>37953</v>
          </cell>
          <cell r="B335" t="str">
            <v>Fuera de Plazo</v>
          </cell>
        </row>
        <row r="336">
          <cell r="A336">
            <v>37954</v>
          </cell>
          <cell r="B336" t="str">
            <v>Fuera de Plazo</v>
          </cell>
        </row>
        <row r="337">
          <cell r="A337">
            <v>37955</v>
          </cell>
          <cell r="B337" t="str">
            <v>Fuera de Plazo</v>
          </cell>
        </row>
        <row r="338">
          <cell r="A338">
            <v>37956</v>
          </cell>
          <cell r="B338" t="str">
            <v>Fuera de Plazo</v>
          </cell>
        </row>
        <row r="339">
          <cell r="A339">
            <v>37957</v>
          </cell>
          <cell r="B339" t="str">
            <v>Fuera de Plazo</v>
          </cell>
        </row>
        <row r="340">
          <cell r="A340">
            <v>37958</v>
          </cell>
          <cell r="B340" t="str">
            <v>Fuera de Plazo</v>
          </cell>
        </row>
        <row r="341">
          <cell r="A341">
            <v>37959</v>
          </cell>
          <cell r="B341" t="str">
            <v>Fuera de Plazo</v>
          </cell>
        </row>
        <row r="342">
          <cell r="A342">
            <v>37960</v>
          </cell>
          <cell r="B342" t="str">
            <v>Fuera de Plazo</v>
          </cell>
        </row>
        <row r="343">
          <cell r="A343">
            <v>37961</v>
          </cell>
          <cell r="B343" t="str">
            <v>Fuera de Plazo</v>
          </cell>
        </row>
        <row r="344">
          <cell r="A344">
            <v>37962</v>
          </cell>
          <cell r="B344" t="str">
            <v>Fuera de Plazo</v>
          </cell>
        </row>
        <row r="345">
          <cell r="A345">
            <v>37963</v>
          </cell>
          <cell r="B345" t="str">
            <v>Fuera de Plazo</v>
          </cell>
        </row>
        <row r="346">
          <cell r="A346">
            <v>37964</v>
          </cell>
          <cell r="B346" t="str">
            <v>Fuera de Plazo</v>
          </cell>
        </row>
        <row r="347">
          <cell r="A347">
            <v>37965</v>
          </cell>
          <cell r="B347" t="str">
            <v>Fuera de Plazo</v>
          </cell>
        </row>
        <row r="348">
          <cell r="A348">
            <v>37966</v>
          </cell>
          <cell r="B348" t="str">
            <v>Fuera de Plazo</v>
          </cell>
        </row>
        <row r="349">
          <cell r="A349">
            <v>37967</v>
          </cell>
          <cell r="B349" t="str">
            <v>Fuera de Plazo</v>
          </cell>
        </row>
        <row r="350">
          <cell r="A350">
            <v>37968</v>
          </cell>
          <cell r="B350" t="str">
            <v>Fuera de Plazo</v>
          </cell>
        </row>
        <row r="351">
          <cell r="A351">
            <v>37969</v>
          </cell>
          <cell r="B351" t="str">
            <v>Fuera de Plazo</v>
          </cell>
        </row>
        <row r="352">
          <cell r="A352">
            <v>37970</v>
          </cell>
          <cell r="B352" t="str">
            <v>Fuera de Plazo</v>
          </cell>
        </row>
        <row r="353">
          <cell r="A353">
            <v>37971</v>
          </cell>
          <cell r="B353" t="str">
            <v>Fuera de Plazo</v>
          </cell>
        </row>
        <row r="354">
          <cell r="A354">
            <v>37972</v>
          </cell>
          <cell r="B354" t="str">
            <v>Fuera de Plazo</v>
          </cell>
        </row>
        <row r="355">
          <cell r="A355">
            <v>37973</v>
          </cell>
          <cell r="B355" t="str">
            <v>Fuera de Plazo</v>
          </cell>
        </row>
        <row r="356">
          <cell r="A356">
            <v>37974</v>
          </cell>
          <cell r="B356" t="str">
            <v>Fuera de Plazo</v>
          </cell>
        </row>
        <row r="357">
          <cell r="A357">
            <v>37975</v>
          </cell>
          <cell r="B357" t="str">
            <v>Fuera de Plazo</v>
          </cell>
        </row>
        <row r="358">
          <cell r="A358">
            <v>37976</v>
          </cell>
          <cell r="B358" t="str">
            <v>Fuera de Plazo</v>
          </cell>
        </row>
        <row r="359">
          <cell r="A359">
            <v>37977</v>
          </cell>
          <cell r="B359" t="str">
            <v>Fuera de Plazo</v>
          </cell>
        </row>
        <row r="360">
          <cell r="A360">
            <v>37978</v>
          </cell>
          <cell r="B360" t="str">
            <v>Fuera de Plazo</v>
          </cell>
        </row>
        <row r="361">
          <cell r="A361">
            <v>37979</v>
          </cell>
          <cell r="B361" t="str">
            <v>Fuera de Plazo</v>
          </cell>
        </row>
        <row r="362">
          <cell r="A362">
            <v>37980</v>
          </cell>
          <cell r="B362" t="str">
            <v>Fuera de Plazo</v>
          </cell>
        </row>
        <row r="363">
          <cell r="A363">
            <v>37981</v>
          </cell>
          <cell r="B363" t="str">
            <v>Fuera de Plazo</v>
          </cell>
        </row>
        <row r="364">
          <cell r="A364">
            <v>37982</v>
          </cell>
          <cell r="B364" t="str">
            <v>Fuera de Plazo</v>
          </cell>
        </row>
        <row r="365">
          <cell r="A365">
            <v>37983</v>
          </cell>
          <cell r="B365" t="str">
            <v>Fuera de Plazo</v>
          </cell>
        </row>
        <row r="366">
          <cell r="A366">
            <v>37984</v>
          </cell>
          <cell r="B366" t="str">
            <v>Fuera de Plazo</v>
          </cell>
        </row>
        <row r="367">
          <cell r="A367">
            <v>37985</v>
          </cell>
          <cell r="B367" t="str">
            <v>Fuera de Plazo</v>
          </cell>
        </row>
        <row r="368">
          <cell r="A368">
            <v>37986</v>
          </cell>
          <cell r="B368" t="str">
            <v>Fuera de Plazo</v>
          </cell>
        </row>
        <row r="369">
          <cell r="A369">
            <v>37987</v>
          </cell>
          <cell r="B369" t="str">
            <v>Fuera de Plazo</v>
          </cell>
        </row>
        <row r="370">
          <cell r="A370">
            <v>37988</v>
          </cell>
          <cell r="B370" t="str">
            <v>Fuera de Plazo</v>
          </cell>
        </row>
        <row r="371">
          <cell r="A371">
            <v>37989</v>
          </cell>
          <cell r="B371" t="str">
            <v>Fuera de Plazo</v>
          </cell>
        </row>
        <row r="372">
          <cell r="A372">
            <v>37990</v>
          </cell>
          <cell r="B372" t="str">
            <v>Fuera de Plazo</v>
          </cell>
        </row>
        <row r="373">
          <cell r="A373">
            <v>37991</v>
          </cell>
          <cell r="B373" t="str">
            <v>Fuera de Plazo</v>
          </cell>
        </row>
        <row r="374">
          <cell r="A374">
            <v>37992</v>
          </cell>
          <cell r="B374" t="str">
            <v>Fuera de Plazo</v>
          </cell>
        </row>
        <row r="375">
          <cell r="A375">
            <v>37993</v>
          </cell>
          <cell r="B375" t="str">
            <v>Fuera de Plazo</v>
          </cell>
        </row>
        <row r="376">
          <cell r="A376">
            <v>37994</v>
          </cell>
          <cell r="B376" t="str">
            <v>Fuera de Plazo</v>
          </cell>
        </row>
        <row r="377">
          <cell r="A377">
            <v>37995</v>
          </cell>
          <cell r="B377" t="str">
            <v>Fuera de Plazo</v>
          </cell>
        </row>
        <row r="378">
          <cell r="A378">
            <v>37996</v>
          </cell>
          <cell r="B378" t="str">
            <v>Fuera de Plazo</v>
          </cell>
        </row>
        <row r="379">
          <cell r="A379">
            <v>37997</v>
          </cell>
          <cell r="B379" t="str">
            <v>Fuera de Plazo</v>
          </cell>
        </row>
        <row r="380">
          <cell r="A380">
            <v>37998</v>
          </cell>
          <cell r="B380" t="str">
            <v>Fuera de Plazo</v>
          </cell>
        </row>
        <row r="381">
          <cell r="A381">
            <v>37999</v>
          </cell>
          <cell r="B381" t="str">
            <v>Fuera de Plazo</v>
          </cell>
        </row>
        <row r="382">
          <cell r="A382">
            <v>38000</v>
          </cell>
          <cell r="B382" t="str">
            <v>Fuera de Plazo</v>
          </cell>
        </row>
        <row r="383">
          <cell r="A383">
            <v>38001</v>
          </cell>
          <cell r="B383" t="str">
            <v>Fuera de Plazo</v>
          </cell>
        </row>
        <row r="384">
          <cell r="A384">
            <v>38002</v>
          </cell>
          <cell r="B384" t="str">
            <v>Fuera de Plazo</v>
          </cell>
        </row>
        <row r="385">
          <cell r="A385">
            <v>38003</v>
          </cell>
          <cell r="B385" t="str">
            <v>Fuera de Plazo</v>
          </cell>
        </row>
        <row r="386">
          <cell r="A386">
            <v>38004</v>
          </cell>
          <cell r="B386" t="str">
            <v>Fuera de Plazo</v>
          </cell>
        </row>
        <row r="387">
          <cell r="A387">
            <v>38005</v>
          </cell>
          <cell r="B387" t="str">
            <v>Fuera de Plazo</v>
          </cell>
        </row>
        <row r="388">
          <cell r="A388">
            <v>38006</v>
          </cell>
          <cell r="B388" t="str">
            <v>Fuera de Plazo</v>
          </cell>
        </row>
        <row r="389">
          <cell r="A389">
            <v>38007</v>
          </cell>
          <cell r="B389" t="str">
            <v>Fuera de Plazo</v>
          </cell>
        </row>
        <row r="390">
          <cell r="A390">
            <v>38008</v>
          </cell>
          <cell r="B390" t="str">
            <v>Fuera de Plazo</v>
          </cell>
        </row>
        <row r="391">
          <cell r="A391">
            <v>38009</v>
          </cell>
          <cell r="B391" t="str">
            <v>Fuera de Plazo</v>
          </cell>
        </row>
        <row r="392">
          <cell r="A392">
            <v>38010</v>
          </cell>
          <cell r="B392" t="str">
            <v>Fuera de Plazo</v>
          </cell>
        </row>
        <row r="393">
          <cell r="A393">
            <v>38011</v>
          </cell>
          <cell r="B393" t="str">
            <v>Fuera de Plazo</v>
          </cell>
        </row>
        <row r="394">
          <cell r="A394">
            <v>38012</v>
          </cell>
          <cell r="B394" t="str">
            <v>Fuera de Plazo</v>
          </cell>
        </row>
        <row r="395">
          <cell r="A395">
            <v>38013</v>
          </cell>
          <cell r="B395" t="str">
            <v>Fuera de Plazo</v>
          </cell>
        </row>
        <row r="396">
          <cell r="A396">
            <v>38014</v>
          </cell>
          <cell r="B396" t="str">
            <v>Fuera de Plazo</v>
          </cell>
        </row>
        <row r="397">
          <cell r="A397">
            <v>38015</v>
          </cell>
          <cell r="B397" t="str">
            <v>Fuera de Plazo</v>
          </cell>
        </row>
        <row r="398">
          <cell r="A398">
            <v>38016</v>
          </cell>
          <cell r="B398" t="str">
            <v>Fuera de Plazo</v>
          </cell>
        </row>
        <row r="399">
          <cell r="A399">
            <v>38017</v>
          </cell>
          <cell r="B399" t="str">
            <v>Fuera de Plazo</v>
          </cell>
        </row>
        <row r="400">
          <cell r="A400">
            <v>38018</v>
          </cell>
          <cell r="B400" t="str">
            <v>Fuera de Plazo</v>
          </cell>
        </row>
        <row r="401">
          <cell r="A401">
            <v>38019</v>
          </cell>
          <cell r="B401" t="str">
            <v>Fuera de Plazo</v>
          </cell>
        </row>
        <row r="402">
          <cell r="A402">
            <v>38020</v>
          </cell>
          <cell r="B402" t="str">
            <v>Fuera de Plazo</v>
          </cell>
        </row>
        <row r="403">
          <cell r="A403">
            <v>38021</v>
          </cell>
          <cell r="B403" t="str">
            <v>Fuera de Plazo</v>
          </cell>
        </row>
        <row r="404">
          <cell r="A404">
            <v>38022</v>
          </cell>
          <cell r="B404" t="str">
            <v>Fuera de Plazo</v>
          </cell>
        </row>
        <row r="405">
          <cell r="A405">
            <v>38023</v>
          </cell>
          <cell r="B405" t="str">
            <v>Fuera de Plazo</v>
          </cell>
        </row>
        <row r="406">
          <cell r="A406">
            <v>38024</v>
          </cell>
          <cell r="B406" t="str">
            <v>Fuera de Plazo</v>
          </cell>
        </row>
        <row r="407">
          <cell r="A407">
            <v>38025</v>
          </cell>
          <cell r="B407" t="str">
            <v>Fuera de Plazo</v>
          </cell>
        </row>
        <row r="408">
          <cell r="A408">
            <v>38026</v>
          </cell>
          <cell r="B408" t="str">
            <v>Fuera de Plazo</v>
          </cell>
        </row>
        <row r="409">
          <cell r="A409">
            <v>38027</v>
          </cell>
          <cell r="B409" t="str">
            <v>Fuera de Plazo</v>
          </cell>
        </row>
        <row r="410">
          <cell r="A410">
            <v>38028</v>
          </cell>
          <cell r="B410" t="str">
            <v>Fuera de Plazo</v>
          </cell>
        </row>
        <row r="411">
          <cell r="A411">
            <v>38029</v>
          </cell>
          <cell r="B411" t="str">
            <v>Fuera de Plazo</v>
          </cell>
        </row>
        <row r="412">
          <cell r="A412">
            <v>38030</v>
          </cell>
          <cell r="B412" t="str">
            <v>Fuera de Plazo</v>
          </cell>
        </row>
        <row r="413">
          <cell r="A413">
            <v>38031</v>
          </cell>
          <cell r="B413" t="str">
            <v>Fuera de Plazo</v>
          </cell>
        </row>
        <row r="414">
          <cell r="A414">
            <v>38032</v>
          </cell>
          <cell r="B414" t="str">
            <v>Fuera de Plazo</v>
          </cell>
        </row>
        <row r="415">
          <cell r="A415">
            <v>38033</v>
          </cell>
          <cell r="B415" t="str">
            <v>Fuera de Plazo</v>
          </cell>
        </row>
        <row r="416">
          <cell r="A416">
            <v>38034</v>
          </cell>
          <cell r="B416" t="str">
            <v>Fuera de Plazo</v>
          </cell>
        </row>
        <row r="417">
          <cell r="A417">
            <v>38035</v>
          </cell>
          <cell r="B417" t="str">
            <v>Fuera de Plazo</v>
          </cell>
        </row>
        <row r="418">
          <cell r="A418">
            <v>38036</v>
          </cell>
          <cell r="B418" t="str">
            <v>Fuera de Plazo</v>
          </cell>
        </row>
        <row r="419">
          <cell r="A419">
            <v>38037</v>
          </cell>
          <cell r="B419" t="str">
            <v>Fuera de Plazo</v>
          </cell>
        </row>
        <row r="420">
          <cell r="A420">
            <v>38038</v>
          </cell>
          <cell r="B420" t="str">
            <v>Fuera de Plazo</v>
          </cell>
        </row>
        <row r="421">
          <cell r="A421">
            <v>38039</v>
          </cell>
          <cell r="B421" t="str">
            <v>Fuera de Plazo</v>
          </cell>
        </row>
        <row r="422">
          <cell r="A422">
            <v>38040</v>
          </cell>
          <cell r="B422" t="str">
            <v>Fuera de Plazo</v>
          </cell>
        </row>
        <row r="423">
          <cell r="A423">
            <v>38041</v>
          </cell>
          <cell r="B423" t="str">
            <v>Fuera de Plazo</v>
          </cell>
        </row>
        <row r="424">
          <cell r="A424">
            <v>38042</v>
          </cell>
          <cell r="B424" t="str">
            <v>Fuera de Plazo</v>
          </cell>
        </row>
        <row r="425">
          <cell r="A425">
            <v>38043</v>
          </cell>
          <cell r="B425" t="str">
            <v>Fuera de Plazo</v>
          </cell>
        </row>
        <row r="426">
          <cell r="A426">
            <v>38044</v>
          </cell>
          <cell r="B426" t="str">
            <v>Fuera de Plazo</v>
          </cell>
        </row>
        <row r="427">
          <cell r="A427">
            <v>38045</v>
          </cell>
          <cell r="B427" t="str">
            <v>Fuera de Plazo</v>
          </cell>
        </row>
        <row r="428">
          <cell r="A428">
            <v>38046</v>
          </cell>
          <cell r="B428" t="str">
            <v>Fuera de Plazo</v>
          </cell>
        </row>
        <row r="429">
          <cell r="A429">
            <v>38047</v>
          </cell>
          <cell r="B429" t="str">
            <v>Fuera de Plazo</v>
          </cell>
        </row>
        <row r="430">
          <cell r="A430">
            <v>38048</v>
          </cell>
          <cell r="B430" t="str">
            <v>Fuera de Plazo</v>
          </cell>
        </row>
        <row r="431">
          <cell r="A431">
            <v>38049</v>
          </cell>
          <cell r="B431" t="str">
            <v>Fuera de Plazo</v>
          </cell>
        </row>
        <row r="432">
          <cell r="A432">
            <v>38050</v>
          </cell>
          <cell r="B432" t="str">
            <v>Fuera de Plazo</v>
          </cell>
        </row>
        <row r="433">
          <cell r="A433">
            <v>38051</v>
          </cell>
          <cell r="B433" t="str">
            <v>Fuera de Plazo</v>
          </cell>
        </row>
        <row r="434">
          <cell r="A434">
            <v>38052</v>
          </cell>
          <cell r="B434" t="str">
            <v>Fuera de Plazo</v>
          </cell>
        </row>
        <row r="435">
          <cell r="A435">
            <v>38053</v>
          </cell>
          <cell r="B435" t="str">
            <v>Fuera de Plazo</v>
          </cell>
        </row>
        <row r="436">
          <cell r="A436">
            <v>38054</v>
          </cell>
          <cell r="B436" t="str">
            <v>Fuera de Plazo</v>
          </cell>
        </row>
        <row r="437">
          <cell r="A437">
            <v>38055</v>
          </cell>
          <cell r="B437" t="str">
            <v>Fuera de Plazo</v>
          </cell>
        </row>
        <row r="438">
          <cell r="A438">
            <v>38056</v>
          </cell>
          <cell r="B438" t="str">
            <v>Fuera de Plazo</v>
          </cell>
        </row>
        <row r="439">
          <cell r="A439">
            <v>38057</v>
          </cell>
          <cell r="B439" t="str">
            <v>Fuera de Plazo</v>
          </cell>
        </row>
        <row r="440">
          <cell r="A440">
            <v>38058</v>
          </cell>
          <cell r="B440" t="str">
            <v>Fuera de Plazo</v>
          </cell>
        </row>
        <row r="441">
          <cell r="A441">
            <v>38059</v>
          </cell>
          <cell r="B441" t="str">
            <v>Fuera de Plazo</v>
          </cell>
        </row>
        <row r="442">
          <cell r="A442">
            <v>38060</v>
          </cell>
          <cell r="B442" t="str">
            <v>Fuera de Plazo</v>
          </cell>
        </row>
        <row r="443">
          <cell r="A443">
            <v>38061</v>
          </cell>
          <cell r="B443" t="str">
            <v>Fuera de Plazo</v>
          </cell>
        </row>
        <row r="444">
          <cell r="A444">
            <v>38062</v>
          </cell>
          <cell r="B444" t="str">
            <v>Fuera de Plazo</v>
          </cell>
        </row>
        <row r="445">
          <cell r="A445">
            <v>38063</v>
          </cell>
          <cell r="B445" t="str">
            <v>Fuera de Plazo</v>
          </cell>
        </row>
        <row r="446">
          <cell r="A446">
            <v>38064</v>
          </cell>
          <cell r="B446" t="str">
            <v>Fuera de Plazo</v>
          </cell>
        </row>
        <row r="447">
          <cell r="A447">
            <v>38065</v>
          </cell>
          <cell r="B447" t="str">
            <v>Fuera de Plazo</v>
          </cell>
        </row>
        <row r="448">
          <cell r="A448">
            <v>38066</v>
          </cell>
          <cell r="B448" t="str">
            <v>Fuera de Plazo</v>
          </cell>
        </row>
        <row r="449">
          <cell r="A449">
            <v>38067</v>
          </cell>
          <cell r="B449" t="str">
            <v>Fuera de Plazo</v>
          </cell>
        </row>
        <row r="450">
          <cell r="A450">
            <v>38068</v>
          </cell>
          <cell r="B450" t="str">
            <v>Fuera de Plazo</v>
          </cell>
        </row>
        <row r="451">
          <cell r="A451">
            <v>38069</v>
          </cell>
          <cell r="B451" t="str">
            <v>Fuera de Plazo</v>
          </cell>
        </row>
        <row r="452">
          <cell r="A452">
            <v>38070</v>
          </cell>
          <cell r="B452" t="str">
            <v>Fuera de Plazo</v>
          </cell>
        </row>
        <row r="453">
          <cell r="A453">
            <v>38071</v>
          </cell>
          <cell r="B453" t="str">
            <v>Fuera de Plazo</v>
          </cell>
        </row>
        <row r="454">
          <cell r="A454">
            <v>38072</v>
          </cell>
          <cell r="B454" t="str">
            <v>Fuera de Plazo</v>
          </cell>
        </row>
        <row r="455">
          <cell r="A455">
            <v>38073</v>
          </cell>
          <cell r="B455" t="str">
            <v>Fuera de Plazo</v>
          </cell>
        </row>
        <row r="456">
          <cell r="A456">
            <v>38074</v>
          </cell>
          <cell r="B456" t="str">
            <v>Fuera de Plazo</v>
          </cell>
        </row>
        <row r="457">
          <cell r="A457">
            <v>38075</v>
          </cell>
          <cell r="B457" t="str">
            <v>Fuera de Plazo</v>
          </cell>
        </row>
        <row r="458">
          <cell r="A458">
            <v>38076</v>
          </cell>
          <cell r="B458" t="str">
            <v>Fuera de Plazo</v>
          </cell>
        </row>
        <row r="459">
          <cell r="A459">
            <v>38077</v>
          </cell>
          <cell r="B459" t="str">
            <v>Fuera de Plazo</v>
          </cell>
        </row>
        <row r="460">
          <cell r="A460">
            <v>38078</v>
          </cell>
          <cell r="B460" t="str">
            <v>Fuera de Plazo</v>
          </cell>
        </row>
        <row r="461">
          <cell r="A461">
            <v>38079</v>
          </cell>
          <cell r="B461" t="str">
            <v>Fuera de Plazo</v>
          </cell>
        </row>
        <row r="462">
          <cell r="A462">
            <v>38080</v>
          </cell>
          <cell r="B462" t="str">
            <v>Fuera de Plazo</v>
          </cell>
        </row>
        <row r="463">
          <cell r="A463">
            <v>38081</v>
          </cell>
          <cell r="B463" t="str">
            <v>Fuera de Plazo</v>
          </cell>
        </row>
        <row r="464">
          <cell r="A464">
            <v>38082</v>
          </cell>
          <cell r="B464" t="str">
            <v>Fuera de Plazo</v>
          </cell>
        </row>
        <row r="465">
          <cell r="A465">
            <v>38083</v>
          </cell>
          <cell r="B465" t="str">
            <v>Fuera de Plazo</v>
          </cell>
        </row>
        <row r="466">
          <cell r="A466">
            <v>38084</v>
          </cell>
          <cell r="B466" t="str">
            <v>Fuera de Plazo</v>
          </cell>
        </row>
        <row r="467">
          <cell r="A467">
            <v>38085</v>
          </cell>
          <cell r="B467" t="str">
            <v>Fuera de Plazo</v>
          </cell>
        </row>
        <row r="468">
          <cell r="A468">
            <v>38086</v>
          </cell>
          <cell r="B468" t="str">
            <v>Fuera de Plazo</v>
          </cell>
        </row>
        <row r="469">
          <cell r="A469">
            <v>38087</v>
          </cell>
          <cell r="B469" t="str">
            <v>Fuera de Plazo</v>
          </cell>
        </row>
        <row r="470">
          <cell r="A470">
            <v>38088</v>
          </cell>
          <cell r="B470" t="str">
            <v>Fuera de Plazo</v>
          </cell>
        </row>
        <row r="471">
          <cell r="A471">
            <v>38089</v>
          </cell>
          <cell r="B471" t="str">
            <v>Fuera de Plazo</v>
          </cell>
        </row>
        <row r="472">
          <cell r="A472">
            <v>38090</v>
          </cell>
          <cell r="B472" t="str">
            <v>Fuera de Plazo</v>
          </cell>
        </row>
        <row r="473">
          <cell r="A473">
            <v>38091</v>
          </cell>
          <cell r="B473" t="str">
            <v>Fuera de Plazo</v>
          </cell>
        </row>
        <row r="474">
          <cell r="A474">
            <v>38092</v>
          </cell>
          <cell r="B474" t="str">
            <v>Fuera de Plazo</v>
          </cell>
        </row>
        <row r="475">
          <cell r="A475">
            <v>38093</v>
          </cell>
          <cell r="B475" t="str">
            <v>Fuera de Plazo</v>
          </cell>
        </row>
        <row r="476">
          <cell r="A476">
            <v>38094</v>
          </cell>
          <cell r="B476" t="str">
            <v>Fuera de Plazo</v>
          </cell>
        </row>
        <row r="477">
          <cell r="A477">
            <v>38095</v>
          </cell>
          <cell r="B477" t="str">
            <v>Fuera de Plazo</v>
          </cell>
        </row>
        <row r="478">
          <cell r="A478">
            <v>38096</v>
          </cell>
          <cell r="B478" t="str">
            <v>Fuera de Plazo</v>
          </cell>
        </row>
        <row r="479">
          <cell r="A479">
            <v>38097</v>
          </cell>
          <cell r="B479" t="str">
            <v>Fuera de Plazo</v>
          </cell>
        </row>
        <row r="480">
          <cell r="A480">
            <v>38098</v>
          </cell>
          <cell r="B480" t="str">
            <v>Fuera de Plazo</v>
          </cell>
        </row>
        <row r="481">
          <cell r="A481">
            <v>38099</v>
          </cell>
          <cell r="B481" t="str">
            <v>Fuera de Plazo</v>
          </cell>
        </row>
        <row r="482">
          <cell r="A482">
            <v>38100</v>
          </cell>
          <cell r="B482" t="str">
            <v>Fuera de Plazo</v>
          </cell>
        </row>
        <row r="483">
          <cell r="A483">
            <v>38101</v>
          </cell>
          <cell r="B483" t="str">
            <v>Fuera de Plazo</v>
          </cell>
        </row>
        <row r="484">
          <cell r="A484">
            <v>38102</v>
          </cell>
          <cell r="B484" t="str">
            <v>Fuera de Plazo</v>
          </cell>
        </row>
        <row r="485">
          <cell r="A485">
            <v>38103</v>
          </cell>
          <cell r="B485" t="str">
            <v>Fuera de Plazo</v>
          </cell>
        </row>
        <row r="486">
          <cell r="A486">
            <v>38104</v>
          </cell>
          <cell r="B486" t="str">
            <v>Fuera de Plazo</v>
          </cell>
        </row>
        <row r="487">
          <cell r="A487">
            <v>38105</v>
          </cell>
          <cell r="B487" t="str">
            <v>Fuera de Plazo</v>
          </cell>
        </row>
        <row r="488">
          <cell r="A488">
            <v>38106</v>
          </cell>
          <cell r="B488" t="str">
            <v>Fuera de Plazo</v>
          </cell>
        </row>
        <row r="489">
          <cell r="A489">
            <v>38107</v>
          </cell>
          <cell r="B489" t="str">
            <v>Fuera de Plazo</v>
          </cell>
        </row>
        <row r="490">
          <cell r="A490">
            <v>38108</v>
          </cell>
          <cell r="B490" t="str">
            <v>Fuera de Plazo</v>
          </cell>
        </row>
        <row r="491">
          <cell r="A491">
            <v>38109</v>
          </cell>
          <cell r="B491" t="str">
            <v>Fuera de Plazo</v>
          </cell>
        </row>
        <row r="492">
          <cell r="A492">
            <v>38110</v>
          </cell>
          <cell r="B492" t="str">
            <v>Fuera de Plazo</v>
          </cell>
        </row>
        <row r="493">
          <cell r="A493">
            <v>38111</v>
          </cell>
          <cell r="B493" t="str">
            <v>Fuera de Plazo</v>
          </cell>
        </row>
        <row r="494">
          <cell r="A494">
            <v>38112</v>
          </cell>
          <cell r="B494" t="str">
            <v>Fuera de Plazo</v>
          </cell>
        </row>
        <row r="495">
          <cell r="A495">
            <v>38113</v>
          </cell>
          <cell r="B495" t="str">
            <v>Fuera de Plazo</v>
          </cell>
        </row>
        <row r="496">
          <cell r="A496">
            <v>38114</v>
          </cell>
          <cell r="B496" t="str">
            <v>Fuera de Plazo</v>
          </cell>
        </row>
        <row r="497">
          <cell r="A497">
            <v>38115</v>
          </cell>
          <cell r="B497" t="str">
            <v>Fuera de Plazo</v>
          </cell>
        </row>
        <row r="498">
          <cell r="A498">
            <v>38116</v>
          </cell>
          <cell r="B498" t="str">
            <v>Fuera de Plazo</v>
          </cell>
        </row>
        <row r="499">
          <cell r="A499">
            <v>38117</v>
          </cell>
          <cell r="B499" t="str">
            <v>Fuera de Plazo</v>
          </cell>
        </row>
        <row r="500">
          <cell r="A500">
            <v>38118</v>
          </cell>
          <cell r="B500" t="str">
            <v>Fuera de Plazo</v>
          </cell>
        </row>
        <row r="501">
          <cell r="A501">
            <v>38119</v>
          </cell>
          <cell r="B501" t="str">
            <v>Fuera de Plazo</v>
          </cell>
        </row>
        <row r="502">
          <cell r="A502">
            <v>38120</v>
          </cell>
          <cell r="B502" t="str">
            <v>Fuera de Plazo</v>
          </cell>
        </row>
        <row r="503">
          <cell r="A503">
            <v>38121</v>
          </cell>
          <cell r="B503" t="str">
            <v>Fuera de Plazo</v>
          </cell>
        </row>
        <row r="504">
          <cell r="A504">
            <v>38122</v>
          </cell>
          <cell r="B504" t="str">
            <v>Fuera de Plazo</v>
          </cell>
        </row>
        <row r="505">
          <cell r="A505">
            <v>38123</v>
          </cell>
          <cell r="B505" t="str">
            <v>Fuera de Plazo</v>
          </cell>
        </row>
        <row r="506">
          <cell r="A506">
            <v>38124</v>
          </cell>
          <cell r="B506" t="str">
            <v>Dentro del tiempo</v>
          </cell>
        </row>
        <row r="507">
          <cell r="A507">
            <v>38125</v>
          </cell>
          <cell r="B507" t="str">
            <v>Dentro del tiempo</v>
          </cell>
        </row>
        <row r="508">
          <cell r="A508">
            <v>38126</v>
          </cell>
          <cell r="B508" t="str">
            <v>Dentro del tiempo</v>
          </cell>
        </row>
        <row r="509">
          <cell r="A509">
            <v>38127</v>
          </cell>
          <cell r="B509" t="str">
            <v>Dentro del tiempo</v>
          </cell>
        </row>
        <row r="510">
          <cell r="A510">
            <v>38128</v>
          </cell>
          <cell r="B510" t="str">
            <v>Dentro del tiempo</v>
          </cell>
        </row>
        <row r="511">
          <cell r="A511">
            <v>38129</v>
          </cell>
          <cell r="B511" t="str">
            <v>Dentro del tiempo</v>
          </cell>
        </row>
        <row r="512">
          <cell r="A512">
            <v>38130</v>
          </cell>
          <cell r="B512" t="str">
            <v>Dentro del tiempo</v>
          </cell>
        </row>
        <row r="513">
          <cell r="A513">
            <v>38131</v>
          </cell>
          <cell r="B513" t="str">
            <v>Dentro del tiempo</v>
          </cell>
        </row>
        <row r="514">
          <cell r="A514">
            <v>38132</v>
          </cell>
          <cell r="B514" t="str">
            <v>Dentro del tiempo</v>
          </cell>
        </row>
        <row r="515">
          <cell r="A515">
            <v>38133</v>
          </cell>
          <cell r="B515" t="str">
            <v>Dentro del tiempo</v>
          </cell>
        </row>
        <row r="516">
          <cell r="A516">
            <v>38134</v>
          </cell>
          <cell r="B516" t="str">
            <v>Dentro del tiempo</v>
          </cell>
        </row>
        <row r="517">
          <cell r="A517">
            <v>38135</v>
          </cell>
          <cell r="B517" t="str">
            <v>Dentro del tiempo</v>
          </cell>
        </row>
        <row r="518">
          <cell r="A518">
            <v>38136</v>
          </cell>
          <cell r="B518" t="str">
            <v>Dentro del tiempo</v>
          </cell>
        </row>
        <row r="519">
          <cell r="A519">
            <v>38137</v>
          </cell>
          <cell r="B519" t="str">
            <v>Dentro del tiempo</v>
          </cell>
        </row>
        <row r="520">
          <cell r="A520">
            <v>38138</v>
          </cell>
          <cell r="B520" t="str">
            <v>Dentro del tiempo</v>
          </cell>
        </row>
        <row r="521">
          <cell r="A521">
            <v>38139</v>
          </cell>
          <cell r="B521" t="str">
            <v>Dentro del tiempo</v>
          </cell>
        </row>
        <row r="522">
          <cell r="A522">
            <v>38140</v>
          </cell>
          <cell r="B522" t="str">
            <v>Dentro del tiempo</v>
          </cell>
        </row>
        <row r="523">
          <cell r="A523">
            <v>38141</v>
          </cell>
          <cell r="B523" t="str">
            <v>Dentro del tiempo</v>
          </cell>
        </row>
        <row r="524">
          <cell r="A524">
            <v>38142</v>
          </cell>
          <cell r="B524" t="str">
            <v>Dentro del tiempo</v>
          </cell>
        </row>
        <row r="525">
          <cell r="A525">
            <v>38143</v>
          </cell>
          <cell r="B525" t="str">
            <v>Dentro del tiempo</v>
          </cell>
        </row>
        <row r="526">
          <cell r="A526">
            <v>38144</v>
          </cell>
          <cell r="B526" t="str">
            <v>Dentro del tiempo</v>
          </cell>
        </row>
        <row r="527">
          <cell r="A527">
            <v>38145</v>
          </cell>
          <cell r="B527" t="str">
            <v>Dentro del tiempo</v>
          </cell>
        </row>
        <row r="528">
          <cell r="A528">
            <v>38146</v>
          </cell>
          <cell r="B528" t="str">
            <v>Dentro del tiempo</v>
          </cell>
        </row>
        <row r="529">
          <cell r="A529">
            <v>38147</v>
          </cell>
          <cell r="B529" t="str">
            <v>Dentro del tiempo</v>
          </cell>
        </row>
        <row r="530">
          <cell r="A530">
            <v>38148</v>
          </cell>
          <cell r="B530" t="str">
            <v>Dentro del tiempo</v>
          </cell>
        </row>
        <row r="531">
          <cell r="A531">
            <v>38149</v>
          </cell>
          <cell r="B531" t="str">
            <v>Dentro del tiempo</v>
          </cell>
        </row>
        <row r="532">
          <cell r="A532">
            <v>38150</v>
          </cell>
          <cell r="B532" t="str">
            <v>Dentro del tiempo</v>
          </cell>
        </row>
        <row r="533">
          <cell r="A533">
            <v>38151</v>
          </cell>
          <cell r="B533" t="str">
            <v>Dentro del tiempo</v>
          </cell>
        </row>
        <row r="534">
          <cell r="A534">
            <v>38152</v>
          </cell>
          <cell r="B534" t="str">
            <v>Dentro del tiempo</v>
          </cell>
        </row>
        <row r="535">
          <cell r="A535">
            <v>38153</v>
          </cell>
          <cell r="B535" t="str">
            <v>Dentro del tiempo</v>
          </cell>
        </row>
        <row r="536">
          <cell r="A536">
            <v>38154</v>
          </cell>
          <cell r="B536" t="str">
            <v>Dentro del tiempo</v>
          </cell>
        </row>
        <row r="537">
          <cell r="A537">
            <v>38155</v>
          </cell>
          <cell r="B537" t="str">
            <v>Dentro del tiempo</v>
          </cell>
        </row>
        <row r="538">
          <cell r="A538">
            <v>38156</v>
          </cell>
          <cell r="B538" t="str">
            <v>Dentro del tiempo</v>
          </cell>
        </row>
        <row r="539">
          <cell r="A539">
            <v>38157</v>
          </cell>
          <cell r="B539" t="str">
            <v>Dentro del tiempo</v>
          </cell>
        </row>
        <row r="540">
          <cell r="A540">
            <v>38158</v>
          </cell>
          <cell r="B540" t="str">
            <v>Dentro del tiempo</v>
          </cell>
        </row>
        <row r="541">
          <cell r="A541">
            <v>38159</v>
          </cell>
          <cell r="B541" t="str">
            <v>Dentro del tiempo</v>
          </cell>
        </row>
        <row r="542">
          <cell r="A542">
            <v>38160</v>
          </cell>
          <cell r="B542" t="str">
            <v>Dentro del tiempo</v>
          </cell>
        </row>
        <row r="543">
          <cell r="A543">
            <v>38161</v>
          </cell>
          <cell r="B543" t="str">
            <v>Dentro del tiempo</v>
          </cell>
        </row>
        <row r="544">
          <cell r="A544">
            <v>38162</v>
          </cell>
          <cell r="B544" t="str">
            <v>Dentro del tiempo</v>
          </cell>
        </row>
        <row r="545">
          <cell r="A545">
            <v>38163</v>
          </cell>
          <cell r="B545" t="str">
            <v>Dentro del tiempo</v>
          </cell>
        </row>
        <row r="546">
          <cell r="A546">
            <v>38164</v>
          </cell>
          <cell r="B546" t="str">
            <v>Dentro del tiempo</v>
          </cell>
        </row>
        <row r="547">
          <cell r="A547">
            <v>38165</v>
          </cell>
          <cell r="B547" t="str">
            <v>Dentro del tiempo</v>
          </cell>
        </row>
        <row r="548">
          <cell r="A548">
            <v>38166</v>
          </cell>
          <cell r="B548" t="str">
            <v>Dentro del tiempo</v>
          </cell>
        </row>
        <row r="549">
          <cell r="A549">
            <v>38167</v>
          </cell>
          <cell r="B549" t="str">
            <v>Dentro del tiempo</v>
          </cell>
        </row>
        <row r="550">
          <cell r="A550">
            <v>38168</v>
          </cell>
          <cell r="B550" t="str">
            <v>Dentro del tiempo</v>
          </cell>
        </row>
        <row r="551">
          <cell r="A551">
            <v>38169</v>
          </cell>
          <cell r="B551" t="str">
            <v>Dentro del tiempo</v>
          </cell>
        </row>
        <row r="552">
          <cell r="A552">
            <v>38170</v>
          </cell>
          <cell r="B552" t="str">
            <v>Dentro del tiempo</v>
          </cell>
        </row>
        <row r="553">
          <cell r="A553">
            <v>38171</v>
          </cell>
          <cell r="B553" t="str">
            <v>Dentro del tiempo</v>
          </cell>
        </row>
        <row r="554">
          <cell r="A554">
            <v>38172</v>
          </cell>
          <cell r="B554" t="str">
            <v>Dentro del tiempo</v>
          </cell>
        </row>
        <row r="555">
          <cell r="A555">
            <v>38173</v>
          </cell>
          <cell r="B555" t="str">
            <v>Dentro del tiempo</v>
          </cell>
        </row>
        <row r="556">
          <cell r="A556">
            <v>38174</v>
          </cell>
          <cell r="B556" t="str">
            <v>Dentro del tiempo</v>
          </cell>
        </row>
        <row r="557">
          <cell r="A557">
            <v>38175</v>
          </cell>
          <cell r="B557" t="str">
            <v>Dentro del tiempo</v>
          </cell>
        </row>
        <row r="558">
          <cell r="A558">
            <v>38176</v>
          </cell>
          <cell r="B558" t="str">
            <v>Dentro del tiempo</v>
          </cell>
        </row>
        <row r="559">
          <cell r="A559">
            <v>38177</v>
          </cell>
          <cell r="B559" t="str">
            <v>Dentro del tiempo</v>
          </cell>
        </row>
        <row r="560">
          <cell r="A560">
            <v>38178</v>
          </cell>
          <cell r="B560" t="str">
            <v>Dentro del tiempo</v>
          </cell>
        </row>
        <row r="561">
          <cell r="A561">
            <v>38179</v>
          </cell>
          <cell r="B561" t="str">
            <v>Dentro del tiempo</v>
          </cell>
        </row>
        <row r="562">
          <cell r="A562">
            <v>38180</v>
          </cell>
          <cell r="B562" t="str">
            <v>Dentro del tiempo</v>
          </cell>
        </row>
        <row r="563">
          <cell r="A563">
            <v>38181</v>
          </cell>
          <cell r="B563" t="str">
            <v>Dentro del tiempo</v>
          </cell>
        </row>
        <row r="564">
          <cell r="A564">
            <v>38182</v>
          </cell>
          <cell r="B564" t="str">
            <v>Dentro del tiempo</v>
          </cell>
        </row>
        <row r="565">
          <cell r="A565">
            <v>38183</v>
          </cell>
          <cell r="B565" t="str">
            <v>Dentro del tiempo</v>
          </cell>
        </row>
        <row r="566">
          <cell r="A566">
            <v>38184</v>
          </cell>
          <cell r="B566" t="str">
            <v>Dentro del tiempo</v>
          </cell>
        </row>
        <row r="567">
          <cell r="A567">
            <v>38185</v>
          </cell>
          <cell r="B567" t="str">
            <v>Dentro del tiempo</v>
          </cell>
        </row>
        <row r="568">
          <cell r="A568">
            <v>38186</v>
          </cell>
          <cell r="B568" t="str">
            <v>Dentro del tiempo</v>
          </cell>
        </row>
        <row r="569">
          <cell r="A569">
            <v>38187</v>
          </cell>
          <cell r="B569" t="str">
            <v>Dentro del tiempo</v>
          </cell>
        </row>
        <row r="570">
          <cell r="A570">
            <v>38188</v>
          </cell>
          <cell r="B570" t="str">
            <v>Dentro del tiempo</v>
          </cell>
        </row>
        <row r="571">
          <cell r="A571">
            <v>38189</v>
          </cell>
          <cell r="B571" t="str">
            <v>Dentro del tiempo</v>
          </cell>
        </row>
        <row r="572">
          <cell r="A572">
            <v>38190</v>
          </cell>
          <cell r="B572" t="str">
            <v>Dentro del tiempo</v>
          </cell>
        </row>
        <row r="573">
          <cell r="A573">
            <v>38191</v>
          </cell>
          <cell r="B573" t="str">
            <v>Dentro del tiempo</v>
          </cell>
        </row>
        <row r="574">
          <cell r="A574">
            <v>38192</v>
          </cell>
          <cell r="B574" t="str">
            <v>Dentro del tiempo</v>
          </cell>
        </row>
        <row r="575">
          <cell r="A575">
            <v>38193</v>
          </cell>
          <cell r="B575" t="str">
            <v>Dentro del tiempo</v>
          </cell>
        </row>
        <row r="576">
          <cell r="A576">
            <v>38194</v>
          </cell>
          <cell r="B576" t="str">
            <v>Dentro del tiempo</v>
          </cell>
        </row>
        <row r="577">
          <cell r="A577">
            <v>38195</v>
          </cell>
          <cell r="B577" t="str">
            <v>Dentro del tiempo</v>
          </cell>
        </row>
        <row r="578">
          <cell r="A578">
            <v>38196</v>
          </cell>
          <cell r="B578" t="str">
            <v>Dentro del tiempo</v>
          </cell>
        </row>
        <row r="579">
          <cell r="A579">
            <v>38197</v>
          </cell>
          <cell r="B579" t="str">
            <v>Dentro del tiempo</v>
          </cell>
        </row>
        <row r="580">
          <cell r="A580">
            <v>38198</v>
          </cell>
          <cell r="B580" t="str">
            <v>Dentro del tiempo</v>
          </cell>
        </row>
        <row r="581">
          <cell r="A581">
            <v>38199</v>
          </cell>
          <cell r="B581" t="str">
            <v>Dentro del tiempo</v>
          </cell>
        </row>
        <row r="582">
          <cell r="A582">
            <v>38200</v>
          </cell>
          <cell r="B582" t="str">
            <v>Dentro del tiempo</v>
          </cell>
        </row>
        <row r="583">
          <cell r="A583">
            <v>38201</v>
          </cell>
          <cell r="B583" t="str">
            <v>Dentro del tiempo</v>
          </cell>
        </row>
        <row r="584">
          <cell r="A584">
            <v>38202</v>
          </cell>
          <cell r="B584" t="str">
            <v>Dentro del tiempo</v>
          </cell>
        </row>
        <row r="585">
          <cell r="A585">
            <v>38203</v>
          </cell>
          <cell r="B585" t="str">
            <v>Dentro del tiempo</v>
          </cell>
        </row>
        <row r="586">
          <cell r="A586">
            <v>38204</v>
          </cell>
          <cell r="B586" t="str">
            <v>Dentro del tiempo</v>
          </cell>
        </row>
        <row r="587">
          <cell r="A587">
            <v>38205</v>
          </cell>
          <cell r="B587" t="str">
            <v>Dentro del tiempo</v>
          </cell>
        </row>
        <row r="588">
          <cell r="A588">
            <v>38206</v>
          </cell>
          <cell r="B588" t="str">
            <v>Dentro del tiempo</v>
          </cell>
        </row>
        <row r="589">
          <cell r="A589">
            <v>38207</v>
          </cell>
          <cell r="B589" t="str">
            <v>Dentro del tiempo</v>
          </cell>
        </row>
        <row r="590">
          <cell r="A590">
            <v>38208</v>
          </cell>
          <cell r="B590" t="str">
            <v>Dentro del tiempo</v>
          </cell>
        </row>
        <row r="591">
          <cell r="A591">
            <v>38209</v>
          </cell>
          <cell r="B591" t="str">
            <v>Dentro del tiempo</v>
          </cell>
        </row>
        <row r="592">
          <cell r="A592">
            <v>38210</v>
          </cell>
          <cell r="B592" t="str">
            <v>Dentro del tiempo</v>
          </cell>
        </row>
        <row r="593">
          <cell r="A593">
            <v>38211</v>
          </cell>
          <cell r="B593" t="str">
            <v>Dentro del tiempo</v>
          </cell>
        </row>
        <row r="594">
          <cell r="A594">
            <v>38212</v>
          </cell>
          <cell r="B594" t="str">
            <v>Dentro del tiempo</v>
          </cell>
        </row>
        <row r="595">
          <cell r="A595">
            <v>38213</v>
          </cell>
          <cell r="B595" t="str">
            <v>Dentro del tiempo</v>
          </cell>
        </row>
        <row r="596">
          <cell r="A596">
            <v>38214</v>
          </cell>
          <cell r="B596" t="str">
            <v>Dentro del tiempo</v>
          </cell>
        </row>
        <row r="597">
          <cell r="A597">
            <v>38215</v>
          </cell>
          <cell r="B597" t="str">
            <v>Dentro del tiempo</v>
          </cell>
        </row>
        <row r="598">
          <cell r="A598">
            <v>38216</v>
          </cell>
          <cell r="B598" t="str">
            <v>Dentro del tiempo</v>
          </cell>
        </row>
        <row r="599">
          <cell r="A599">
            <v>38217</v>
          </cell>
          <cell r="B599" t="str">
            <v>Dentro del tiempo</v>
          </cell>
        </row>
        <row r="600">
          <cell r="A600">
            <v>38218</v>
          </cell>
          <cell r="B600" t="str">
            <v>Dentro del tiempo</v>
          </cell>
        </row>
        <row r="601">
          <cell r="A601">
            <v>38219</v>
          </cell>
          <cell r="B601" t="str">
            <v>Dentro del tiempo</v>
          </cell>
        </row>
        <row r="602">
          <cell r="A602">
            <v>38220</v>
          </cell>
          <cell r="B602" t="str">
            <v>Dentro del tiempo</v>
          </cell>
        </row>
        <row r="603">
          <cell r="A603">
            <v>38221</v>
          </cell>
          <cell r="B603" t="str">
            <v>Dentro del tiempo</v>
          </cell>
        </row>
        <row r="604">
          <cell r="A604">
            <v>38222</v>
          </cell>
          <cell r="B604" t="str">
            <v>Dentro del tiempo</v>
          </cell>
        </row>
        <row r="605">
          <cell r="A605">
            <v>38223</v>
          </cell>
          <cell r="B605" t="str">
            <v>Dentro del tiempo</v>
          </cell>
        </row>
        <row r="606">
          <cell r="A606">
            <v>38224</v>
          </cell>
          <cell r="B606" t="str">
            <v>Dentro del tiempo</v>
          </cell>
        </row>
        <row r="607">
          <cell r="A607">
            <v>38225</v>
          </cell>
          <cell r="B607" t="str">
            <v>Dentro del tiempo</v>
          </cell>
        </row>
        <row r="608">
          <cell r="A608">
            <v>38226</v>
          </cell>
          <cell r="B608" t="str">
            <v>Dentro del tiempo</v>
          </cell>
        </row>
        <row r="609">
          <cell r="A609">
            <v>38227</v>
          </cell>
          <cell r="B609" t="str">
            <v>Dentro del tiempo</v>
          </cell>
        </row>
        <row r="610">
          <cell r="A610">
            <v>38228</v>
          </cell>
          <cell r="B610" t="str">
            <v>Dentro del tiempo</v>
          </cell>
        </row>
        <row r="611">
          <cell r="A611">
            <v>38229</v>
          </cell>
          <cell r="B611" t="str">
            <v>Dentro del tiempo</v>
          </cell>
        </row>
        <row r="612">
          <cell r="A612">
            <v>38230</v>
          </cell>
          <cell r="B612" t="str">
            <v>Dentro del tiempo</v>
          </cell>
        </row>
        <row r="613">
          <cell r="A613">
            <v>38231</v>
          </cell>
          <cell r="B613" t="str">
            <v>Dentro del tiempo</v>
          </cell>
        </row>
        <row r="614">
          <cell r="A614">
            <v>38232</v>
          </cell>
          <cell r="B614" t="str">
            <v>Dentro del tiempo</v>
          </cell>
        </row>
        <row r="615">
          <cell r="A615">
            <v>38233</v>
          </cell>
          <cell r="B615" t="str">
            <v>Dentro del tiempo</v>
          </cell>
        </row>
        <row r="616">
          <cell r="A616">
            <v>38234</v>
          </cell>
          <cell r="B616" t="str">
            <v>Dentro del tiempo</v>
          </cell>
        </row>
        <row r="617">
          <cell r="A617">
            <v>38235</v>
          </cell>
          <cell r="B617" t="str">
            <v>Dentro del tiempo</v>
          </cell>
        </row>
        <row r="618">
          <cell r="A618">
            <v>38236</v>
          </cell>
          <cell r="B618" t="str">
            <v>Dentro del tiempo</v>
          </cell>
        </row>
        <row r="619">
          <cell r="A619">
            <v>38237</v>
          </cell>
          <cell r="B619" t="str">
            <v>Dentro del tiempo</v>
          </cell>
        </row>
        <row r="620">
          <cell r="A620">
            <v>38238</v>
          </cell>
          <cell r="B620" t="str">
            <v>Dentro del tiempo</v>
          </cell>
        </row>
        <row r="621">
          <cell r="A621">
            <v>38239</v>
          </cell>
          <cell r="B621" t="str">
            <v>Dentro del tiempo</v>
          </cell>
        </row>
        <row r="622">
          <cell r="A622">
            <v>38240</v>
          </cell>
          <cell r="B622" t="str">
            <v>Dentro del tiempo</v>
          </cell>
        </row>
        <row r="623">
          <cell r="A623">
            <v>38241</v>
          </cell>
          <cell r="B623" t="str">
            <v>Dentro del tiempo</v>
          </cell>
        </row>
        <row r="624">
          <cell r="A624">
            <v>38242</v>
          </cell>
          <cell r="B624" t="str">
            <v>Dentro del tiempo</v>
          </cell>
        </row>
        <row r="625">
          <cell r="A625">
            <v>38243</v>
          </cell>
          <cell r="B625" t="str">
            <v>Dentro del tiempo</v>
          </cell>
        </row>
        <row r="626">
          <cell r="A626">
            <v>38244</v>
          </cell>
          <cell r="B626" t="str">
            <v>Dentro del tiempo</v>
          </cell>
        </row>
        <row r="627">
          <cell r="A627">
            <v>38245</v>
          </cell>
          <cell r="B627" t="str">
            <v>Dentro del tiempo</v>
          </cell>
        </row>
        <row r="628">
          <cell r="A628">
            <v>38246</v>
          </cell>
          <cell r="B628" t="str">
            <v>Dentro del tiempo</v>
          </cell>
        </row>
        <row r="629">
          <cell r="A629">
            <v>38247</v>
          </cell>
          <cell r="B629" t="str">
            <v>Dentro del tiempo</v>
          </cell>
        </row>
        <row r="630">
          <cell r="A630">
            <v>38248</v>
          </cell>
          <cell r="B630" t="str">
            <v>Dentro del tiempo</v>
          </cell>
        </row>
        <row r="631">
          <cell r="A631">
            <v>38249</v>
          </cell>
          <cell r="B631" t="str">
            <v>Dentro del tiempo</v>
          </cell>
        </row>
        <row r="632">
          <cell r="A632">
            <v>38250</v>
          </cell>
          <cell r="B632" t="str">
            <v>Dentro del tiempo</v>
          </cell>
        </row>
        <row r="633">
          <cell r="A633">
            <v>38251</v>
          </cell>
          <cell r="B633" t="str">
            <v>Dentro del tiempo</v>
          </cell>
        </row>
        <row r="634">
          <cell r="A634">
            <v>38252</v>
          </cell>
          <cell r="B634" t="str">
            <v>Dentro del tiempo</v>
          </cell>
        </row>
        <row r="635">
          <cell r="A635">
            <v>38253</v>
          </cell>
          <cell r="B635" t="str">
            <v>Dentro del tiempo</v>
          </cell>
        </row>
        <row r="636">
          <cell r="A636">
            <v>38254</v>
          </cell>
          <cell r="B636" t="str">
            <v>Dentro del tiempo</v>
          </cell>
        </row>
        <row r="637">
          <cell r="A637">
            <v>38255</v>
          </cell>
          <cell r="B637" t="str">
            <v>Dentro del tiempo</v>
          </cell>
        </row>
        <row r="638">
          <cell r="A638">
            <v>38256</v>
          </cell>
          <cell r="B638" t="str">
            <v>Dentro del tiempo</v>
          </cell>
        </row>
        <row r="639">
          <cell r="A639">
            <v>38257</v>
          </cell>
          <cell r="B639" t="str">
            <v>Dentro del tiempo</v>
          </cell>
        </row>
        <row r="640">
          <cell r="A640">
            <v>38258</v>
          </cell>
          <cell r="B640" t="str">
            <v>Dentro del tiempo</v>
          </cell>
        </row>
        <row r="641">
          <cell r="A641">
            <v>38259</v>
          </cell>
          <cell r="B641" t="str">
            <v>Dentro del tiempo</v>
          </cell>
        </row>
        <row r="642">
          <cell r="A642">
            <v>38260</v>
          </cell>
          <cell r="B642" t="str">
            <v>Dentro del tiempo</v>
          </cell>
        </row>
        <row r="643">
          <cell r="A643">
            <v>38261</v>
          </cell>
          <cell r="B643" t="str">
            <v>Dentro del tiempo</v>
          </cell>
        </row>
        <row r="644">
          <cell r="A644">
            <v>38262</v>
          </cell>
          <cell r="B644" t="str">
            <v>Dentro del tiempo</v>
          </cell>
        </row>
        <row r="645">
          <cell r="A645">
            <v>38263</v>
          </cell>
          <cell r="B645" t="str">
            <v>Dentro del tiempo</v>
          </cell>
        </row>
        <row r="646">
          <cell r="A646">
            <v>38264</v>
          </cell>
          <cell r="B646" t="str">
            <v>Dentro del tiempo</v>
          </cell>
        </row>
        <row r="647">
          <cell r="A647">
            <v>38265</v>
          </cell>
          <cell r="B647" t="str">
            <v>Dentro del tiempo</v>
          </cell>
        </row>
        <row r="648">
          <cell r="A648">
            <v>38266</v>
          </cell>
          <cell r="B648" t="str">
            <v>Dentro del tiempo</v>
          </cell>
        </row>
        <row r="649">
          <cell r="A649">
            <v>38267</v>
          </cell>
          <cell r="B649" t="str">
            <v>Dentro del tiempo</v>
          </cell>
        </row>
        <row r="650">
          <cell r="A650">
            <v>38268</v>
          </cell>
          <cell r="B650" t="str">
            <v>Dentro del tiempo</v>
          </cell>
        </row>
        <row r="651">
          <cell r="A651">
            <v>38269</v>
          </cell>
          <cell r="B651" t="str">
            <v>Dentro del tiempo</v>
          </cell>
        </row>
        <row r="652">
          <cell r="A652">
            <v>38270</v>
          </cell>
          <cell r="B652" t="str">
            <v>Dentro del tiempo</v>
          </cell>
        </row>
        <row r="653">
          <cell r="A653">
            <v>38271</v>
          </cell>
          <cell r="B653" t="str">
            <v>Dentro del tiempo</v>
          </cell>
        </row>
        <row r="654">
          <cell r="A654">
            <v>38272</v>
          </cell>
          <cell r="B654" t="str">
            <v>Dentro del tiempo</v>
          </cell>
        </row>
        <row r="655">
          <cell r="A655">
            <v>38273</v>
          </cell>
          <cell r="B655" t="str">
            <v>Dentro del tiempo</v>
          </cell>
        </row>
        <row r="656">
          <cell r="A656">
            <v>38274</v>
          </cell>
          <cell r="B656" t="str">
            <v>Dentro del tiempo</v>
          </cell>
        </row>
        <row r="657">
          <cell r="A657">
            <v>38275</v>
          </cell>
          <cell r="B657" t="str">
            <v>Dentro del tiempo</v>
          </cell>
        </row>
        <row r="658">
          <cell r="A658">
            <v>38276</v>
          </cell>
          <cell r="B658" t="str">
            <v>Dentro del tiempo</v>
          </cell>
        </row>
        <row r="659">
          <cell r="A659">
            <v>38277</v>
          </cell>
          <cell r="B659" t="str">
            <v>Dentro del tiempo</v>
          </cell>
        </row>
        <row r="660">
          <cell r="A660">
            <v>38278</v>
          </cell>
          <cell r="B660" t="str">
            <v>Dentro del tiempo</v>
          </cell>
        </row>
        <row r="661">
          <cell r="A661">
            <v>38279</v>
          </cell>
          <cell r="B661" t="str">
            <v>Dentro del tiempo</v>
          </cell>
        </row>
        <row r="662">
          <cell r="A662">
            <v>38280</v>
          </cell>
          <cell r="B662" t="str">
            <v>Dentro del tiempo</v>
          </cell>
        </row>
        <row r="663">
          <cell r="A663">
            <v>38281</v>
          </cell>
          <cell r="B663" t="str">
            <v>Dentro del tiempo</v>
          </cell>
        </row>
        <row r="664">
          <cell r="A664">
            <v>38282</v>
          </cell>
          <cell r="B664" t="str">
            <v>Dentro del tiempo</v>
          </cell>
        </row>
        <row r="665">
          <cell r="A665">
            <v>38283</v>
          </cell>
          <cell r="B665" t="str">
            <v>Dentro del tiempo</v>
          </cell>
        </row>
        <row r="666">
          <cell r="A666">
            <v>38284</v>
          </cell>
          <cell r="B666" t="str">
            <v>Dentro del tiempo</v>
          </cell>
        </row>
        <row r="667">
          <cell r="A667">
            <v>38285</v>
          </cell>
          <cell r="B667" t="str">
            <v>Dentro del tiempo</v>
          </cell>
        </row>
        <row r="668">
          <cell r="A668">
            <v>38286</v>
          </cell>
          <cell r="B668" t="str">
            <v>Dentro del tiempo</v>
          </cell>
        </row>
        <row r="669">
          <cell r="A669">
            <v>38287</v>
          </cell>
          <cell r="B669" t="str">
            <v>Dentro del tiempo</v>
          </cell>
        </row>
        <row r="670">
          <cell r="A670">
            <v>38288</v>
          </cell>
          <cell r="B670" t="str">
            <v>Dentro del tiempo</v>
          </cell>
        </row>
        <row r="671">
          <cell r="A671">
            <v>38289</v>
          </cell>
          <cell r="B671" t="str">
            <v>Dentro del tiempo</v>
          </cell>
        </row>
        <row r="672">
          <cell r="A672">
            <v>38290</v>
          </cell>
          <cell r="B672" t="str">
            <v>Dentro del tiempo</v>
          </cell>
        </row>
        <row r="673">
          <cell r="A673">
            <v>38291</v>
          </cell>
          <cell r="B673" t="str">
            <v>Dentro del tiempo</v>
          </cell>
        </row>
        <row r="674">
          <cell r="A674">
            <v>38292</v>
          </cell>
          <cell r="B674" t="str">
            <v>Dentro del tiempo</v>
          </cell>
        </row>
        <row r="675">
          <cell r="A675">
            <v>38293</v>
          </cell>
          <cell r="B675" t="str">
            <v>Dentro del tiempo</v>
          </cell>
        </row>
        <row r="676">
          <cell r="A676">
            <v>38294</v>
          </cell>
          <cell r="B676" t="str">
            <v>Dentro del tiempo</v>
          </cell>
        </row>
        <row r="677">
          <cell r="A677">
            <v>38295</v>
          </cell>
          <cell r="B677" t="str">
            <v>Dentro del tiempo</v>
          </cell>
        </row>
        <row r="678">
          <cell r="A678">
            <v>38296</v>
          </cell>
          <cell r="B678" t="str">
            <v>Dentro del tiempo</v>
          </cell>
        </row>
        <row r="679">
          <cell r="A679">
            <v>38297</v>
          </cell>
          <cell r="B679" t="str">
            <v>Dentro del tiempo</v>
          </cell>
        </row>
        <row r="680">
          <cell r="A680">
            <v>38298</v>
          </cell>
          <cell r="B680" t="str">
            <v>Dentro del tiempo</v>
          </cell>
        </row>
        <row r="681">
          <cell r="A681">
            <v>38299</v>
          </cell>
          <cell r="B681" t="str">
            <v>Dentro del tiempo</v>
          </cell>
        </row>
        <row r="682">
          <cell r="A682">
            <v>38300</v>
          </cell>
          <cell r="B682" t="str">
            <v>Dentro del tiempo</v>
          </cell>
        </row>
        <row r="683">
          <cell r="A683">
            <v>38301</v>
          </cell>
          <cell r="B683" t="str">
            <v>Dentro del tiempo</v>
          </cell>
        </row>
        <row r="684">
          <cell r="A684">
            <v>38302</v>
          </cell>
          <cell r="B684" t="str">
            <v>Dentro del tiempo</v>
          </cell>
        </row>
        <row r="685">
          <cell r="A685">
            <v>38303</v>
          </cell>
          <cell r="B685" t="str">
            <v>Dentro del tiempo</v>
          </cell>
        </row>
        <row r="686">
          <cell r="A686">
            <v>38304</v>
          </cell>
          <cell r="B686" t="str">
            <v>Dentro del tiempo</v>
          </cell>
        </row>
        <row r="687">
          <cell r="A687">
            <v>38305</v>
          </cell>
          <cell r="B687" t="str">
            <v>Dentro del tiempo</v>
          </cell>
        </row>
        <row r="688">
          <cell r="A688">
            <v>38306</v>
          </cell>
          <cell r="B688" t="str">
            <v>Dentro del tiempo</v>
          </cell>
        </row>
        <row r="689">
          <cell r="A689">
            <v>38307</v>
          </cell>
          <cell r="B689" t="str">
            <v>Dentro del tiempo</v>
          </cell>
        </row>
        <row r="690">
          <cell r="A690">
            <v>38308</v>
          </cell>
          <cell r="B690" t="str">
            <v>Dentro del tiempo</v>
          </cell>
        </row>
        <row r="691">
          <cell r="A691">
            <v>38309</v>
          </cell>
          <cell r="B691" t="str">
            <v>Dentro del tiempo</v>
          </cell>
        </row>
        <row r="692">
          <cell r="A692">
            <v>38310</v>
          </cell>
          <cell r="B692" t="str">
            <v>Dentro del tiempo</v>
          </cell>
        </row>
        <row r="693">
          <cell r="A693">
            <v>38311</v>
          </cell>
          <cell r="B693" t="str">
            <v>Dentro del tiempo</v>
          </cell>
        </row>
        <row r="694">
          <cell r="A694">
            <v>38312</v>
          </cell>
          <cell r="B694" t="str">
            <v>Dentro del tiempo</v>
          </cell>
        </row>
        <row r="695">
          <cell r="A695">
            <v>38313</v>
          </cell>
          <cell r="B695" t="str">
            <v>Dentro del tiempo</v>
          </cell>
        </row>
        <row r="696">
          <cell r="A696">
            <v>38314</v>
          </cell>
          <cell r="B696" t="str">
            <v>Dentro del tiempo</v>
          </cell>
        </row>
        <row r="697">
          <cell r="A697">
            <v>38315</v>
          </cell>
          <cell r="B697" t="str">
            <v>Dentro del tiempo</v>
          </cell>
        </row>
        <row r="698">
          <cell r="A698">
            <v>38316</v>
          </cell>
          <cell r="B698" t="str">
            <v>Dentro del tiempo</v>
          </cell>
        </row>
        <row r="699">
          <cell r="A699">
            <v>38317</v>
          </cell>
          <cell r="B699" t="str">
            <v>Dentro del tiempo</v>
          </cell>
        </row>
        <row r="700">
          <cell r="A700">
            <v>38318</v>
          </cell>
          <cell r="B700" t="str">
            <v>Dentro del tiempo</v>
          </cell>
        </row>
        <row r="701">
          <cell r="A701">
            <v>38319</v>
          </cell>
          <cell r="B701" t="str">
            <v>Dentro del tiempo</v>
          </cell>
        </row>
        <row r="702">
          <cell r="A702">
            <v>38320</v>
          </cell>
          <cell r="B702" t="str">
            <v>Dentro del tiempo</v>
          </cell>
        </row>
        <row r="703">
          <cell r="A703">
            <v>38321</v>
          </cell>
          <cell r="B703" t="str">
            <v>Dentro del tiempo</v>
          </cell>
        </row>
        <row r="704">
          <cell r="A704">
            <v>38322</v>
          </cell>
          <cell r="B704" t="str">
            <v>Dentro del tiempo</v>
          </cell>
        </row>
        <row r="705">
          <cell r="A705">
            <v>38323</v>
          </cell>
          <cell r="B705" t="str">
            <v>Dentro del tiempo</v>
          </cell>
        </row>
        <row r="706">
          <cell r="A706">
            <v>38324</v>
          </cell>
          <cell r="B706" t="str">
            <v>Dentro del tiempo</v>
          </cell>
        </row>
        <row r="707">
          <cell r="A707">
            <v>38325</v>
          </cell>
          <cell r="B707" t="str">
            <v>Dentro del tiempo</v>
          </cell>
        </row>
        <row r="708">
          <cell r="A708">
            <v>38326</v>
          </cell>
          <cell r="B708" t="str">
            <v>Dentro del tiempo</v>
          </cell>
        </row>
        <row r="709">
          <cell r="A709">
            <v>38327</v>
          </cell>
          <cell r="B709" t="str">
            <v>Dentro del tiempo</v>
          </cell>
        </row>
        <row r="710">
          <cell r="A710">
            <v>38328</v>
          </cell>
          <cell r="B710" t="str">
            <v>Dentro del tiempo</v>
          </cell>
        </row>
        <row r="711">
          <cell r="A711">
            <v>38329</v>
          </cell>
          <cell r="B711" t="str">
            <v>Dentro del tiempo</v>
          </cell>
        </row>
        <row r="712">
          <cell r="A712">
            <v>38330</v>
          </cell>
          <cell r="B712" t="str">
            <v>Dentro del tiempo</v>
          </cell>
        </row>
        <row r="713">
          <cell r="A713">
            <v>38331</v>
          </cell>
          <cell r="B713" t="str">
            <v>Dentro del tiempo</v>
          </cell>
        </row>
        <row r="714">
          <cell r="A714">
            <v>38332</v>
          </cell>
          <cell r="B714" t="str">
            <v>Dentro del tiempo</v>
          </cell>
        </row>
        <row r="715">
          <cell r="A715">
            <v>38333</v>
          </cell>
          <cell r="B715" t="str">
            <v>Dentro del tiempo</v>
          </cell>
        </row>
        <row r="716">
          <cell r="A716">
            <v>38334</v>
          </cell>
          <cell r="B716" t="str">
            <v>Dentro del tiempo</v>
          </cell>
        </row>
        <row r="717">
          <cell r="A717">
            <v>38335</v>
          </cell>
          <cell r="B717" t="str">
            <v>Dentro del tiempo</v>
          </cell>
        </row>
        <row r="718">
          <cell r="A718">
            <v>38336</v>
          </cell>
          <cell r="B718" t="str">
            <v>Dentro del tiempo</v>
          </cell>
        </row>
        <row r="719">
          <cell r="A719">
            <v>38337</v>
          </cell>
          <cell r="B719" t="str">
            <v>Dentro del tiempo</v>
          </cell>
        </row>
        <row r="720">
          <cell r="A720">
            <v>38338</v>
          </cell>
          <cell r="B720" t="str">
            <v>Dentro del tiempo</v>
          </cell>
        </row>
        <row r="721">
          <cell r="A721">
            <v>38339</v>
          </cell>
          <cell r="B721" t="str">
            <v>Dentro del tiempo</v>
          </cell>
        </row>
        <row r="722">
          <cell r="A722">
            <v>38340</v>
          </cell>
          <cell r="B722" t="str">
            <v>Dentro del tiempo</v>
          </cell>
        </row>
        <row r="723">
          <cell r="A723">
            <v>38341</v>
          </cell>
          <cell r="B723" t="str">
            <v>Dentro del tiempo</v>
          </cell>
        </row>
        <row r="724">
          <cell r="A724">
            <v>38342</v>
          </cell>
          <cell r="B724" t="str">
            <v>Dentro del tiempo</v>
          </cell>
        </row>
        <row r="725">
          <cell r="A725">
            <v>38343</v>
          </cell>
          <cell r="B725" t="str">
            <v>Dentro del tiempo</v>
          </cell>
        </row>
        <row r="726">
          <cell r="A726">
            <v>38344</v>
          </cell>
          <cell r="B726" t="str">
            <v>Dentro del tiempo</v>
          </cell>
        </row>
        <row r="727">
          <cell r="A727">
            <v>38345</v>
          </cell>
          <cell r="B727" t="str">
            <v>Dentro del tiempo</v>
          </cell>
        </row>
        <row r="728">
          <cell r="A728">
            <v>38346</v>
          </cell>
          <cell r="B728" t="str">
            <v>Dentro del tiempo</v>
          </cell>
        </row>
        <row r="729">
          <cell r="A729">
            <v>38347</v>
          </cell>
          <cell r="B729" t="str">
            <v>Dentro del tiempo</v>
          </cell>
        </row>
        <row r="730">
          <cell r="A730">
            <v>38348</v>
          </cell>
          <cell r="B730" t="str">
            <v>Dentro del tiempo</v>
          </cell>
        </row>
        <row r="731">
          <cell r="A731">
            <v>38349</v>
          </cell>
          <cell r="B731" t="str">
            <v>Dentro del tiempo</v>
          </cell>
        </row>
        <row r="732">
          <cell r="A732">
            <v>38350</v>
          </cell>
          <cell r="B732" t="str">
            <v>Dentro del tiempo</v>
          </cell>
        </row>
        <row r="733">
          <cell r="A733">
            <v>38351</v>
          </cell>
          <cell r="B733" t="str">
            <v>Dentro del tiempo</v>
          </cell>
        </row>
        <row r="734">
          <cell r="A734">
            <v>38352</v>
          </cell>
          <cell r="B734" t="str">
            <v>Dentro del tiempo</v>
          </cell>
        </row>
        <row r="735">
          <cell r="A735">
            <v>38353</v>
          </cell>
          <cell r="B735" t="str">
            <v>Dentro del tiempo</v>
          </cell>
        </row>
        <row r="736">
          <cell r="A736">
            <v>38354</v>
          </cell>
          <cell r="B736" t="str">
            <v>Dentro del tiempo</v>
          </cell>
        </row>
        <row r="737">
          <cell r="A737">
            <v>38355</v>
          </cell>
          <cell r="B737" t="str">
            <v>Dentro del tiempo</v>
          </cell>
        </row>
        <row r="738">
          <cell r="A738">
            <v>38356</v>
          </cell>
          <cell r="B738" t="str">
            <v>Dentro del tiempo</v>
          </cell>
        </row>
        <row r="739">
          <cell r="A739">
            <v>38357</v>
          </cell>
          <cell r="B739" t="str">
            <v>Dentro del tiempo</v>
          </cell>
        </row>
        <row r="740">
          <cell r="A740">
            <v>38358</v>
          </cell>
          <cell r="B740" t="str">
            <v>Dentro del tiempo</v>
          </cell>
        </row>
        <row r="741">
          <cell r="A741">
            <v>38359</v>
          </cell>
          <cell r="B741" t="str">
            <v>Dentro del tiempo</v>
          </cell>
        </row>
        <row r="742">
          <cell r="A742">
            <v>38360</v>
          </cell>
          <cell r="B742" t="str">
            <v>Dentro del tiempo</v>
          </cell>
        </row>
        <row r="743">
          <cell r="A743">
            <v>38361</v>
          </cell>
          <cell r="B743" t="str">
            <v>Dentro del tiempo</v>
          </cell>
        </row>
        <row r="744">
          <cell r="A744">
            <v>38362</v>
          </cell>
          <cell r="B744" t="str">
            <v>Dentro del tiempo</v>
          </cell>
        </row>
        <row r="745">
          <cell r="A745">
            <v>38363</v>
          </cell>
          <cell r="B745" t="str">
            <v>Dentro del tiempo</v>
          </cell>
        </row>
        <row r="746">
          <cell r="A746">
            <v>38364</v>
          </cell>
          <cell r="B746" t="str">
            <v>Dentro del tiempo</v>
          </cell>
        </row>
        <row r="747">
          <cell r="A747">
            <v>38365</v>
          </cell>
          <cell r="B747" t="str">
            <v>Dentro del tiempo</v>
          </cell>
        </row>
        <row r="748">
          <cell r="A748">
            <v>38366</v>
          </cell>
          <cell r="B748" t="str">
            <v>Dentro del tiempo</v>
          </cell>
        </row>
        <row r="749">
          <cell r="A749">
            <v>38367</v>
          </cell>
          <cell r="B749" t="str">
            <v>Dentro del tiempo</v>
          </cell>
        </row>
        <row r="750">
          <cell r="A750">
            <v>38368</v>
          </cell>
          <cell r="B750" t="str">
            <v>Dentro del tiempo</v>
          </cell>
        </row>
        <row r="751">
          <cell r="A751">
            <v>38369</v>
          </cell>
          <cell r="B751" t="str">
            <v>Dentro del tiempo</v>
          </cell>
        </row>
        <row r="752">
          <cell r="A752">
            <v>38370</v>
          </cell>
          <cell r="B752" t="str">
            <v>Dentro del tiempo</v>
          </cell>
        </row>
        <row r="753">
          <cell r="A753">
            <v>38371</v>
          </cell>
          <cell r="B753" t="str">
            <v>Dentro del tiempo</v>
          </cell>
        </row>
        <row r="754">
          <cell r="A754">
            <v>38372</v>
          </cell>
          <cell r="B754" t="str">
            <v>Dentro del tiempo</v>
          </cell>
        </row>
        <row r="755">
          <cell r="A755">
            <v>38373</v>
          </cell>
          <cell r="B755" t="str">
            <v>Dentro del tiempo</v>
          </cell>
        </row>
        <row r="756">
          <cell r="A756">
            <v>38374</v>
          </cell>
          <cell r="B756" t="str">
            <v>Dentro del tiempo</v>
          </cell>
        </row>
        <row r="757">
          <cell r="A757">
            <v>38375</v>
          </cell>
          <cell r="B757" t="str">
            <v>Dentro del tiempo</v>
          </cell>
        </row>
        <row r="758">
          <cell r="A758">
            <v>38376</v>
          </cell>
          <cell r="B758" t="str">
            <v>Dentro del tiempo</v>
          </cell>
        </row>
        <row r="759">
          <cell r="A759">
            <v>38377</v>
          </cell>
          <cell r="B759" t="str">
            <v>Dentro del tiempo</v>
          </cell>
        </row>
        <row r="760">
          <cell r="A760">
            <v>38378</v>
          </cell>
          <cell r="B760" t="str">
            <v>Dentro del tiempo</v>
          </cell>
        </row>
        <row r="761">
          <cell r="A761">
            <v>38379</v>
          </cell>
          <cell r="B761" t="str">
            <v>Dentro del tiempo</v>
          </cell>
        </row>
        <row r="762">
          <cell r="A762">
            <v>38380</v>
          </cell>
          <cell r="B762" t="str">
            <v>Dentro del tiempo</v>
          </cell>
        </row>
        <row r="763">
          <cell r="A763">
            <v>38381</v>
          </cell>
          <cell r="B763" t="str">
            <v>Dentro del tiempo</v>
          </cell>
        </row>
        <row r="764">
          <cell r="A764">
            <v>38382</v>
          </cell>
          <cell r="B764" t="str">
            <v>Dentro del tiempo</v>
          </cell>
        </row>
        <row r="765">
          <cell r="A765">
            <v>38383</v>
          </cell>
          <cell r="B765" t="str">
            <v>Dentro del tiempo</v>
          </cell>
        </row>
        <row r="766">
          <cell r="A766">
            <v>38384</v>
          </cell>
          <cell r="B766" t="str">
            <v>Dentro del tiempo</v>
          </cell>
        </row>
        <row r="767">
          <cell r="A767">
            <v>38385</v>
          </cell>
          <cell r="B767" t="str">
            <v>Dentro del tiempo</v>
          </cell>
        </row>
        <row r="768">
          <cell r="A768">
            <v>38386</v>
          </cell>
          <cell r="B768" t="str">
            <v>Dentro del tiempo</v>
          </cell>
        </row>
        <row r="769">
          <cell r="A769">
            <v>38387</v>
          </cell>
          <cell r="B769" t="str">
            <v>Dentro del tiempo</v>
          </cell>
        </row>
        <row r="770">
          <cell r="A770">
            <v>38388</v>
          </cell>
          <cell r="B770" t="str">
            <v>Dentro del tiempo</v>
          </cell>
        </row>
        <row r="771">
          <cell r="A771">
            <v>38389</v>
          </cell>
          <cell r="B771" t="str">
            <v>Dentro del tiempo</v>
          </cell>
        </row>
        <row r="772">
          <cell r="A772">
            <v>38390</v>
          </cell>
          <cell r="B772" t="str">
            <v>Dentro del tiempo</v>
          </cell>
        </row>
        <row r="773">
          <cell r="A773">
            <v>38391</v>
          </cell>
          <cell r="B773" t="str">
            <v>Dentro del tiempo</v>
          </cell>
        </row>
        <row r="774">
          <cell r="A774">
            <v>38392</v>
          </cell>
          <cell r="B774" t="str">
            <v>Dentro del tiempo</v>
          </cell>
        </row>
        <row r="775">
          <cell r="A775">
            <v>38393</v>
          </cell>
          <cell r="B775" t="str">
            <v>Dentro del tiempo</v>
          </cell>
        </row>
        <row r="776">
          <cell r="A776">
            <v>38394</v>
          </cell>
          <cell r="B776" t="str">
            <v>Dentro del tiempo</v>
          </cell>
        </row>
        <row r="777">
          <cell r="A777">
            <v>38395</v>
          </cell>
          <cell r="B777" t="str">
            <v>Dentro del tiempo</v>
          </cell>
        </row>
        <row r="778">
          <cell r="A778">
            <v>38396</v>
          </cell>
          <cell r="B778" t="str">
            <v>Dentro del tiempo</v>
          </cell>
        </row>
        <row r="779">
          <cell r="A779">
            <v>38397</v>
          </cell>
          <cell r="B779" t="str">
            <v>Dentro del tiempo</v>
          </cell>
        </row>
        <row r="780">
          <cell r="A780">
            <v>38398</v>
          </cell>
          <cell r="B780" t="str">
            <v>Dentro del tiempo</v>
          </cell>
        </row>
        <row r="781">
          <cell r="A781">
            <v>38399</v>
          </cell>
          <cell r="B781" t="str">
            <v>Dentro del tiempo</v>
          </cell>
        </row>
        <row r="782">
          <cell r="A782">
            <v>38400</v>
          </cell>
          <cell r="B782" t="str">
            <v>Dentro del tiempo</v>
          </cell>
        </row>
        <row r="783">
          <cell r="A783">
            <v>38401</v>
          </cell>
          <cell r="B783" t="str">
            <v>Dentro del tiempo</v>
          </cell>
        </row>
        <row r="784">
          <cell r="A784">
            <v>38402</v>
          </cell>
          <cell r="B784" t="str">
            <v>Dentro del tiempo</v>
          </cell>
        </row>
        <row r="785">
          <cell r="A785">
            <v>38403</v>
          </cell>
          <cell r="B785" t="str">
            <v>Dentro del tiempo</v>
          </cell>
        </row>
        <row r="786">
          <cell r="A786">
            <v>38404</v>
          </cell>
          <cell r="B786" t="str">
            <v>Dentro del tiempo</v>
          </cell>
        </row>
        <row r="787">
          <cell r="A787">
            <v>38405</v>
          </cell>
          <cell r="B787" t="str">
            <v>Dentro del tiempo</v>
          </cell>
        </row>
        <row r="788">
          <cell r="A788">
            <v>38406</v>
          </cell>
          <cell r="B788" t="str">
            <v>Dentro del tiempo</v>
          </cell>
        </row>
        <row r="789">
          <cell r="A789">
            <v>38407</v>
          </cell>
          <cell r="B789" t="str">
            <v>Dentro del tiempo</v>
          </cell>
        </row>
        <row r="790">
          <cell r="A790">
            <v>38408</v>
          </cell>
          <cell r="B790" t="str">
            <v>Dentro del tiempo</v>
          </cell>
        </row>
        <row r="791">
          <cell r="A791">
            <v>38409</v>
          </cell>
          <cell r="B791" t="str">
            <v>Dentro del tiempo</v>
          </cell>
        </row>
        <row r="792">
          <cell r="A792">
            <v>38410</v>
          </cell>
          <cell r="B792" t="str">
            <v>Dentro del tiempo</v>
          </cell>
        </row>
        <row r="793">
          <cell r="A793">
            <v>38411</v>
          </cell>
          <cell r="B793" t="str">
            <v>Dentro del tiempo</v>
          </cell>
        </row>
        <row r="794">
          <cell r="A794">
            <v>38412</v>
          </cell>
          <cell r="B794" t="str">
            <v>Dentro del tiempo</v>
          </cell>
        </row>
        <row r="795">
          <cell r="A795">
            <v>38413</v>
          </cell>
          <cell r="B795" t="str">
            <v>Dentro del tiempo</v>
          </cell>
        </row>
        <row r="796">
          <cell r="A796">
            <v>38414</v>
          </cell>
          <cell r="B796" t="str">
            <v>Dentro del tiempo</v>
          </cell>
        </row>
        <row r="797">
          <cell r="A797">
            <v>38415</v>
          </cell>
          <cell r="B797" t="str">
            <v>Dentro del tiempo</v>
          </cell>
        </row>
        <row r="798">
          <cell r="A798">
            <v>38416</v>
          </cell>
          <cell r="B798" t="str">
            <v>Dentro del tiempo</v>
          </cell>
        </row>
        <row r="799">
          <cell r="A799">
            <v>38417</v>
          </cell>
          <cell r="B799" t="str">
            <v>Dentro del tiempo</v>
          </cell>
        </row>
        <row r="800">
          <cell r="A800">
            <v>38418</v>
          </cell>
          <cell r="B800" t="str">
            <v>Dentro del tiempo</v>
          </cell>
        </row>
        <row r="801">
          <cell r="A801">
            <v>38419</v>
          </cell>
          <cell r="B801" t="str">
            <v>Dentro del tiempo</v>
          </cell>
        </row>
        <row r="802">
          <cell r="A802">
            <v>38420</v>
          </cell>
          <cell r="B802" t="str">
            <v>Dentro del tiempo</v>
          </cell>
        </row>
        <row r="803">
          <cell r="A803">
            <v>38421</v>
          </cell>
          <cell r="B803" t="str">
            <v>Dentro del tiempo</v>
          </cell>
        </row>
        <row r="804">
          <cell r="A804">
            <v>38422</v>
          </cell>
          <cell r="B804" t="str">
            <v>Dentro del tiempo</v>
          </cell>
        </row>
        <row r="805">
          <cell r="A805">
            <v>38423</v>
          </cell>
          <cell r="B805" t="str">
            <v>Dentro del tiempo</v>
          </cell>
        </row>
        <row r="806">
          <cell r="A806">
            <v>38424</v>
          </cell>
          <cell r="B806" t="str">
            <v>Dentro del tiempo</v>
          </cell>
        </row>
        <row r="807">
          <cell r="A807">
            <v>38425</v>
          </cell>
          <cell r="B807" t="str">
            <v>Dentro del tiempo</v>
          </cell>
        </row>
        <row r="808">
          <cell r="A808">
            <v>38426</v>
          </cell>
          <cell r="B808" t="str">
            <v>Dentro del tiempo</v>
          </cell>
        </row>
        <row r="809">
          <cell r="A809">
            <v>38427</v>
          </cell>
          <cell r="B809" t="str">
            <v>Dentro del tiempo</v>
          </cell>
        </row>
        <row r="810">
          <cell r="A810">
            <v>38428</v>
          </cell>
          <cell r="B810" t="str">
            <v>Dentro del tiempo</v>
          </cell>
        </row>
        <row r="811">
          <cell r="A811">
            <v>38429</v>
          </cell>
          <cell r="B811" t="str">
            <v>Dentro del tiempo</v>
          </cell>
        </row>
        <row r="812">
          <cell r="A812">
            <v>38430</v>
          </cell>
          <cell r="B812" t="str">
            <v>Dentro del tiempo</v>
          </cell>
        </row>
        <row r="813">
          <cell r="A813">
            <v>38431</v>
          </cell>
          <cell r="B813" t="str">
            <v>Dentro del tiempo</v>
          </cell>
        </row>
        <row r="814">
          <cell r="A814">
            <v>38432</v>
          </cell>
          <cell r="B814" t="str">
            <v>Dentro del tiempo</v>
          </cell>
        </row>
        <row r="815">
          <cell r="A815">
            <v>38433</v>
          </cell>
          <cell r="B815" t="str">
            <v>Dentro del tiempo</v>
          </cell>
        </row>
        <row r="816">
          <cell r="A816">
            <v>38434</v>
          </cell>
          <cell r="B816" t="str">
            <v>Dentro del tiempo</v>
          </cell>
        </row>
        <row r="817">
          <cell r="A817">
            <v>38435</v>
          </cell>
          <cell r="B817" t="str">
            <v>Dentro del tiempo</v>
          </cell>
        </row>
        <row r="818">
          <cell r="A818">
            <v>38436</v>
          </cell>
          <cell r="B818" t="str">
            <v>Dentro del tiempo</v>
          </cell>
        </row>
        <row r="819">
          <cell r="A819">
            <v>38437</v>
          </cell>
          <cell r="B819" t="str">
            <v>Dentro del tiempo</v>
          </cell>
        </row>
        <row r="820">
          <cell r="A820">
            <v>38438</v>
          </cell>
          <cell r="B820" t="str">
            <v>Dentro del tiempo</v>
          </cell>
        </row>
        <row r="821">
          <cell r="A821">
            <v>38439</v>
          </cell>
          <cell r="B821" t="str">
            <v>Dentro del tiempo</v>
          </cell>
        </row>
        <row r="822">
          <cell r="A822">
            <v>38440</v>
          </cell>
          <cell r="B822" t="str">
            <v>Dentro del tiempo</v>
          </cell>
        </row>
        <row r="823">
          <cell r="A823">
            <v>38441</v>
          </cell>
          <cell r="B823" t="str">
            <v>Dentro del tiempo</v>
          </cell>
        </row>
        <row r="824">
          <cell r="A824">
            <v>38442</v>
          </cell>
          <cell r="B824" t="str">
            <v>Dentro del tiempo</v>
          </cell>
        </row>
        <row r="825">
          <cell r="A825">
            <v>38443</v>
          </cell>
          <cell r="B825" t="str">
            <v>Dentro del tiempo</v>
          </cell>
        </row>
        <row r="826">
          <cell r="A826">
            <v>38444</v>
          </cell>
          <cell r="B826" t="str">
            <v>Dentro del tiempo</v>
          </cell>
        </row>
        <row r="827">
          <cell r="A827">
            <v>38445</v>
          </cell>
          <cell r="B827" t="str">
            <v>Dentro del tiempo</v>
          </cell>
        </row>
        <row r="828">
          <cell r="A828">
            <v>38446</v>
          </cell>
          <cell r="B828" t="str">
            <v>Dentro del tiempo</v>
          </cell>
        </row>
        <row r="829">
          <cell r="A829">
            <v>38447</v>
          </cell>
          <cell r="B829" t="str">
            <v>Dentro del tiempo</v>
          </cell>
        </row>
        <row r="830">
          <cell r="A830">
            <v>38448</v>
          </cell>
          <cell r="B830" t="str">
            <v>Dentro del tiempo</v>
          </cell>
        </row>
        <row r="831">
          <cell r="A831">
            <v>38449</v>
          </cell>
          <cell r="B831" t="str">
            <v>Dentro del tiempo</v>
          </cell>
        </row>
        <row r="832">
          <cell r="A832">
            <v>38450</v>
          </cell>
          <cell r="B832" t="str">
            <v>Dentro del tiempo</v>
          </cell>
        </row>
        <row r="833">
          <cell r="A833">
            <v>38451</v>
          </cell>
          <cell r="B833" t="str">
            <v>Dentro del tiempo</v>
          </cell>
        </row>
        <row r="834">
          <cell r="A834">
            <v>38452</v>
          </cell>
          <cell r="B834" t="str">
            <v>Dentro del tiempo</v>
          </cell>
        </row>
        <row r="835">
          <cell r="A835">
            <v>38453</v>
          </cell>
          <cell r="B835" t="str">
            <v>Dentro del tiempo</v>
          </cell>
        </row>
        <row r="836">
          <cell r="A836">
            <v>38454</v>
          </cell>
          <cell r="B836" t="str">
            <v>Dentro del tiempo</v>
          </cell>
        </row>
        <row r="837">
          <cell r="A837">
            <v>38455</v>
          </cell>
          <cell r="B837" t="str">
            <v>Dentro del tiempo</v>
          </cell>
        </row>
        <row r="838">
          <cell r="A838">
            <v>38456</v>
          </cell>
          <cell r="B838" t="str">
            <v>Dentro del tiempo</v>
          </cell>
        </row>
        <row r="839">
          <cell r="A839">
            <v>38457</v>
          </cell>
          <cell r="B839" t="str">
            <v>Dentro del tiempo</v>
          </cell>
        </row>
        <row r="840">
          <cell r="A840">
            <v>38458</v>
          </cell>
          <cell r="B840" t="str">
            <v>Dentro del tiempo</v>
          </cell>
        </row>
        <row r="841">
          <cell r="A841">
            <v>38459</v>
          </cell>
          <cell r="B841" t="str">
            <v>Dentro del tiempo</v>
          </cell>
        </row>
        <row r="842">
          <cell r="A842">
            <v>38460</v>
          </cell>
          <cell r="B842" t="str">
            <v>Dentro del tiempo</v>
          </cell>
        </row>
        <row r="843">
          <cell r="A843">
            <v>38461</v>
          </cell>
          <cell r="B843" t="str">
            <v>Dentro del tiempo</v>
          </cell>
        </row>
        <row r="844">
          <cell r="A844">
            <v>38462</v>
          </cell>
          <cell r="B844" t="str">
            <v>Dentro del tiempo</v>
          </cell>
        </row>
        <row r="845">
          <cell r="A845">
            <v>38463</v>
          </cell>
          <cell r="B845" t="str">
            <v>Dentro del tiempo</v>
          </cell>
        </row>
        <row r="846">
          <cell r="A846">
            <v>38464</v>
          </cell>
          <cell r="B846" t="str">
            <v>Dentro del tiempo</v>
          </cell>
        </row>
        <row r="847">
          <cell r="A847">
            <v>38465</v>
          </cell>
          <cell r="B847" t="str">
            <v>Dentro del tiempo</v>
          </cell>
        </row>
        <row r="848">
          <cell r="A848">
            <v>38466</v>
          </cell>
          <cell r="B848" t="str">
            <v>Dentro del tiempo</v>
          </cell>
        </row>
        <row r="849">
          <cell r="A849">
            <v>38467</v>
          </cell>
          <cell r="B849" t="str">
            <v>Dentro del tiempo</v>
          </cell>
        </row>
        <row r="850">
          <cell r="A850">
            <v>38468</v>
          </cell>
          <cell r="B850" t="str">
            <v>Dentro del tiempo</v>
          </cell>
        </row>
        <row r="851">
          <cell r="A851">
            <v>38469</v>
          </cell>
          <cell r="B851" t="str">
            <v>Dentro del tiempo</v>
          </cell>
        </row>
        <row r="852">
          <cell r="A852">
            <v>38470</v>
          </cell>
          <cell r="B852" t="str">
            <v>Dentro del tiempo</v>
          </cell>
        </row>
        <row r="853">
          <cell r="A853">
            <v>38471</v>
          </cell>
          <cell r="B853" t="str">
            <v>Dentro del tiempo</v>
          </cell>
        </row>
        <row r="854">
          <cell r="A854">
            <v>38472</v>
          </cell>
          <cell r="B854" t="str">
            <v>Dentro del tiempo</v>
          </cell>
        </row>
        <row r="855">
          <cell r="A855">
            <v>38473</v>
          </cell>
          <cell r="B855" t="str">
            <v>Dentro del tiempo</v>
          </cell>
        </row>
        <row r="856">
          <cell r="A856">
            <v>38474</v>
          </cell>
          <cell r="B856" t="str">
            <v>Dentro del tiempo</v>
          </cell>
        </row>
        <row r="857">
          <cell r="A857">
            <v>38475</v>
          </cell>
          <cell r="B857" t="str">
            <v>Dentro del tiempo</v>
          </cell>
        </row>
        <row r="858">
          <cell r="A858">
            <v>38476</v>
          </cell>
          <cell r="B858" t="str">
            <v>Dentro del tiempo</v>
          </cell>
        </row>
        <row r="859">
          <cell r="A859">
            <v>38477</v>
          </cell>
          <cell r="B859" t="str">
            <v>Dentro del tiempo</v>
          </cell>
        </row>
        <row r="860">
          <cell r="A860">
            <v>38478</v>
          </cell>
          <cell r="B860" t="str">
            <v>Dentro del tiempo</v>
          </cell>
        </row>
        <row r="861">
          <cell r="A861">
            <v>38479</v>
          </cell>
          <cell r="B861" t="str">
            <v>Dentro del tiempo</v>
          </cell>
        </row>
        <row r="862">
          <cell r="A862">
            <v>38480</v>
          </cell>
          <cell r="B862" t="str">
            <v>Dentro del tiempo</v>
          </cell>
        </row>
        <row r="863">
          <cell r="A863">
            <v>38481</v>
          </cell>
          <cell r="B863" t="str">
            <v>Dentro del tiempo</v>
          </cell>
        </row>
        <row r="864">
          <cell r="A864">
            <v>38482</v>
          </cell>
          <cell r="B864" t="str">
            <v>Dentro del tiempo</v>
          </cell>
        </row>
        <row r="865">
          <cell r="A865">
            <v>38483</v>
          </cell>
          <cell r="B865" t="str">
            <v>Dentro del tiempo</v>
          </cell>
        </row>
        <row r="866">
          <cell r="A866">
            <v>38484</v>
          </cell>
          <cell r="B866" t="str">
            <v>Dentro del tiempo</v>
          </cell>
        </row>
        <row r="867">
          <cell r="A867">
            <v>38485</v>
          </cell>
          <cell r="B867" t="str">
            <v>Dentro del tiempo</v>
          </cell>
        </row>
        <row r="868">
          <cell r="A868">
            <v>38486</v>
          </cell>
          <cell r="B868" t="str">
            <v>Dentro del tiempo</v>
          </cell>
        </row>
        <row r="869">
          <cell r="A869">
            <v>38487</v>
          </cell>
          <cell r="B869" t="str">
            <v>Dentro del tiempo</v>
          </cell>
        </row>
        <row r="870">
          <cell r="A870">
            <v>38488</v>
          </cell>
          <cell r="B870" t="str">
            <v>Dentro del tiempo</v>
          </cell>
        </row>
        <row r="871">
          <cell r="A871">
            <v>38489</v>
          </cell>
          <cell r="B871" t="str">
            <v>Dentro del tiempo</v>
          </cell>
        </row>
        <row r="872">
          <cell r="A872">
            <v>38490</v>
          </cell>
          <cell r="B872" t="str">
            <v>Dentro del tiempo</v>
          </cell>
        </row>
        <row r="873">
          <cell r="A873">
            <v>38491</v>
          </cell>
          <cell r="B873" t="str">
            <v>Dentro del tiempo</v>
          </cell>
        </row>
        <row r="874">
          <cell r="A874">
            <v>38492</v>
          </cell>
          <cell r="B874" t="str">
            <v>Dentro del tiempo</v>
          </cell>
        </row>
        <row r="875">
          <cell r="A875">
            <v>38493</v>
          </cell>
          <cell r="B875" t="str">
            <v>Dentro del tiempo</v>
          </cell>
        </row>
        <row r="876">
          <cell r="A876">
            <v>38494</v>
          </cell>
          <cell r="B876" t="str">
            <v>Dentro del tiempo</v>
          </cell>
        </row>
        <row r="877">
          <cell r="A877">
            <v>38495</v>
          </cell>
          <cell r="B877" t="str">
            <v>Dentro del tiempo</v>
          </cell>
        </row>
        <row r="878">
          <cell r="A878">
            <v>38496</v>
          </cell>
          <cell r="B878" t="str">
            <v>Dentro del tiempo</v>
          </cell>
        </row>
        <row r="879">
          <cell r="A879">
            <v>38497</v>
          </cell>
          <cell r="B879" t="str">
            <v>Dentro del tiempo</v>
          </cell>
        </row>
        <row r="880">
          <cell r="A880">
            <v>38498</v>
          </cell>
          <cell r="B880" t="str">
            <v>Dentro del tiempo</v>
          </cell>
        </row>
        <row r="881">
          <cell r="A881">
            <v>38499</v>
          </cell>
          <cell r="B881" t="str">
            <v>Dentro del tiempo</v>
          </cell>
        </row>
        <row r="882">
          <cell r="A882">
            <v>38500</v>
          </cell>
          <cell r="B882" t="str">
            <v>Dentro del tiempo</v>
          </cell>
        </row>
        <row r="883">
          <cell r="A883">
            <v>38501</v>
          </cell>
          <cell r="B883" t="str">
            <v>Dentro del tiempo</v>
          </cell>
        </row>
        <row r="884">
          <cell r="A884">
            <v>38502</v>
          </cell>
          <cell r="B884" t="str">
            <v>Dentro del tiempo</v>
          </cell>
        </row>
        <row r="885">
          <cell r="A885">
            <v>38503</v>
          </cell>
          <cell r="B885" t="str">
            <v>Dentro del tiempo</v>
          </cell>
        </row>
        <row r="886">
          <cell r="A886">
            <v>38504</v>
          </cell>
          <cell r="B886" t="str">
            <v>Dentro del tiempo</v>
          </cell>
        </row>
        <row r="887">
          <cell r="A887">
            <v>38505</v>
          </cell>
          <cell r="B887" t="str">
            <v>Dentro del tiempo</v>
          </cell>
        </row>
        <row r="888">
          <cell r="A888">
            <v>38506</v>
          </cell>
          <cell r="B888" t="str">
            <v>Dentro del tiempo</v>
          </cell>
        </row>
        <row r="889">
          <cell r="A889">
            <v>38507</v>
          </cell>
          <cell r="B889" t="str">
            <v>Dentro del tiempo</v>
          </cell>
        </row>
        <row r="890">
          <cell r="A890">
            <v>38508</v>
          </cell>
          <cell r="B890" t="str">
            <v>Dentro del tiempo</v>
          </cell>
        </row>
        <row r="891">
          <cell r="A891">
            <v>38509</v>
          </cell>
          <cell r="B891" t="str">
            <v>Dentro del tiempo</v>
          </cell>
        </row>
        <row r="892">
          <cell r="A892">
            <v>38510</v>
          </cell>
          <cell r="B892" t="str">
            <v>Dentro del tiempo</v>
          </cell>
        </row>
        <row r="893">
          <cell r="A893">
            <v>38511</v>
          </cell>
          <cell r="B893" t="str">
            <v>Dentro del tiempo</v>
          </cell>
        </row>
        <row r="894">
          <cell r="A894">
            <v>38512</v>
          </cell>
          <cell r="B894" t="str">
            <v>Dentro del tiempo</v>
          </cell>
        </row>
        <row r="895">
          <cell r="A895">
            <v>38513</v>
          </cell>
          <cell r="B895" t="str">
            <v>Dentro del tiempo</v>
          </cell>
        </row>
        <row r="896">
          <cell r="A896">
            <v>38514</v>
          </cell>
          <cell r="B896" t="str">
            <v>Dentro del tiempo</v>
          </cell>
        </row>
        <row r="897">
          <cell r="A897">
            <v>38515</v>
          </cell>
          <cell r="B897" t="str">
            <v>Dentro del tiempo</v>
          </cell>
        </row>
        <row r="898">
          <cell r="A898">
            <v>38516</v>
          </cell>
          <cell r="B898" t="str">
            <v>Dentro del tiempo</v>
          </cell>
        </row>
        <row r="899">
          <cell r="A899">
            <v>38517</v>
          </cell>
          <cell r="B899" t="str">
            <v>Dentro del tiempo</v>
          </cell>
        </row>
        <row r="900">
          <cell r="A900">
            <v>38518</v>
          </cell>
          <cell r="B900" t="str">
            <v>Dentro del tiempo</v>
          </cell>
        </row>
        <row r="901">
          <cell r="A901">
            <v>38519</v>
          </cell>
          <cell r="B901" t="str">
            <v>Dentro del tiempo</v>
          </cell>
        </row>
        <row r="902">
          <cell r="A902">
            <v>38520</v>
          </cell>
          <cell r="B902" t="str">
            <v>Dentro del tiempo</v>
          </cell>
        </row>
        <row r="903">
          <cell r="A903">
            <v>38521</v>
          </cell>
          <cell r="B903" t="str">
            <v>Dentro del tiempo</v>
          </cell>
        </row>
        <row r="904">
          <cell r="A904">
            <v>38522</v>
          </cell>
          <cell r="B904" t="str">
            <v>Dentro del tiempo</v>
          </cell>
        </row>
        <row r="905">
          <cell r="A905">
            <v>38523</v>
          </cell>
          <cell r="B905" t="str">
            <v>Dentro del tiempo</v>
          </cell>
        </row>
        <row r="906">
          <cell r="A906">
            <v>38524</v>
          </cell>
          <cell r="B906" t="str">
            <v>Dentro del tiempo</v>
          </cell>
        </row>
        <row r="907">
          <cell r="A907">
            <v>38525</v>
          </cell>
          <cell r="B907" t="str">
            <v>Dentro del tiempo</v>
          </cell>
        </row>
        <row r="908">
          <cell r="A908">
            <v>38526</v>
          </cell>
          <cell r="B908" t="str">
            <v>Dentro del tiempo</v>
          </cell>
        </row>
        <row r="909">
          <cell r="A909">
            <v>38527</v>
          </cell>
          <cell r="B909" t="str">
            <v>Dentro del tiempo</v>
          </cell>
        </row>
        <row r="910">
          <cell r="A910">
            <v>38528</v>
          </cell>
          <cell r="B910" t="str">
            <v>Dentro del tiempo</v>
          </cell>
        </row>
        <row r="911">
          <cell r="A911">
            <v>38529</v>
          </cell>
          <cell r="B911" t="str">
            <v>Dentro del tiempo</v>
          </cell>
        </row>
        <row r="912">
          <cell r="A912">
            <v>38530</v>
          </cell>
          <cell r="B912" t="str">
            <v>Dentro del tiempo</v>
          </cell>
        </row>
        <row r="913">
          <cell r="A913">
            <v>38531</v>
          </cell>
          <cell r="B913" t="str">
            <v>Dentro del tiempo</v>
          </cell>
        </row>
        <row r="914">
          <cell r="A914">
            <v>38532</v>
          </cell>
          <cell r="B914" t="str">
            <v>Dentro del tiempo</v>
          </cell>
        </row>
        <row r="915">
          <cell r="A915">
            <v>38533</v>
          </cell>
          <cell r="B915" t="str">
            <v>Dentro del tiempo</v>
          </cell>
        </row>
        <row r="916">
          <cell r="A916">
            <v>38534</v>
          </cell>
          <cell r="B916" t="str">
            <v>Dentro del tiempo</v>
          </cell>
        </row>
        <row r="917">
          <cell r="A917">
            <v>38535</v>
          </cell>
          <cell r="B917" t="str">
            <v>Dentro del tiempo</v>
          </cell>
        </row>
        <row r="918">
          <cell r="A918">
            <v>38536</v>
          </cell>
          <cell r="B918" t="str">
            <v>Dentro del tiempo</v>
          </cell>
        </row>
        <row r="919">
          <cell r="A919">
            <v>38537</v>
          </cell>
          <cell r="B919" t="str">
            <v>Dentro del tiempo</v>
          </cell>
        </row>
        <row r="920">
          <cell r="A920">
            <v>38538</v>
          </cell>
          <cell r="B920" t="str">
            <v>Dentro del tiempo</v>
          </cell>
        </row>
        <row r="921">
          <cell r="A921">
            <v>38539</v>
          </cell>
          <cell r="B921" t="str">
            <v>Dentro del tiempo</v>
          </cell>
        </row>
        <row r="922">
          <cell r="A922">
            <v>38540</v>
          </cell>
          <cell r="B922" t="str">
            <v>Dentro del tiempo</v>
          </cell>
        </row>
        <row r="923">
          <cell r="A923">
            <v>38541</v>
          </cell>
          <cell r="B923" t="str">
            <v>Dentro del tiempo</v>
          </cell>
        </row>
        <row r="924">
          <cell r="A924">
            <v>38542</v>
          </cell>
          <cell r="B924" t="str">
            <v>Dentro del tiempo</v>
          </cell>
        </row>
        <row r="925">
          <cell r="A925">
            <v>38543</v>
          </cell>
          <cell r="B925" t="str">
            <v>Dentro del tiempo</v>
          </cell>
        </row>
        <row r="926">
          <cell r="A926">
            <v>38544</v>
          </cell>
          <cell r="B926" t="str">
            <v>Dentro del tiempo</v>
          </cell>
        </row>
        <row r="927">
          <cell r="A927">
            <v>38545</v>
          </cell>
          <cell r="B927" t="str">
            <v>Dentro del tiempo</v>
          </cell>
        </row>
        <row r="928">
          <cell r="A928">
            <v>38546</v>
          </cell>
          <cell r="B928" t="str">
            <v>Dentro del tiempo</v>
          </cell>
        </row>
        <row r="929">
          <cell r="A929">
            <v>38547</v>
          </cell>
          <cell r="B929" t="str">
            <v>Dentro del tiempo</v>
          </cell>
        </row>
        <row r="930">
          <cell r="A930">
            <v>38548</v>
          </cell>
          <cell r="B930" t="str">
            <v>Dentro del tiempo</v>
          </cell>
        </row>
        <row r="931">
          <cell r="A931">
            <v>38549</v>
          </cell>
          <cell r="B931" t="str">
            <v>Dentro del tiempo</v>
          </cell>
        </row>
        <row r="932">
          <cell r="A932">
            <v>38550</v>
          </cell>
          <cell r="B932" t="str">
            <v>Dentro del tiempo</v>
          </cell>
        </row>
        <row r="933">
          <cell r="A933">
            <v>38551</v>
          </cell>
          <cell r="B933" t="str">
            <v>Dentro del tiempo</v>
          </cell>
        </row>
        <row r="934">
          <cell r="A934">
            <v>38552</v>
          </cell>
          <cell r="B934" t="str">
            <v>Dentro del tiempo</v>
          </cell>
        </row>
        <row r="935">
          <cell r="A935">
            <v>38553</v>
          </cell>
          <cell r="B935" t="str">
            <v>Dentro del tiempo</v>
          </cell>
        </row>
        <row r="936">
          <cell r="A936">
            <v>38554</v>
          </cell>
          <cell r="B936" t="str">
            <v>Dentro del tiempo</v>
          </cell>
        </row>
        <row r="937">
          <cell r="A937">
            <v>38555</v>
          </cell>
          <cell r="B937" t="str">
            <v>Dentro del tiempo</v>
          </cell>
        </row>
        <row r="938">
          <cell r="A938">
            <v>38556</v>
          </cell>
          <cell r="B938" t="str">
            <v>Dentro del tiempo</v>
          </cell>
        </row>
        <row r="939">
          <cell r="A939">
            <v>38557</v>
          </cell>
          <cell r="B939" t="str">
            <v>Dentro del tiempo</v>
          </cell>
        </row>
        <row r="940">
          <cell r="A940">
            <v>38558</v>
          </cell>
          <cell r="B940" t="str">
            <v>Dentro del tiempo</v>
          </cell>
        </row>
        <row r="941">
          <cell r="A941">
            <v>38559</v>
          </cell>
          <cell r="B941" t="str">
            <v>Dentro del tiempo</v>
          </cell>
        </row>
        <row r="942">
          <cell r="A942">
            <v>38560</v>
          </cell>
          <cell r="B942" t="str">
            <v>Dentro del tiempo</v>
          </cell>
        </row>
        <row r="943">
          <cell r="A943">
            <v>38561</v>
          </cell>
          <cell r="B943" t="str">
            <v>Dentro del tiempo</v>
          </cell>
        </row>
        <row r="944">
          <cell r="A944">
            <v>38562</v>
          </cell>
          <cell r="B944" t="str">
            <v>Dentro del tiempo</v>
          </cell>
        </row>
        <row r="945">
          <cell r="A945">
            <v>38563</v>
          </cell>
          <cell r="B945" t="str">
            <v>Dentro del tiempo</v>
          </cell>
        </row>
        <row r="946">
          <cell r="A946">
            <v>38564</v>
          </cell>
          <cell r="B946" t="str">
            <v>Dentro del tiempo</v>
          </cell>
        </row>
        <row r="947">
          <cell r="A947">
            <v>38565</v>
          </cell>
          <cell r="B947" t="str">
            <v>Dentro del tiempo</v>
          </cell>
        </row>
        <row r="948">
          <cell r="A948">
            <v>38566</v>
          </cell>
          <cell r="B948" t="str">
            <v>Dentro del tiempo</v>
          </cell>
        </row>
        <row r="949">
          <cell r="A949">
            <v>38567</v>
          </cell>
          <cell r="B949" t="str">
            <v>Dentro del tiempo</v>
          </cell>
        </row>
        <row r="950">
          <cell r="A950">
            <v>38568</v>
          </cell>
          <cell r="B950" t="str">
            <v>Dentro del tiempo</v>
          </cell>
        </row>
        <row r="951">
          <cell r="A951">
            <v>38569</v>
          </cell>
          <cell r="B951" t="str">
            <v>Dentro del tiempo</v>
          </cell>
        </row>
        <row r="952">
          <cell r="A952">
            <v>38570</v>
          </cell>
          <cell r="B952" t="str">
            <v>Dentro del tiempo</v>
          </cell>
        </row>
        <row r="953">
          <cell r="A953">
            <v>38571</v>
          </cell>
          <cell r="B953" t="str">
            <v>Dentro del tiempo</v>
          </cell>
        </row>
        <row r="954">
          <cell r="A954">
            <v>38572</v>
          </cell>
          <cell r="B954" t="str">
            <v>Dentro del tiempo</v>
          </cell>
        </row>
        <row r="955">
          <cell r="A955">
            <v>38573</v>
          </cell>
          <cell r="B955" t="str">
            <v>Dentro del tiempo</v>
          </cell>
        </row>
        <row r="956">
          <cell r="A956">
            <v>38574</v>
          </cell>
          <cell r="B956" t="str">
            <v>Dentro del tiempo</v>
          </cell>
        </row>
        <row r="957">
          <cell r="A957">
            <v>38575</v>
          </cell>
          <cell r="B957" t="str">
            <v>Dentro del tiempo</v>
          </cell>
        </row>
        <row r="958">
          <cell r="A958">
            <v>38576</v>
          </cell>
          <cell r="B958" t="str">
            <v>Dentro del tiempo</v>
          </cell>
        </row>
        <row r="959">
          <cell r="A959">
            <v>38577</v>
          </cell>
          <cell r="B959" t="str">
            <v>Dentro del tiempo</v>
          </cell>
        </row>
        <row r="960">
          <cell r="A960">
            <v>38578</v>
          </cell>
          <cell r="B960" t="str">
            <v>Dentro del tiempo</v>
          </cell>
        </row>
        <row r="961">
          <cell r="A961">
            <v>38579</v>
          </cell>
          <cell r="B961" t="str">
            <v>Dentro del tiempo</v>
          </cell>
        </row>
        <row r="962">
          <cell r="A962">
            <v>38580</v>
          </cell>
          <cell r="B962" t="str">
            <v>Dentro del tiempo</v>
          </cell>
        </row>
        <row r="963">
          <cell r="A963">
            <v>38581</v>
          </cell>
          <cell r="B963" t="str">
            <v>Dentro del tiempo</v>
          </cell>
        </row>
        <row r="964">
          <cell r="A964">
            <v>38582</v>
          </cell>
          <cell r="B964" t="str">
            <v>Dentro del tiempo</v>
          </cell>
        </row>
        <row r="965">
          <cell r="A965">
            <v>38583</v>
          </cell>
          <cell r="B965" t="str">
            <v>Dentro del tiempo</v>
          </cell>
        </row>
        <row r="966">
          <cell r="A966">
            <v>38584</v>
          </cell>
          <cell r="B966" t="str">
            <v>Dentro del tiempo</v>
          </cell>
        </row>
        <row r="967">
          <cell r="A967">
            <v>38585</v>
          </cell>
          <cell r="B967" t="str">
            <v>Dentro del tiempo</v>
          </cell>
        </row>
        <row r="968">
          <cell r="A968">
            <v>38586</v>
          </cell>
          <cell r="B968" t="str">
            <v>Dentro del tiempo</v>
          </cell>
        </row>
        <row r="969">
          <cell r="A969">
            <v>38587</v>
          </cell>
          <cell r="B969" t="str">
            <v>Dentro del tiempo</v>
          </cell>
        </row>
        <row r="970">
          <cell r="A970">
            <v>38588</v>
          </cell>
          <cell r="B970" t="str">
            <v>Dentro del tiempo</v>
          </cell>
        </row>
        <row r="971">
          <cell r="A971">
            <v>38589</v>
          </cell>
          <cell r="B971" t="str">
            <v>Dentro del tiempo</v>
          </cell>
        </row>
        <row r="972">
          <cell r="A972">
            <v>38590</v>
          </cell>
          <cell r="B972" t="str">
            <v>Dentro del tiempo</v>
          </cell>
        </row>
        <row r="973">
          <cell r="A973">
            <v>38591</v>
          </cell>
          <cell r="B973" t="str">
            <v>Dentro del tiempo</v>
          </cell>
        </row>
        <row r="974">
          <cell r="A974">
            <v>38592</v>
          </cell>
          <cell r="B974" t="str">
            <v>Dentro del tiempo</v>
          </cell>
        </row>
        <row r="975">
          <cell r="A975">
            <v>38593</v>
          </cell>
          <cell r="B975" t="str">
            <v>Dentro del tiempo</v>
          </cell>
        </row>
        <row r="976">
          <cell r="A976">
            <v>38594</v>
          </cell>
          <cell r="B976" t="str">
            <v>Dentro del tiempo</v>
          </cell>
        </row>
        <row r="977">
          <cell r="A977">
            <v>38595</v>
          </cell>
          <cell r="B977" t="str">
            <v>Dentro del tiempo</v>
          </cell>
        </row>
        <row r="978">
          <cell r="A978">
            <v>38596</v>
          </cell>
          <cell r="B978" t="str">
            <v>Dentro del tiempo</v>
          </cell>
        </row>
        <row r="979">
          <cell r="A979">
            <v>38597</v>
          </cell>
          <cell r="B979" t="str">
            <v>Dentro del tiempo</v>
          </cell>
        </row>
        <row r="980">
          <cell r="A980">
            <v>38598</v>
          </cell>
          <cell r="B980" t="str">
            <v>Dentro del tiempo</v>
          </cell>
        </row>
        <row r="981">
          <cell r="A981">
            <v>38599</v>
          </cell>
          <cell r="B981" t="str">
            <v>Dentro del tiempo</v>
          </cell>
        </row>
        <row r="982">
          <cell r="A982">
            <v>38600</v>
          </cell>
          <cell r="B982" t="str">
            <v>Dentro del tiempo</v>
          </cell>
        </row>
        <row r="983">
          <cell r="A983">
            <v>38601</v>
          </cell>
          <cell r="B983" t="str">
            <v>Dentro del tiempo</v>
          </cell>
        </row>
        <row r="984">
          <cell r="A984">
            <v>38602</v>
          </cell>
          <cell r="B984" t="str">
            <v>Dentro del tiempo</v>
          </cell>
        </row>
        <row r="985">
          <cell r="A985">
            <v>38603</v>
          </cell>
          <cell r="B985" t="str">
            <v>Dentro del tiempo</v>
          </cell>
        </row>
        <row r="986">
          <cell r="A986">
            <v>38604</v>
          </cell>
          <cell r="B986" t="str">
            <v>Dentro del tiempo</v>
          </cell>
        </row>
        <row r="987">
          <cell r="A987">
            <v>38605</v>
          </cell>
          <cell r="B987" t="str">
            <v>Dentro del tiempo</v>
          </cell>
        </row>
        <row r="988">
          <cell r="A988">
            <v>38606</v>
          </cell>
          <cell r="B988" t="str">
            <v>Dentro del tiempo</v>
          </cell>
        </row>
        <row r="989">
          <cell r="A989">
            <v>38607</v>
          </cell>
          <cell r="B989" t="str">
            <v>Dentro del tiempo</v>
          </cell>
        </row>
        <row r="990">
          <cell r="A990">
            <v>38608</v>
          </cell>
          <cell r="B990" t="str">
            <v>Dentro del tiempo</v>
          </cell>
        </row>
        <row r="991">
          <cell r="A991">
            <v>38609</v>
          </cell>
          <cell r="B991" t="str">
            <v>Dentro del tiempo</v>
          </cell>
        </row>
        <row r="992">
          <cell r="A992">
            <v>38610</v>
          </cell>
          <cell r="B992" t="str">
            <v>Dentro del tiempo</v>
          </cell>
        </row>
        <row r="993">
          <cell r="A993">
            <v>38611</v>
          </cell>
          <cell r="B993" t="str">
            <v>Dentro del tiempo</v>
          </cell>
        </row>
        <row r="994">
          <cell r="A994">
            <v>38612</v>
          </cell>
          <cell r="B994" t="str">
            <v>Dentro del tiempo</v>
          </cell>
        </row>
        <row r="995">
          <cell r="A995">
            <v>38613</v>
          </cell>
          <cell r="B995" t="str">
            <v>Dentro del tiempo</v>
          </cell>
        </row>
        <row r="996">
          <cell r="A996">
            <v>38614</v>
          </cell>
          <cell r="B996" t="str">
            <v>Dentro del tiempo</v>
          </cell>
        </row>
        <row r="997">
          <cell r="A997">
            <v>38615</v>
          </cell>
          <cell r="B997" t="str">
            <v>Dentro del tiempo</v>
          </cell>
        </row>
        <row r="998">
          <cell r="A998">
            <v>38616</v>
          </cell>
          <cell r="B998" t="str">
            <v>Dentro del tiempo</v>
          </cell>
        </row>
        <row r="999">
          <cell r="A999">
            <v>38617</v>
          </cell>
          <cell r="B999" t="str">
            <v>Dentro del tiempo</v>
          </cell>
        </row>
        <row r="1000">
          <cell r="A1000">
            <v>38618</v>
          </cell>
          <cell r="B1000" t="str">
            <v>Dentro del tiempo</v>
          </cell>
        </row>
        <row r="1001">
          <cell r="A1001">
            <v>38619</v>
          </cell>
          <cell r="B1001" t="str">
            <v>Dentro del tiempo</v>
          </cell>
        </row>
        <row r="1002">
          <cell r="A1002">
            <v>38620</v>
          </cell>
          <cell r="B1002" t="str">
            <v>Dentro del tiempo</v>
          </cell>
        </row>
        <row r="1003">
          <cell r="A1003">
            <v>38621</v>
          </cell>
          <cell r="B1003" t="str">
            <v>Dentro del tiempo</v>
          </cell>
        </row>
        <row r="1004">
          <cell r="A1004">
            <v>38622</v>
          </cell>
          <cell r="B1004" t="str">
            <v>Dentro del tiempo</v>
          </cell>
        </row>
        <row r="1005">
          <cell r="A1005">
            <v>38623</v>
          </cell>
          <cell r="B1005" t="str">
            <v>Dentro del tiempo</v>
          </cell>
        </row>
        <row r="1006">
          <cell r="A1006">
            <v>38624</v>
          </cell>
          <cell r="B1006" t="str">
            <v>Dentro del tiempo</v>
          </cell>
        </row>
        <row r="1007">
          <cell r="A1007">
            <v>38625</v>
          </cell>
          <cell r="B1007" t="str">
            <v>Dentro del tiempo</v>
          </cell>
        </row>
        <row r="1008">
          <cell r="A1008">
            <v>38626</v>
          </cell>
          <cell r="B1008" t="str">
            <v>Dentro del tiempo</v>
          </cell>
        </row>
        <row r="1009">
          <cell r="A1009">
            <v>38627</v>
          </cell>
          <cell r="B1009" t="str">
            <v>Dentro del tiempo</v>
          </cell>
        </row>
        <row r="1010">
          <cell r="A1010">
            <v>38628</v>
          </cell>
          <cell r="B1010" t="str">
            <v>Dentro del tiempo</v>
          </cell>
        </row>
        <row r="1011">
          <cell r="A1011">
            <v>38629</v>
          </cell>
          <cell r="B1011" t="str">
            <v>Dentro del tiempo</v>
          </cell>
        </row>
        <row r="1012">
          <cell r="A1012">
            <v>38630</v>
          </cell>
          <cell r="B1012" t="str">
            <v>Dentro del tiempo</v>
          </cell>
        </row>
        <row r="1013">
          <cell r="A1013">
            <v>38631</v>
          </cell>
          <cell r="B1013" t="str">
            <v>Dentro del tiempo</v>
          </cell>
        </row>
        <row r="1014">
          <cell r="A1014">
            <v>38632</v>
          </cell>
          <cell r="B1014" t="str">
            <v>Dentro del tiempo</v>
          </cell>
        </row>
        <row r="1015">
          <cell r="A1015">
            <v>38633</v>
          </cell>
          <cell r="B1015" t="str">
            <v>Dentro del tiempo</v>
          </cell>
        </row>
        <row r="1016">
          <cell r="A1016">
            <v>38634</v>
          </cell>
          <cell r="B1016" t="str">
            <v>Dentro del tiempo</v>
          </cell>
        </row>
        <row r="1017">
          <cell r="A1017">
            <v>38635</v>
          </cell>
          <cell r="B1017" t="str">
            <v>Dentro del tiempo</v>
          </cell>
        </row>
        <row r="1018">
          <cell r="A1018">
            <v>38636</v>
          </cell>
          <cell r="B1018" t="str">
            <v>Dentro del tiempo</v>
          </cell>
        </row>
        <row r="1019">
          <cell r="A1019">
            <v>38637</v>
          </cell>
          <cell r="B1019" t="str">
            <v>Dentro del tiempo</v>
          </cell>
        </row>
        <row r="1020">
          <cell r="A1020">
            <v>38638</v>
          </cell>
          <cell r="B1020" t="str">
            <v>Dentro del tiempo</v>
          </cell>
        </row>
        <row r="1021">
          <cell r="A1021">
            <v>38639</v>
          </cell>
          <cell r="B1021" t="str">
            <v>Dentro del tiempo</v>
          </cell>
        </row>
        <row r="1022">
          <cell r="A1022">
            <v>38640</v>
          </cell>
          <cell r="B1022" t="str">
            <v>Dentro del tiempo</v>
          </cell>
        </row>
        <row r="1023">
          <cell r="A1023">
            <v>38641</v>
          </cell>
          <cell r="B1023" t="str">
            <v>Dentro del tiempo</v>
          </cell>
        </row>
        <row r="1024">
          <cell r="A1024">
            <v>38642</v>
          </cell>
          <cell r="B1024" t="str">
            <v>Dentro del tiempo</v>
          </cell>
        </row>
        <row r="1025">
          <cell r="A1025">
            <v>38643</v>
          </cell>
          <cell r="B1025" t="str">
            <v>Dentro del tiempo</v>
          </cell>
        </row>
        <row r="1026">
          <cell r="A1026">
            <v>38644</v>
          </cell>
          <cell r="B1026" t="str">
            <v>Dentro del tiempo</v>
          </cell>
        </row>
        <row r="1027">
          <cell r="A1027">
            <v>38645</v>
          </cell>
          <cell r="B1027" t="str">
            <v>Dentro del tiempo</v>
          </cell>
        </row>
        <row r="1028">
          <cell r="A1028">
            <v>38646</v>
          </cell>
          <cell r="B1028" t="str">
            <v>Dentro del tiempo</v>
          </cell>
        </row>
        <row r="1029">
          <cell r="A1029">
            <v>38647</v>
          </cell>
          <cell r="B1029" t="str">
            <v>Dentro del tiempo</v>
          </cell>
        </row>
        <row r="1030">
          <cell r="A1030">
            <v>38648</v>
          </cell>
          <cell r="B1030" t="str">
            <v>Dentro del tiempo</v>
          </cell>
        </row>
        <row r="1031">
          <cell r="A1031">
            <v>38649</v>
          </cell>
          <cell r="B1031" t="str">
            <v>Dentro del tiempo</v>
          </cell>
        </row>
        <row r="1032">
          <cell r="A1032">
            <v>38650</v>
          </cell>
          <cell r="B1032" t="str">
            <v>Dentro del tiempo</v>
          </cell>
        </row>
        <row r="1033">
          <cell r="A1033">
            <v>38651</v>
          </cell>
          <cell r="B1033" t="str">
            <v>Dentro del tiempo</v>
          </cell>
        </row>
        <row r="1034">
          <cell r="A1034">
            <v>38652</v>
          </cell>
          <cell r="B1034" t="str">
            <v>Dentro del tiempo</v>
          </cell>
        </row>
        <row r="1035">
          <cell r="A1035">
            <v>38653</v>
          </cell>
          <cell r="B1035" t="str">
            <v>Dentro del tiempo</v>
          </cell>
        </row>
        <row r="1036">
          <cell r="A1036">
            <v>38654</v>
          </cell>
          <cell r="B1036" t="str">
            <v>Dentro del tiempo</v>
          </cell>
        </row>
        <row r="1037">
          <cell r="A1037">
            <v>38655</v>
          </cell>
          <cell r="B1037" t="str">
            <v>Dentro del tiempo</v>
          </cell>
        </row>
        <row r="1038">
          <cell r="A1038">
            <v>38656</v>
          </cell>
          <cell r="B1038" t="str">
            <v>Dentro del tiempo</v>
          </cell>
        </row>
        <row r="1039">
          <cell r="A1039">
            <v>38657</v>
          </cell>
          <cell r="B1039" t="str">
            <v>Dentro del tiempo</v>
          </cell>
        </row>
        <row r="1040">
          <cell r="A1040">
            <v>38658</v>
          </cell>
          <cell r="B1040" t="str">
            <v>Dentro del tiempo</v>
          </cell>
        </row>
        <row r="1041">
          <cell r="A1041">
            <v>38659</v>
          </cell>
          <cell r="B1041" t="str">
            <v>Dentro del tiempo</v>
          </cell>
        </row>
        <row r="1042">
          <cell r="A1042">
            <v>38660</v>
          </cell>
          <cell r="B1042" t="str">
            <v>Dentro del tiempo</v>
          </cell>
        </row>
        <row r="1043">
          <cell r="A1043">
            <v>38661</v>
          </cell>
          <cell r="B1043" t="str">
            <v>Dentro del tiempo</v>
          </cell>
        </row>
        <row r="1044">
          <cell r="A1044">
            <v>38662</v>
          </cell>
          <cell r="B1044" t="str">
            <v>Dentro del tiempo</v>
          </cell>
        </row>
        <row r="1045">
          <cell r="A1045">
            <v>38663</v>
          </cell>
          <cell r="B1045" t="str">
            <v>Dentro del tiempo</v>
          </cell>
        </row>
        <row r="1046">
          <cell r="A1046">
            <v>38664</v>
          </cell>
          <cell r="B1046" t="str">
            <v>Dentro del tiempo</v>
          </cell>
        </row>
        <row r="1047">
          <cell r="A1047">
            <v>38665</v>
          </cell>
          <cell r="B1047" t="str">
            <v>Dentro del tiempo</v>
          </cell>
        </row>
        <row r="1048">
          <cell r="A1048">
            <v>38666</v>
          </cell>
          <cell r="B1048" t="str">
            <v>Dentro del tiempo</v>
          </cell>
        </row>
        <row r="1049">
          <cell r="A1049">
            <v>38667</v>
          </cell>
          <cell r="B1049" t="str">
            <v>Dentro del tiempo</v>
          </cell>
        </row>
        <row r="1050">
          <cell r="A1050">
            <v>38668</v>
          </cell>
          <cell r="B1050" t="str">
            <v>Dentro del tiempo</v>
          </cell>
        </row>
        <row r="1051">
          <cell r="A1051">
            <v>38669</v>
          </cell>
          <cell r="B1051" t="str">
            <v>Dentro del tiempo</v>
          </cell>
        </row>
        <row r="1052">
          <cell r="A1052">
            <v>38670</v>
          </cell>
          <cell r="B1052" t="str">
            <v>Dentro del tiempo</v>
          </cell>
        </row>
        <row r="1053">
          <cell r="A1053">
            <v>38671</v>
          </cell>
          <cell r="B1053" t="str">
            <v>Dentro del tiempo</v>
          </cell>
        </row>
        <row r="1054">
          <cell r="A1054">
            <v>38672</v>
          </cell>
          <cell r="B1054" t="str">
            <v>Dentro del tiempo</v>
          </cell>
        </row>
        <row r="1055">
          <cell r="A1055">
            <v>38673</v>
          </cell>
          <cell r="B1055" t="str">
            <v>Dentro del tiempo</v>
          </cell>
        </row>
        <row r="1056">
          <cell r="A1056">
            <v>38674</v>
          </cell>
          <cell r="B1056" t="str">
            <v>Dentro del tiempo</v>
          </cell>
        </row>
        <row r="1057">
          <cell r="A1057">
            <v>38675</v>
          </cell>
          <cell r="B1057" t="str">
            <v>Dentro del tiempo</v>
          </cell>
        </row>
        <row r="1058">
          <cell r="A1058">
            <v>38676</v>
          </cell>
          <cell r="B1058" t="str">
            <v>Dentro del tiempo</v>
          </cell>
        </row>
        <row r="1059">
          <cell r="A1059">
            <v>38677</v>
          </cell>
          <cell r="B1059" t="str">
            <v>Dentro del tiempo</v>
          </cell>
        </row>
        <row r="1060">
          <cell r="A1060">
            <v>38678</v>
          </cell>
          <cell r="B1060" t="str">
            <v>Dentro del tiempo</v>
          </cell>
        </row>
        <row r="1061">
          <cell r="A1061">
            <v>38679</v>
          </cell>
          <cell r="B1061" t="str">
            <v>Dentro del tiempo</v>
          </cell>
        </row>
        <row r="1062">
          <cell r="A1062">
            <v>38680</v>
          </cell>
          <cell r="B1062" t="str">
            <v>Dentro del tiempo</v>
          </cell>
        </row>
        <row r="1063">
          <cell r="A1063">
            <v>38681</v>
          </cell>
          <cell r="B1063" t="str">
            <v>Dentro del tiempo</v>
          </cell>
        </row>
        <row r="1064">
          <cell r="A1064">
            <v>38682</v>
          </cell>
          <cell r="B1064" t="str">
            <v>Dentro del tiempo</v>
          </cell>
        </row>
        <row r="1065">
          <cell r="A1065">
            <v>38683</v>
          </cell>
          <cell r="B1065" t="str">
            <v>Dentro del tiempo</v>
          </cell>
        </row>
        <row r="1066">
          <cell r="A1066">
            <v>38684</v>
          </cell>
          <cell r="B1066" t="str">
            <v>Dentro del tiempo</v>
          </cell>
        </row>
        <row r="1067">
          <cell r="A1067">
            <v>38685</v>
          </cell>
          <cell r="B1067" t="str">
            <v>Dentro del tiempo</v>
          </cell>
        </row>
        <row r="1068">
          <cell r="A1068">
            <v>38686</v>
          </cell>
          <cell r="B1068" t="str">
            <v>Dentro del tiempo</v>
          </cell>
        </row>
        <row r="1069">
          <cell r="A1069">
            <v>38687</v>
          </cell>
          <cell r="B1069" t="str">
            <v>Dentro del tiempo</v>
          </cell>
        </row>
        <row r="1070">
          <cell r="A1070">
            <v>38688</v>
          </cell>
          <cell r="B1070" t="str">
            <v>Dentro del tiempo</v>
          </cell>
        </row>
        <row r="1071">
          <cell r="A1071">
            <v>38689</v>
          </cell>
          <cell r="B1071" t="str">
            <v>Dentro del tiempo</v>
          </cell>
        </row>
        <row r="1072">
          <cell r="A1072">
            <v>38690</v>
          </cell>
          <cell r="B1072" t="str">
            <v>Dentro del tiempo</v>
          </cell>
        </row>
        <row r="1073">
          <cell r="A1073">
            <v>38691</v>
          </cell>
          <cell r="B1073" t="str">
            <v>Dentro del tiempo</v>
          </cell>
        </row>
        <row r="1074">
          <cell r="A1074">
            <v>38692</v>
          </cell>
          <cell r="B1074" t="str">
            <v>Dentro del tiempo</v>
          </cell>
        </row>
        <row r="1075">
          <cell r="A1075">
            <v>38693</v>
          </cell>
          <cell r="B1075" t="str">
            <v>Dentro del tiempo</v>
          </cell>
        </row>
        <row r="1076">
          <cell r="A1076">
            <v>38694</v>
          </cell>
          <cell r="B1076" t="str">
            <v>Dentro del tiempo</v>
          </cell>
        </row>
        <row r="1077">
          <cell r="A1077">
            <v>38695</v>
          </cell>
          <cell r="B1077" t="str">
            <v>Dentro del tiempo</v>
          </cell>
        </row>
        <row r="1078">
          <cell r="A1078">
            <v>38696</v>
          </cell>
          <cell r="B1078" t="str">
            <v>Dentro del tiempo</v>
          </cell>
        </row>
        <row r="1079">
          <cell r="A1079">
            <v>38697</v>
          </cell>
          <cell r="B1079" t="str">
            <v>Dentro del tiempo</v>
          </cell>
        </row>
        <row r="1080">
          <cell r="A1080">
            <v>38698</v>
          </cell>
          <cell r="B1080" t="str">
            <v>Dentro del tiempo</v>
          </cell>
        </row>
        <row r="1081">
          <cell r="A1081">
            <v>38699</v>
          </cell>
          <cell r="B1081" t="str">
            <v>Dentro del tiempo</v>
          </cell>
        </row>
        <row r="1082">
          <cell r="A1082">
            <v>38700</v>
          </cell>
          <cell r="B1082" t="str">
            <v>Dentro del tiempo</v>
          </cell>
        </row>
        <row r="1083">
          <cell r="A1083">
            <v>38701</v>
          </cell>
          <cell r="B1083" t="str">
            <v>Dentro del tiempo</v>
          </cell>
        </row>
        <row r="1084">
          <cell r="A1084">
            <v>38702</v>
          </cell>
          <cell r="B1084" t="str">
            <v>Dentro del tiempo</v>
          </cell>
        </row>
        <row r="1085">
          <cell r="A1085">
            <v>38703</v>
          </cell>
          <cell r="B1085" t="str">
            <v>Dentro del tiempo</v>
          </cell>
        </row>
        <row r="1086">
          <cell r="A1086">
            <v>38704</v>
          </cell>
          <cell r="B1086" t="str">
            <v>Dentro del tiempo</v>
          </cell>
        </row>
        <row r="1087">
          <cell r="A1087">
            <v>38705</v>
          </cell>
          <cell r="B1087" t="str">
            <v>Dentro del tiempo</v>
          </cell>
        </row>
        <row r="1088">
          <cell r="A1088">
            <v>38706</v>
          </cell>
          <cell r="B1088" t="str">
            <v>Dentro del tiempo</v>
          </cell>
        </row>
        <row r="1089">
          <cell r="A1089">
            <v>38707</v>
          </cell>
          <cell r="B1089" t="str">
            <v>Dentro del tiempo</v>
          </cell>
        </row>
        <row r="1090">
          <cell r="A1090">
            <v>38708</v>
          </cell>
          <cell r="B1090" t="str">
            <v>Dentro del tiempo</v>
          </cell>
        </row>
        <row r="1091">
          <cell r="A1091">
            <v>38709</v>
          </cell>
          <cell r="B1091" t="str">
            <v>Dentro del tiempo</v>
          </cell>
        </row>
        <row r="1092">
          <cell r="A1092">
            <v>38710</v>
          </cell>
          <cell r="B1092" t="str">
            <v>Dentro del tiempo</v>
          </cell>
        </row>
        <row r="1093">
          <cell r="A1093">
            <v>38711</v>
          </cell>
          <cell r="B1093" t="str">
            <v>Dentro del tiempo</v>
          </cell>
        </row>
        <row r="1094">
          <cell r="A1094">
            <v>38712</v>
          </cell>
          <cell r="B1094" t="str">
            <v>Dentro del tiempo</v>
          </cell>
        </row>
        <row r="1095">
          <cell r="A1095">
            <v>38713</v>
          </cell>
          <cell r="B1095" t="str">
            <v>Dentro del tiempo</v>
          </cell>
        </row>
        <row r="1096">
          <cell r="A1096">
            <v>38714</v>
          </cell>
          <cell r="B1096" t="str">
            <v>Dentro del tiempo</v>
          </cell>
        </row>
        <row r="1097">
          <cell r="A1097">
            <v>38715</v>
          </cell>
          <cell r="B1097" t="str">
            <v>Dentro del tiempo</v>
          </cell>
        </row>
        <row r="1098">
          <cell r="A1098">
            <v>38716</v>
          </cell>
          <cell r="B1098" t="str">
            <v>Dentro del tiempo</v>
          </cell>
        </row>
        <row r="1099">
          <cell r="A1099">
            <v>38717</v>
          </cell>
          <cell r="B1099" t="str">
            <v>Dentro del tiempo</v>
          </cell>
        </row>
        <row r="1100">
          <cell r="A1100">
            <v>38718</v>
          </cell>
          <cell r="B1100" t="str">
            <v>Dentro del tiempo</v>
          </cell>
        </row>
        <row r="1101">
          <cell r="A1101">
            <v>38719</v>
          </cell>
          <cell r="B1101" t="str">
            <v>Dentro del tiempo</v>
          </cell>
        </row>
        <row r="1102">
          <cell r="A1102">
            <v>38720</v>
          </cell>
          <cell r="B1102" t="str">
            <v>Dentro del tiempo</v>
          </cell>
        </row>
        <row r="1103">
          <cell r="A1103">
            <v>38721</v>
          </cell>
          <cell r="B1103" t="str">
            <v>Dentro del tiempo</v>
          </cell>
        </row>
        <row r="1104">
          <cell r="A1104">
            <v>38722</v>
          </cell>
          <cell r="B1104" t="str">
            <v>Dentro del tiempo</v>
          </cell>
        </row>
        <row r="1105">
          <cell r="A1105">
            <v>38723</v>
          </cell>
          <cell r="B1105" t="str">
            <v>Dentro del tiempo</v>
          </cell>
        </row>
        <row r="1106">
          <cell r="A1106">
            <v>38724</v>
          </cell>
          <cell r="B1106" t="str">
            <v>Dentro del tiempo</v>
          </cell>
        </row>
        <row r="1107">
          <cell r="A1107">
            <v>38725</v>
          </cell>
          <cell r="B1107" t="str">
            <v>Dentro del tiempo</v>
          </cell>
        </row>
        <row r="1108">
          <cell r="A1108">
            <v>38726</v>
          </cell>
          <cell r="B1108" t="str">
            <v>Dentro del tiempo</v>
          </cell>
        </row>
        <row r="1109">
          <cell r="A1109">
            <v>38727</v>
          </cell>
          <cell r="B1109" t="str">
            <v>Dentro del tiempo</v>
          </cell>
        </row>
        <row r="1110">
          <cell r="A1110">
            <v>38728</v>
          </cell>
          <cell r="B1110" t="str">
            <v>Dentro del tiempo</v>
          </cell>
        </row>
        <row r="1111">
          <cell r="A1111">
            <v>38729</v>
          </cell>
          <cell r="B1111" t="str">
            <v>Dentro del tiempo</v>
          </cell>
        </row>
        <row r="1112">
          <cell r="A1112">
            <v>38730</v>
          </cell>
          <cell r="B1112" t="str">
            <v>Dentro del tiempo</v>
          </cell>
        </row>
        <row r="1113">
          <cell r="A1113">
            <v>38731</v>
          </cell>
          <cell r="B1113" t="str">
            <v>Dentro del tiempo</v>
          </cell>
        </row>
        <row r="1114">
          <cell r="A1114">
            <v>38732</v>
          </cell>
          <cell r="B1114" t="str">
            <v>Dentro del tiempo</v>
          </cell>
        </row>
        <row r="1115">
          <cell r="A1115">
            <v>38733</v>
          </cell>
          <cell r="B1115" t="str">
            <v>Dentro del tiempo</v>
          </cell>
        </row>
        <row r="1116">
          <cell r="A1116">
            <v>38734</v>
          </cell>
          <cell r="B1116" t="str">
            <v>Dentro del tiempo</v>
          </cell>
        </row>
        <row r="1117">
          <cell r="A1117">
            <v>38735</v>
          </cell>
          <cell r="B1117" t="str">
            <v>Dentro del tiempo</v>
          </cell>
        </row>
        <row r="1118">
          <cell r="A1118">
            <v>38736</v>
          </cell>
          <cell r="B1118" t="str">
            <v>Dentro del tiempo</v>
          </cell>
        </row>
        <row r="1119">
          <cell r="A1119">
            <v>38737</v>
          </cell>
          <cell r="B1119" t="str">
            <v>Dentro del tiempo</v>
          </cell>
        </row>
        <row r="1120">
          <cell r="A1120">
            <v>38738</v>
          </cell>
          <cell r="B1120" t="str">
            <v>Dentro del tiempo</v>
          </cell>
        </row>
        <row r="1121">
          <cell r="A1121">
            <v>38739</v>
          </cell>
          <cell r="B1121" t="str">
            <v>Dentro del tiempo</v>
          </cell>
        </row>
        <row r="1122">
          <cell r="A1122">
            <v>38740</v>
          </cell>
          <cell r="B1122" t="str">
            <v>Dentro del tiempo</v>
          </cell>
        </row>
        <row r="1123">
          <cell r="A1123">
            <v>38741</v>
          </cell>
          <cell r="B1123" t="str">
            <v>Dentro del tiempo</v>
          </cell>
        </row>
        <row r="1124">
          <cell r="A1124">
            <v>38742</v>
          </cell>
          <cell r="B1124" t="str">
            <v>Dentro del tiempo</v>
          </cell>
        </row>
        <row r="1125">
          <cell r="A1125">
            <v>38743</v>
          </cell>
          <cell r="B1125" t="str">
            <v>Dentro del tiempo</v>
          </cell>
        </row>
        <row r="1126">
          <cell r="A1126">
            <v>38744</v>
          </cell>
          <cell r="B1126" t="str">
            <v>Dentro del tiempo</v>
          </cell>
        </row>
        <row r="1127">
          <cell r="A1127">
            <v>38745</v>
          </cell>
          <cell r="B1127" t="str">
            <v>Dentro del tiempo</v>
          </cell>
        </row>
        <row r="1128">
          <cell r="A1128">
            <v>38746</v>
          </cell>
          <cell r="B1128" t="str">
            <v>Dentro del tiempo</v>
          </cell>
        </row>
        <row r="1129">
          <cell r="A1129">
            <v>38747</v>
          </cell>
          <cell r="B1129" t="str">
            <v>Dentro del tiempo</v>
          </cell>
        </row>
        <row r="1130">
          <cell r="A1130">
            <v>38748</v>
          </cell>
          <cell r="B1130" t="str">
            <v>Dentro del tiempo</v>
          </cell>
        </row>
        <row r="1131">
          <cell r="A1131">
            <v>38749</v>
          </cell>
          <cell r="B1131" t="str">
            <v>Dentro del tiempo</v>
          </cell>
        </row>
        <row r="1132">
          <cell r="A1132">
            <v>38750</v>
          </cell>
          <cell r="B1132" t="str">
            <v>Dentro del tiempo</v>
          </cell>
        </row>
        <row r="1133">
          <cell r="A1133">
            <v>38751</v>
          </cell>
          <cell r="B1133" t="str">
            <v>Dentro del tiempo</v>
          </cell>
        </row>
        <row r="1134">
          <cell r="A1134">
            <v>38752</v>
          </cell>
          <cell r="B1134" t="str">
            <v>Dentro del tiempo</v>
          </cell>
        </row>
        <row r="1135">
          <cell r="A1135">
            <v>38753</v>
          </cell>
          <cell r="B1135" t="str">
            <v>Dentro del tiempo</v>
          </cell>
        </row>
        <row r="1136">
          <cell r="A1136">
            <v>38754</v>
          </cell>
          <cell r="B1136" t="str">
            <v>Dentro del tiempo</v>
          </cell>
        </row>
        <row r="1137">
          <cell r="A1137">
            <v>38755</v>
          </cell>
          <cell r="B1137" t="str">
            <v>Dentro del tiempo</v>
          </cell>
        </row>
        <row r="1138">
          <cell r="A1138">
            <v>38756</v>
          </cell>
          <cell r="B1138" t="str">
            <v>Dentro del tiempo</v>
          </cell>
        </row>
        <row r="1139">
          <cell r="A1139">
            <v>38757</v>
          </cell>
          <cell r="B1139" t="str">
            <v>Dentro del tiempo</v>
          </cell>
        </row>
        <row r="1140">
          <cell r="A1140">
            <v>38758</v>
          </cell>
          <cell r="B1140" t="str">
            <v>Dentro del tiempo</v>
          </cell>
        </row>
        <row r="1141">
          <cell r="A1141">
            <v>38759</v>
          </cell>
          <cell r="B1141" t="str">
            <v>Dentro del tiempo</v>
          </cell>
        </row>
        <row r="1142">
          <cell r="A1142">
            <v>38760</v>
          </cell>
          <cell r="B1142" t="str">
            <v>Dentro del tiempo</v>
          </cell>
        </row>
        <row r="1143">
          <cell r="A1143">
            <v>38761</v>
          </cell>
          <cell r="B1143" t="str">
            <v>Dentro del tiempo</v>
          </cell>
        </row>
        <row r="1144">
          <cell r="A1144">
            <v>38762</v>
          </cell>
          <cell r="B1144" t="str">
            <v>Dentro del tiempo</v>
          </cell>
        </row>
        <row r="1145">
          <cell r="A1145">
            <v>38763</v>
          </cell>
          <cell r="B1145" t="str">
            <v>Dentro del tiempo</v>
          </cell>
        </row>
        <row r="1146">
          <cell r="A1146">
            <v>38764</v>
          </cell>
          <cell r="B1146" t="str">
            <v>Dentro del tiempo</v>
          </cell>
        </row>
        <row r="1147">
          <cell r="A1147">
            <v>38765</v>
          </cell>
          <cell r="B1147" t="str">
            <v>Dentro del tiempo</v>
          </cell>
        </row>
        <row r="1148">
          <cell r="A1148">
            <v>38766</v>
          </cell>
          <cell r="B1148" t="str">
            <v>Dentro del tiempo</v>
          </cell>
        </row>
        <row r="1149">
          <cell r="A1149">
            <v>38767</v>
          </cell>
          <cell r="B1149" t="str">
            <v>Dentro del tiempo</v>
          </cell>
        </row>
        <row r="1150">
          <cell r="A1150">
            <v>38768</v>
          </cell>
          <cell r="B1150" t="str">
            <v>Dentro del tiempo</v>
          </cell>
        </row>
        <row r="1151">
          <cell r="A1151">
            <v>38769</v>
          </cell>
          <cell r="B1151" t="str">
            <v>Dentro del tiempo</v>
          </cell>
        </row>
        <row r="1152">
          <cell r="A1152">
            <v>38770</v>
          </cell>
          <cell r="B1152" t="str">
            <v>Dentro del tiempo</v>
          </cell>
        </row>
        <row r="1153">
          <cell r="A1153">
            <v>38771</v>
          </cell>
          <cell r="B1153" t="str">
            <v>Dentro del tiempo</v>
          </cell>
        </row>
        <row r="1154">
          <cell r="A1154">
            <v>38772</v>
          </cell>
          <cell r="B1154" t="str">
            <v>Dentro del tiempo</v>
          </cell>
        </row>
        <row r="1155">
          <cell r="A1155">
            <v>38773</v>
          </cell>
          <cell r="B1155" t="str">
            <v>Dentro del tiempo</v>
          </cell>
        </row>
        <row r="1156">
          <cell r="A1156">
            <v>38774</v>
          </cell>
          <cell r="B1156" t="str">
            <v>Dentro del tiempo</v>
          </cell>
        </row>
        <row r="1157">
          <cell r="A1157">
            <v>38775</v>
          </cell>
          <cell r="B1157" t="str">
            <v>Dentro del tiempo</v>
          </cell>
        </row>
        <row r="1158">
          <cell r="A1158">
            <v>38776</v>
          </cell>
          <cell r="B1158" t="str">
            <v>Dentro del tiempo</v>
          </cell>
        </row>
        <row r="1159">
          <cell r="A1159">
            <v>38777</v>
          </cell>
          <cell r="B1159" t="str">
            <v>Dentro del tiempo</v>
          </cell>
        </row>
        <row r="1160">
          <cell r="A1160">
            <v>38778</v>
          </cell>
          <cell r="B1160" t="str">
            <v>Dentro del tiempo</v>
          </cell>
        </row>
        <row r="1161">
          <cell r="A1161">
            <v>38779</v>
          </cell>
          <cell r="B1161" t="str">
            <v>Dentro del tiempo</v>
          </cell>
        </row>
        <row r="1162">
          <cell r="A1162">
            <v>38780</v>
          </cell>
          <cell r="B1162" t="str">
            <v>Dentro del tiempo</v>
          </cell>
        </row>
        <row r="1163">
          <cell r="A1163">
            <v>38781</v>
          </cell>
          <cell r="B1163" t="str">
            <v>Dentro del tiempo</v>
          </cell>
        </row>
        <row r="1164">
          <cell r="A1164">
            <v>38782</v>
          </cell>
          <cell r="B1164" t="str">
            <v>Dentro del tiempo</v>
          </cell>
        </row>
        <row r="1165">
          <cell r="A1165">
            <v>38783</v>
          </cell>
          <cell r="B1165" t="str">
            <v>Dentro del tiempo</v>
          </cell>
        </row>
        <row r="1166">
          <cell r="A1166">
            <v>38784</v>
          </cell>
          <cell r="B1166" t="str">
            <v>Dentro del tiempo</v>
          </cell>
        </row>
        <row r="1167">
          <cell r="A1167">
            <v>38785</v>
          </cell>
          <cell r="B1167" t="str">
            <v>Dentro del tiempo</v>
          </cell>
        </row>
        <row r="1168">
          <cell r="A1168">
            <v>38786</v>
          </cell>
          <cell r="B1168" t="str">
            <v>Dentro del tiempo</v>
          </cell>
        </row>
        <row r="1169">
          <cell r="A1169">
            <v>38787</v>
          </cell>
          <cell r="B1169" t="str">
            <v>Dentro del tiempo</v>
          </cell>
        </row>
        <row r="1170">
          <cell r="A1170">
            <v>38788</v>
          </cell>
          <cell r="B1170" t="str">
            <v>Dentro del tiempo</v>
          </cell>
        </row>
        <row r="1171">
          <cell r="A1171">
            <v>38789</v>
          </cell>
          <cell r="B1171" t="str">
            <v>Dentro del tiempo</v>
          </cell>
        </row>
        <row r="1172">
          <cell r="A1172">
            <v>38790</v>
          </cell>
          <cell r="B1172" t="str">
            <v>Dentro del tiempo</v>
          </cell>
        </row>
        <row r="1173">
          <cell r="A1173">
            <v>38791</v>
          </cell>
          <cell r="B1173" t="str">
            <v>Dentro del tiempo</v>
          </cell>
        </row>
        <row r="1174">
          <cell r="A1174">
            <v>38792</v>
          </cell>
          <cell r="B1174" t="str">
            <v>Dentro del tiempo</v>
          </cell>
        </row>
        <row r="1175">
          <cell r="A1175">
            <v>38793</v>
          </cell>
          <cell r="B1175" t="str">
            <v>Dentro del tiempo</v>
          </cell>
        </row>
        <row r="1176">
          <cell r="A1176">
            <v>38794</v>
          </cell>
          <cell r="B1176" t="str">
            <v>Dentro del tiempo</v>
          </cell>
        </row>
        <row r="1177">
          <cell r="A1177">
            <v>38795</v>
          </cell>
          <cell r="B1177" t="str">
            <v>Dentro del tiempo</v>
          </cell>
        </row>
        <row r="1178">
          <cell r="A1178">
            <v>38796</v>
          </cell>
          <cell r="B1178" t="str">
            <v>Dentro del tiempo</v>
          </cell>
        </row>
        <row r="1179">
          <cell r="A1179">
            <v>38797</v>
          </cell>
          <cell r="B1179" t="str">
            <v>Dentro del tiempo</v>
          </cell>
        </row>
        <row r="1180">
          <cell r="A1180">
            <v>38798</v>
          </cell>
          <cell r="B1180" t="str">
            <v>Dentro del tiempo</v>
          </cell>
        </row>
        <row r="1181">
          <cell r="A1181">
            <v>38799</v>
          </cell>
          <cell r="B1181" t="str">
            <v>Dentro del tiempo</v>
          </cell>
        </row>
        <row r="1182">
          <cell r="A1182">
            <v>38800</v>
          </cell>
          <cell r="B1182" t="str">
            <v>Dentro del tiempo</v>
          </cell>
        </row>
        <row r="1183">
          <cell r="A1183">
            <v>38801</v>
          </cell>
          <cell r="B1183" t="str">
            <v>Dentro del tiempo</v>
          </cell>
        </row>
        <row r="1184">
          <cell r="A1184">
            <v>38802</v>
          </cell>
          <cell r="B1184" t="str">
            <v>Dentro del tiempo</v>
          </cell>
        </row>
        <row r="1185">
          <cell r="A1185">
            <v>38803</v>
          </cell>
          <cell r="B1185" t="str">
            <v>Dentro del tiempo</v>
          </cell>
        </row>
        <row r="1186">
          <cell r="A1186">
            <v>38804</v>
          </cell>
          <cell r="B1186" t="str">
            <v>Dentro del tiempo</v>
          </cell>
        </row>
        <row r="1187">
          <cell r="A1187">
            <v>38805</v>
          </cell>
          <cell r="B1187" t="str">
            <v>Dentro del tiempo</v>
          </cell>
        </row>
        <row r="1188">
          <cell r="A1188">
            <v>38806</v>
          </cell>
          <cell r="B1188" t="str">
            <v>Dentro del tiempo</v>
          </cell>
        </row>
        <row r="1189">
          <cell r="A1189">
            <v>38807</v>
          </cell>
          <cell r="B1189" t="str">
            <v>Dentro del tiempo</v>
          </cell>
        </row>
        <row r="1190">
          <cell r="A1190">
            <v>38808</v>
          </cell>
          <cell r="B1190" t="str">
            <v>Dentro del tiempo</v>
          </cell>
        </row>
        <row r="1191">
          <cell r="A1191">
            <v>38809</v>
          </cell>
          <cell r="B1191" t="str">
            <v>Dentro del tiempo</v>
          </cell>
        </row>
        <row r="1192">
          <cell r="A1192">
            <v>38810</v>
          </cell>
          <cell r="B1192" t="str">
            <v>Dentro del tiempo</v>
          </cell>
        </row>
        <row r="1193">
          <cell r="A1193">
            <v>38811</v>
          </cell>
          <cell r="B1193" t="str">
            <v>Dentro del tiempo</v>
          </cell>
        </row>
        <row r="1194">
          <cell r="A1194">
            <v>38812</v>
          </cell>
          <cell r="B1194" t="str">
            <v>Dentro del tiempo</v>
          </cell>
        </row>
        <row r="1195">
          <cell r="A1195">
            <v>38813</v>
          </cell>
          <cell r="B1195" t="str">
            <v>Dentro del tiempo</v>
          </cell>
        </row>
        <row r="1196">
          <cell r="A1196">
            <v>38814</v>
          </cell>
          <cell r="B1196" t="str">
            <v>Dentro del tiempo</v>
          </cell>
        </row>
        <row r="1197">
          <cell r="A1197">
            <v>38815</v>
          </cell>
          <cell r="B1197" t="str">
            <v>Dentro del tiempo</v>
          </cell>
        </row>
        <row r="1198">
          <cell r="A1198">
            <v>38816</v>
          </cell>
          <cell r="B1198" t="str">
            <v>Dentro del tiempo</v>
          </cell>
        </row>
        <row r="1199">
          <cell r="A1199">
            <v>38817</v>
          </cell>
          <cell r="B1199" t="str">
            <v>Dentro del tiempo</v>
          </cell>
        </row>
        <row r="1200">
          <cell r="A1200">
            <v>38818</v>
          </cell>
          <cell r="B1200" t="str">
            <v>Dentro del tiempo</v>
          </cell>
        </row>
        <row r="1201">
          <cell r="A1201">
            <v>38819</v>
          </cell>
          <cell r="B1201" t="str">
            <v>Dentro del tiempo</v>
          </cell>
        </row>
        <row r="1202">
          <cell r="A1202">
            <v>38820</v>
          </cell>
          <cell r="B1202" t="str">
            <v>Dentro del tiempo</v>
          </cell>
        </row>
        <row r="1203">
          <cell r="A1203">
            <v>38821</v>
          </cell>
          <cell r="B1203" t="str">
            <v>Dentro del tiempo</v>
          </cell>
        </row>
        <row r="1204">
          <cell r="A1204">
            <v>38822</v>
          </cell>
          <cell r="B1204" t="str">
            <v>Dentro del tiempo</v>
          </cell>
        </row>
        <row r="1205">
          <cell r="A1205">
            <v>38823</v>
          </cell>
          <cell r="B1205" t="str">
            <v>Dentro del tiempo</v>
          </cell>
        </row>
        <row r="1206">
          <cell r="A1206">
            <v>38824</v>
          </cell>
          <cell r="B1206" t="str">
            <v>Dentro del tiempo</v>
          </cell>
        </row>
        <row r="1207">
          <cell r="A1207">
            <v>38825</v>
          </cell>
          <cell r="B1207" t="str">
            <v>Dentro del tiempo</v>
          </cell>
        </row>
        <row r="1208">
          <cell r="A1208">
            <v>38826</v>
          </cell>
          <cell r="B1208" t="str">
            <v>Dentro del tiempo</v>
          </cell>
        </row>
        <row r="1209">
          <cell r="A1209">
            <v>38827</v>
          </cell>
          <cell r="B1209" t="str">
            <v>Dentro del tiempo</v>
          </cell>
        </row>
        <row r="1210">
          <cell r="A1210">
            <v>38828</v>
          </cell>
          <cell r="B1210" t="str">
            <v>Dentro del tiempo</v>
          </cell>
        </row>
        <row r="1211">
          <cell r="A1211">
            <v>38829</v>
          </cell>
          <cell r="B1211" t="str">
            <v>Dentro del tiempo</v>
          </cell>
        </row>
        <row r="1212">
          <cell r="A1212">
            <v>38830</v>
          </cell>
          <cell r="B1212" t="str">
            <v>Dentro del tiempo</v>
          </cell>
        </row>
        <row r="1213">
          <cell r="A1213">
            <v>38831</v>
          </cell>
          <cell r="B1213" t="str">
            <v>Dentro del tiempo</v>
          </cell>
        </row>
        <row r="1214">
          <cell r="A1214">
            <v>38832</v>
          </cell>
          <cell r="B1214" t="str">
            <v>Dentro del tiempo</v>
          </cell>
        </row>
        <row r="1215">
          <cell r="A1215">
            <v>38833</v>
          </cell>
          <cell r="B1215" t="str">
            <v>Dentro del tiempo</v>
          </cell>
        </row>
        <row r="1216">
          <cell r="A1216">
            <v>38834</v>
          </cell>
          <cell r="B1216" t="str">
            <v>Dentro del tiempo</v>
          </cell>
        </row>
        <row r="1217">
          <cell r="A1217">
            <v>38835</v>
          </cell>
          <cell r="B1217" t="str">
            <v>Dentro del tiempo</v>
          </cell>
        </row>
        <row r="1218">
          <cell r="A1218">
            <v>38836</v>
          </cell>
          <cell r="B1218" t="str">
            <v>Dentro del tiempo</v>
          </cell>
        </row>
        <row r="1219">
          <cell r="A1219">
            <v>38837</v>
          </cell>
          <cell r="B1219" t="str">
            <v>Dentro del tiempo</v>
          </cell>
        </row>
        <row r="1220">
          <cell r="A1220">
            <v>38838</v>
          </cell>
          <cell r="B1220" t="str">
            <v>Dentro del tiempo</v>
          </cell>
        </row>
        <row r="1221">
          <cell r="A1221">
            <v>38839</v>
          </cell>
          <cell r="B1221" t="str">
            <v>Dentro del tiempo</v>
          </cell>
        </row>
        <row r="1222">
          <cell r="A1222">
            <v>38840</v>
          </cell>
          <cell r="B1222" t="str">
            <v>Dentro del tiempo</v>
          </cell>
        </row>
        <row r="1223">
          <cell r="A1223">
            <v>38841</v>
          </cell>
          <cell r="B1223" t="str">
            <v>Dentro del tiempo</v>
          </cell>
        </row>
        <row r="1224">
          <cell r="A1224">
            <v>38842</v>
          </cell>
          <cell r="B1224" t="str">
            <v>Dentro del tiempo</v>
          </cell>
        </row>
        <row r="1225">
          <cell r="A1225">
            <v>38843</v>
          </cell>
          <cell r="B1225" t="str">
            <v>Dentro del tiempo</v>
          </cell>
        </row>
        <row r="1226">
          <cell r="A1226">
            <v>38844</v>
          </cell>
          <cell r="B1226" t="str">
            <v>Dentro del tiempo</v>
          </cell>
        </row>
        <row r="1227">
          <cell r="A1227">
            <v>38845</v>
          </cell>
          <cell r="B1227" t="str">
            <v>Dentro del tiempo</v>
          </cell>
        </row>
        <row r="1228">
          <cell r="A1228">
            <v>38846</v>
          </cell>
          <cell r="B1228" t="str">
            <v>Dentro del tiempo</v>
          </cell>
        </row>
        <row r="1229">
          <cell r="A1229">
            <v>38847</v>
          </cell>
          <cell r="B1229" t="str">
            <v>Dentro del tiempo</v>
          </cell>
        </row>
        <row r="1230">
          <cell r="A1230">
            <v>38848</v>
          </cell>
          <cell r="B1230" t="str">
            <v>Dentro del tiempo</v>
          </cell>
        </row>
        <row r="1231">
          <cell r="A1231">
            <v>38849</v>
          </cell>
          <cell r="B1231" t="str">
            <v>Dentro del tiempo</v>
          </cell>
        </row>
        <row r="1232">
          <cell r="A1232">
            <v>38850</v>
          </cell>
          <cell r="B1232" t="str">
            <v>Dentro del tiempo</v>
          </cell>
        </row>
        <row r="1233">
          <cell r="A1233">
            <v>38851</v>
          </cell>
          <cell r="B1233" t="str">
            <v>Dentro del tiempo</v>
          </cell>
        </row>
        <row r="1234">
          <cell r="A1234">
            <v>38852</v>
          </cell>
          <cell r="B1234" t="str">
            <v>Dentro del tiempo</v>
          </cell>
        </row>
        <row r="1235">
          <cell r="A1235">
            <v>38853</v>
          </cell>
          <cell r="B1235" t="str">
            <v>Dentro del tiempo</v>
          </cell>
        </row>
        <row r="1236">
          <cell r="A1236">
            <v>38854</v>
          </cell>
          <cell r="B1236" t="str">
            <v>Dentro del tiempo</v>
          </cell>
        </row>
        <row r="1237">
          <cell r="A1237">
            <v>38855</v>
          </cell>
          <cell r="B1237" t="str">
            <v>Dentro del tiempo</v>
          </cell>
        </row>
        <row r="1238">
          <cell r="A1238">
            <v>38856</v>
          </cell>
          <cell r="B1238" t="str">
            <v>Dentro del tiempo</v>
          </cell>
        </row>
        <row r="1239">
          <cell r="A1239">
            <v>38857</v>
          </cell>
          <cell r="B1239" t="str">
            <v>Dentro del tiempo</v>
          </cell>
        </row>
        <row r="1240">
          <cell r="A1240">
            <v>38858</v>
          </cell>
          <cell r="B1240" t="str">
            <v>Dentro del tiempo</v>
          </cell>
        </row>
        <row r="1241">
          <cell r="A1241">
            <v>38859</v>
          </cell>
          <cell r="B1241" t="str">
            <v>Dentro del tiempo</v>
          </cell>
        </row>
        <row r="1242">
          <cell r="A1242">
            <v>38860</v>
          </cell>
          <cell r="B1242" t="str">
            <v>Dentro del tiempo</v>
          </cell>
        </row>
        <row r="1243">
          <cell r="A1243">
            <v>38861</v>
          </cell>
          <cell r="B1243" t="str">
            <v>Dentro del tiempo</v>
          </cell>
        </row>
        <row r="1244">
          <cell r="A1244">
            <v>38862</v>
          </cell>
          <cell r="B1244" t="str">
            <v>Dentro del tiempo</v>
          </cell>
        </row>
        <row r="1245">
          <cell r="A1245">
            <v>38863</v>
          </cell>
          <cell r="B1245" t="str">
            <v>Dentro del tiempo</v>
          </cell>
        </row>
        <row r="1246">
          <cell r="A1246">
            <v>38864</v>
          </cell>
          <cell r="B1246" t="str">
            <v>Dentro del tiempo</v>
          </cell>
        </row>
        <row r="1247">
          <cell r="A1247">
            <v>38865</v>
          </cell>
          <cell r="B1247" t="str">
            <v>Dentro del tiempo</v>
          </cell>
        </row>
        <row r="1248">
          <cell r="A1248">
            <v>38866</v>
          </cell>
          <cell r="B1248" t="str">
            <v>Dentro del tiempo</v>
          </cell>
        </row>
        <row r="1249">
          <cell r="A1249">
            <v>38867</v>
          </cell>
          <cell r="B1249" t="str">
            <v>Dentro del tiempo</v>
          </cell>
        </row>
        <row r="1250">
          <cell r="A1250">
            <v>38868</v>
          </cell>
          <cell r="B1250" t="str">
            <v>Dentro del tiempo</v>
          </cell>
        </row>
        <row r="1251">
          <cell r="A1251">
            <v>38869</v>
          </cell>
          <cell r="B1251" t="str">
            <v>Dentro del tiempo</v>
          </cell>
        </row>
        <row r="1252">
          <cell r="A1252">
            <v>38870</v>
          </cell>
          <cell r="B1252" t="str">
            <v>Dentro del tiempo</v>
          </cell>
        </row>
        <row r="1253">
          <cell r="A1253">
            <v>38871</v>
          </cell>
          <cell r="B1253" t="str">
            <v>Dentro del tiempo</v>
          </cell>
        </row>
        <row r="1254">
          <cell r="A1254">
            <v>38872</v>
          </cell>
          <cell r="B1254" t="str">
            <v>Dentro del tiempo</v>
          </cell>
        </row>
        <row r="1255">
          <cell r="A1255">
            <v>38873</v>
          </cell>
          <cell r="B1255" t="str">
            <v>Dentro del tiempo</v>
          </cell>
        </row>
        <row r="1256">
          <cell r="A1256">
            <v>38874</v>
          </cell>
          <cell r="B1256" t="str">
            <v>Dentro del tiempo</v>
          </cell>
        </row>
        <row r="1257">
          <cell r="A1257">
            <v>38875</v>
          </cell>
          <cell r="B1257" t="str">
            <v>Dentro del tiempo</v>
          </cell>
        </row>
        <row r="1258">
          <cell r="A1258">
            <v>38876</v>
          </cell>
          <cell r="B1258" t="str">
            <v>Dentro del tiempo</v>
          </cell>
        </row>
        <row r="1259">
          <cell r="A1259">
            <v>38877</v>
          </cell>
          <cell r="B1259" t="str">
            <v>Dentro del tiempo</v>
          </cell>
        </row>
        <row r="1260">
          <cell r="A1260">
            <v>38878</v>
          </cell>
          <cell r="B1260" t="str">
            <v>Dentro del tiempo</v>
          </cell>
        </row>
        <row r="1261">
          <cell r="A1261">
            <v>38879</v>
          </cell>
          <cell r="B1261" t="str">
            <v>Dentro del tiempo</v>
          </cell>
        </row>
        <row r="1262">
          <cell r="A1262">
            <v>38880</v>
          </cell>
          <cell r="B1262" t="str">
            <v>Dentro del tiempo</v>
          </cell>
        </row>
        <row r="1263">
          <cell r="A1263">
            <v>38881</v>
          </cell>
          <cell r="B1263" t="str">
            <v>Dentro del tiempo</v>
          </cell>
        </row>
        <row r="1264">
          <cell r="A1264">
            <v>38882</v>
          </cell>
          <cell r="B1264" t="str">
            <v>Dentro del tiempo</v>
          </cell>
        </row>
        <row r="1265">
          <cell r="A1265">
            <v>38883</v>
          </cell>
          <cell r="B1265" t="str">
            <v>Dentro del tiempo</v>
          </cell>
        </row>
        <row r="1266">
          <cell r="A1266">
            <v>38884</v>
          </cell>
          <cell r="B1266" t="str">
            <v>Dentro del tiempo</v>
          </cell>
        </row>
        <row r="1267">
          <cell r="A1267">
            <v>38885</v>
          </cell>
          <cell r="B1267" t="str">
            <v>Dentro del tiempo</v>
          </cell>
        </row>
        <row r="1268">
          <cell r="A1268">
            <v>38886</v>
          </cell>
          <cell r="B1268" t="str">
            <v>Dentro del tiempo</v>
          </cell>
        </row>
        <row r="1269">
          <cell r="A1269">
            <v>38887</v>
          </cell>
          <cell r="B1269" t="str">
            <v>Dentro del tiempo</v>
          </cell>
        </row>
        <row r="1270">
          <cell r="A1270">
            <v>38888</v>
          </cell>
          <cell r="B1270" t="str">
            <v>Dentro del tiempo</v>
          </cell>
        </row>
        <row r="1271">
          <cell r="A1271">
            <v>38889</v>
          </cell>
          <cell r="B1271" t="str">
            <v>Dentro del tiempo</v>
          </cell>
        </row>
        <row r="1272">
          <cell r="A1272">
            <v>38890</v>
          </cell>
          <cell r="B1272" t="str">
            <v>Dentro del tiempo</v>
          </cell>
        </row>
        <row r="1273">
          <cell r="A1273">
            <v>38891</v>
          </cell>
          <cell r="B1273" t="str">
            <v>Dentro del tiempo</v>
          </cell>
        </row>
        <row r="1274">
          <cell r="A1274">
            <v>38892</v>
          </cell>
          <cell r="B1274" t="str">
            <v>Dentro del tiempo</v>
          </cell>
        </row>
        <row r="1275">
          <cell r="A1275">
            <v>38893</v>
          </cell>
          <cell r="B1275" t="str">
            <v>Dentro del tiempo</v>
          </cell>
        </row>
        <row r="1276">
          <cell r="A1276">
            <v>38894</v>
          </cell>
          <cell r="B1276" t="str">
            <v>Dentro del tiempo</v>
          </cell>
        </row>
        <row r="1277">
          <cell r="A1277">
            <v>38895</v>
          </cell>
          <cell r="B1277" t="str">
            <v>Dentro del tiempo</v>
          </cell>
        </row>
        <row r="1278">
          <cell r="A1278">
            <v>38896</v>
          </cell>
          <cell r="B1278" t="str">
            <v>Dentro del tiempo</v>
          </cell>
        </row>
        <row r="1279">
          <cell r="A1279">
            <v>38897</v>
          </cell>
          <cell r="B1279" t="str">
            <v>Dentro del tiempo</v>
          </cell>
        </row>
        <row r="1280">
          <cell r="A1280">
            <v>38898</v>
          </cell>
          <cell r="B1280" t="str">
            <v>Dentro del tiempo</v>
          </cell>
        </row>
        <row r="1281">
          <cell r="A1281">
            <v>38899</v>
          </cell>
          <cell r="B1281" t="str">
            <v>Dentro del tiempo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 (2)"/>
      <sheetName val="Plan Verano"/>
      <sheetName val="pauta 2"/>
      <sheetName val="pauta 1"/>
      <sheetName val="Hoja1"/>
      <sheetName val="datos universos"/>
      <sheetName val="rating"/>
      <sheetName val="plan 2004"/>
      <sheetName val="actual MAY03"/>
      <sheetName val="pauta libre (2)"/>
      <sheetName val="pauta libre"/>
      <sheetName val="ANEXOS"/>
      <sheetName val="Visual Presentada ultimareunion"/>
      <sheetName val="pauta 27&quot;"/>
      <sheetName val="F13525"/>
      <sheetName val="F2 3525"/>
      <sheetName val="F33525"/>
      <sheetName val="F13525 (A)"/>
      <sheetName val="F2 3525 (A)"/>
      <sheetName val="F33525 a"/>
      <sheetName val="SOLICITUD CLIENTE"/>
      <sheetName val="RECOMEND AGENCIA"/>
      <sheetName val="PRE3525"/>
      <sheetName val="F12525"/>
      <sheetName val="F22525"/>
      <sheetName val="PRE2525"/>
      <sheetName val="MAYO 2004"/>
      <sheetName val="OCTUBRE 2004"/>
      <sheetName val="PRE-EVALUACION F1"/>
      <sheetName val="PRE-EVALUACION F1 2"/>
      <sheetName val="F1"/>
      <sheetName val="Hoja3"/>
      <sheetName val="Hoja2"/>
      <sheetName val="F2 "/>
      <sheetName val="F3"/>
      <sheetName val="PAUTA DE MEDIOS"/>
      <sheetName val="pauta 30"/>
      <sheetName val="PAUTA DE radios"/>
      <sheetName val="PAUTA GRAFICA"/>
      <sheetName val="PAUTA DE TV"/>
      <sheetName val="fligth 1"/>
      <sheetName val="Rating vigente"/>
      <sheetName val="visua anual"/>
      <sheetName val="fLIGHT 2"/>
      <sheetName val="fligth 3"/>
      <sheetName val="PI Jun 04"/>
      <sheetName val="PASO 1"/>
      <sheetName val="1"/>
      <sheetName val="Pauta Mix"/>
      <sheetName val="negociaciones1"/>
      <sheetName val="analisis"/>
      <sheetName val="expertisse"/>
      <sheetName val="#g.o."/>
      <sheetName val="tablas final 2°sem 2008"/>
      <sheetName val="ADS"/>
      <sheetName val="Hoja2_(2)"/>
      <sheetName val="Plan_Verano"/>
      <sheetName val="pauta_2"/>
      <sheetName val="pauta_1"/>
      <sheetName val="datos_universos"/>
      <sheetName val="plan_2004"/>
      <sheetName val="actual_MAY03"/>
      <sheetName val="pauta_libre_(2)"/>
      <sheetName val="pauta_libre"/>
      <sheetName val="Visual_Presentada_ultimareunion"/>
      <sheetName val="pauta_27&quot;"/>
      <sheetName val="F2_3525"/>
      <sheetName val="F13525_(A)"/>
      <sheetName val="F2_3525_(A)"/>
      <sheetName val="F33525_a"/>
      <sheetName val="SOLICITUD_CLIENTE"/>
      <sheetName val="RECOMEND_AGENCIA"/>
      <sheetName val="MAYO_2004"/>
      <sheetName val="OCTUBRE_2004"/>
      <sheetName val="PRE-EVALUACION_F1"/>
      <sheetName val="PRE-EVALUACION_F1_2"/>
      <sheetName val="F2_"/>
      <sheetName val="PAUTA_DE_MEDIOS"/>
      <sheetName val="pauta_30"/>
      <sheetName val="PAUTA_DE_radios"/>
      <sheetName val="PAUTA_GRAFICA"/>
      <sheetName val="PAUTA_DE_TV"/>
      <sheetName val="fligth_1"/>
      <sheetName val="Rating_vigente"/>
      <sheetName val="visua_anual"/>
      <sheetName val="fLIGHT_2"/>
      <sheetName val="fligth_3"/>
      <sheetName val="PI_Jun_04"/>
      <sheetName val="Hoja2_(2)1"/>
      <sheetName val="Plan_Verano1"/>
      <sheetName val="pauta_21"/>
      <sheetName val="pauta_11"/>
      <sheetName val="datos_universos1"/>
      <sheetName val="plan_20041"/>
      <sheetName val="actual_MAY031"/>
      <sheetName val="pauta_libre_(2)1"/>
      <sheetName val="pauta_libre1"/>
      <sheetName val="Visual_Presentada_ultimareunio1"/>
      <sheetName val="pauta_27&quot;1"/>
      <sheetName val="F2_35251"/>
      <sheetName val="F13525_(A)1"/>
      <sheetName val="F2_3525_(A)1"/>
      <sheetName val="F33525_a1"/>
      <sheetName val="SOLICITUD_CLIENTE1"/>
      <sheetName val="RECOMEND_AGENCIA1"/>
      <sheetName val="MAYO_20041"/>
      <sheetName val="OCTUBRE_20041"/>
      <sheetName val="PRE-EVALUACION_F11"/>
      <sheetName val="PRE-EVALUACION_F1_21"/>
      <sheetName val="F2_1"/>
      <sheetName val="PAUTA_DE_MEDIOS1"/>
      <sheetName val="pauta_301"/>
      <sheetName val="PAUTA_DE_radios1"/>
      <sheetName val="PAUTA_GRAFICA1"/>
      <sheetName val="PAUTA_DE_TV1"/>
      <sheetName val="fligth_11"/>
      <sheetName val="Rating_vigente1"/>
      <sheetName val="visua_anual1"/>
      <sheetName val="fLIGHT_21"/>
      <sheetName val="fligth_31"/>
      <sheetName val="PI_Jun_041"/>
      <sheetName val="Hoja2_(2)2"/>
      <sheetName val="Plan_Verano2"/>
      <sheetName val="pauta_22"/>
      <sheetName val="pauta_12"/>
      <sheetName val="datos_universos2"/>
      <sheetName val="plan_20042"/>
      <sheetName val="actual_MAY032"/>
      <sheetName val="pauta_libre_(2)2"/>
      <sheetName val="pauta_libre2"/>
      <sheetName val="Visual_Presentada_ultimareunio2"/>
      <sheetName val="pauta_27&quot;2"/>
      <sheetName val="F2_35252"/>
      <sheetName val="F13525_(A)2"/>
      <sheetName val="F2_3525_(A)2"/>
      <sheetName val="F33525_a2"/>
      <sheetName val="SOLICITUD_CLIENTE2"/>
      <sheetName val="RECOMEND_AGENCIA2"/>
      <sheetName val="MAYO_20042"/>
      <sheetName val="OCTUBRE_20042"/>
      <sheetName val="PRE-EVALUACION_F12"/>
      <sheetName val="PRE-EVALUACION_F1_22"/>
      <sheetName val="F2_2"/>
      <sheetName val="PAUTA_DE_MEDIOS2"/>
      <sheetName val="pauta_302"/>
      <sheetName val="PAUTA_DE_radios2"/>
      <sheetName val="PAUTA_GRAFICA2"/>
      <sheetName val="PAUTA_DE_TV2"/>
      <sheetName val="fligth_12"/>
      <sheetName val="Rating_vigente2"/>
      <sheetName val="visua_anual2"/>
      <sheetName val="fLIGHT_22"/>
      <sheetName val="fligth_32"/>
      <sheetName val="PI_Jun_042"/>
      <sheetName val="PASO_1"/>
      <sheetName val="PASO_12"/>
      <sheetName val="PASO_11"/>
      <sheetName val="Hoja2_(2)4"/>
      <sheetName val="Plan_Verano4"/>
      <sheetName val="pauta_24"/>
      <sheetName val="pauta_14"/>
      <sheetName val="datos_universos4"/>
      <sheetName val="plan_20044"/>
      <sheetName val="actual_MAY034"/>
      <sheetName val="pauta_libre_(2)4"/>
      <sheetName val="pauta_libre4"/>
      <sheetName val="Visual_Presentada_ultimareunio4"/>
      <sheetName val="pauta_27&quot;4"/>
      <sheetName val="F2_35254"/>
      <sheetName val="F13525_(A)4"/>
      <sheetName val="F2_3525_(A)4"/>
      <sheetName val="F33525_a4"/>
      <sheetName val="SOLICITUD_CLIENTE4"/>
      <sheetName val="RECOMEND_AGENCIA4"/>
      <sheetName val="MAYO_20044"/>
      <sheetName val="OCTUBRE_20044"/>
      <sheetName val="PRE-EVALUACION_F14"/>
      <sheetName val="PRE-EVALUACION_F1_24"/>
      <sheetName val="F2_4"/>
      <sheetName val="PAUTA_DE_MEDIOS4"/>
      <sheetName val="pauta_304"/>
      <sheetName val="PAUTA_DE_radios4"/>
      <sheetName val="PAUTA_GRAFICA4"/>
      <sheetName val="PAUTA_DE_TV4"/>
      <sheetName val="fligth_14"/>
      <sheetName val="Rating_vigente4"/>
      <sheetName val="visua_anual4"/>
      <sheetName val="fLIGHT_24"/>
      <sheetName val="fligth_34"/>
      <sheetName val="PI_Jun_044"/>
      <sheetName val="PASO_14"/>
      <sheetName val="Hoja2_(2)3"/>
      <sheetName val="Plan_Verano3"/>
      <sheetName val="pauta_23"/>
      <sheetName val="pauta_13"/>
      <sheetName val="datos_universos3"/>
      <sheetName val="plan_20043"/>
      <sheetName val="actual_MAY033"/>
      <sheetName val="pauta_libre_(2)3"/>
      <sheetName val="pauta_libre3"/>
      <sheetName val="Visual_Presentada_ultimareunio3"/>
      <sheetName val="pauta_27&quot;3"/>
      <sheetName val="F2_35253"/>
      <sheetName val="F13525_(A)3"/>
      <sheetName val="F2_3525_(A)3"/>
      <sheetName val="F33525_a3"/>
      <sheetName val="SOLICITUD_CLIENTE3"/>
      <sheetName val="RECOMEND_AGENCIA3"/>
      <sheetName val="MAYO_20043"/>
      <sheetName val="OCTUBRE_20043"/>
      <sheetName val="PRE-EVALUACION_F13"/>
      <sheetName val="PRE-EVALUACION_F1_23"/>
      <sheetName val="F2_3"/>
      <sheetName val="PAUTA_DE_MEDIOS3"/>
      <sheetName val="pauta_303"/>
      <sheetName val="PAUTA_DE_radios3"/>
      <sheetName val="PAUTA_GRAFICA3"/>
      <sheetName val="PAUTA_DE_TV3"/>
      <sheetName val="fligth_13"/>
      <sheetName val="Rating_vigente3"/>
      <sheetName val="visua_anual3"/>
      <sheetName val="fLIGHT_23"/>
      <sheetName val="fligth_33"/>
      <sheetName val="PI_Jun_043"/>
      <sheetName val="PASO_13"/>
      <sheetName val="Hoja2_(2)5"/>
      <sheetName val="Plan_Verano5"/>
      <sheetName val="pauta_25"/>
      <sheetName val="pauta_15"/>
      <sheetName val="datos_universos5"/>
      <sheetName val="plan_20045"/>
      <sheetName val="actual_MAY035"/>
      <sheetName val="pauta_libre_(2)5"/>
      <sheetName val="pauta_libre5"/>
      <sheetName val="Visual_Presentada_ultimareunio5"/>
      <sheetName val="pauta_27&quot;5"/>
      <sheetName val="F2_35255"/>
      <sheetName val="F13525_(A)5"/>
      <sheetName val="F2_3525_(A)5"/>
      <sheetName val="F33525_a5"/>
      <sheetName val="SOLICITUD_CLIENTE5"/>
      <sheetName val="RECOMEND_AGENCIA5"/>
      <sheetName val="MAYO_20045"/>
      <sheetName val="OCTUBRE_20045"/>
      <sheetName val="PRE-EVALUACION_F15"/>
      <sheetName val="PRE-EVALUACION_F1_25"/>
      <sheetName val="F2_5"/>
      <sheetName val="PAUTA_DE_MEDIOS5"/>
      <sheetName val="pauta_305"/>
      <sheetName val="PAUTA_DE_radios5"/>
      <sheetName val="PAUTA_GRAFICA5"/>
      <sheetName val="PAUTA_DE_TV5"/>
      <sheetName val="fligth_15"/>
      <sheetName val="Rating_vigente5"/>
      <sheetName val="visua_anual5"/>
      <sheetName val="fLIGHT_25"/>
      <sheetName val="fligth_35"/>
      <sheetName val="PI_Jun_045"/>
      <sheetName val="PASO_15"/>
      <sheetName val="Hoja2_(2)6"/>
      <sheetName val="Plan_Verano6"/>
      <sheetName val="pauta_26"/>
      <sheetName val="pauta_16"/>
      <sheetName val="datos_universos6"/>
      <sheetName val="plan_20046"/>
      <sheetName val="actual_MAY036"/>
      <sheetName val="pauta_libre_(2)6"/>
      <sheetName val="pauta_libre6"/>
      <sheetName val="Visual_Presentada_ultimareunio6"/>
      <sheetName val="pauta_27&quot;6"/>
      <sheetName val="F2_35256"/>
      <sheetName val="F13525_(A)6"/>
      <sheetName val="F2_3525_(A)6"/>
      <sheetName val="F33525_a6"/>
      <sheetName val="SOLICITUD_CLIENTE6"/>
      <sheetName val="RECOMEND_AGENCIA6"/>
      <sheetName val="MAYO_20046"/>
      <sheetName val="OCTUBRE_20046"/>
      <sheetName val="PRE-EVALUACION_F16"/>
      <sheetName val="PRE-EVALUACION_F1_26"/>
      <sheetName val="F2_6"/>
      <sheetName val="PAUTA_DE_MEDIOS6"/>
      <sheetName val="pauta_306"/>
      <sheetName val="PAUTA_DE_radios6"/>
      <sheetName val="PAUTA_GRAFICA6"/>
      <sheetName val="PAUTA_DE_TV6"/>
      <sheetName val="fligth_16"/>
      <sheetName val="Rating_vigente6"/>
      <sheetName val="visua_anual6"/>
      <sheetName val="fLIGHT_26"/>
      <sheetName val="fligth_36"/>
      <sheetName val="PI_Jun_046"/>
      <sheetName val="PASO_16"/>
      <sheetName val="plan"/>
      <sheetName val="aux exterior"/>
      <sheetName val="Agencias"/>
      <sheetName val="auxiliar"/>
      <sheetName val="Campañas"/>
      <sheetName val="Clientes"/>
      <sheetName val="Ejecutivos"/>
      <sheetName val="Mes"/>
      <sheetName val="Plataformas"/>
      <sheetName val="Hoja2_(2)7"/>
      <sheetName val="Hoja2_(2)9"/>
      <sheetName val="Plan_Verano7"/>
      <sheetName val="pauta_27"/>
      <sheetName val="pauta_17"/>
      <sheetName val="datos_universos7"/>
      <sheetName val="plan_20047"/>
      <sheetName val="actual_MAY037"/>
      <sheetName val="pauta_libre_(2)7"/>
      <sheetName val="pauta_libre7"/>
      <sheetName val="Visual_Presentada_ultimareunio7"/>
      <sheetName val="pauta_27&quot;7"/>
      <sheetName val="F2_35257"/>
      <sheetName val="F13525_(A)7"/>
      <sheetName val="F2_3525_(A)7"/>
      <sheetName val="F33525_a7"/>
      <sheetName val="SOLICITUD_CLIENTE7"/>
      <sheetName val="RECOMEND_AGENCIA7"/>
      <sheetName val="MAYO_20047"/>
      <sheetName val="OCTUBRE_20047"/>
      <sheetName val="PRE-EVALUACION_F17"/>
      <sheetName val="PRE-EVALUACION_F1_27"/>
      <sheetName val="F2_7"/>
      <sheetName val="PAUTA_DE_MEDIOS7"/>
      <sheetName val="pauta_307"/>
      <sheetName val="PAUTA_DE_radios7"/>
      <sheetName val="PAUTA_GRAFICA7"/>
      <sheetName val="PAUTA_DE_TV7"/>
      <sheetName val="fligth_17"/>
      <sheetName val="Rating_vigente7"/>
      <sheetName val="visua_anual7"/>
      <sheetName val="fLIGHT_27"/>
      <sheetName val="fligth_37"/>
      <sheetName val="PI_Jun_047"/>
      <sheetName val="PASO_17"/>
      <sheetName val="Pauta_Mix"/>
      <sheetName val="#g_o_"/>
      <sheetName val="tablas_final_2°sem_2008"/>
      <sheetName val="aux_exterior"/>
      <sheetName val="Hoja2_(2)8"/>
      <sheetName val="Hoja2_(2)10"/>
      <sheetName val="Hoja2_(2)11"/>
      <sheetName val="VIA PUBLICA"/>
      <sheetName val="Hoja2_(2)12"/>
      <sheetName val="Plan_Verano8"/>
      <sheetName val="pauta_28"/>
      <sheetName val="pauta_18"/>
      <sheetName val="datos_universos8"/>
      <sheetName val="plan_20048"/>
      <sheetName val="actual_MAY038"/>
      <sheetName val="pauta_libre_(2)8"/>
      <sheetName val="pauta_libre8"/>
      <sheetName val="Visual_Presentada_ultimareunio8"/>
      <sheetName val="pauta_27&quot;8"/>
      <sheetName val="F2_35258"/>
      <sheetName val="F13525_(A)8"/>
      <sheetName val="F2_3525_(A)8"/>
      <sheetName val="F33525_a8"/>
      <sheetName val="SOLICITUD_CLIENTE8"/>
      <sheetName val="RECOMEND_AGENCIA8"/>
      <sheetName val="MAYO_20048"/>
      <sheetName val="OCTUBRE_20048"/>
      <sheetName val="PRE-EVALUACION_F18"/>
      <sheetName val="PRE-EVALUACION_F1_28"/>
      <sheetName val="F2_8"/>
      <sheetName val="PAUTA_DE_MEDIOS8"/>
      <sheetName val="pauta_308"/>
      <sheetName val="PAUTA_DE_radios8"/>
      <sheetName val="PAUTA_GRAFICA8"/>
      <sheetName val="PAUTA_DE_TV8"/>
      <sheetName val="fligth_18"/>
      <sheetName val="Rating_vigente8"/>
      <sheetName val="visua_anual8"/>
      <sheetName val="fLIGHT_28"/>
      <sheetName val="fligth_38"/>
      <sheetName val="PI_Jun_048"/>
      <sheetName val="PASO_18"/>
      <sheetName val="Pauta_Mix1"/>
      <sheetName val="#g_o_1"/>
      <sheetName val="tablas_final_2°sem_20081"/>
      <sheetName val="aux_exterior1"/>
      <sheetName val="VIA_PUBLICA"/>
      <sheetName val="Tabla 1º sem 2010"/>
      <sheetName val="Hoja2_(2)13"/>
      <sheetName val="Plan_Verano9"/>
      <sheetName val="pauta_29"/>
      <sheetName val="pauta_19"/>
      <sheetName val="datos_universos9"/>
      <sheetName val="plan_20049"/>
      <sheetName val="actual_MAY039"/>
      <sheetName val="pauta_libre_(2)9"/>
      <sheetName val="pauta_libre9"/>
      <sheetName val="Visual_Presentada_ultimareunio9"/>
      <sheetName val="pauta_27&quot;9"/>
      <sheetName val="F2_35259"/>
      <sheetName val="F13525_(A)9"/>
      <sheetName val="F2_3525_(A)9"/>
      <sheetName val="F33525_a9"/>
      <sheetName val="SOLICITUD_CLIENTE9"/>
      <sheetName val="RECOMEND_AGENCIA9"/>
      <sheetName val="MAYO_20049"/>
      <sheetName val="OCTUBRE_20049"/>
      <sheetName val="PRE-EVALUACION_F19"/>
      <sheetName val="PRE-EVALUACION_F1_29"/>
      <sheetName val="F2_9"/>
      <sheetName val="PAUTA_DE_MEDIOS9"/>
      <sheetName val="pauta_309"/>
      <sheetName val="PAUTA_DE_radios9"/>
      <sheetName val="PAUTA_GRAFICA9"/>
      <sheetName val="PAUTA_DE_TV9"/>
      <sheetName val="fligth_19"/>
      <sheetName val="Rating_vigente9"/>
      <sheetName val="visua_anual9"/>
      <sheetName val="fLIGHT_29"/>
      <sheetName val="fligth_39"/>
      <sheetName val="PI_Jun_049"/>
      <sheetName val="PASO_19"/>
      <sheetName val="tablas_final_2°sem_20082"/>
      <sheetName val="Pauta_Mix2"/>
      <sheetName val="#g_o_2"/>
      <sheetName val="aux_exterior2"/>
      <sheetName val="VIA_PUBLICA1"/>
      <sheetName val="Tabla_1º_sem_2010"/>
      <sheetName val="Hoja2_(2)14"/>
      <sheetName val="Plan_Verano10"/>
      <sheetName val="pauta_210"/>
      <sheetName val="pauta_110"/>
      <sheetName val="datos_universos10"/>
      <sheetName val="plan_200410"/>
      <sheetName val="actual_MAY0310"/>
      <sheetName val="pauta_libre_(2)10"/>
      <sheetName val="pauta_libre10"/>
      <sheetName val="Visual_Presentada_ultimareuni10"/>
      <sheetName val="pauta_27&quot;10"/>
      <sheetName val="F2_352510"/>
      <sheetName val="F13525_(A)10"/>
      <sheetName val="F2_3525_(A)10"/>
      <sheetName val="F33525_a10"/>
      <sheetName val="SOLICITUD_CLIENTE10"/>
      <sheetName val="RECOMEND_AGENCIA10"/>
      <sheetName val="MAYO_200410"/>
      <sheetName val="OCTUBRE_200410"/>
      <sheetName val="PRE-EVALUACION_F110"/>
      <sheetName val="PRE-EVALUACION_F1_210"/>
      <sheetName val="F2_10"/>
      <sheetName val="PAUTA_DE_MEDIOS10"/>
      <sheetName val="pauta_3010"/>
      <sheetName val="PAUTA_DE_radios10"/>
      <sheetName val="PAUTA_GRAFICA10"/>
      <sheetName val="PAUTA_DE_TV10"/>
      <sheetName val="fligth_110"/>
      <sheetName val="Rating_vigente10"/>
      <sheetName val="visua_anual10"/>
      <sheetName val="fLIGHT_210"/>
      <sheetName val="fligth_310"/>
      <sheetName val="PI_Jun_0410"/>
      <sheetName val="PASO_110"/>
      <sheetName val="tablas_final_2°sem_20083"/>
      <sheetName val="Pauta_Mix3"/>
      <sheetName val="#g_o_3"/>
      <sheetName val="aux_exterior3"/>
      <sheetName val="VIA_PUBLICA2"/>
      <sheetName val="Tabla_1º_sem_20101"/>
    </sheetNames>
    <sheetDataSet>
      <sheetData sheetId="0" refreshError="1">
        <row r="14">
          <cell r="E14" t="str">
            <v>Clas</v>
          </cell>
          <cell r="F14" t="str">
            <v>PART</v>
          </cell>
          <cell r="G14" t="str">
            <v>Ln</v>
          </cell>
          <cell r="H14" t="str">
            <v>Mt</v>
          </cell>
          <cell r="I14" t="str">
            <v>Mc</v>
          </cell>
          <cell r="J14" t="str">
            <v>Jv</v>
          </cell>
          <cell r="K14" t="str">
            <v>Vn</v>
          </cell>
          <cell r="L14" t="str">
            <v>Sb</v>
          </cell>
          <cell r="M14" t="str">
            <v>Dg</v>
          </cell>
          <cell r="N14" t="str">
            <v>Ln</v>
          </cell>
          <cell r="O14" t="str">
            <v>Mt</v>
          </cell>
          <cell r="P14" t="str">
            <v>Mc</v>
          </cell>
          <cell r="Q14" t="str">
            <v>Jv</v>
          </cell>
          <cell r="R14" t="str">
            <v>Vn</v>
          </cell>
          <cell r="S14" t="str">
            <v>Sb</v>
          </cell>
          <cell r="T14" t="str">
            <v>Dg</v>
          </cell>
          <cell r="U14" t="str">
            <v>Ln</v>
          </cell>
        </row>
        <row r="15">
          <cell r="D15" t="str">
            <v>Fin</v>
          </cell>
          <cell r="G15">
            <v>2</v>
          </cell>
          <cell r="H15">
            <v>3</v>
          </cell>
          <cell r="I15">
            <v>4</v>
          </cell>
          <cell r="J15">
            <v>5</v>
          </cell>
          <cell r="K15">
            <v>6</v>
          </cell>
          <cell r="L15">
            <v>7</v>
          </cell>
          <cell r="M15">
            <v>8</v>
          </cell>
          <cell r="N15">
            <v>9</v>
          </cell>
          <cell r="O15">
            <v>10</v>
          </cell>
          <cell r="P15">
            <v>11</v>
          </cell>
          <cell r="Q15">
            <v>12</v>
          </cell>
          <cell r="R15">
            <v>13</v>
          </cell>
          <cell r="S15">
            <v>14</v>
          </cell>
          <cell r="T15">
            <v>15</v>
          </cell>
          <cell r="U15">
            <v>16</v>
          </cell>
        </row>
        <row r="19">
          <cell r="D19">
            <v>0.41666666666666669</v>
          </cell>
          <cell r="F19" t="str">
            <v>Off Prime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U19">
            <v>1</v>
          </cell>
        </row>
        <row r="21">
          <cell r="D21">
            <v>0.45833333333333331</v>
          </cell>
          <cell r="G21">
            <v>1</v>
          </cell>
          <cell r="I21">
            <v>1</v>
          </cell>
          <cell r="N21">
            <v>1</v>
          </cell>
          <cell r="P21">
            <v>1</v>
          </cell>
          <cell r="U21">
            <v>1</v>
          </cell>
        </row>
        <row r="22">
          <cell r="D22">
            <v>0.375</v>
          </cell>
          <cell r="F22" t="str">
            <v>Prime</v>
          </cell>
          <cell r="H22">
            <v>1</v>
          </cell>
          <cell r="K22">
            <v>1</v>
          </cell>
          <cell r="O22">
            <v>1</v>
          </cell>
          <cell r="Q22">
            <v>1</v>
          </cell>
        </row>
        <row r="23">
          <cell r="D23">
            <v>0.98611111111111116</v>
          </cell>
          <cell r="H23">
            <v>1</v>
          </cell>
          <cell r="O23">
            <v>1</v>
          </cell>
        </row>
        <row r="24">
          <cell r="D24">
            <v>0.98958333333333337</v>
          </cell>
          <cell r="J24">
            <v>1</v>
          </cell>
        </row>
        <row r="25">
          <cell r="D25">
            <v>0.98958333333333337</v>
          </cell>
          <cell r="G25">
            <v>1</v>
          </cell>
          <cell r="U25">
            <v>1</v>
          </cell>
        </row>
        <row r="26">
          <cell r="D26">
            <v>0.97916666666666663</v>
          </cell>
          <cell r="R26">
            <v>1</v>
          </cell>
        </row>
        <row r="27">
          <cell r="G27">
            <v>3</v>
          </cell>
          <cell r="H27">
            <v>3</v>
          </cell>
          <cell r="I27">
            <v>2</v>
          </cell>
          <cell r="J27">
            <v>2</v>
          </cell>
          <cell r="K27">
            <v>2</v>
          </cell>
          <cell r="L27">
            <v>0</v>
          </cell>
          <cell r="M27">
            <v>0</v>
          </cell>
          <cell r="N27">
            <v>2</v>
          </cell>
          <cell r="O27">
            <v>3</v>
          </cell>
          <cell r="P27">
            <v>2</v>
          </cell>
          <cell r="Q27">
            <v>2</v>
          </cell>
          <cell r="R27">
            <v>2</v>
          </cell>
          <cell r="S27">
            <v>0</v>
          </cell>
          <cell r="T27">
            <v>0</v>
          </cell>
          <cell r="U27">
            <v>3</v>
          </cell>
        </row>
        <row r="29">
          <cell r="D29">
            <v>0.64513888888888882</v>
          </cell>
          <cell r="E29" t="str">
            <v>R</v>
          </cell>
          <cell r="F29" t="str">
            <v>Off Prime</v>
          </cell>
        </row>
        <row r="31">
          <cell r="D31">
            <v>0.98958333333333337</v>
          </cell>
          <cell r="F31" t="str">
            <v>Prime</v>
          </cell>
          <cell r="I31">
            <v>1</v>
          </cell>
        </row>
        <row r="33">
          <cell r="D33">
            <v>0.63541666666666663</v>
          </cell>
          <cell r="E33" t="str">
            <v>CH06</v>
          </cell>
          <cell r="G33">
            <v>1</v>
          </cell>
          <cell r="K33">
            <v>1</v>
          </cell>
          <cell r="N33">
            <v>1</v>
          </cell>
          <cell r="R33">
            <v>1</v>
          </cell>
          <cell r="U33">
            <v>1</v>
          </cell>
        </row>
        <row r="34">
          <cell r="D34">
            <v>0.33333333333333331</v>
          </cell>
          <cell r="E34" t="str">
            <v>CH07</v>
          </cell>
          <cell r="F34" t="str">
            <v>Media Pr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O34">
            <v>1</v>
          </cell>
          <cell r="P34">
            <v>1</v>
          </cell>
          <cell r="Q34">
            <v>1</v>
          </cell>
        </row>
        <row r="35">
          <cell r="D35">
            <v>0.60416666666666663</v>
          </cell>
          <cell r="E35" t="str">
            <v>CH14</v>
          </cell>
          <cell r="H35">
            <v>1</v>
          </cell>
          <cell r="J35">
            <v>1</v>
          </cell>
          <cell r="O35">
            <v>1</v>
          </cell>
          <cell r="Q35">
            <v>1</v>
          </cell>
        </row>
        <row r="36">
          <cell r="D36">
            <v>0.97916666666666663</v>
          </cell>
          <cell r="E36" t="str">
            <v>CH19</v>
          </cell>
          <cell r="L36">
            <v>1</v>
          </cell>
          <cell r="S36">
            <v>1</v>
          </cell>
        </row>
        <row r="37">
          <cell r="D37">
            <v>3.472222222222222E-3</v>
          </cell>
          <cell r="E37" t="str">
            <v>CH19</v>
          </cell>
          <cell r="J37">
            <v>1</v>
          </cell>
        </row>
        <row r="38">
          <cell r="D38">
            <v>0.95833333333333337</v>
          </cell>
          <cell r="E38" t="str">
            <v>CH19</v>
          </cell>
          <cell r="F38" t="str">
            <v>Prime</v>
          </cell>
          <cell r="Q38">
            <v>1</v>
          </cell>
        </row>
        <row r="39">
          <cell r="D39">
            <v>23</v>
          </cell>
          <cell r="E39" t="str">
            <v>CH10</v>
          </cell>
          <cell r="F39" t="str">
            <v>Media Pr</v>
          </cell>
          <cell r="G39">
            <v>1</v>
          </cell>
        </row>
        <row r="40">
          <cell r="D40">
            <v>0.95833333333333337</v>
          </cell>
          <cell r="E40" t="str">
            <v>CH20</v>
          </cell>
          <cell r="N40">
            <v>1</v>
          </cell>
          <cell r="U40">
            <v>1</v>
          </cell>
        </row>
        <row r="42">
          <cell r="D42">
            <v>0.41597222222222219</v>
          </cell>
          <cell r="E42" t="str">
            <v>R</v>
          </cell>
          <cell r="F42" t="str">
            <v>Media Pr</v>
          </cell>
        </row>
        <row r="43">
          <cell r="D43">
            <v>0.96805555555555556</v>
          </cell>
          <cell r="E43" t="str">
            <v>R</v>
          </cell>
          <cell r="F43" t="str">
            <v>Media Pr</v>
          </cell>
        </row>
        <row r="44">
          <cell r="D44">
            <v>0.33263888888888887</v>
          </cell>
          <cell r="E44" t="str">
            <v>R</v>
          </cell>
          <cell r="F44" t="str">
            <v>Media Pr</v>
          </cell>
        </row>
        <row r="45">
          <cell r="D45">
            <v>3.125E-2</v>
          </cell>
          <cell r="E45" t="str">
            <v>R</v>
          </cell>
          <cell r="F45" t="str">
            <v>Media Pr</v>
          </cell>
        </row>
        <row r="46">
          <cell r="D46">
            <v>0.96805555555555556</v>
          </cell>
          <cell r="E46" t="str">
            <v>R</v>
          </cell>
          <cell r="F46" t="str">
            <v>Prime</v>
          </cell>
        </row>
        <row r="47">
          <cell r="D47">
            <v>0.84652777777777777</v>
          </cell>
          <cell r="E47" t="str">
            <v>R</v>
          </cell>
          <cell r="F47" t="str">
            <v>Media Pr</v>
          </cell>
        </row>
        <row r="48">
          <cell r="D48">
            <v>0.9159722222222223</v>
          </cell>
          <cell r="E48" t="str">
            <v>R</v>
          </cell>
          <cell r="F48" t="str">
            <v>Prime</v>
          </cell>
        </row>
        <row r="49">
          <cell r="D49">
            <v>0.96805555555555556</v>
          </cell>
          <cell r="E49" t="str">
            <v>R</v>
          </cell>
          <cell r="F49" t="str">
            <v>Prime</v>
          </cell>
        </row>
        <row r="50">
          <cell r="D50">
            <v>0.9194444444444444</v>
          </cell>
          <cell r="E50" t="str">
            <v>R</v>
          </cell>
          <cell r="F50" t="str">
            <v>Prime</v>
          </cell>
        </row>
        <row r="51">
          <cell r="D51">
            <v>0.66597222222222219</v>
          </cell>
          <cell r="E51" t="str">
            <v>R</v>
          </cell>
          <cell r="F51" t="str">
            <v>Media Pr</v>
          </cell>
        </row>
        <row r="52">
          <cell r="D52">
            <v>0.87430555555555556</v>
          </cell>
          <cell r="E52" t="str">
            <v>R</v>
          </cell>
          <cell r="F52" t="str">
            <v>Media Pr</v>
          </cell>
        </row>
        <row r="53">
          <cell r="D53">
            <v>0.73888888888888893</v>
          </cell>
          <cell r="E53" t="str">
            <v>R</v>
          </cell>
          <cell r="F53" t="str">
            <v>Off Prime</v>
          </cell>
        </row>
        <row r="54">
          <cell r="D54">
            <v>0.70763888888888893</v>
          </cell>
          <cell r="E54" t="str">
            <v>R</v>
          </cell>
          <cell r="F54" t="str">
            <v>Media Pr</v>
          </cell>
        </row>
        <row r="55">
          <cell r="D55">
            <v>9.7222222222222224E-3</v>
          </cell>
          <cell r="E55" t="str">
            <v>R</v>
          </cell>
          <cell r="F55" t="str">
            <v>Media Pr</v>
          </cell>
        </row>
        <row r="56">
          <cell r="D56">
            <v>0.96805555555555556</v>
          </cell>
          <cell r="E56" t="str">
            <v>R</v>
          </cell>
          <cell r="F56" t="str">
            <v>Prime</v>
          </cell>
        </row>
        <row r="57">
          <cell r="D57">
            <v>0.99930555555555556</v>
          </cell>
          <cell r="E57" t="str">
            <v>R</v>
          </cell>
          <cell r="F57" t="str">
            <v>Prime</v>
          </cell>
        </row>
        <row r="58">
          <cell r="D58">
            <v>0.91249999999999998</v>
          </cell>
          <cell r="E58" t="str">
            <v>R</v>
          </cell>
          <cell r="F58" t="str">
            <v>Prime</v>
          </cell>
        </row>
        <row r="59">
          <cell r="D59">
            <v>0.87430555555555556</v>
          </cell>
          <cell r="E59" t="str">
            <v>R</v>
          </cell>
          <cell r="F59" t="str">
            <v>Prime</v>
          </cell>
        </row>
        <row r="60">
          <cell r="D60">
            <v>0.8534722222222223</v>
          </cell>
          <cell r="E60" t="str">
            <v>R</v>
          </cell>
          <cell r="F60" t="str">
            <v>Prime</v>
          </cell>
        </row>
        <row r="61">
          <cell r="D61">
            <v>0.77013888888888893</v>
          </cell>
          <cell r="E61" t="str">
            <v>R</v>
          </cell>
          <cell r="F61" t="str">
            <v>Off Prime</v>
          </cell>
        </row>
        <row r="62">
          <cell r="D62">
            <v>0.9159722222222223</v>
          </cell>
          <cell r="E62" t="str">
            <v>R</v>
          </cell>
          <cell r="F62" t="str">
            <v>Prime</v>
          </cell>
        </row>
        <row r="63">
          <cell r="D63">
            <v>0.9194444444444444</v>
          </cell>
          <cell r="E63" t="str">
            <v>R</v>
          </cell>
          <cell r="F63" t="str">
            <v>Prime</v>
          </cell>
        </row>
        <row r="64">
          <cell r="D64">
            <v>9.375E-2</v>
          </cell>
          <cell r="E64" t="str">
            <v>R</v>
          </cell>
          <cell r="F64" t="str">
            <v>Off Prime</v>
          </cell>
        </row>
        <row r="65">
          <cell r="D65">
            <v>0.5</v>
          </cell>
          <cell r="E65" t="str">
            <v>R</v>
          </cell>
          <cell r="F65" t="str">
            <v>Off Prime</v>
          </cell>
        </row>
        <row r="66">
          <cell r="D66">
            <v>9.7222222222222224E-3</v>
          </cell>
          <cell r="E66" t="str">
            <v>R</v>
          </cell>
          <cell r="F66" t="str">
            <v>Prime</v>
          </cell>
        </row>
        <row r="67">
          <cell r="D67">
            <v>0.99930555555555556</v>
          </cell>
          <cell r="E67" t="str">
            <v>R</v>
          </cell>
          <cell r="F67" t="str">
            <v>Media Pr</v>
          </cell>
        </row>
        <row r="68">
          <cell r="D68">
            <v>0.99930555555555556</v>
          </cell>
          <cell r="E68" t="str">
            <v>R</v>
          </cell>
          <cell r="F68" t="str">
            <v>Media Pr</v>
          </cell>
        </row>
        <row r="69">
          <cell r="D69">
            <v>0.96805555555555556</v>
          </cell>
          <cell r="E69" t="str">
            <v>R</v>
          </cell>
          <cell r="F69" t="str">
            <v>Prime</v>
          </cell>
        </row>
        <row r="70">
          <cell r="D70">
            <v>0.99930555555555556</v>
          </cell>
          <cell r="E70" t="str">
            <v>R</v>
          </cell>
          <cell r="F70" t="str">
            <v>Prime</v>
          </cell>
        </row>
        <row r="71">
          <cell r="D71">
            <v>0.9194444444444444</v>
          </cell>
          <cell r="E71" t="str">
            <v>R</v>
          </cell>
          <cell r="F71" t="str">
            <v>Prime</v>
          </cell>
        </row>
        <row r="72">
          <cell r="D72">
            <v>8.2638888888888887E-2</v>
          </cell>
          <cell r="E72" t="str">
            <v>R</v>
          </cell>
          <cell r="F72" t="str">
            <v>Off Prime</v>
          </cell>
        </row>
        <row r="73">
          <cell r="D73">
            <v>0.63472222222222219</v>
          </cell>
          <cell r="E73" t="str">
            <v>R</v>
          </cell>
          <cell r="F73" t="str">
            <v>Media Pr</v>
          </cell>
        </row>
        <row r="74">
          <cell r="D74">
            <v>0.96805555555555556</v>
          </cell>
          <cell r="E74" t="str">
            <v>R</v>
          </cell>
          <cell r="F74" t="str">
            <v>Prime</v>
          </cell>
        </row>
        <row r="75">
          <cell r="D75">
            <v>0.83263888888888893</v>
          </cell>
          <cell r="E75" t="str">
            <v>R</v>
          </cell>
          <cell r="F75" t="str">
            <v>Off Prime</v>
          </cell>
        </row>
        <row r="76">
          <cell r="D76">
            <v>0.96805555555555556</v>
          </cell>
          <cell r="E76" t="str">
            <v>R</v>
          </cell>
          <cell r="F76" t="str">
            <v>Prime</v>
          </cell>
        </row>
        <row r="77">
          <cell r="D77">
            <v>0.84305555555555556</v>
          </cell>
          <cell r="E77" t="str">
            <v>R</v>
          </cell>
          <cell r="F77" t="str">
            <v>Prime</v>
          </cell>
        </row>
        <row r="78">
          <cell r="D78">
            <v>0.87430555555555556</v>
          </cell>
          <cell r="E78" t="str">
            <v>R</v>
          </cell>
          <cell r="F78" t="str">
            <v>Prime</v>
          </cell>
        </row>
        <row r="80">
          <cell r="G80">
            <v>3</v>
          </cell>
          <cell r="H80">
            <v>2</v>
          </cell>
          <cell r="I80">
            <v>2</v>
          </cell>
          <cell r="J80">
            <v>3</v>
          </cell>
          <cell r="K80">
            <v>2</v>
          </cell>
          <cell r="L80">
            <v>1</v>
          </cell>
          <cell r="M80">
            <v>0</v>
          </cell>
          <cell r="N80">
            <v>2</v>
          </cell>
          <cell r="O80">
            <v>2</v>
          </cell>
          <cell r="P80">
            <v>1</v>
          </cell>
          <cell r="Q80">
            <v>3</v>
          </cell>
          <cell r="R80">
            <v>1</v>
          </cell>
          <cell r="S80">
            <v>1</v>
          </cell>
          <cell r="T80">
            <v>0</v>
          </cell>
          <cell r="U80">
            <v>2</v>
          </cell>
        </row>
        <row r="82">
          <cell r="G82">
            <v>6</v>
          </cell>
          <cell r="H82">
            <v>5</v>
          </cell>
          <cell r="I82">
            <v>4</v>
          </cell>
          <cell r="J82">
            <v>5</v>
          </cell>
          <cell r="K82">
            <v>4</v>
          </cell>
          <cell r="L82">
            <v>1</v>
          </cell>
          <cell r="M82">
            <v>0</v>
          </cell>
          <cell r="N82">
            <v>4</v>
          </cell>
          <cell r="O82">
            <v>5</v>
          </cell>
          <cell r="P82">
            <v>3</v>
          </cell>
          <cell r="Q82">
            <v>5</v>
          </cell>
          <cell r="R82">
            <v>3</v>
          </cell>
          <cell r="S82">
            <v>1</v>
          </cell>
          <cell r="T82">
            <v>0</v>
          </cell>
          <cell r="U82">
            <v>5</v>
          </cell>
        </row>
        <row r="86">
          <cell r="G86">
            <v>25</v>
          </cell>
          <cell r="N86">
            <v>21</v>
          </cell>
          <cell r="U86" t="e">
            <v>#REF!</v>
          </cell>
        </row>
        <row r="129">
          <cell r="D129">
            <v>759</v>
          </cell>
        </row>
        <row r="132">
          <cell r="D132">
            <v>153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>
        <row r="14">
          <cell r="E14" t="str">
            <v>Clas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>
        <row r="14">
          <cell r="E14" t="str">
            <v>Clas</v>
          </cell>
        </row>
      </sheetData>
      <sheetData sheetId="64"/>
      <sheetData sheetId="65"/>
      <sheetData sheetId="66">
        <row r="14">
          <cell r="E14" t="str">
            <v>Clas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4">
          <cell r="E14" t="str">
            <v>Clas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14">
          <cell r="E14" t="str">
            <v>Clas</v>
          </cell>
        </row>
      </sheetData>
      <sheetData sheetId="130"/>
      <sheetData sheetId="131"/>
      <sheetData sheetId="132">
        <row r="14">
          <cell r="E14" t="str">
            <v>Clas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>
        <row r="14">
          <cell r="E14" t="str">
            <v>Clas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>
        <row r="14">
          <cell r="E14" t="str">
            <v>Clas</v>
          </cell>
        </row>
      </sheetData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>
        <row r="14">
          <cell r="E14" t="str">
            <v>Clas</v>
          </cell>
        </row>
      </sheetData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s"/>
      <sheetName val="Salas 2"/>
      <sheetName val="Tablas"/>
      <sheetName val="Marcas"/>
      <sheetName val="Anunciantes"/>
      <sheetName val="Rubros"/>
      <sheetName val="Caras"/>
      <sheetName val="MarcasCli"/>
      <sheetName val="Condiciones Generales"/>
      <sheetName val="Matriz"/>
      <sheetName val="CabFact"/>
      <sheetName val="DetFact"/>
      <sheetName val="CttSitios"/>
      <sheetName val="CPro"/>
      <sheetName val="Actividad"/>
    </sheetNames>
    <sheetDataSet>
      <sheetData sheetId="0"/>
      <sheetData sheetId="1"/>
      <sheetData sheetId="2">
        <row r="19">
          <cell r="A19" t="str">
            <v>lparis</v>
          </cell>
          <cell r="B19">
            <v>19</v>
          </cell>
        </row>
        <row r="20">
          <cell r="A20" t="str">
            <v>ccampos</v>
          </cell>
          <cell r="B20">
            <v>20</v>
          </cell>
        </row>
        <row r="21">
          <cell r="A21" t="str">
            <v>mvanklaveren</v>
          </cell>
          <cell r="B21">
            <v>21</v>
          </cell>
        </row>
        <row r="22">
          <cell r="A22" t="str">
            <v>cumaday</v>
          </cell>
          <cell r="B22">
            <v>22</v>
          </cell>
        </row>
        <row r="23">
          <cell r="A23" t="str">
            <v>mcalleja</v>
          </cell>
          <cell r="B23">
            <v>23</v>
          </cell>
        </row>
        <row r="24">
          <cell r="A24" t="str">
            <v>rmontero</v>
          </cell>
          <cell r="B24">
            <v>24</v>
          </cell>
        </row>
        <row r="25">
          <cell r="A25" t="str">
            <v>pmunoz</v>
          </cell>
          <cell r="B25">
            <v>25</v>
          </cell>
        </row>
        <row r="26">
          <cell r="A26" t="str">
            <v>lfarfan</v>
          </cell>
          <cell r="B26">
            <v>26</v>
          </cell>
        </row>
        <row r="27">
          <cell r="A27" t="str">
            <v>mesther</v>
          </cell>
          <cell r="B27">
            <v>27</v>
          </cell>
        </row>
        <row r="28">
          <cell r="A28" t="str">
            <v>nfonck</v>
          </cell>
          <cell r="B28">
            <v>28</v>
          </cell>
        </row>
        <row r="29">
          <cell r="A29" t="str">
            <v>jaqueveque</v>
          </cell>
          <cell r="B29">
            <v>29</v>
          </cell>
        </row>
        <row r="30">
          <cell r="A30" t="str">
            <v>maguila</v>
          </cell>
          <cell r="B30">
            <v>30</v>
          </cell>
        </row>
        <row r="31">
          <cell r="A31" t="str">
            <v>rpavez</v>
          </cell>
          <cell r="B31">
            <v>31</v>
          </cell>
        </row>
        <row r="32">
          <cell r="A32" t="str">
            <v>jlopez</v>
          </cell>
          <cell r="B32">
            <v>32</v>
          </cell>
        </row>
        <row r="33">
          <cell r="A33" t="str">
            <v>frisso</v>
          </cell>
          <cell r="B33">
            <v>33</v>
          </cell>
        </row>
        <row r="34">
          <cell r="A34" t="str">
            <v>racuna</v>
          </cell>
          <cell r="B34">
            <v>34</v>
          </cell>
        </row>
      </sheetData>
      <sheetData sheetId="3">
        <row r="1">
          <cell r="D1" t="str">
            <v>Marcas</v>
          </cell>
        </row>
        <row r="2">
          <cell r="D2" t="str">
            <v>&lt;Unknow&gt;     (&lt;Unknown&gt;)</v>
          </cell>
        </row>
        <row r="3">
          <cell r="D3" t="str">
            <v>EL DIABLO SE VISTE A LA MODA     (20TH CENTURY FOX)</v>
          </cell>
        </row>
        <row r="4">
          <cell r="D4" t="str">
            <v>SCOTCH BRITE     (3M S.A.)</v>
          </cell>
        </row>
        <row r="5">
          <cell r="D5" t="str">
            <v>ABB S.A.     (ABB S.A.)</v>
          </cell>
        </row>
        <row r="6">
          <cell r="D6" t="str">
            <v>ABSOLUT     (ABSOLUT)</v>
          </cell>
        </row>
        <row r="7">
          <cell r="D7" t="str">
            <v>ACCENTURE     (ACCENTURE)</v>
          </cell>
        </row>
        <row r="8">
          <cell r="D8" t="str">
            <v>ACOGER     (ACOGER SANTIAGO SERVICIOS FUNERARIOS)</v>
          </cell>
        </row>
        <row r="9">
          <cell r="D9" t="str">
            <v>ACONCAGUA     (ACONCAGUA FOODS S.A.)</v>
          </cell>
        </row>
        <row r="10">
          <cell r="D10" t="str">
            <v>LA FONTANA     (ACTUAL SERVICIO S.A.)</v>
          </cell>
        </row>
        <row r="11">
          <cell r="D11" t="str">
            <v>ADIDAS     (ADIDAS CHILE)</v>
          </cell>
        </row>
        <row r="12">
          <cell r="D12" t="str">
            <v>REEBOOK     (ADIDAS CHILE)</v>
          </cell>
        </row>
        <row r="13">
          <cell r="D13" t="str">
            <v>ADM. DE CREDITOS COM. PRESTO     (ADM. DE CREDITOS COM. PRESTO LTDA.)</v>
          </cell>
        </row>
        <row r="14">
          <cell r="D14" t="str">
            <v>PRESTO     (ADM. DE CREDITOS COM. PRESTO LTDA.)</v>
          </cell>
        </row>
        <row r="15">
          <cell r="D15" t="str">
            <v>ALTO LAS CONDES     (ADM. DEL CENTRO COMERCIAL ALTO LAS CONDES)</v>
          </cell>
        </row>
        <row r="16">
          <cell r="D16" t="str">
            <v>FALL WINTER     (ADM. DEL CENTRO COMERCIAL ALTO LAS CONDES)</v>
          </cell>
        </row>
        <row r="17">
          <cell r="D17" t="str">
            <v>INSTITUCIONAL     (ADM. DEL CENTRO COMERCIAL ALTO LAS CONDES)</v>
          </cell>
        </row>
        <row r="18">
          <cell r="D18" t="str">
            <v>LIQUIDACION INVERNO     (ADM. DEL CENTRO COMERCIAL ALTO LAS CONDES)</v>
          </cell>
        </row>
        <row r="19">
          <cell r="D19" t="str">
            <v>LIQUIDACION VERANO     (ADM. DEL CENTRO COMERCIAL ALTO LAS CONDES)</v>
          </cell>
        </row>
        <row r="20">
          <cell r="D20" t="str">
            <v>PRIMAVERA-VERANO     (ADM. DEL CENTRO COMERCIAL ALTO LAS CONDES)</v>
          </cell>
        </row>
        <row r="21">
          <cell r="D21" t="str">
            <v>ADT     (ADT)</v>
          </cell>
        </row>
        <row r="22">
          <cell r="D22" t="str">
            <v>AEROLINEAS DEL SUR     (AEROLINEAS AUSTRAL CHILE S.A.)</v>
          </cell>
        </row>
        <row r="23">
          <cell r="D23" t="str">
            <v>AIRCOMET     (AEROLINEAS AUSTRAL CHILE S.A.)</v>
          </cell>
        </row>
        <row r="24">
          <cell r="D24" t="str">
            <v>AFP SANTA MARIA     (AFP SANTA MARIA S.A.)</v>
          </cell>
        </row>
        <row r="25">
          <cell r="D25" t="str">
            <v>PAVO ARIZTIA     (AGRICOLA ARIZTIA LTDA.)</v>
          </cell>
        </row>
        <row r="26">
          <cell r="D26" t="str">
            <v>POLLO     (AGRICOLA ARIZTIA LTDA.)</v>
          </cell>
        </row>
        <row r="27">
          <cell r="D27" t="str">
            <v>AGROSUPER     (AGROSUPER COM. DE ALIMENTOS LTDA.)</v>
          </cell>
        </row>
        <row r="28">
          <cell r="D28" t="str">
            <v>LOMITO FIESTA     (AGROSUPER COM. DE ALIMENTOS LTDA.)</v>
          </cell>
        </row>
        <row r="29">
          <cell r="D29" t="str">
            <v>POLLO - CERDO     (AGROSUPER COM. DE ALIMENTOS LTDA.)</v>
          </cell>
        </row>
        <row r="30">
          <cell r="D30" t="str">
            <v>SOPRAVAL     (AGROSUPER COM. DE ALIMENTOS LTDA.)</v>
          </cell>
        </row>
        <row r="31">
          <cell r="D31" t="str">
            <v>SUPER CERDO     (AGROSUPER COM. DE ALIMENTOS LTDA.)</v>
          </cell>
        </row>
        <row r="32">
          <cell r="D32" t="str">
            <v>SUPER POLLO     (AGROSUPER COM. DE ALIMENTOS LTDA.)</v>
          </cell>
        </row>
        <row r="33">
          <cell r="D33" t="str">
            <v>DALY GOTAS     (ALIMENTOS CORDILLERA LTDA.)</v>
          </cell>
        </row>
        <row r="34">
          <cell r="D34" t="str">
            <v>ENJOY     (AM GESTION S.A.)</v>
          </cell>
        </row>
        <row r="35">
          <cell r="D35" t="str">
            <v>ENJOY 2008     (AM GESTION S.A.)</v>
          </cell>
        </row>
        <row r="36">
          <cell r="D36" t="str">
            <v>AMERICAN AIRLINES     (AMERICAN AIRLINES INC.)</v>
          </cell>
        </row>
        <row r="37">
          <cell r="D37" t="str">
            <v>AIRE ACONDICIONADO     (ANWO SA.)</v>
          </cell>
        </row>
        <row r="38">
          <cell r="D38" t="str">
            <v>ANWO     (ANWO SA.)</v>
          </cell>
        </row>
        <row r="39">
          <cell r="D39" t="str">
            <v>CALEFACCION     (ANWO SA.)</v>
          </cell>
        </row>
        <row r="40">
          <cell r="D40" t="str">
            <v>CLINICA     (ARAUCO MEDICINA INTEGRAL S.A.)</v>
          </cell>
        </row>
        <row r="41">
          <cell r="D41" t="str">
            <v>AUTOS     (ASPILLAGA HORNAHUER)</v>
          </cell>
        </row>
        <row r="42">
          <cell r="D42" t="str">
            <v>DERCO     (ASPILLAGA HORNAHUER)</v>
          </cell>
        </row>
        <row r="43">
          <cell r="D43" t="str">
            <v>GREATWALL     (ASPILLAGA HORNAHUER)</v>
          </cell>
        </row>
        <row r="44">
          <cell r="D44" t="str">
            <v>RENAULT     (ASPILLAGA HORNAHUER)</v>
          </cell>
        </row>
        <row r="45">
          <cell r="D45" t="str">
            <v>SUZUKI     (ASPILLAGA HORNAHUER)</v>
          </cell>
        </row>
        <row r="46">
          <cell r="D46" t="str">
            <v>AVON     (AVON)</v>
          </cell>
        </row>
        <row r="47">
          <cell r="D47" t="str">
            <v>BACARDI     (BACARDI MARTINI CHILE S.A.)</v>
          </cell>
        </row>
        <row r="48">
          <cell r="D48" t="str">
            <v>BANCHILE     (BANCO DE CHILE)</v>
          </cell>
        </row>
        <row r="49">
          <cell r="D49" t="str">
            <v>BANCO DE CHILE     (BANCO DE CHILE)</v>
          </cell>
        </row>
        <row r="50">
          <cell r="D50" t="str">
            <v>EDWARDS     (BANCO DE CHILE)</v>
          </cell>
        </row>
        <row r="51">
          <cell r="D51" t="str">
            <v>BCI     (BANCO DE CREDITO E INVERSIONES S.A.)</v>
          </cell>
        </row>
        <row r="52">
          <cell r="D52" t="str">
            <v>BCI OPEN SKY     (BANCO DE CREDITO E INVERSIONES S.A.)</v>
          </cell>
        </row>
        <row r="53">
          <cell r="D53" t="str">
            <v>TBANK     (BANCO DE CREDITO E INVERSIONES S.A.)</v>
          </cell>
        </row>
        <row r="54">
          <cell r="D54" t="str">
            <v>BANCO EDWARDS     (BANCO EDWARDS)</v>
          </cell>
        </row>
        <row r="55">
          <cell r="D55" t="str">
            <v>BANCO ESTADO     (BANCO ESTADO)</v>
          </cell>
        </row>
        <row r="56">
          <cell r="D56" t="str">
            <v>CREDITAZO     (BANCO ESTADO)</v>
          </cell>
        </row>
        <row r="57">
          <cell r="D57" t="str">
            <v>SEGUROS DE VIDA     (BANCO ESTADO)</v>
          </cell>
        </row>
        <row r="58">
          <cell r="D58" t="str">
            <v>TARJETAZO     (BANCO ESTADO)</v>
          </cell>
        </row>
        <row r="59">
          <cell r="D59" t="str">
            <v>BANCO ITAU     (BANCO ITAU)</v>
          </cell>
        </row>
        <row r="60">
          <cell r="D60" t="str">
            <v>BANCO PARIS     (BANCO PARIS)</v>
          </cell>
        </row>
        <row r="61">
          <cell r="D61" t="str">
            <v>BANCO PENTA     (BANCO PENTA)</v>
          </cell>
        </row>
        <row r="62">
          <cell r="D62" t="str">
            <v>BANCO SANTANDER     (BANCO SANTANDER CHILE)</v>
          </cell>
        </row>
        <row r="63">
          <cell r="D63" t="str">
            <v>BANEFE     (BANCO SANTANDER CHILE)</v>
          </cell>
        </row>
        <row r="64">
          <cell r="D64" t="str">
            <v>LAN PASS     (BANCO SANTANDER CHILE)</v>
          </cell>
        </row>
        <row r="65">
          <cell r="D65" t="str">
            <v>SANTANDER BANEFE     (BANCO SANTANDER CHILE)</v>
          </cell>
        </row>
        <row r="66">
          <cell r="D66" t="str">
            <v>ECOLOGICA PATAGONIA     (BARTER HOUSE)</v>
          </cell>
        </row>
        <row r="67">
          <cell r="D67" t="str">
            <v>BATA     (BATA DE CHILE S.A.)</v>
          </cell>
        </row>
        <row r="68">
          <cell r="D68" t="str">
            <v>GEOX     (BATA DE CHILE S.A.)</v>
          </cell>
        </row>
        <row r="69">
          <cell r="D69" t="str">
            <v>PRIMAVERA VERANO     (BATA DE CHILE S.A.)</v>
          </cell>
        </row>
        <row r="70">
          <cell r="D70" t="str">
            <v>Step UP     (Bazuca Films Limitada)</v>
          </cell>
        </row>
        <row r="71">
          <cell r="D71" t="str">
            <v>BBVA BANCO BHIF     (BBVA BANCO BHIF)</v>
          </cell>
        </row>
        <row r="72">
          <cell r="D72" t="str">
            <v>CREDITO CONSUMO     (BBVA BANCO BHIF)</v>
          </cell>
        </row>
        <row r="73">
          <cell r="D73" t="str">
            <v>BEIRSDORF     (BEIRSDORF S.A.)</v>
          </cell>
        </row>
        <row r="74">
          <cell r="D74" t="str">
            <v>DESODORANTE     (BEIRSDORF S.A.)</v>
          </cell>
        </row>
        <row r="75">
          <cell r="D75" t="str">
            <v>EUCERIN     (BEIRSDORF S.A.)</v>
          </cell>
        </row>
        <row r="76">
          <cell r="D76" t="str">
            <v>NIVEA     (BEIRSDORF S.A.)</v>
          </cell>
        </row>
        <row r="77">
          <cell r="D77" t="str">
            <v>NIVEA MEN(BEIRSDORF S.A.)     (BEIRSDORF S.A.)</v>
          </cell>
        </row>
        <row r="78">
          <cell r="D78" t="str">
            <v>SUN     (BEIRSDORF S.A.)</v>
          </cell>
        </row>
        <row r="79">
          <cell r="D79" t="str">
            <v>CHEEKY     (BELIAN S.A.)</v>
          </cell>
        </row>
        <row r="80">
          <cell r="D80" t="str">
            <v>BICE     (BICE ADMINISTRADORA GENERAL DE FONDOS S.A.)</v>
          </cell>
        </row>
        <row r="81">
          <cell r="D81" t="str">
            <v>CLICK AND RUN     (BICE ADMINISTRADORA GENERAL DE FONDOS S.A.)</v>
          </cell>
        </row>
        <row r="82">
          <cell r="D82" t="str">
            <v>BLACK &amp; DECKER     (BLACK &amp; DECKER S.A.)</v>
          </cell>
        </row>
        <row r="83">
          <cell r="D83" t="str">
            <v>REXONA MEN     (BLANCHARD PRODUCCIONES S.A.)</v>
          </cell>
        </row>
        <row r="84">
          <cell r="D84" t="str">
            <v>NEW MAN - PRIMAVERA     (BOULEVARD SAINT GERMAIN S.A.)</v>
          </cell>
        </row>
        <row r="85">
          <cell r="D85" t="str">
            <v>CUADERNOS     (BRAVO &amp; BRAVO LTDA.)</v>
          </cell>
        </row>
        <row r="86">
          <cell r="D86" t="str">
            <v>PAN PIERRE     (BREDENMASTER CHILE S.A.)</v>
          </cell>
        </row>
        <row r="87">
          <cell r="D87" t="str">
            <v>CONFORT     (C.M.P.C. TISSUE S.A.)</v>
          </cell>
        </row>
        <row r="88">
          <cell r="D88" t="str">
            <v>ELITE     (C.M.P.C. TISSUE S.A.)</v>
          </cell>
        </row>
        <row r="89">
          <cell r="D89" t="str">
            <v>CHOCOLATES     (CADBURY STANI ADAMS CHILE PRODUCTOS)</v>
          </cell>
        </row>
        <row r="90">
          <cell r="D90" t="str">
            <v>DENTINE     (CADBURY STANI ADAMS CHILE PRODUCTOS)</v>
          </cell>
        </row>
        <row r="91">
          <cell r="D91" t="str">
            <v>FIDS     (CAFE BRITT CHILE LTDA.)</v>
          </cell>
        </row>
        <row r="92">
          <cell r="D92" t="str">
            <v>ADMISION 2006     (CAMPUS MATER S.A.)</v>
          </cell>
        </row>
        <row r="93">
          <cell r="D93" t="str">
            <v>UNIVERSIDAD LAS AMERICAS     (CAMPUS MATER S.A.)</v>
          </cell>
        </row>
        <row r="94">
          <cell r="D94" t="str">
            <v>UNICA     (CANNEX)</v>
          </cell>
        </row>
        <row r="95">
          <cell r="D95" t="str">
            <v>CARPENTER     (CARPENTER S.A.)</v>
          </cell>
        </row>
        <row r="96">
          <cell r="D96" t="str">
            <v>CATECU     (CATECU S.A.)</v>
          </cell>
        </row>
        <row r="97">
          <cell r="D97" t="str">
            <v>SKECHERS     (CATECU S.A.)</v>
          </cell>
        </row>
        <row r="98">
          <cell r="D98" t="str">
            <v>CAVALSA     (CAVALSA TRADING S.A.)</v>
          </cell>
        </row>
        <row r="99">
          <cell r="D99" t="str">
            <v>CECINAS     (CECINAS LA PREFERIDA S.A.)</v>
          </cell>
        </row>
        <row r="100">
          <cell r="D100" t="str">
            <v>HAMBURGUESAS     (CECINAS LA PREFERIDA S.A.)</v>
          </cell>
        </row>
        <row r="101">
          <cell r="D101" t="str">
            <v>PATE     (CECINAS LA PREFERIDA S.A.)</v>
          </cell>
        </row>
        <row r="102">
          <cell r="D102" t="str">
            <v>CECINAS SAN JORGE     (CECINAS SAN JORGE S.A.)</v>
          </cell>
        </row>
        <row r="103">
          <cell r="D103" t="str">
            <v>CELL STAR     (CELL STAR)</v>
          </cell>
        </row>
        <row r="104">
          <cell r="D104" t="str">
            <v>60% OFF     (CENCOSUD S.A.)</v>
          </cell>
        </row>
        <row r="105">
          <cell r="D105" t="str">
            <v>ALTO LAS CONDES     (CENCOSUD S.A.)</v>
          </cell>
        </row>
        <row r="106">
          <cell r="D106" t="str">
            <v>CARABINEROS DE CHILE     (CENCOSUD S.A.)</v>
          </cell>
        </row>
        <row r="107">
          <cell r="D107" t="str">
            <v>CASA IDEAS     (CENCOSUD S.A.)</v>
          </cell>
        </row>
        <row r="108">
          <cell r="D108" t="str">
            <v>CENCOSUD     (CENCOSUD S.A.)</v>
          </cell>
        </row>
        <row r="109">
          <cell r="D109" t="str">
            <v>DIA DE LA MADRE     (CENCOSUD S.A.)</v>
          </cell>
        </row>
        <row r="110">
          <cell r="D110" t="str">
            <v>FLORIDA CENTER     (CENCOSUD S.A.)</v>
          </cell>
        </row>
        <row r="111">
          <cell r="D111" t="str">
            <v>INSTITUCIONAL JUMBO MAIPU     (CENCOSUD S.A.)</v>
          </cell>
        </row>
        <row r="112">
          <cell r="D112" t="str">
            <v>INSTITUCIONAL LOGO PORTAL LA REINA     (CENCOSUD S.A.)</v>
          </cell>
        </row>
        <row r="113">
          <cell r="D113" t="str">
            <v>JUMBO Y EASY     (CENCOSUD S.A.)</v>
          </cell>
        </row>
        <row r="114">
          <cell r="D114" t="str">
            <v>LIQUIDACION VERANO     (CENCOSUD S.A.)</v>
          </cell>
        </row>
        <row r="115">
          <cell r="D115" t="str">
            <v>MES DEL AMOR     (CENCOSUD S.A.)</v>
          </cell>
        </row>
        <row r="116">
          <cell r="D116" t="str">
            <v>MODA OTOÑO     (CENCOSUD S.A.)</v>
          </cell>
        </row>
        <row r="117">
          <cell r="D117" t="str">
            <v>NAVIDAD     (CENCOSUD S.A.)</v>
          </cell>
        </row>
        <row r="118">
          <cell r="D118" t="str">
            <v>OTOÑO - INVIERNO     (CENCOSUD S.A.)</v>
          </cell>
        </row>
        <row r="119">
          <cell r="D119" t="str">
            <v>PORTAL LA DEHESA     (CENCOSUD S.A.)</v>
          </cell>
        </row>
        <row r="120">
          <cell r="D120" t="str">
            <v>PRIMAVERA 2007     (CENCOSUD S.A.)</v>
          </cell>
        </row>
        <row r="121">
          <cell r="D121" t="str">
            <v>PRIMAVERA-VERANO     (CENCOSUD S.A.)</v>
          </cell>
        </row>
        <row r="122">
          <cell r="D122" t="str">
            <v>SALE OFF     (CENCOSUD S.A.)</v>
          </cell>
        </row>
        <row r="123">
          <cell r="D123" t="str">
            <v>SANTA ISABEL     (CENCOSUD S.A.)</v>
          </cell>
        </row>
        <row r="124">
          <cell r="D124" t="str">
            <v>TARJETA CIRCULO MAS     (CENCOSUD S.A.)</v>
          </cell>
        </row>
        <row r="125">
          <cell r="D125" t="str">
            <v>VENTA NOCTURNA     (CENCOSUD S.A.)</v>
          </cell>
        </row>
        <row r="126">
          <cell r="D126" t="str">
            <v>VINOS     (CENCOSUD S.A.)</v>
          </cell>
        </row>
        <row r="127">
          <cell r="D127" t="str">
            <v>CERAMICAS CORDILLERA     (CERAMICAS CORDILLERA)</v>
          </cell>
        </row>
        <row r="128">
          <cell r="D128" t="str">
            <v>CCU     (CERVECERA CCU CHILE LTDA.)</v>
          </cell>
        </row>
        <row r="129">
          <cell r="D129" t="str">
            <v>CRISTAL     (CERVECERA CCU CHILE LTDA.)</v>
          </cell>
        </row>
        <row r="130">
          <cell r="D130" t="str">
            <v>ESCUDO     (CERVECERA CCU CHILE LTDA.)</v>
          </cell>
        </row>
        <row r="131">
          <cell r="D131" t="str">
            <v>GATO BOTELLA     (CERVECERA CCU CHILE LTDA.)</v>
          </cell>
        </row>
        <row r="132">
          <cell r="D132" t="str">
            <v>HEINEKEN     (CERVECERA CCU CHILE LTDA.)</v>
          </cell>
        </row>
        <row r="133">
          <cell r="D133" t="str">
            <v>LEMON STONE     (CERVECERA CCU CHILE LTDA.)</v>
          </cell>
        </row>
        <row r="134">
          <cell r="D134" t="str">
            <v>PISCO MISTRAL     (CERVECERA CCU CHILE LTDA.)</v>
          </cell>
        </row>
        <row r="135">
          <cell r="D135" t="str">
            <v>ROYAL GUARD     (CERVECERA CCU CHILE LTDA.)</v>
          </cell>
        </row>
        <row r="136">
          <cell r="D136" t="str">
            <v>SOUR BERRYS     (CERVECERA CCU CHILE LTDA.)</v>
          </cell>
        </row>
        <row r="137">
          <cell r="D137" t="str">
            <v>BECKER     (CERVECERIA CHILE S.A.)</v>
          </cell>
        </row>
        <row r="138">
          <cell r="D138" t="str">
            <v>BRAHMA     (CERVECERIA CHILE S.A.)</v>
          </cell>
        </row>
        <row r="139">
          <cell r="D139" t="str">
            <v>BRAHMA COOL     (CERVECERIA CHILE S.A.)</v>
          </cell>
        </row>
        <row r="140">
          <cell r="D140" t="str">
            <v>CERVECERA     (CERVECERIA CHILE S.A.)</v>
          </cell>
        </row>
        <row r="141">
          <cell r="D141" t="str">
            <v>STELLA ARTOIS     (CERVECERIA CHILE S.A.)</v>
          </cell>
        </row>
        <row r="142">
          <cell r="D142" t="str">
            <v>CHOCOLATES HERSHEY     (CHOCOLATES HERSHEY)</v>
          </cell>
        </row>
        <row r="143">
          <cell r="D143" t="str">
            <v>COPEC     (CIA. DE PETROLEOS DE CHILE COPEC)</v>
          </cell>
        </row>
        <row r="144">
          <cell r="D144" t="str">
            <v>MOBIL     (CIA. DE PETROLEOS DE CHILE COPEC)</v>
          </cell>
        </row>
        <row r="145">
          <cell r="D145" t="str">
            <v>BANDA ANCHA 2.00 PROMO 6500     (CIA. DE TELECOMUNICACIONES DE CHILE)</v>
          </cell>
        </row>
        <row r="146">
          <cell r="D146" t="str">
            <v>CONTRATALO     (CIA. DE TELECOMUNICACIONES DE CHILE)</v>
          </cell>
        </row>
        <row r="147">
          <cell r="D147" t="str">
            <v>TELEFONICA     (CIA. DE TELECOMUNICACIONES DE CHILE)</v>
          </cell>
        </row>
        <row r="148">
          <cell r="D148" t="str">
            <v>MOVILAND     (CINES E INV. CINEPLEX LTDA.)</v>
          </cell>
        </row>
        <row r="149">
          <cell r="D149" t="str">
            <v>MALL PLAZA VESPUCIO     (CITIBANK N.A.)</v>
          </cell>
        </row>
        <row r="150">
          <cell r="D150" t="str">
            <v>CITROEN     (CITROEN CHILE S.A.C.)</v>
          </cell>
        </row>
        <row r="151">
          <cell r="D151" t="str">
            <v>BLACKBERRY     (CLARO CHILE S.A.)</v>
          </cell>
        </row>
        <row r="152">
          <cell r="D152" t="str">
            <v>CAMBIO IMAGEN     (CLARO CHILE S.A.)</v>
          </cell>
        </row>
        <row r="153">
          <cell r="D153" t="str">
            <v>CLARO CHILE     (CLARO CHILE S.A.)</v>
          </cell>
        </row>
        <row r="154">
          <cell r="D154" t="str">
            <v>DIA DEL PAPA     (CLARO CHILE S.A.)</v>
          </cell>
        </row>
        <row r="155">
          <cell r="D155" t="str">
            <v>PADRE 2-2     (CLARO CHILE S.A.)</v>
          </cell>
        </row>
        <row r="156">
          <cell r="D156" t="str">
            <v>SMARTCOM     (CLARO CHILE S.A.)</v>
          </cell>
        </row>
        <row r="157">
          <cell r="D157" t="str">
            <v>SMARTCOM CAMBIO IMAGEN     (CLARO CHILE S.A.)</v>
          </cell>
        </row>
        <row r="158">
          <cell r="D158" t="str">
            <v>CLINICA ALEMNA     (CLINICA ALEMANA DE SANTIAGO S.A.)</v>
          </cell>
        </row>
        <row r="159">
          <cell r="D159" t="str">
            <v>CLINICA CIUDAD DEL MAR     (CLINICA CIUDAD DEL MAR S.A.)</v>
          </cell>
        </row>
        <row r="160">
          <cell r="D160" t="str">
            <v>CLINICA     (CLINICA REÑACA S.A.)</v>
          </cell>
        </row>
        <row r="161">
          <cell r="D161" t="str">
            <v>CLINICA SAN CARLOS DE APOQUINDO     (CLINICA SAN CARLOS DE APOQUINDO)</v>
          </cell>
        </row>
        <row r="162">
          <cell r="D162" t="str">
            <v>CLOROX     (CLOROX CHILE S.A.)</v>
          </cell>
        </row>
        <row r="163">
          <cell r="D163" t="str">
            <v>POETT     (CLOROX CHILE S.A.)</v>
          </cell>
        </row>
        <row r="164">
          <cell r="D164" t="str">
            <v>CNN     (CNN CHILE CANAL DE TELEVISION LTDA.)</v>
          </cell>
        </row>
        <row r="165">
          <cell r="D165" t="str">
            <v>AGUAS     (COCA COLA DE CHILE S.A.)</v>
          </cell>
        </row>
        <row r="166">
          <cell r="D166" t="str">
            <v>ANDINA     (COCA COLA DE CHILE S.A.)</v>
          </cell>
        </row>
        <row r="167">
          <cell r="D167" t="str">
            <v>COCA COLA     (COCA COLA DE CHILE S.A.)</v>
          </cell>
        </row>
        <row r="168">
          <cell r="D168" t="str">
            <v>COCA COLA LIGHT     (COCA COLA DE CHILE S.A.)</v>
          </cell>
        </row>
        <row r="169">
          <cell r="D169" t="str">
            <v>DASANI     (COCA COLA DE CHILE S.A.)</v>
          </cell>
        </row>
        <row r="170">
          <cell r="D170" t="str">
            <v>FANTA     (COCA COLA DE CHILE S.A.)</v>
          </cell>
        </row>
        <row r="171">
          <cell r="D171" t="str">
            <v>INSTITUCIONAL     (COCA COLA DE CHILE S.A.)</v>
          </cell>
        </row>
        <row r="172">
          <cell r="D172" t="str">
            <v>NAVIDAD     (COCA COLA DE CHILE S.A.)</v>
          </cell>
        </row>
        <row r="173">
          <cell r="D173" t="str">
            <v>POWERADE     (COCA COLA DE CHILE S.A.)</v>
          </cell>
        </row>
        <row r="174">
          <cell r="D174" t="str">
            <v>ROSEN     (COLCHONES ROSEN S.A.C.I.)</v>
          </cell>
        </row>
        <row r="175">
          <cell r="D175" t="str">
            <v>ADRENALIN     (COMERCIAL ADRENALIN LTDA.)</v>
          </cell>
        </row>
        <row r="176">
          <cell r="D176" t="str">
            <v>ZAPATILLAS ADRENALIN     (COMERCIAL ADRENALIN LTDA.)</v>
          </cell>
        </row>
        <row r="177">
          <cell r="D177" t="str">
            <v>SAVILLE ROW     (COMERCIAL APS S.A.)</v>
          </cell>
        </row>
        <row r="178">
          <cell r="D178" t="str">
            <v>CONVERSE     (COMERCIAL DEPOR LTDA.)</v>
          </cell>
        </row>
        <row r="179">
          <cell r="D179" t="str">
            <v>TOYOTOMI     (COMERCIAL E IMPORTADORA BBR S.A.)</v>
          </cell>
        </row>
        <row r="180">
          <cell r="D180" t="str">
            <v>INFANTI     (COMERCIAL E INDUSTRIAL SILFA S.A.)</v>
          </cell>
        </row>
        <row r="181">
          <cell r="D181" t="str">
            <v>8 DIAS     (COMERCIAL ECCSA S.A.)</v>
          </cell>
        </row>
        <row r="182">
          <cell r="D182" t="str">
            <v>INAGURACION     (COMERCIAL ECCSA S.A.)</v>
          </cell>
        </row>
        <row r="183">
          <cell r="D183" t="str">
            <v>RIPLEY     (COMERCIAL ECCSA S.A.)</v>
          </cell>
        </row>
        <row r="184">
          <cell r="D184" t="str">
            <v>RIPLEY PERFIMES     (COMERCIAL ECCSA S.A.)</v>
          </cell>
        </row>
        <row r="185">
          <cell r="D185" t="str">
            <v>CALZADO     (COMERCIAL EXS LTDA.)</v>
          </cell>
        </row>
        <row r="186">
          <cell r="D186" t="str">
            <v>AUTOS     (COMERCIAL ITALA S.A.)</v>
          </cell>
        </row>
        <row r="187">
          <cell r="D187" t="str">
            <v>FIAT     (COMERCIAL ITALA S.A.)</v>
          </cell>
        </row>
        <row r="188">
          <cell r="D188" t="str">
            <v>FIAT GRANDE PUNTO     (COMERCIAL ITALA S.A.)</v>
          </cell>
        </row>
        <row r="189">
          <cell r="D189" t="str">
            <v>EVERLAST     (COMERCIAL SPORTEX LTDA.)</v>
          </cell>
        </row>
        <row r="190">
          <cell r="D190" t="str">
            <v>CALIENTA CAMA     (COMERCIAL TORO)</v>
          </cell>
        </row>
        <row r="191">
          <cell r="D191" t="str">
            <v>GAMA     (COMERCIAL TORO)</v>
          </cell>
        </row>
        <row r="192">
          <cell r="D192" t="str">
            <v>GEOX     (COMERCIAL VIA UNO CHILE LTDA.)</v>
          </cell>
        </row>
        <row r="193">
          <cell r="D193" t="str">
            <v>FES     (COMERCIALIZADORA DE VESTUARIO FES LTDA.)</v>
          </cell>
        </row>
        <row r="194">
          <cell r="D194" t="str">
            <v>MOTOSTAR     (COMERCIALIZADORA EBUYIN LTDA.)</v>
          </cell>
        </row>
        <row r="195">
          <cell r="D195" t="str">
            <v>MOSSO     (COMERCIALIZADORA IDEAS DEL SUR Y CIA. LTDA.)</v>
          </cell>
        </row>
        <row r="196">
          <cell r="D196" t="str">
            <v>JOCKEY     (COMERVEST S.A.)</v>
          </cell>
        </row>
        <row r="197">
          <cell r="D197" t="str">
            <v>PERRY ELLIS     (COMERVEST S.A.)</v>
          </cell>
        </row>
        <row r="198">
          <cell r="D198" t="str">
            <v>TRIAL     (COMERVEST S.A.)</v>
          </cell>
        </row>
        <row r="199">
          <cell r="D199" t="str">
            <v>PALTA HASS     (COMITE PALTA HASS DE CHILE)</v>
          </cell>
        </row>
        <row r="200">
          <cell r="D200" t="str">
            <v>KENT     (COMPAÑIA CHILENA DE TABACOS S.A.)</v>
          </cell>
        </row>
        <row r="201">
          <cell r="D201" t="str">
            <v>KENT Y LUCKY     (COMPAÑIA CHILENA DE TABACOS S.A.)</v>
          </cell>
        </row>
        <row r="202">
          <cell r="D202" t="str">
            <v>LUCKY     (COMPAÑIA CHILENA DE TABACOS S.A.)</v>
          </cell>
        </row>
        <row r="203">
          <cell r="D203" t="str">
            <v>LA RED     (COMPAÑIA CHILENA DE TELEVISION S.A.)</v>
          </cell>
        </row>
        <row r="204">
          <cell r="D204" t="str">
            <v>RED TV     (COMPAÑIA CHILENA DE TELEVISION S.A.)</v>
          </cell>
        </row>
        <row r="205">
          <cell r="D205" t="str">
            <v>CAMPANARIO     (COMPAÑIA PISQUERA CHILE)</v>
          </cell>
        </row>
        <row r="206">
          <cell r="D206" t="str">
            <v>ESCUDO     (COMPAÑIA PISQUERA CHILE)</v>
          </cell>
        </row>
        <row r="207">
          <cell r="D207" t="str">
            <v>MISTRAL     (COMPAÑIA PISQUERA CHILE)</v>
          </cell>
        </row>
        <row r="208">
          <cell r="D208" t="str">
            <v>PISCO MISTRAL     (COMPAÑIA PISQUERA CHILE)</v>
          </cell>
        </row>
        <row r="209">
          <cell r="D209" t="str">
            <v>SIERRA MORENA     (COMPAÑIA PISQUERA CHILE)</v>
          </cell>
        </row>
        <row r="210">
          <cell r="D210" t="str">
            <v>COMPUTACION OLIDATA LTDA.     (COMPUTACION OLIDATA LTDA)</v>
          </cell>
        </row>
        <row r="211">
          <cell r="D211" t="str">
            <v>PC NOTEBOOK     (COMPUTACION OLIDATA LTDA)</v>
          </cell>
        </row>
        <row r="212">
          <cell r="D212" t="str">
            <v>TOP     (CONFECCCIONES TOP)</v>
          </cell>
        </row>
        <row r="213">
          <cell r="D213" t="str">
            <v>TOPWEAR     (CONFECCCIONES TOP)</v>
          </cell>
        </row>
        <row r="214">
          <cell r="D214" t="str">
            <v>FEROUCH     (CONFECCIONES FEROUCH LTDA.)</v>
          </cell>
        </row>
        <row r="215">
          <cell r="D215" t="str">
            <v>NEW MAN     (CONFECCIONES FEROUCH LTDA.)</v>
          </cell>
        </row>
        <row r="216">
          <cell r="D216" t="str">
            <v>OTOÑO-INVIERNO     (CONFECCIONES FEROUCH LTDA.)</v>
          </cell>
        </row>
        <row r="217">
          <cell r="D217" t="str">
            <v>ELIGE TU ESTILO     (CONFECCIONES NAZAL LTDA.)</v>
          </cell>
        </row>
        <row r="218">
          <cell r="D218" t="str">
            <v>INTIME     (CONFECCIONES NAZAL LTDA.)</v>
          </cell>
        </row>
        <row r="219">
          <cell r="D219" t="str">
            <v>BARBADOS     (CONFECCIONESTEXTILES EL AGUILA LTDA)</v>
          </cell>
        </row>
        <row r="220">
          <cell r="D220" t="str">
            <v>CONSORCIO     (CONSORCIO NAC. SEGUROS DE VIDA S.A.)</v>
          </cell>
        </row>
        <row r="221">
          <cell r="D221" t="str">
            <v>TU     (CONSORCIO NAC. SEGUROS DE VIDA S.A.)</v>
          </cell>
        </row>
        <row r="222">
          <cell r="D222" t="str">
            <v>CONSTRUCTORA ALMAGRO     (CONSTRUCTORA ALMAGRO S.A.)</v>
          </cell>
        </row>
        <row r="223">
          <cell r="D223" t="str">
            <v>ALSACIA     (CONSTRUCTORA GLS LTDA.)</v>
          </cell>
        </row>
        <row r="224">
          <cell r="D224" t="str">
            <v>COLUN     (COOP. AGRI. LECHERA LA UNION LTDA.)</v>
          </cell>
        </row>
        <row r="225">
          <cell r="D225" t="str">
            <v>CANAL 13     (CORP. DE TELEVISION DE LA PONT. UNIVERSIDAD CATOLICA)</v>
          </cell>
        </row>
        <row r="226">
          <cell r="D226" t="str">
            <v>CONGRESO MUNDIAL     (CORP. DE TELEVISION DE LA PONT. UNIVERSIDAD CATOLICA)</v>
          </cell>
        </row>
        <row r="227">
          <cell r="D227" t="str">
            <v>M. VIÑA DEL MAR     (CORP. DE TELEVISION DE LA PONT. UNIVERSIDAD CATOLICA)</v>
          </cell>
        </row>
        <row r="228">
          <cell r="D228" t="str">
            <v>MUNICIPALIDAD DE VIÑA DEL MAR     (CORP. DE TELEVISION DE LA PONT. UNIVERSIDAD CATOLICA)</v>
          </cell>
        </row>
        <row r="229">
          <cell r="D229" t="str">
            <v>TELESERIE     (CORP. DE TELEVISION DE LA PONT. UNIVERSIDAD CATOLICA)</v>
          </cell>
        </row>
        <row r="230">
          <cell r="D230" t="str">
            <v>VIÑA CIUDAD BELLA     (CORP. DE TELEVISION DE LA PONT. UNIVERSIDAD CATOLICA)</v>
          </cell>
        </row>
        <row r="231">
          <cell r="D231" t="str">
            <v>CORPBANCA     (CORPBANCA)</v>
          </cell>
        </row>
        <row r="232">
          <cell r="D232" t="str">
            <v>JUGOS LIVEAN     (CORPORA TRES MONTES S.A.)</v>
          </cell>
        </row>
        <row r="233">
          <cell r="D233" t="str">
            <v>MONTERREY     (CORPORA TRES MONTES S.A.)</v>
          </cell>
        </row>
        <row r="234">
          <cell r="D234" t="str">
            <v>TE LIVIAN     (CORPORA TRES MONTES S.A.)</v>
          </cell>
        </row>
        <row r="235">
          <cell r="D235" t="str">
            <v>ZUKO     (CORPORA TRES MONTES S.A.)</v>
          </cell>
        </row>
        <row r="236">
          <cell r="D236" t="str">
            <v>CORFO     (CORPORACION DE FOMENTO CORFO)</v>
          </cell>
        </row>
        <row r="237">
          <cell r="D237" t="str">
            <v>DOLCE     (COSPER COSMETICA Y PERFUMERIA S.A.)</v>
          </cell>
        </row>
        <row r="238">
          <cell r="D238" t="str">
            <v>HUGO BOSS     (COSPER COSMETICA Y PERFUMERIA S.A.)</v>
          </cell>
        </row>
        <row r="239">
          <cell r="D239" t="str">
            <v>LACOSTE     (COSPER COSMETICA Y PERFUMERIA S.A.)</v>
          </cell>
        </row>
        <row r="240">
          <cell r="D240" t="str">
            <v>WADDOS     (CREACIONES MELODY LTDA.)</v>
          </cell>
        </row>
        <row r="241">
          <cell r="D241" t="str">
            <v>CREDICHILE     (CREDICHILE)</v>
          </cell>
        </row>
        <row r="242">
          <cell r="D242" t="str">
            <v>CTC TRANSMISIONES REGIONALES     (CTC TRANSMISIONES REGIONALES S.A.)</v>
          </cell>
        </row>
        <row r="243">
          <cell r="D243" t="str">
            <v>TELEFONICA     (CTC TRANSMISIONES REGIONALES S.A.)</v>
          </cell>
        </row>
        <row r="244">
          <cell r="D244" t="str">
            <v>MADEMSA     (CTI CHILE)</v>
          </cell>
        </row>
        <row r="245">
          <cell r="D245" t="str">
            <v>CUBANA AVIACION     (CUBANA AVIACION)</v>
          </cell>
        </row>
        <row r="246">
          <cell r="D246" t="str">
            <v>DELTA     (DELTA AIRLINES)</v>
          </cell>
        </row>
        <row r="247">
          <cell r="D247" t="str">
            <v>DENTO     (DENTO S.A.)</v>
          </cell>
        </row>
        <row r="248">
          <cell r="D248" t="str">
            <v>DERCO     (DERCO S.A)</v>
          </cell>
        </row>
        <row r="249">
          <cell r="D249" t="str">
            <v>RENAULT     (DERCO S.A)</v>
          </cell>
        </row>
        <row r="250">
          <cell r="D250" t="str">
            <v>SANTO     (DERCO S.A)</v>
          </cell>
        </row>
        <row r="251">
          <cell r="D251" t="str">
            <v>SUBARU     (DERCO S.A)</v>
          </cell>
        </row>
        <row r="252">
          <cell r="D252" t="str">
            <v>BAILEYS     (DIAGEO CHILE LTDA.)</v>
          </cell>
        </row>
        <row r="253">
          <cell r="D253" t="str">
            <v>JOHNNIE WALKER     (DIAGEO CHILE LTDA.)</v>
          </cell>
        </row>
        <row r="254">
          <cell r="D254" t="str">
            <v>PAMPERO     (DIAGEO CHILE LTDA.)</v>
          </cell>
        </row>
        <row r="255">
          <cell r="D255" t="str">
            <v>AEROPUERTO     (DIMACOFI S.A.)</v>
          </cell>
        </row>
        <row r="256">
          <cell r="D256" t="str">
            <v>DIMACOFI     (DIMACOFI S.A.)</v>
          </cell>
        </row>
        <row r="257">
          <cell r="D257" t="str">
            <v>RICOH     (DIMACOFI S.A.)</v>
          </cell>
        </row>
        <row r="258">
          <cell r="D258" t="str">
            <v>DINERS 2006     (DINER CLUB INTERNACIONAL)</v>
          </cell>
        </row>
        <row r="259">
          <cell r="D259" t="str">
            <v>DINNERS     (DINER CLUB INTERNACIONAL)</v>
          </cell>
        </row>
        <row r="260">
          <cell r="D260" t="str">
            <v>DIRECTV     (DIRECTV CHILE TELEVISION LTDA)</v>
          </cell>
        </row>
        <row r="261">
          <cell r="D261" t="str">
            <v>CK JEANS     (DIST. TEXTIL WARNACO CHILE LTDA.)</v>
          </cell>
        </row>
        <row r="262">
          <cell r="D262" t="str">
            <v>KIA     (DISTRIBUIDORA AUTOMOTRIZ SANTIAGO L)</v>
          </cell>
        </row>
        <row r="263">
          <cell r="D263" t="str">
            <v>MAZDA     (DISTRIBUIDORA AUTOMOTRIZ SANTIAGO L)</v>
          </cell>
        </row>
        <row r="264">
          <cell r="D264" t="str">
            <v>CUMMINS     (DISTRIBUIDORA CUMMINS CHILE S.A.)</v>
          </cell>
        </row>
        <row r="265">
          <cell r="D265" t="str">
            <v>NEW BALANCE     (DISTRIBUIDORA DE ARTICULOS DEPORTIVOS LTDA.)</v>
          </cell>
        </row>
        <row r="266">
          <cell r="D266" t="str">
            <v>CORONA     (DISTRIBUIDORA ERRAZURIZ S.A.)</v>
          </cell>
        </row>
        <row r="267">
          <cell r="D267" t="str">
            <v>212 - CAROLINA HERRERA     (DISTRIBUIDORA PUIG CHILE LTDA.)</v>
          </cell>
        </row>
        <row r="268">
          <cell r="D268" t="str">
            <v>AGATHA     (DISTRIBUIDORA PUIG CHILE LTDA.)</v>
          </cell>
        </row>
        <row r="269">
          <cell r="D269" t="str">
            <v>ANTONIO BANDERAS     (DISTRIBUIDORA PUIG CHILE LTDA.)</v>
          </cell>
        </row>
        <row r="270">
          <cell r="D270" t="str">
            <v>CALVIN KLEIN     (DISTRIBUIDORA PUIG CHILE LTDA.)</v>
          </cell>
        </row>
        <row r="271">
          <cell r="D271" t="str">
            <v>CK FREE     (DISTRIBUIDORA PUIG CHILE LTDA.)</v>
          </cell>
        </row>
        <row r="272">
          <cell r="D272" t="str">
            <v>DIOR     (DISTRIBUIDORA PUIG CHILE LTDA.)</v>
          </cell>
        </row>
        <row r="273">
          <cell r="D273" t="str">
            <v>DIOR CREMAS     (DISTRIBUIDORA PUIG CHILE LTDA.)</v>
          </cell>
        </row>
        <row r="274">
          <cell r="D274" t="str">
            <v>DISTRIBUIDORA PUIG     (DISTRIBUIDORA PUIG CHILE LTDA.)</v>
          </cell>
        </row>
        <row r="275">
          <cell r="D275" t="str">
            <v>PACO RABANNE     (DISTRIBUIDORA PUIG CHILE LTDA.)</v>
          </cell>
        </row>
        <row r="276">
          <cell r="D276" t="str">
            <v>PERFUMES     (DISTRIBUIDORA PUIG CHILE LTDA.)</v>
          </cell>
        </row>
        <row r="277">
          <cell r="D277" t="str">
            <v>LIDER     (DISTRIBUIDORA Y SERVICIOS D Y S S.A.)</v>
          </cell>
        </row>
        <row r="278">
          <cell r="D278" t="str">
            <v>VETERINARIA     (DISTRIBUIDORA Y SERVICIOS D Y S S.A.)</v>
          </cell>
        </row>
        <row r="279">
          <cell r="D279" t="str">
            <v>TELEVISA     (EDITORIAL TELEVISA CHILE S.A.)</v>
          </cell>
        </row>
        <row r="280">
          <cell r="D280" t="str">
            <v>ADMISION 2008     (EJERCITO DE CHILE ESCUELA MILITAR)</v>
          </cell>
        </row>
        <row r="281">
          <cell r="D281" t="str">
            <v>INSTITUCIONAL     (EL BARRIO PROPIEDADES)</v>
          </cell>
        </row>
        <row r="282">
          <cell r="D282" t="str">
            <v>DESAYUNO PERFECTO     (ELECTROLUX CHILE S.A.)</v>
          </cell>
        </row>
        <row r="283">
          <cell r="D283" t="str">
            <v>SORBETE LETELIER     (EMBOTELLADORA CASTEL LTDA.)</v>
          </cell>
        </row>
        <row r="284">
          <cell r="D284" t="str">
            <v>BILZ Y PAP     (EMBOTELLADORA CHILENAS UNIDAS S.A.)</v>
          </cell>
        </row>
        <row r="285">
          <cell r="D285" t="str">
            <v>CACHANTUN     (EMBOTELLADORA CHILENAS UNIDAS S.A.)</v>
          </cell>
        </row>
        <row r="286">
          <cell r="D286" t="str">
            <v>ECUSA     (EMBOTELLADORA CHILENAS UNIDAS S.A.)</v>
          </cell>
        </row>
        <row r="287">
          <cell r="D287" t="str">
            <v>KEM PIÑA     (EMBOTELLADORA CHILENAS UNIDAS S.A.)</v>
          </cell>
        </row>
        <row r="288">
          <cell r="D288" t="str">
            <v>LIMON SODA     (EMBOTELLADORA CHILENAS UNIDAS S.A.)</v>
          </cell>
        </row>
        <row r="289">
          <cell r="D289" t="str">
            <v>LIPTON ICE     (EMBOTELLADORA CHILENAS UNIDAS S.A.)</v>
          </cell>
        </row>
        <row r="290">
          <cell r="D290" t="str">
            <v>PEPSI     (EMBOTELLADORA CHILENAS UNIDAS S.A.)</v>
          </cell>
        </row>
        <row r="291">
          <cell r="D291" t="str">
            <v>PEPSI LIGHT     (EMBOTELLADORA CHILENAS UNIDAS S.A.)</v>
          </cell>
        </row>
        <row r="292">
          <cell r="D292" t="str">
            <v>SIERRA MORENA     (EMBOTELLADORA CHILENAS UNIDAS S.A.)</v>
          </cell>
        </row>
        <row r="293">
          <cell r="D293" t="str">
            <v>TURISMO BRASIL     (EMBRATUR)</v>
          </cell>
        </row>
        <row r="294">
          <cell r="D294" t="str">
            <v>EMERSON     (EMERSON ELECTRIC HOLDING CORPORATION)</v>
          </cell>
        </row>
        <row r="295">
          <cell r="D295" t="str">
            <v>CAROZZI     (EMPRESA CAROZZI S.A.)</v>
          </cell>
        </row>
        <row r="296">
          <cell r="D296" t="str">
            <v>COSTA     (EMPRESA CAROZZI S.A.)</v>
          </cell>
        </row>
        <row r="297">
          <cell r="D297" t="str">
            <v>COSTA GALLETAS CEREALES     (EMPRESA CAROZZI S.A.)</v>
          </cell>
        </row>
        <row r="298">
          <cell r="D298" t="str">
            <v>FRAC BI     (EMPRESA CAROZZI S.A.)</v>
          </cell>
        </row>
        <row r="299">
          <cell r="D299" t="str">
            <v>JUGOS TANG     (EMPRESA CAROZZI S.A.)</v>
          </cell>
        </row>
        <row r="300">
          <cell r="D300" t="str">
            <v>PASTAS     (EMPRESA CAROZZI S.A.)</v>
          </cell>
        </row>
        <row r="301">
          <cell r="D301" t="str">
            <v>PASTAS INFANTIL     (EMPRESA CAROZZI S.A.)</v>
          </cell>
        </row>
        <row r="302">
          <cell r="D302" t="str">
            <v>QUESO PHILADELPHIA     (EMPRESA CAROZZI S.A.)</v>
          </cell>
        </row>
        <row r="303">
          <cell r="D303" t="str">
            <v>DIARIO CONCEPCION     (EMPRESA PERIODISTICA DIARIO CONCEPCION S.A.)</v>
          </cell>
        </row>
        <row r="304">
          <cell r="D304" t="str">
            <v>ICARITO     (EMPRESA PERIODISTICA LA TERCERA S.A.)</v>
          </cell>
        </row>
        <row r="305">
          <cell r="D305" t="str">
            <v>LA TERCERA     (EMPRESA PERIODISTICA LA TERCERA S.A.)</v>
          </cell>
        </row>
        <row r="306">
          <cell r="D306" t="str">
            <v>ENTEL PCS TELECOMUNICACIONES     (ENTEL PCS TELECOMUNICACIONES S.A.)</v>
          </cell>
        </row>
        <row r="307">
          <cell r="D307" t="str">
            <v>PLAN CUENTA CONTROLADA     (ENTEL PCS TELECOMUNICACIONES S.A.)</v>
          </cell>
        </row>
        <row r="308">
          <cell r="D308" t="str">
            <v>ROAMMING     (ENTEL PCS TELECOMUNICACIONES S.A.)</v>
          </cell>
        </row>
        <row r="309">
          <cell r="D309" t="str">
            <v>ROAMMING MODULO     (ENTEL PCS TELECOMUNICACIONES S.A.)</v>
          </cell>
        </row>
        <row r="310">
          <cell r="D310" t="str">
            <v>CHICAS 123     (ENTEL S.A.)</v>
          </cell>
        </row>
        <row r="311">
          <cell r="D311" t="str">
            <v>ENTEL     (ENTEL S.A.)</v>
          </cell>
        </row>
        <row r="312">
          <cell r="D312" t="str">
            <v>ENTEL CARD     (ENTEL S.A.)</v>
          </cell>
        </row>
        <row r="313">
          <cell r="D313" t="str">
            <v>ENTEL CARD Y CHICAS 123     (ENTEL S.A.)</v>
          </cell>
        </row>
        <row r="314">
          <cell r="D314" t="str">
            <v>TARJETA     (ENTEL S.A.)</v>
          </cell>
        </row>
        <row r="315">
          <cell r="D315" t="str">
            <v>ERNST AND YOUNG     (ERNST &amp; YOUNG LTDA.)</v>
          </cell>
        </row>
        <row r="316">
          <cell r="D316" t="str">
            <v>FOSTER     (EUROFASHION LTDA.)</v>
          </cell>
        </row>
        <row r="317">
          <cell r="D317" t="str">
            <v>EVERIS     (EVERIS CHILE S.A.)</v>
          </cell>
        </row>
        <row r="318">
          <cell r="D318" t="str">
            <v>EDIFICIO DALI     (EXXACON DESARROLLO INMOBILIARIO S.A.)</v>
          </cell>
        </row>
        <row r="319">
          <cell r="D319" t="str">
            <v>FGM     (F.G.M. AROME ET BEAUTE)</v>
          </cell>
        </row>
        <row r="320">
          <cell r="D320" t="str">
            <v>GIVENCHY     (F.G.M. AROME ET BEAUTE)</v>
          </cell>
        </row>
        <row r="321">
          <cell r="D321" t="str">
            <v>HALLOWEEN     (F.G.M. AROME ET BEAUTE)</v>
          </cell>
        </row>
        <row r="322">
          <cell r="D322" t="str">
            <v>KENZO     (F.G.M. AROME ET BEAUTE)</v>
          </cell>
        </row>
        <row r="323">
          <cell r="D323" t="str">
            <v>MOURE     (F.G.M. AROME ET BEAUTE)</v>
          </cell>
        </row>
        <row r="324">
          <cell r="D324" t="str">
            <v>PERFUMES     (F.G.M. AROME ET BEAUTE)</v>
          </cell>
        </row>
        <row r="325">
          <cell r="D325" t="str">
            <v>YSL     (F.G.M. AROME ET BEAUTE)</v>
          </cell>
        </row>
        <row r="326">
          <cell r="D326" t="str">
            <v>BABY TUNES     (FALABELLA S.A.C.I.)</v>
          </cell>
        </row>
        <row r="327">
          <cell r="D327" t="str">
            <v>BASEMENT     (FALABELLA S.A.C.I.)</v>
          </cell>
        </row>
        <row r="328">
          <cell r="D328" t="str">
            <v>BIOTHERM     (FALABELLA S.A.C.I.)</v>
          </cell>
        </row>
        <row r="329">
          <cell r="D329" t="str">
            <v>CANCER DE MAMAS     (FALABELLA S.A.C.I.)</v>
          </cell>
        </row>
        <row r="330">
          <cell r="D330" t="str">
            <v>CMR COMBUSTIBLE     (FALABELLA S.A.C.I.)</v>
          </cell>
        </row>
        <row r="331">
          <cell r="D331" t="str">
            <v>FALABELLA     (FALABELLA S.A.C.I.)</v>
          </cell>
        </row>
        <row r="332">
          <cell r="D332" t="str">
            <v>ITALMOD     (FALABELLA S.A.C.I.)</v>
          </cell>
        </row>
        <row r="333">
          <cell r="D333" t="str">
            <v>MANGO     (FALABELLA S.A.C.I.)</v>
          </cell>
        </row>
        <row r="334">
          <cell r="D334" t="str">
            <v>MOSSIMO     (FALABELLA S.A.C.I.)</v>
          </cell>
        </row>
        <row r="335">
          <cell r="D335" t="str">
            <v>VIAJES     (FALABELLA S.A.C.I.)</v>
          </cell>
        </row>
        <row r="336">
          <cell r="D336" t="str">
            <v>WANAMA     (FALABELLA S.A.C.I.)</v>
          </cell>
        </row>
        <row r="337">
          <cell r="D337" t="str">
            <v>INSTITUCIONAL     (FARMACIAS AHUMADA S.A.)</v>
          </cell>
        </row>
        <row r="338">
          <cell r="D338" t="str">
            <v>LUMENE     (FARMACIAS AHUMADA S.A.)</v>
          </cell>
        </row>
        <row r="339">
          <cell r="D339" t="str">
            <v>BURGER KING     (FAST FOOD CHILE S.A.)</v>
          </cell>
        </row>
        <row r="340">
          <cell r="D340" t="str">
            <v>TRIAL     (Fca. Confecciones Trial S.A.)</v>
          </cell>
        </row>
        <row r="341">
          <cell r="D341" t="str">
            <v>EXPOMIN     (FISA S.A.)</v>
          </cell>
        </row>
        <row r="342">
          <cell r="D342" t="str">
            <v>FISA     (FISA S.A.)</v>
          </cell>
        </row>
        <row r="343">
          <cell r="D343" t="str">
            <v>FORD     (FORD MOTOR COMPANY CHILE LTDA.)</v>
          </cell>
        </row>
        <row r="344">
          <cell r="D344" t="str">
            <v>CATERPILLAR     (FORUS S.A.)</v>
          </cell>
        </row>
        <row r="345">
          <cell r="D345" t="str">
            <v>FORUS     (FORUS S.A.)</v>
          </cell>
        </row>
        <row r="346">
          <cell r="D346" t="str">
            <v>HUSH PUPPIES     (FORUS S.A.)</v>
          </cell>
        </row>
        <row r="347">
          <cell r="D347" t="str">
            <v>ALVIN Y LAS ARDILLAS     (FOX LATIN AMERICAN CHANNELS CHILE LTDA.)</v>
          </cell>
        </row>
        <row r="348">
          <cell r="D348" t="str">
            <v>DISNEY CHANNEL     (FOX LATIN AMERICAN CHANNELS CHILE LTDA.)</v>
          </cell>
        </row>
        <row r="349">
          <cell r="D349" t="str">
            <v>Dr. HOUSE     (FOX LATIN AMERICAN CHANNELS CHILE LTDA.)</v>
          </cell>
        </row>
        <row r="350">
          <cell r="D350" t="str">
            <v>FOX BROTHER     (FOX LATIN AMERICAN CHANNELS CHILE LTDA.)</v>
          </cell>
        </row>
        <row r="351">
          <cell r="D351" t="str">
            <v>FOX LIFE     (FOX LATIN AMERICAN CHANNELS CHILE LTDA.)</v>
          </cell>
        </row>
        <row r="352">
          <cell r="D352" t="str">
            <v>HEROES     (FOX LATIN AMERICAN CHANNELS CHILE LTDA.)</v>
          </cell>
        </row>
        <row r="353">
          <cell r="D353" t="str">
            <v>LA BIBLIA     (FOX LATIN AMERICAN CHANNELS CHILE LTDA.)</v>
          </cell>
        </row>
        <row r="354">
          <cell r="D354" t="str">
            <v>LA ERA DEL HIELO     (FOX LATIN AMERICAN CHANNELS CHILE LTDA.)</v>
          </cell>
        </row>
        <row r="355">
          <cell r="D355" t="str">
            <v>NIK TUP     (FOX LATIN AMERICAN CHANNELS CHILE LTDA.)</v>
          </cell>
        </row>
        <row r="356">
          <cell r="D356" t="str">
            <v>PRISION BREAK     (FOX LATIN AMERICAN CHANNELS CHILE LTDA.)</v>
          </cell>
        </row>
        <row r="357">
          <cell r="D357" t="str">
            <v>PSYCH UNIVERSAL     (FOX LATIN AMERICAN CHANNELS CHILE LTDA.)</v>
          </cell>
        </row>
        <row r="358">
          <cell r="D358" t="str">
            <v>RESCUE ME     (FOX LATIN AMERICAN CHANNELS CHILE LTDA.)</v>
          </cell>
        </row>
        <row r="359">
          <cell r="D359" t="str">
            <v>SERIES     (FOX LATIN AMERICAN CHANNELS CHILE LTDA.)</v>
          </cell>
        </row>
        <row r="360">
          <cell r="D360" t="str">
            <v>RENAULT     (FRANCO MECANICA S.A.)</v>
          </cell>
        </row>
        <row r="361">
          <cell r="D361" t="str">
            <v>GREENPEACE     (FUND. GREENPEACE PACIFICO SUR)</v>
          </cell>
        </row>
        <row r="362">
          <cell r="D362" t="str">
            <v>COLECTA ANUAL     (FUNDACION COANIL)</v>
          </cell>
        </row>
        <row r="363">
          <cell r="D363" t="str">
            <v>UN NIÑO, UNA CAMA     (FUNDACION INTEGRA)</v>
          </cell>
        </row>
        <row r="364">
          <cell r="D364" t="str">
            <v>FUNDACION LAS ROSAS     (FUNDACION LAS ROSAS)</v>
          </cell>
        </row>
        <row r="365">
          <cell r="D365" t="str">
            <v>BENEFICENCIA     (FUNDACION NUESTROS HIJOS)</v>
          </cell>
        </row>
        <row r="366">
          <cell r="D366" t="str">
            <v>CHEVROLET     (General Motors Chile ltda)</v>
          </cell>
        </row>
        <row r="367">
          <cell r="D367" t="str">
            <v>GENERAL MOTORS     (General Motors Chile ltda)</v>
          </cell>
        </row>
        <row r="368">
          <cell r="D368" t="str">
            <v>LLEGADA CEO G.M.     (General Motors Chile ltda)</v>
          </cell>
        </row>
        <row r="369">
          <cell r="D369" t="str">
            <v>SPARK     (General Motors Chile ltda)</v>
          </cell>
        </row>
        <row r="370">
          <cell r="D370" t="str">
            <v>GOURMET     (GOOD FOODS S.A.)</v>
          </cell>
        </row>
        <row r="371">
          <cell r="D371" t="str">
            <v>GOODYEAR     (GOODYEAR DE CHILE S.A.I.C.)</v>
          </cell>
        </row>
        <row r="372">
          <cell r="D372" t="str">
            <v>ANTICIPO TEMPORADA OTOÑO     (GRUPO CALDERON)</v>
          </cell>
        </row>
        <row r="373">
          <cell r="D373" t="str">
            <v>CAMPAÑA ESCOLAR     (GRUPO CALDERON)</v>
          </cell>
        </row>
        <row r="374">
          <cell r="D374" t="str">
            <v>CAMPAÑA EVENTO SEPTIEMBRE     (GRUPO CALDERON)</v>
          </cell>
        </row>
        <row r="375">
          <cell r="D375" t="str">
            <v>CAMPAÑA NAVIDAD     (GRUPO CALDERON)</v>
          </cell>
        </row>
        <row r="376">
          <cell r="D376" t="str">
            <v>DIA DE LA MADRE     (GRUPO CALDERON)</v>
          </cell>
        </row>
        <row r="377">
          <cell r="D377" t="str">
            <v>DIA DEL NIÑO     (GRUPO CALDERON)</v>
          </cell>
        </row>
        <row r="378">
          <cell r="D378" t="str">
            <v>FIESTAS PATRIAS     (GRUPO CALDERON)</v>
          </cell>
        </row>
        <row r="379">
          <cell r="D379" t="str">
            <v>INSTITUCIONAL     (GRUPO CALDERON)</v>
          </cell>
        </row>
        <row r="380">
          <cell r="D380" t="str">
            <v>MAMA     (GRUPO CALDERON)</v>
          </cell>
        </row>
        <row r="381">
          <cell r="D381" t="str">
            <v>NAVIDAD     (GRUPO CALDERON)</v>
          </cell>
        </row>
        <row r="382">
          <cell r="D382" t="str">
            <v>OTOÑO-INVIERNO     (GRUPO CALDERON)</v>
          </cell>
        </row>
        <row r="383">
          <cell r="D383" t="str">
            <v>PRIMAVERA     (GRUPO CALDERON)</v>
          </cell>
        </row>
        <row r="384">
          <cell r="D384" t="str">
            <v>PROMO TV     (GRUPO CALDERON)</v>
          </cell>
        </row>
        <row r="385">
          <cell r="D385" t="str">
            <v>VERANO     (GRUPO CALDERON)</v>
          </cell>
        </row>
        <row r="386">
          <cell r="D386" t="str">
            <v>FORO ITALIA-CHILE     (GRUPO DOS ORGANIZACION Y PRODUCCION DE EVENTOS LTDA.)</v>
          </cell>
        </row>
        <row r="387">
          <cell r="D387" t="str">
            <v>GTD MANQUEHUE     (GTD MANQUEHUE)</v>
          </cell>
        </row>
        <row r="388">
          <cell r="D388" t="str">
            <v>HBC     (H. BRIONES COMERCIAL S.A.)</v>
          </cell>
        </row>
        <row r="389">
          <cell r="D389" t="str">
            <v>RELOJ     (H. BRIONES COMERCIAL S.A.)</v>
          </cell>
        </row>
        <row r="390">
          <cell r="D390" t="str">
            <v>SPRIT     (H. BRIONES COMERCIAL S.A.)</v>
          </cell>
        </row>
        <row r="391">
          <cell r="D391" t="str">
            <v>SWATCH     (H. BRIONES COMERCIAL S.A.)</v>
          </cell>
        </row>
        <row r="392">
          <cell r="D392" t="str">
            <v>TISSOT     (H. BRIONES COMERCIAL S.A.)</v>
          </cell>
        </row>
        <row r="393">
          <cell r="D393" t="str">
            <v>WENGER     (H. BRIONES COMERCIAL S.A.)</v>
          </cell>
        </row>
        <row r="394">
          <cell r="D394" t="str">
            <v>Havana Club     (HAVANA CLUB)</v>
          </cell>
        </row>
        <row r="395">
          <cell r="D395" t="str">
            <v>HERBALIFE     (HERBALIFE INTERNATIONAL DE CHILE LTDA.)</v>
          </cell>
        </row>
        <row r="396">
          <cell r="D396" t="str">
            <v>COMPUTADORES     (HEWLETT PACKARD CHILE COMERCIAL LTDA.)</v>
          </cell>
        </row>
        <row r="397">
          <cell r="D397" t="str">
            <v>HEWLETT PACKARD     (HEWLETT PACKARD CHILE COMERCIAL LTDA.)</v>
          </cell>
        </row>
        <row r="398">
          <cell r="D398" t="str">
            <v>HIGH QUALITY     (HIGH QUALITY S.A.)</v>
          </cell>
        </row>
        <row r="399">
          <cell r="D399" t="str">
            <v>FONDO ESPERANZA     (HOGAR DE CRISTO)</v>
          </cell>
        </row>
        <row r="400">
          <cell r="D400" t="str">
            <v>HOGAR DE CRISTO     (HOGAR DE CRISTO)</v>
          </cell>
        </row>
        <row r="401">
          <cell r="D401" t="str">
            <v>NINGUN OTRO TRABAJO ESTAN BIEN PAGADO     (HOGAR DE CRISTO)</v>
          </cell>
        </row>
        <row r="402">
          <cell r="D402" t="str">
            <v>PUERTAS ABIERTA     (HOGAR DE CRISTO)</v>
          </cell>
        </row>
        <row r="403">
          <cell r="D403" t="str">
            <v>UN TECHO PARA CHILE     (HOGAR DE CRISTO)</v>
          </cell>
        </row>
        <row r="404">
          <cell r="D404" t="str">
            <v>VOLUNTARIADO     (HOGAR DE CRISTO)</v>
          </cell>
        </row>
        <row r="405">
          <cell r="D405" t="str">
            <v>IBERIA     (IBERIA LINEAS AEREAS)</v>
          </cell>
        </row>
        <row r="406">
          <cell r="D406" t="str">
            <v>FM2     (IBEROAMERICAN RADIO CHILE LTDA)</v>
          </cell>
        </row>
        <row r="407">
          <cell r="D407" t="str">
            <v>RADIO CORAZON     (IBEROAMERICAN RADIO CHILE LTDA)</v>
          </cell>
        </row>
        <row r="408">
          <cell r="D408" t="str">
            <v>RADIO IMAGINA     (IBEROAMERICAN RADIO CHILE LTDA)</v>
          </cell>
        </row>
        <row r="409">
          <cell r="D409" t="str">
            <v>RADIO PUDAHUEL     (IBEROAMERICAN RADIO CHILE LTDA)</v>
          </cell>
        </row>
        <row r="410">
          <cell r="D410" t="str">
            <v>AGUA DE PIEDRA     (IDEAL S.A.)</v>
          </cell>
        </row>
        <row r="411">
          <cell r="D411" t="str">
            <v>GRAN SANTIAGO     (IDEAL S.A.)</v>
          </cell>
        </row>
        <row r="412">
          <cell r="D412" t="str">
            <v>IDEAL     (IDEAL S.A.)</v>
          </cell>
        </row>
        <row r="413">
          <cell r="D413" t="str">
            <v>PAN (IDEAL S.A.)     (IDEAL S.A.)</v>
          </cell>
        </row>
        <row r="414">
          <cell r="D414" t="str">
            <v>PAN CHORIPAN     (IDEAL S.A.)</v>
          </cell>
        </row>
        <row r="415">
          <cell r="D415" t="str">
            <v>TELETON     (IDEAL S.A.)</v>
          </cell>
        </row>
        <row r="416">
          <cell r="D416" t="str">
            <v>TELETON     (ILUSTRE MUNICIPALIDAD DE LAS CONDES)</v>
          </cell>
        </row>
        <row r="417">
          <cell r="D417" t="str">
            <v>ALTEA     (IMPORT. Y COMERCIAL ALTEA LTDA.)</v>
          </cell>
        </row>
        <row r="418">
          <cell r="D418" t="str">
            <v>CERTINA - MIDO     (IMPORT. Y COMERCIAL ALTEA LTDA.)</v>
          </cell>
        </row>
        <row r="419">
          <cell r="D419" t="str">
            <v>MAZDA     (IMPORT. Y DISTRIBUIDORA ALAMEDA S.A.)</v>
          </cell>
        </row>
        <row r="420">
          <cell r="D420" t="str">
            <v>BOLLE-ADRENALIN     (IMPORTADORA OBJECTIFLUN)</v>
          </cell>
        </row>
        <row r="421">
          <cell r="D421" t="str">
            <v>ZAPATILLAS     (IMPORTADORA OBJECTIFLUN)</v>
          </cell>
        </row>
        <row r="422">
          <cell r="D422" t="str">
            <v>BOLLE     (IMPORTADORA SPORT OPTIC LTDA)</v>
          </cell>
        </row>
        <row r="423">
          <cell r="D423" t="str">
            <v>INACAP     (INACAP)</v>
          </cell>
        </row>
        <row r="424">
          <cell r="D424" t="str">
            <v>ARMANI EXCHANGE     (INDUMENTARIA CHILE S.A.)</v>
          </cell>
        </row>
        <row r="425">
          <cell r="D425" t="str">
            <v>BIGTIME     (INDUSTRIA DE ALIMENTOS DOS EN UNO S.A.)</v>
          </cell>
        </row>
        <row r="426">
          <cell r="D426" t="str">
            <v>DOS EN UNO     (INDUSTRIA DE ALIMENTOS DOS EN UNO S.A.)</v>
          </cell>
        </row>
        <row r="427">
          <cell r="D427" t="str">
            <v>CRUZ BLANCA     (ING SALUD SA.)</v>
          </cell>
        </row>
        <row r="428">
          <cell r="D428" t="str">
            <v>ING     (ING SALUD SA.)</v>
          </cell>
        </row>
        <row r="429">
          <cell r="D429" t="str">
            <v>ING SALUD     (ING SALUD SA.)</v>
          </cell>
        </row>
        <row r="430">
          <cell r="D430" t="str">
            <v>ING     (ING SEGUROS DE VIDA S.A.)</v>
          </cell>
        </row>
        <row r="431">
          <cell r="D431" t="str">
            <v>ROAMING     (INGENIERIA COMUNICACION Y PRODUCCIONES S.A.)</v>
          </cell>
        </row>
        <row r="432">
          <cell r="D432" t="str">
            <v>GREENLAND SHOOL     (INMOBIL. E INVERS. VALLE VERDE S.A.)</v>
          </cell>
        </row>
        <row r="433">
          <cell r="D433" t="str">
            <v>VERANO 2009     (INMOBIL. E INVERS. VALLE VERDE S.A.)</v>
          </cell>
        </row>
        <row r="434">
          <cell r="D434" t="str">
            <v>MALL SPORT     (INMOBILIARIA  ADMINISTRADORA Y COMERCIAL MALL SPORT S.A.)</v>
          </cell>
        </row>
        <row r="435">
          <cell r="D435" t="str">
            <v>INMOBILIARIA MANQUEHUE     (INMOBILIARIA  LOS BRAVOS S.A.)</v>
          </cell>
        </row>
        <row r="436">
          <cell r="D436" t="str">
            <v>INMOBILIARIA ANDALUE S.A.     (INMOBILIARIA ANDALUE S.A.)</v>
          </cell>
        </row>
        <row r="437">
          <cell r="D437" t="str">
            <v>INMOBILIARIA LAS ACACIAS     (INMOBILIARIA E INVERSIONES LAS ACACIAS LTDA.)</v>
          </cell>
        </row>
        <row r="438">
          <cell r="D438" t="str">
            <v>ECASA     (INMOBILIARIA ECASA S.A.)</v>
          </cell>
        </row>
        <row r="439">
          <cell r="D439" t="str">
            <v>LOS CANELOS     (INMOBILIARIA LOS CANELOS LTDA.)</v>
          </cell>
        </row>
        <row r="440">
          <cell r="D440" t="str">
            <v>PARQUE LA FLORIDA     (INMOBILIARIA PARQUE LA FLORIDA S.A.)</v>
          </cell>
        </row>
        <row r="441">
          <cell r="D441" t="str">
            <v>PARQUE MANANTIAL     (INMOBILIARIA PARQUE LA FLORIDA S.A.)</v>
          </cell>
        </row>
        <row r="442">
          <cell r="D442" t="str">
            <v>INMOBILIARIA     (INMOBILIARIA SECURITY)</v>
          </cell>
        </row>
        <row r="443">
          <cell r="D443" t="str">
            <v>VIDA SECURITY     (INMOBILIARIA SECURITY)</v>
          </cell>
        </row>
        <row r="444">
          <cell r="D444" t="str">
            <v>CIUDAD SATELITE     (INMOBILIARIA SOCOVESA SANTIAGO S.A.)</v>
          </cell>
        </row>
        <row r="445">
          <cell r="D445" t="str">
            <v>CIUDAD SATELITE-LOS MONJES-PARQUE ITALIANO     (INMOBILIARIA SOCOVESA SANTIAGO S.A.)</v>
          </cell>
        </row>
        <row r="446">
          <cell r="D446" t="str">
            <v>LOS MONJES     (INMOBILIARIA SOCOVESA SANTIAGO S.A.)</v>
          </cell>
        </row>
        <row r="447">
          <cell r="D447" t="str">
            <v>PARQUE ITALIANO Y PUNTA NOGALES     (INMOBILIARIA SOCOVESA SANTIAGO S.A.)</v>
          </cell>
        </row>
        <row r="448">
          <cell r="D448" t="str">
            <v>SOCOVESA     (INMOBILIARIA SOCOVESA SANTIAGO S.A.)</v>
          </cell>
        </row>
        <row r="449">
          <cell r="D449" t="str">
            <v>Admisión 2006     (Instituto Profesional AIEP S.A.)</v>
          </cell>
        </row>
        <row r="450">
          <cell r="D450" t="str">
            <v>BANCO DE MEDIOS     (INVERSIONES CASA MATRIZ LTDA.)</v>
          </cell>
        </row>
        <row r="451">
          <cell r="D451" t="str">
            <v>TVN     (INVERSIONES CASA MATRIZ LTDA.)</v>
          </cell>
        </row>
        <row r="452">
          <cell r="D452" t="str">
            <v>VIÑA LA ROSA     (INVERSIONES CASA MATRIZ LTDA.)</v>
          </cell>
        </row>
        <row r="453">
          <cell r="D453" t="str">
            <v>SINERGIA     (INVERSIONES MACALTO S.A.)</v>
          </cell>
        </row>
        <row r="454">
          <cell r="D454" t="str">
            <v>PRO TG     (INVERSIONES PRO-TG LTDA.)</v>
          </cell>
        </row>
        <row r="455">
          <cell r="D455" t="str">
            <v>HOTEL SAN MARTIN     (INVERSIONES Y RENTAS SANTA YOLANDA LTDA.)</v>
          </cell>
        </row>
        <row r="456">
          <cell r="D456" t="str">
            <v>VIDA INTEGRA     (ISAPRE BANMEDICA)</v>
          </cell>
        </row>
        <row r="457">
          <cell r="D457" t="str">
            <v>ITALMOD     (ITALMOD S.A.)</v>
          </cell>
        </row>
        <row r="458">
          <cell r="D458" t="str">
            <v>MACONLINE     (ITEM LTDA.)</v>
          </cell>
        </row>
        <row r="459">
          <cell r="D459" t="str">
            <v>CLINICA     (IVI SANTIAGO DE CHILE S.A.)</v>
          </cell>
        </row>
        <row r="460">
          <cell r="D460" t="str">
            <v>JANSSEN     (JANSSEN S.A.)</v>
          </cell>
        </row>
        <row r="461">
          <cell r="D461" t="str">
            <v>NO-NO     (JET LTDA.)</v>
          </cell>
        </row>
        <row r="462">
          <cell r="D462" t="str">
            <v>ACUVUE     (JOHNSONS S.A.)</v>
          </cell>
        </row>
        <row r="463">
          <cell r="D463" t="str">
            <v>JOHNSON'S     (JOHNSONS S.A.)</v>
          </cell>
        </row>
        <row r="464">
          <cell r="D464" t="str">
            <v>KELLOGG     (KELLOGG CHILE LTDA.)</v>
          </cell>
        </row>
        <row r="465">
          <cell r="D465" t="str">
            <v>KENTUCKY     (KENTUCKY FOODS CHILE LTDA.)</v>
          </cell>
        </row>
        <row r="466">
          <cell r="D466" t="str">
            <v>ST. IVES     (KEY COMPANY S.A.)</v>
          </cell>
        </row>
        <row r="467">
          <cell r="D467" t="str">
            <v>KIA     (KIA CHILE S.A.)</v>
          </cell>
        </row>
        <row r="468">
          <cell r="D468" t="str">
            <v>SORRENTO     (KIA CHILE S.A.)</v>
          </cell>
        </row>
        <row r="469">
          <cell r="D469" t="str">
            <v>HUGGIES     (KIMBERLY CLARK CHILE)</v>
          </cell>
        </row>
        <row r="470">
          <cell r="D470" t="str">
            <v>HUGGIES ALMOHADAS BAMBI(KIMBERLY CLARK CHILE)     (KIMBERLY CLARK CHILE)</v>
          </cell>
        </row>
        <row r="471">
          <cell r="D471" t="str">
            <v>HUGGIES LITTLE SWIMMER     (KIMBERLY CLARK CHILE)</v>
          </cell>
        </row>
        <row r="472">
          <cell r="D472" t="str">
            <v>KIMBERLY     (KIMBERLY CLARK CHILE)</v>
          </cell>
        </row>
        <row r="473">
          <cell r="D473" t="str">
            <v>KOTEX     (KIMBERLY CLARK CHILE)</v>
          </cell>
        </row>
        <row r="474">
          <cell r="D474" t="str">
            <v>POISE     (KIMBERLY CLARK CHILE)</v>
          </cell>
        </row>
        <row r="475">
          <cell r="D475" t="str">
            <v>PROMO HUGGIES     (KIMBERLY CLARK CHILE)</v>
          </cell>
        </row>
        <row r="476">
          <cell r="D476" t="str">
            <v>PROMOCION BLOCKBUSTER     (KIMBERLY CLARK CHILE)</v>
          </cell>
        </row>
        <row r="477">
          <cell r="D477" t="str">
            <v>SCOTT     (KIMBERLY CLARK CHILE)</v>
          </cell>
        </row>
        <row r="478">
          <cell r="D478" t="str">
            <v>KOMATSU     (KOMATSU CHILE S.A.)</v>
          </cell>
        </row>
        <row r="479">
          <cell r="D479" t="str">
            <v>OREO     (KRAFT FOODS CHILE S.A.)</v>
          </cell>
        </row>
        <row r="480">
          <cell r="D480" t="str">
            <v>QUESOS PHILADELPHIA     (KRAFT FOODS CHILE S.A.)</v>
          </cell>
        </row>
        <row r="481">
          <cell r="D481" t="str">
            <v>LA GRAN GUIA     (LA GRAN GUIA S.A.)</v>
          </cell>
        </row>
        <row r="482">
          <cell r="D482" t="str">
            <v>CALVIN KLEIN DUO     (LABORATORIO ARBEU LTDA.)</v>
          </cell>
        </row>
        <row r="483">
          <cell r="D483" t="str">
            <v>ELIZABETH ARDEN     (LABORATORIO ARBEU LTDA.)</v>
          </cell>
        </row>
        <row r="484">
          <cell r="D484" t="str">
            <v>ENERGY     (LABORATORIO ARBEU LTDA.)</v>
          </cell>
        </row>
        <row r="485">
          <cell r="D485" t="str">
            <v>LABORATORIO ARBEU     (LABORATORIO ARBEU LTDA.)</v>
          </cell>
        </row>
        <row r="486">
          <cell r="D486" t="str">
            <v>PERFUMES     (LABORATORIO ARBEU LTDA.)</v>
          </cell>
        </row>
        <row r="487">
          <cell r="D487" t="str">
            <v>SIMONDS     (LABORATORIO DURANDIN S.A.I.)</v>
          </cell>
        </row>
        <row r="488">
          <cell r="D488" t="str">
            <v>ANTIAX     (LABORATORIO SAVAL)</v>
          </cell>
        </row>
        <row r="489">
          <cell r="D489" t="str">
            <v>CHECK IN     (LAN AIRLINES S.A.)</v>
          </cell>
        </row>
        <row r="490">
          <cell r="D490" t="str">
            <v>LAN AIRLINES     (LAN AIRLINES S.A.)</v>
          </cell>
        </row>
        <row r="491">
          <cell r="D491" t="str">
            <v>TRAVEL MART     (LAN AIRLINES S.A.)</v>
          </cell>
        </row>
        <row r="492">
          <cell r="D492" t="str">
            <v>LARRAIN VIAL     (LARRAIN VIAL ADMINISTRADORA GENERAL)</v>
          </cell>
        </row>
        <row r="493">
          <cell r="D493" t="str">
            <v>LE COQ     (LE COQ S.A.)</v>
          </cell>
        </row>
        <row r="494">
          <cell r="D494" t="str">
            <v>LEONISA     (LEIN S.A.)</v>
          </cell>
        </row>
        <row r="495">
          <cell r="D495" t="str">
            <v>LENOVO     (LENOVO AGENCIA EN CHILE)</v>
          </cell>
        </row>
        <row r="496">
          <cell r="D496" t="str">
            <v>BLACK ZAFIRO     (LG ELECTRONICS INC. CHILE LTDA.)</v>
          </cell>
        </row>
        <row r="497">
          <cell r="D497" t="str">
            <v>LG ELECTRONICS INC.  LTDA     (LG ELECTRONICS INC. CHILE LTDA.)</v>
          </cell>
        </row>
        <row r="498">
          <cell r="D498" t="str">
            <v>RON MITJANS     (LICORES MITJANS S.A.)</v>
          </cell>
        </row>
        <row r="499">
          <cell r="D499" t="str">
            <v>ACQUA DI GIO     (LOREAL CHILE S.A.)</v>
          </cell>
        </row>
        <row r="500">
          <cell r="D500" t="str">
            <v>BIOTHERM     (LOREAL CHILE S.A.)</v>
          </cell>
        </row>
        <row r="501">
          <cell r="D501" t="str">
            <v>CREMAS     (LOREAL CHILE S.A.)</v>
          </cell>
        </row>
        <row r="502">
          <cell r="D502" t="str">
            <v>DECONTRACT COMBLEUR     (LOREAL CHILE S.A.)</v>
          </cell>
        </row>
        <row r="503">
          <cell r="D503" t="str">
            <v>ELVIVE     (LOREAL CHILE S.A.)</v>
          </cell>
        </row>
        <row r="504">
          <cell r="D504" t="str">
            <v>FOOD     (LOREAL CHILE S.A.)</v>
          </cell>
        </row>
        <row r="505">
          <cell r="D505" t="str">
            <v>FRUCTIS     (LOREAL CHILE S.A.)</v>
          </cell>
        </row>
        <row r="506">
          <cell r="D506" t="str">
            <v>GARNIER     (LOREAL CHILE S.A.)</v>
          </cell>
        </row>
        <row r="507">
          <cell r="D507" t="str">
            <v>IDOL     (LOREAL CHILE S.A.)</v>
          </cell>
        </row>
        <row r="508">
          <cell r="D508" t="str">
            <v>INSTITUCIONAL     (LOREAL CHILE S.A.)</v>
          </cell>
        </row>
        <row r="509">
          <cell r="D509" t="str">
            <v>LOREAL     (LOREAL CHILE S.A.)</v>
          </cell>
        </row>
        <row r="510">
          <cell r="D510" t="str">
            <v>MAYBELLINE     (LOREAL CHILE S.A.)</v>
          </cell>
        </row>
        <row r="511">
          <cell r="D511" t="str">
            <v>NUTRIDORE     (LOREAL CHILE S.A.)</v>
          </cell>
        </row>
        <row r="512">
          <cell r="D512" t="str">
            <v>NUTRIGLOS     (LOREAL CHILE S.A.)</v>
          </cell>
        </row>
        <row r="513">
          <cell r="D513" t="str">
            <v>NUTRISSE DE GARNIER     (LOREAL CHILE S.A.)</v>
          </cell>
        </row>
        <row r="514">
          <cell r="D514" t="str">
            <v>PARISSIENE     (LOREAL CHILE S.A.)</v>
          </cell>
        </row>
        <row r="515">
          <cell r="D515" t="str">
            <v>PCI     (LOREAL CHILE S.A.)</v>
          </cell>
        </row>
        <row r="516">
          <cell r="D516" t="str">
            <v>POLO BLACK     (LOREAL CHILE S.A.)</v>
          </cell>
        </row>
        <row r="517">
          <cell r="D517" t="str">
            <v>POLO BLUE     (LOREAL CHILE S.A.)</v>
          </cell>
        </row>
        <row r="518">
          <cell r="D518" t="str">
            <v>RALPH LAUREN     (LOREAL CHILE S.A.)</v>
          </cell>
        </row>
        <row r="519">
          <cell r="D519" t="str">
            <v>SHAMPOO L'OREAL     (LOREAL CHILE S.A.)</v>
          </cell>
        </row>
        <row r="520">
          <cell r="D520" t="str">
            <v>SKIN NATIRALS     (LOREAL CHILE S.A.)</v>
          </cell>
        </row>
        <row r="521">
          <cell r="D521" t="str">
            <v>XXL     (LOREAL CHILE S.A.)</v>
          </cell>
        </row>
        <row r="522">
          <cell r="D522" t="str">
            <v>SIEGEN     (LOS ROBLES S.A.)</v>
          </cell>
        </row>
        <row r="523">
          <cell r="D523" t="str">
            <v>THOMAS     (LOS ROBLES S.A.)</v>
          </cell>
        </row>
        <row r="524">
          <cell r="D524" t="str">
            <v>SUPERACION A LA POBREZA     (LOWE PORTA)</v>
          </cell>
        </row>
        <row r="525">
          <cell r="D525" t="str">
            <v>MACO     (MACO INDUSTRIAL Y COMERCIAL S.A.)</v>
          </cell>
        </row>
        <row r="526">
          <cell r="D526" t="str">
            <v>PASSAT     (MACO INDUSTRIAL Y COMERCIAL S.A.)</v>
          </cell>
        </row>
        <row r="527">
          <cell r="D527" t="str">
            <v>SKODA     (MACO INDUSTRIAL Y COMERCIAL S.A.)</v>
          </cell>
        </row>
        <row r="528">
          <cell r="D528" t="str">
            <v>VOLKSWAGEN     (MACO INDUSTRIAL Y COMERCIAL S.A.)</v>
          </cell>
        </row>
        <row r="529">
          <cell r="D529" t="str">
            <v>CONSTRUCTORA MAGAL     (MAGAL PUBLICIDAD Y MERCADEO LTDA.)</v>
          </cell>
        </row>
        <row r="530">
          <cell r="D530" t="str">
            <v>INSTITUCIONAL     (MALL ARAUCO MAIPU)</v>
          </cell>
        </row>
        <row r="531">
          <cell r="D531" t="str">
            <v>PROMO TOALLAS     (MALL ARAUCO MAIPU)</v>
          </cell>
        </row>
        <row r="532">
          <cell r="D532" t="str">
            <v>VENTA NOCTURNA     (MALL ARAUCO MAIPU)</v>
          </cell>
        </row>
        <row r="533">
          <cell r="D533" t="str">
            <v>INSTITUCIONAL     (MALL CENTER)</v>
          </cell>
        </row>
        <row r="534">
          <cell r="D534" t="str">
            <v>MALL CALAMA     (MALL CENTER)</v>
          </cell>
        </row>
        <row r="535">
          <cell r="D535" t="str">
            <v>VENTA NOCTURNA     (MALL CENTER)</v>
          </cell>
        </row>
        <row r="536">
          <cell r="D536" t="str">
            <v>CONSUMO ELECTRICO     (MALL PASEO LOS TRAPENSES)</v>
          </cell>
        </row>
        <row r="537">
          <cell r="D537" t="str">
            <v>EL BARRIO     (MALL PASEO LOS TRAPENSES)</v>
          </cell>
        </row>
        <row r="538">
          <cell r="D538" t="str">
            <v>GIMNASIO BALANCE     (MALL PASEO LOS TRAPENSES)</v>
          </cell>
        </row>
        <row r="539">
          <cell r="D539" t="str">
            <v>LOGO     (MALL PASEO LOS TRAPENSES)</v>
          </cell>
        </row>
        <row r="540">
          <cell r="D540" t="str">
            <v>PALUMBO     (MALL PASEO LOS TRAPENSES)</v>
          </cell>
        </row>
        <row r="541">
          <cell r="D541" t="str">
            <v>RELOJERIA URZUA     (MALL PASEO LOS TRAPENSES)</v>
          </cell>
        </row>
        <row r="542">
          <cell r="D542" t="str">
            <v>SOLARIUM NAVEN     (MALL PASEO LOS TRAPENSES)</v>
          </cell>
        </row>
        <row r="543">
          <cell r="D543" t="str">
            <v>AUTOPLAZA     (MALL PLAZA)</v>
          </cell>
        </row>
        <row r="544">
          <cell r="D544" t="str">
            <v>BIBLIOTECA MALL PLAZA     (MALL PLAZA)</v>
          </cell>
        </row>
        <row r="545">
          <cell r="D545" t="str">
            <v>CAMPAÑA INVIERNO     (MALL PLAZA)</v>
          </cell>
        </row>
        <row r="546">
          <cell r="D546" t="str">
            <v>CAPRICE     (MALL PLAZA)</v>
          </cell>
        </row>
        <row r="547">
          <cell r="D547" t="str">
            <v>CENTRO OFTALMOLOGICO     (MALL PLAZA)</v>
          </cell>
        </row>
        <row r="548">
          <cell r="D548" t="str">
            <v>DIA DE LA MADRE     (MALL PLAZA)</v>
          </cell>
        </row>
        <row r="549">
          <cell r="D549" t="str">
            <v>DIA DEL PADRE     (MALL PLAZA)</v>
          </cell>
        </row>
        <row r="550">
          <cell r="D550" t="str">
            <v>EL PLACER DE BUSCAR Y ENCONTRAR     (MALL PLAZA)</v>
          </cell>
        </row>
        <row r="551">
          <cell r="D551" t="str">
            <v>Escolares     (MALL PLAZA)</v>
          </cell>
        </row>
        <row r="552">
          <cell r="D552" t="str">
            <v>Festival de Teatro     (MALL PLAZA)</v>
          </cell>
        </row>
        <row r="553">
          <cell r="D553" t="str">
            <v>FULL ROJO     (MALL PLAZA)</v>
          </cell>
        </row>
        <row r="554">
          <cell r="D554" t="str">
            <v>GEOCORP     (MALL PLAZA)</v>
          </cell>
        </row>
        <row r="555">
          <cell r="D555" t="str">
            <v>h2ooH     (MALL PLAZA)</v>
          </cell>
        </row>
        <row r="556">
          <cell r="D556" t="str">
            <v>INSTITUCIONAL     (MALL PLAZA)</v>
          </cell>
        </row>
        <row r="557">
          <cell r="D557" t="str">
            <v>LIQUIDACION     (MALL PLAZA)</v>
          </cell>
        </row>
        <row r="558">
          <cell r="D558" t="str">
            <v>MADEMSA, DIA DE LA MADRE     (MALL PLAZA)</v>
          </cell>
        </row>
        <row r="559">
          <cell r="D559" t="str">
            <v>MALL PLAZA     (MALL PLAZA)</v>
          </cell>
        </row>
        <row r="560">
          <cell r="D560" t="str">
            <v>MALL PLAZA  TOBALABA)     (MALL PLAZA)</v>
          </cell>
        </row>
        <row r="561">
          <cell r="D561" t="str">
            <v>MALL PLAZA  VESPUCIO     (MALL PLAZA)</v>
          </cell>
        </row>
        <row r="562">
          <cell r="D562" t="str">
            <v>MALL PLAZA OESTE     (MALL PLAZA)</v>
          </cell>
        </row>
        <row r="563">
          <cell r="D563" t="str">
            <v>MC GREGOR     (MALL PLAZA)</v>
          </cell>
        </row>
        <row r="564">
          <cell r="D564" t="str">
            <v>mes del padre     (MALL PLAZA)</v>
          </cell>
        </row>
        <row r="565">
          <cell r="D565" t="str">
            <v>morgan     (MALL PLAZA)</v>
          </cell>
        </row>
        <row r="566">
          <cell r="D566" t="str">
            <v>MTV     (MALL PLAZA)</v>
          </cell>
        </row>
        <row r="567">
          <cell r="D567" t="str">
            <v>NAVIDAD     (MALL PLAZA)</v>
          </cell>
        </row>
        <row r="568">
          <cell r="D568" t="str">
            <v>NIVEA     (MALL PLAZA)</v>
          </cell>
        </row>
        <row r="569">
          <cell r="D569" t="str">
            <v>PRESTO     (MALL PLAZA)</v>
          </cell>
        </row>
        <row r="570">
          <cell r="D570" t="str">
            <v>PRIMAVERA-VERANO     (MALL PLAZA)</v>
          </cell>
        </row>
        <row r="571">
          <cell r="D571" t="str">
            <v>SERNATUR     (MALL PLAZA)</v>
          </cell>
        </row>
        <row r="572">
          <cell r="D572" t="str">
            <v>UNDERGROUND     (MALL PLAZA)</v>
          </cell>
        </row>
        <row r="573">
          <cell r="D573" t="str">
            <v>VACACIONES     (MALL PLAZA)</v>
          </cell>
        </row>
        <row r="574">
          <cell r="D574" t="str">
            <v>VENTA NOCTURNA     (MALL PLAZA)</v>
          </cell>
        </row>
        <row r="575">
          <cell r="D575" t="str">
            <v>VERANO     (MALL PLAZA)</v>
          </cell>
        </row>
        <row r="576">
          <cell r="D576" t="str">
            <v>MALL PLAZA     (MALL PLAZA OESTE)</v>
          </cell>
        </row>
        <row r="577">
          <cell r="D577" t="str">
            <v>INSTITUCIONAL - TERRAZAS     (MALL PLAZA VESPUCIO)</v>
          </cell>
        </row>
        <row r="578">
          <cell r="D578" t="str">
            <v>PORTAL CLINICO     (MALL PORTAL LA DEHESA)</v>
          </cell>
        </row>
        <row r="579">
          <cell r="D579" t="str">
            <v>MANPOWER     (MANPOWER)</v>
          </cell>
        </row>
        <row r="580">
          <cell r="D580" t="str">
            <v>GUANTE     (MANUFACTURAS DE CALZADOS GUANTE LTDA.)</v>
          </cell>
        </row>
        <row r="581">
          <cell r="D581" t="str">
            <v>MANUFACTURAS DE CALZADOS GUANT     (MANUFACTURAS DE CALZADOS GUANTE LTDA.)</v>
          </cell>
        </row>
        <row r="582">
          <cell r="D582" t="str">
            <v>WALKING AIR     (MANUFACTURAS DE CALZADOS GUANTE LTDA.)</v>
          </cell>
        </row>
        <row r="583">
          <cell r="D583" t="str">
            <v>ELLUS     (MANUFACTURAS LOUIS PHILLIPE)</v>
          </cell>
        </row>
        <row r="584">
          <cell r="D584" t="str">
            <v>FLORES     (MANUFACTURAS TEXTILES FLORES Y CIA. S.A.)</v>
          </cell>
        </row>
        <row r="585">
          <cell r="D585" t="str">
            <v>MAR DEL SUR     (MAR DEL SUR)</v>
          </cell>
        </row>
        <row r="586">
          <cell r="D586" t="str">
            <v>LIPTON     (MARCAS Y PRODUCCIONES LTDA.)</v>
          </cell>
        </row>
        <row r="587">
          <cell r="D587" t="str">
            <v>20/20     (MASSIVA S.A.)</v>
          </cell>
        </row>
        <row r="588">
          <cell r="D588" t="str">
            <v>CON 1 CLICK     (MASSIVA S.A.)</v>
          </cell>
        </row>
        <row r="589">
          <cell r="D589" t="str">
            <v>GRANJA EDUCATIVA     (MASSIVA S.A.)</v>
          </cell>
        </row>
        <row r="590">
          <cell r="D590" t="str">
            <v>INSTITUCIONAL     (MASSIVA S.A.)</v>
          </cell>
        </row>
        <row r="591">
          <cell r="D591" t="str">
            <v>MASSIVA     (MASSIVA S.A.)</v>
          </cell>
        </row>
        <row r="592">
          <cell r="D592" t="str">
            <v>MASSIVA MOVIL     (MASSIVA S.A.)</v>
          </cell>
        </row>
        <row r="593">
          <cell r="D593" t="str">
            <v>PRUEBA MATERIAL     (MASSIVA S.A.)</v>
          </cell>
        </row>
        <row r="594">
          <cell r="D594" t="str">
            <v>PEDIGREE     (MASTERFOODS CHILE LTDA.)</v>
          </cell>
        </row>
        <row r="595">
          <cell r="D595" t="str">
            <v>MAUI     (MAUI &amp; SONS S.A.)</v>
          </cell>
        </row>
        <row r="596">
          <cell r="D596" t="str">
            <v>DEFINE LASH     (MAY BELLINE)</v>
          </cell>
        </row>
        <row r="597">
          <cell r="D597" t="str">
            <v>MC     (MC CONSULTORES LTDA.)</v>
          </cell>
        </row>
        <row r="598">
          <cell r="D598" t="str">
            <v>MC DONALD     (MC DONALD)</v>
          </cell>
        </row>
        <row r="599">
          <cell r="D599" t="str">
            <v>CANTON FAIR EXHIBITION     (MEDIAKEYS S.A.R.I.)</v>
          </cell>
        </row>
        <row r="600">
          <cell r="D600" t="str">
            <v>MITSUBISHI     (MMC CHILE S.A.)</v>
          </cell>
        </row>
        <row r="601">
          <cell r="D601" t="str">
            <v>MOTOROLA     (MOTOROLA)</v>
          </cell>
        </row>
        <row r="602">
          <cell r="D602" t="str">
            <v>VACACIONES     (MUNICIPALIDAD DE LA SERENA)</v>
          </cell>
        </row>
        <row r="603">
          <cell r="D603" t="str">
            <v>NESTLE     (NESTLÉ CHILE S.A. - Agropecuario)</v>
          </cell>
        </row>
        <row r="604">
          <cell r="D604" t="str">
            <v>PURINA     (NESTLÉ CHILE S.A. - Agropecuario)</v>
          </cell>
        </row>
        <row r="605">
          <cell r="D605" t="str">
            <v>&lt;Unknow&gt;     (NESTLÉ CHILE S.A. - Alimentos)</v>
          </cell>
        </row>
        <row r="606">
          <cell r="D606" t="str">
            <v>2     (NESTLÉ CHILE S.A. - Alimentos)</v>
          </cell>
        </row>
        <row r="607">
          <cell r="D607" t="str">
            <v>CEREALES     (NESTLÉ CHILE S.A. - Alimentos)</v>
          </cell>
        </row>
        <row r="608">
          <cell r="D608" t="str">
            <v>CHOCOLATES     (NESTLÉ CHILE S.A. - Alimentos)</v>
          </cell>
        </row>
        <row r="609">
          <cell r="D609" t="str">
            <v>DANKY     (NESTLÉ CHILE S.A. - Alimentos)</v>
          </cell>
        </row>
        <row r="610">
          <cell r="D610" t="str">
            <v>DOKO     (NESTLÉ CHILE S.A. - Alimentos)</v>
          </cell>
        </row>
        <row r="611">
          <cell r="D611" t="str">
            <v>ECCO     (NESTLÉ CHILE S.A. - Alimentos)</v>
          </cell>
        </row>
        <row r="612">
          <cell r="D612" t="str">
            <v>GALLETAS     (NESTLÉ CHILE S.A. - Alimentos)</v>
          </cell>
        </row>
        <row r="613">
          <cell r="D613" t="str">
            <v>MAGGI     (NESTLÉ CHILE S.A. - Alimentos)</v>
          </cell>
        </row>
        <row r="614">
          <cell r="D614" t="str">
            <v>MAGGI - PURINA     (NESTLÉ CHILE S.A. - Alimentos)</v>
          </cell>
        </row>
        <row r="615">
          <cell r="D615" t="str">
            <v>MILO     (NESTLÉ CHILE S.A. - Alimentos)</v>
          </cell>
        </row>
        <row r="616">
          <cell r="D616" t="str">
            <v>NESQUICK     (NESTLÉ CHILE S.A. - Alimentos)</v>
          </cell>
        </row>
        <row r="617">
          <cell r="D617" t="str">
            <v>NESTLE     (NESTLÉ CHILE S.A. - Alimentos)</v>
          </cell>
        </row>
        <row r="618">
          <cell r="D618" t="str">
            <v>NIDO     (NESTLÉ CHILE S.A. - Alimentos)</v>
          </cell>
        </row>
        <row r="619">
          <cell r="D619" t="str">
            <v>REFRIGERADOS / COLADOS     (NESTLÉ CHILE S.A. - Alimentos)</v>
          </cell>
        </row>
        <row r="620">
          <cell r="D620" t="str">
            <v>SAVORY     (NESTLÉ CHILE S.A. - Alimentos)</v>
          </cell>
        </row>
        <row r="621">
          <cell r="D621" t="str">
            <v>SVELTY     (NESTLÉ CHILE S.A. - Alimentos)</v>
          </cell>
        </row>
        <row r="622">
          <cell r="D622" t="str">
            <v>TABLETAS     (NESTLÉ CHILE S.A. - Alimentos)</v>
          </cell>
        </row>
        <row r="623">
          <cell r="D623" t="str">
            <v>TRITON     (NESTLÉ CHILE S.A. - Alimentos)</v>
          </cell>
        </row>
        <row r="624">
          <cell r="D624" t="str">
            <v>VITALIFE     (NESTLÉ CHILE S.A. - Alimentos)</v>
          </cell>
        </row>
        <row r="625">
          <cell r="D625" t="str">
            <v>YOGURHT     (NESTLÉ CHILE S.A. - Alimentos)</v>
          </cell>
        </row>
        <row r="626">
          <cell r="D626" t="str">
            <v>YOGURHT - SVELTY     (NESTLÉ CHILE S.A. - Alimentos)</v>
          </cell>
        </row>
        <row r="627">
          <cell r="D627" t="str">
            <v>COFFE MATE     (NESTLÉ CHILE S.A. - Bebidas)</v>
          </cell>
        </row>
        <row r="628">
          <cell r="D628" t="str">
            <v>MILO     (NESTLÉ CHILE S.A. - Bebidas)</v>
          </cell>
        </row>
        <row r="629">
          <cell r="D629" t="str">
            <v>NESCAFE     (NESTLÉ CHILE S.A. - Bebidas)</v>
          </cell>
        </row>
        <row r="630">
          <cell r="D630" t="str">
            <v>SVELTY     (NESTLÉ CHILE S.A. - Bebidas)</v>
          </cell>
        </row>
        <row r="631">
          <cell r="D631" t="str">
            <v>NIKE     (NIKE DE CHILE S.A.)</v>
          </cell>
        </row>
        <row r="632">
          <cell r="D632" t="str">
            <v>NINTENDO     (NINTENDO)</v>
          </cell>
        </row>
        <row r="633">
          <cell r="D633" t="str">
            <v>ACEITES CARBONELL     (NIZA S.A.)</v>
          </cell>
        </row>
        <row r="634">
          <cell r="D634" t="str">
            <v>NOKIA     (NOKIA S.A.)</v>
          </cell>
        </row>
        <row r="635">
          <cell r="D635" t="str">
            <v>SPRIT     (NUEVOS ALMACENES INTERNACIONALES S.A.)</v>
          </cell>
        </row>
        <row r="636">
          <cell r="D636" t="str">
            <v>ORIFLAME     (ORIFLAME DE CHILE S.A.)</v>
          </cell>
        </row>
        <row r="637">
          <cell r="D637" t="str">
            <v>UNIVERSIDAD     (P.U.C. CENTRO EXTENSION (UNIVERSIDADES))</v>
          </cell>
        </row>
        <row r="638">
          <cell r="D638" t="str">
            <v>UNIVERSIDAD CATOLICA DEL NORTE     (P.U.C. CENTRO EXTENSION (UNIVERSIDADES))</v>
          </cell>
        </row>
        <row r="639">
          <cell r="D639" t="str">
            <v>PANASONIC     (PANASONIC)</v>
          </cell>
        </row>
        <row r="640">
          <cell r="D640" t="str">
            <v>ALANIZ     (PARIS S.A)</v>
          </cell>
        </row>
        <row r="641">
          <cell r="D641" t="str">
            <v>ALMACENES PARIS     (PARIS S.A)</v>
          </cell>
        </row>
        <row r="642">
          <cell r="D642" t="str">
            <v>BANCO PARIS     (PARIS S.A)</v>
          </cell>
        </row>
        <row r="643">
          <cell r="D643" t="str">
            <v>BIOTHERM     (PARIS S.A)</v>
          </cell>
        </row>
        <row r="644">
          <cell r="D644" t="str">
            <v>CHEEKY     (PARIS S.A)</v>
          </cell>
        </row>
        <row r="645">
          <cell r="D645" t="str">
            <v>COMPLEMENTOS     (PARIS S.A)</v>
          </cell>
        </row>
        <row r="646">
          <cell r="D646" t="str">
            <v>PARIS     (PARIS S.A)</v>
          </cell>
        </row>
        <row r="647">
          <cell r="D647" t="str">
            <v>PARIS-CRUZ VERDE     (PARIS S.A)</v>
          </cell>
        </row>
        <row r="648">
          <cell r="D648" t="str">
            <v>PARIS-SHELL     (PARIS S.A)</v>
          </cell>
        </row>
        <row r="649">
          <cell r="D649" t="str">
            <v>PRIS-TRIUMPH     (PARIS S.A)</v>
          </cell>
        </row>
        <row r="650">
          <cell r="D650" t="str">
            <v>TARJETA CIRCULO MAS     (PARIS S.A)</v>
          </cell>
        </row>
        <row r="651">
          <cell r="D651" t="str">
            <v>TARJETA PARIS Y JUMBO REGALO INAGURACION     (PARIS S.A)</v>
          </cell>
        </row>
        <row r="652">
          <cell r="D652" t="str">
            <v>TARJETAS     (PARIS S.A)</v>
          </cell>
        </row>
        <row r="653">
          <cell r="D653" t="str">
            <v>TECNO PARIS     (PARIS S.A)</v>
          </cell>
        </row>
        <row r="654">
          <cell r="D654" t="str">
            <v>TOMMY     (PARIS S.A)</v>
          </cell>
        </row>
        <row r="655">
          <cell r="D655" t="str">
            <v>UMBRALE     (PARIS S.A)</v>
          </cell>
        </row>
        <row r="656">
          <cell r="D656" t="str">
            <v>A.PASS     (PARQUE ARAUCO S.A.)</v>
          </cell>
        </row>
        <row r="657">
          <cell r="D657" t="str">
            <v>BOULEVARD FASHION     (PARQUE ARAUCO S.A.)</v>
          </cell>
        </row>
        <row r="658">
          <cell r="D658" t="str">
            <v>CHARLAS ACTUALIDAD     (PARQUE ARAUCO S.A.)</v>
          </cell>
        </row>
        <row r="659">
          <cell r="D659" t="str">
            <v>CHILE FASHION     (PARQUE ARAUCO S.A.)</v>
          </cell>
        </row>
        <row r="660">
          <cell r="D660" t="str">
            <v>DIA DE LA MADRE     (PARQUE ARAUCO S.A.)</v>
          </cell>
        </row>
        <row r="661">
          <cell r="D661" t="str">
            <v>INSTITUCIONAL     (PARQUE ARAUCO S.A.)</v>
          </cell>
        </row>
        <row r="662">
          <cell r="D662" t="str">
            <v>LIQUIDACION VERANO     (PARQUE ARAUCO S.A.)</v>
          </cell>
        </row>
        <row r="663">
          <cell r="D663" t="str">
            <v>NAVIDAD     (PARQUE ARAUCO S.A.)</v>
          </cell>
        </row>
        <row r="664">
          <cell r="D664" t="str">
            <v>PARQUE ARAUCO     (PARQUE ARAUCO S.A.)</v>
          </cell>
        </row>
        <row r="665">
          <cell r="D665" t="str">
            <v>PRIMAVERA VERANO     (PARQUE ARAUCO S.A.)</v>
          </cell>
        </row>
        <row r="666">
          <cell r="D666" t="str">
            <v>SABORES DEL PARQUE     (PARQUE ARAUCO S.A.)</v>
          </cell>
        </row>
        <row r="667">
          <cell r="D667" t="str">
            <v>TARDES DE COPA     (PARQUE ARAUCO S.A.)</v>
          </cell>
        </row>
        <row r="668">
          <cell r="D668" t="str">
            <v>TEATRO     (PARQUE ARAUCO S.A.)</v>
          </cell>
        </row>
        <row r="669">
          <cell r="D669" t="str">
            <v>VENTA NOCTURNA     (PARQUE ARAUCO S.A.)</v>
          </cell>
        </row>
        <row r="670">
          <cell r="D670" t="str">
            <v>ZOOLOGICO     (PARQUE METROPOLITANO)</v>
          </cell>
        </row>
        <row r="671">
          <cell r="D671" t="str">
            <v>SAGIEM     (PC A TODO INC)</v>
          </cell>
        </row>
        <row r="672">
          <cell r="D672" t="str">
            <v>PALUMBO     (PELUQUERIAS PALUMBO)</v>
          </cell>
        </row>
        <row r="673">
          <cell r="D673" t="str">
            <v>BALLANTINES     (PERNOD RICARD CHILE S.A.)</v>
          </cell>
        </row>
        <row r="674">
          <cell r="D674" t="str">
            <v>HAVANA CLUB     (PERNOD RICARD CHILE S.A.)</v>
          </cell>
        </row>
        <row r="675">
          <cell r="D675" t="str">
            <v>207     (PEUGEOT CHILE S.A.)</v>
          </cell>
        </row>
        <row r="676">
          <cell r="D676" t="str">
            <v>PEUGEOT     (PEUGEOT CHILE S.A.)</v>
          </cell>
        </row>
        <row r="677">
          <cell r="D677" t="str">
            <v>MALBORO     (PHILIP MORRIS CHILE COMERCIALIZADORA LTDA.)</v>
          </cell>
        </row>
        <row r="678">
          <cell r="D678" t="str">
            <v>PHILIP MORRIS     (PHILIP MORRIS CHILE COMERCIALIZADORA LTDA.)</v>
          </cell>
        </row>
        <row r="679">
          <cell r="D679" t="str">
            <v>PHILIPS     (PHILIPS CHILENA S.A.)</v>
          </cell>
        </row>
        <row r="680">
          <cell r="D680" t="str">
            <v>PINTURAS TRICOLOR     (PINTURAS TRICOLOR S.A.                               968052608)</v>
          </cell>
        </row>
        <row r="681">
          <cell r="D681" t="str">
            <v>PIZZA PIOLA     (PIZZA PIOLA)</v>
          </cell>
        </row>
        <row r="682">
          <cell r="D682" t="str">
            <v>PLUMA     (PLUMA LINEAS AEREAS URUGUAYAS)</v>
          </cell>
        </row>
        <row r="683">
          <cell r="D683" t="str">
            <v>POLLA     (POLLA CHILENA DE BENEFICENCIA S.A.)</v>
          </cell>
        </row>
        <row r="684">
          <cell r="D684" t="str">
            <v>HOSPITAL CLINICO LA CATOLICA     (PONTIFICIA UNIVERSIDAD CATOLICA - HOSPITALES)</v>
          </cell>
        </row>
        <row r="685">
          <cell r="D685" t="str">
            <v>DEMO     (PRECISION ISPANA S.A.)</v>
          </cell>
        </row>
        <row r="686">
          <cell r="D686" t="str">
            <v>PRECISION     (PRECISION ISPANA S.A.)</v>
          </cell>
        </row>
        <row r="687">
          <cell r="D687" t="str">
            <v>CAMPAÑA 2007     (PRIVILEGE S.A.)</v>
          </cell>
        </row>
        <row r="688">
          <cell r="D688" t="str">
            <v>COLECCION OTOÑO-INVIERNO     (PRIVILEGE S.A.)</v>
          </cell>
        </row>
        <row r="689">
          <cell r="D689" t="str">
            <v>PRIVILEGE     (PRIVILEGE S.A.)</v>
          </cell>
        </row>
        <row r="690">
          <cell r="D690" t="str">
            <v>TEMPORADA PRIMAVERA-VERANO     (PRIVILEGE S.A.)</v>
          </cell>
        </row>
        <row r="691">
          <cell r="D691" t="str">
            <v>PROCHILE     (PROCHILE)</v>
          </cell>
        </row>
        <row r="692">
          <cell r="D692" t="str">
            <v>ACE     (PROCTER &amp; GAMBLE COMERCIAL LTDA.)</v>
          </cell>
        </row>
        <row r="693">
          <cell r="D693" t="str">
            <v>ARIEL     (PROCTER &amp; GAMBLE COMERCIAL LTDA.)</v>
          </cell>
        </row>
        <row r="694">
          <cell r="D694" t="str">
            <v>GILLETTE     (PROCTER &amp; GAMBLE COMERCIAL LTDA.)</v>
          </cell>
        </row>
        <row r="695">
          <cell r="D695" t="str">
            <v>KOLESTON     (PROCTER &amp; GAMBLE COMERCIAL LTDA.)</v>
          </cell>
        </row>
        <row r="696">
          <cell r="D696" t="str">
            <v>ORAL B     (PROCTER &amp; GAMBLE COMERCIAL LTDA.)</v>
          </cell>
        </row>
        <row r="697">
          <cell r="D697" t="str">
            <v>PAMPERS     (PROCTER &amp; GAMBLE COMERCIAL LTDA.)</v>
          </cell>
        </row>
        <row r="698">
          <cell r="D698" t="str">
            <v>SAITEC     (PROCTER &amp; GAMBLE COMERCIAL LTDA.)</v>
          </cell>
        </row>
        <row r="699">
          <cell r="D699" t="str">
            <v>TINTURAS     (PROCTER &amp; GAMBLE COMERCIAL LTDA.)</v>
          </cell>
        </row>
        <row r="700">
          <cell r="D700" t="str">
            <v>WELLATON     (PROCTER &amp; GAMBLE COMERCIAL LTDA.)</v>
          </cell>
        </row>
        <row r="701">
          <cell r="D701" t="str">
            <v>ARIEL     (PROCTER &amp; GAMBLE DO BRASIL INC.)</v>
          </cell>
        </row>
        <row r="702">
          <cell r="D702" t="str">
            <v>PAMPERS     (PROCTER &amp; GAMBLE S.A.)</v>
          </cell>
        </row>
        <row r="703">
          <cell r="D703" t="str">
            <v>PROCTER &amp; GAMBLE     (PROCTER &amp; GAMBLE S.A.)</v>
          </cell>
        </row>
        <row r="704">
          <cell r="D704" t="str">
            <v>199 RECETAS PARA SER FELIZ     (PROD. RETAGUARDIA FILMS LTDA.)</v>
          </cell>
        </row>
        <row r="705">
          <cell r="D705" t="str">
            <v>KOSIUKO     (PROMODA S.A.)</v>
          </cell>
        </row>
        <row r="706">
          <cell r="D706" t="str">
            <v>PROMOLAC     (PROMOLAC)</v>
          </cell>
        </row>
        <row r="707">
          <cell r="D707" t="str">
            <v>PUBLIETAPA     (PUBLIETAPA)</v>
          </cell>
        </row>
        <row r="708">
          <cell r="D708" t="str">
            <v>PUMA     (PUMA CHILE S.A.)</v>
          </cell>
        </row>
        <row r="709">
          <cell r="D709" t="str">
            <v>CALZADO FERRACINI     (QUAPPE MARKETING S.A.)</v>
          </cell>
        </row>
        <row r="710">
          <cell r="D710" t="str">
            <v>SPES     (QUIMICA INDUSTRIAL SPES S.A.)</v>
          </cell>
        </row>
        <row r="711">
          <cell r="D711" t="str">
            <v>QUINTEC     (QUINTEC S.A.)</v>
          </cell>
        </row>
        <row r="712">
          <cell r="D712" t="str">
            <v>SHOP DOG     (RAP S.A.)</v>
          </cell>
        </row>
        <row r="713">
          <cell r="D713" t="str">
            <v>LYSOL     (RECKITT &amp; BECKINSER)</v>
          </cell>
        </row>
        <row r="714">
          <cell r="D714" t="str">
            <v>VANISH MULTI     (RECKITT &amp; BECKINSER)</v>
          </cell>
        </row>
        <row r="715">
          <cell r="D715" t="str">
            <v>VEET     (RECKITT &amp; BECKINSER)</v>
          </cell>
        </row>
        <row r="716">
          <cell r="D716" t="str">
            <v>TELEVISION     (RED DE TELEVISION CHILEVISION S.A.)</v>
          </cell>
        </row>
        <row r="717">
          <cell r="D717" t="str">
            <v>PORKY TE AMO     (RED TELEVISIVA MEGAVISION S.A.)</v>
          </cell>
        </row>
        <row r="718">
          <cell r="D718" t="str">
            <v>TEMPERATURA     (RED TELEVISIVA MEGAVISION S.A.)</v>
          </cell>
        </row>
        <row r="719">
          <cell r="D719" t="str">
            <v>REEBOK     (REEBOK CHILE S.A.)</v>
          </cell>
        </row>
        <row r="720">
          <cell r="D720" t="str">
            <v>TORRE II PARQUE ARAUCO     (REGUS MANAGEMENT DE CHILE LTDA.)</v>
          </cell>
        </row>
        <row r="721">
          <cell r="D721" t="str">
            <v>OLYMPUS     (REIFSCHNEIDER S.A.)</v>
          </cell>
        </row>
        <row r="722">
          <cell r="D722" t="str">
            <v>TDK     (REIFSCHNEIDER S.A.)</v>
          </cell>
        </row>
        <row r="723">
          <cell r="D723" t="str">
            <v>RELOJERIA URZUA     (RELOJERIA URZUA)</v>
          </cell>
        </row>
        <row r="724">
          <cell r="D724" t="str">
            <v>CARNES MORANDE     (RESTAURANT Y CENTRO DE EVENTOS PUDAHUEL S.A.)</v>
          </cell>
        </row>
        <row r="725">
          <cell r="D725" t="str">
            <v>FRITZ     (RESTAURANTES FRITZ LTDA.)</v>
          </cell>
        </row>
        <row r="726">
          <cell r="D726" t="str">
            <v>GATSBY     (RESTAURANTES FRITZ LTDA.)</v>
          </cell>
        </row>
        <row r="727">
          <cell r="D727" t="str">
            <v>THERMOS     (RETAIL S.A.)</v>
          </cell>
        </row>
        <row r="728">
          <cell r="D728" t="str">
            <v>REVISTA CAPITAL     (REVISTA CAPITAL)</v>
          </cell>
        </row>
        <row r="729">
          <cell r="D729" t="str">
            <v>Inauguracion Tienda     (RIGG MOVIL LTDA.)</v>
          </cell>
        </row>
        <row r="730">
          <cell r="D730" t="str">
            <v>ROTTER &amp; KRAUSS     (ROTTER &amp; KRAUSS)</v>
          </cell>
        </row>
        <row r="731">
          <cell r="D731" t="str">
            <v>ROYAL SUNALLIANCE     (ROYAL SUNALLIANCE)</v>
          </cell>
        </row>
        <row r="732">
          <cell r="D732" t="str">
            <v>PATO PURIFIC     (S.C. JOHNSON &amp; SON CHILE LTDA.)</v>
          </cell>
        </row>
        <row r="733">
          <cell r="D733" t="str">
            <v>SCJ     (S.C. JOHNSON &amp; SON CHILE LTDA.)</v>
          </cell>
        </row>
        <row r="734">
          <cell r="D734" t="str">
            <v>SA     (SAMSUNG ELECTRONICS CHILE LTDA.)</v>
          </cell>
        </row>
        <row r="735">
          <cell r="D735" t="str">
            <v>SAMSUNG     (SAMSUNG ELECTRONICS CHILE LTDA.)</v>
          </cell>
        </row>
        <row r="736">
          <cell r="D736" t="str">
            <v>SAMSUNG ELECTRONICS     (SAMSUNG ELECTRONICS CO LTDA.)</v>
          </cell>
        </row>
        <row r="737">
          <cell r="D737" t="str">
            <v>SAMSUNG     (SANSUNG ELECTRICA CHILE)</v>
          </cell>
        </row>
        <row r="738">
          <cell r="D738" t="str">
            <v>SANTA ISABEL     (SANTA ISABEL S.A.)</v>
          </cell>
        </row>
        <row r="739">
          <cell r="D739" t="str">
            <v>NAVIDAD     (SCL STORES)</v>
          </cell>
        </row>
        <row r="740">
          <cell r="D740" t="str">
            <v>SCL     (SCL STORES)</v>
          </cell>
        </row>
        <row r="741">
          <cell r="D741" t="str">
            <v>FIDS     (SCL TERMINAL AEREO DE SANTIAGO S.A.)</v>
          </cell>
        </row>
        <row r="742">
          <cell r="D742" t="str">
            <v>FIESTAS PATRIAS     (SCL TERMINAL AEREO DE SANTIAGO S.A.)</v>
          </cell>
        </row>
        <row r="743">
          <cell r="D743" t="str">
            <v>PAISAJES     (SCL TERMINAL AEREO DE SANTIAGO S.A.)</v>
          </cell>
        </row>
        <row r="744">
          <cell r="D744" t="str">
            <v>SCL(SCL TERMINAL AEREO DE SANTIAGO S.A.)     (SCL TERMINAL AEREO DE SANTIAGO S.A.)</v>
          </cell>
        </row>
        <row r="745">
          <cell r="D745" t="str">
            <v>TRABAJOS INTERNOS     (SCL TERMINAL AEREO DE SANTIAGO S.A.)</v>
          </cell>
        </row>
        <row r="746">
          <cell r="D746" t="str">
            <v>SCOTIABANK SUD AMERICANO     (SCOTIABANK SUD AMERICANO)</v>
          </cell>
        </row>
        <row r="747">
          <cell r="D747" t="str">
            <v>INMOBILIARIA     (SEBASTIAN ANDRES NIENY HODAR)</v>
          </cell>
        </row>
        <row r="748">
          <cell r="D748" t="str">
            <v>SECURITY SAT     (SEGURIDAD Y TELECOMUNICACIONES S.A.)</v>
          </cell>
        </row>
        <row r="749">
          <cell r="D749" t="str">
            <v>CRUZ DEL SUR SEGUROS     (SEGUROS CRUZ DEL SUR S.A.)</v>
          </cell>
        </row>
        <row r="750">
          <cell r="D750" t="str">
            <v>INTERAMERICANA     (SEGUROS INTERAMERICANA)</v>
          </cell>
        </row>
        <row r="751">
          <cell r="D751" t="str">
            <v>SEGUROS VIDA SECURITY PREVISIO     (SEGUROS VIDA SECURITY PREVISION S.A.)</v>
          </cell>
        </row>
        <row r="752">
          <cell r="D752" t="str">
            <v>SERNATUR     (SERNATUR)</v>
          </cell>
        </row>
        <row r="753">
          <cell r="D753" t="str">
            <v>SAG     (SERVICIO AGRICOLA Y GANADERO)</v>
          </cell>
        </row>
        <row r="754">
          <cell r="D754" t="str">
            <v>TECNOERA     (SERVICIOS DE INTERNET LTDA.)</v>
          </cell>
        </row>
        <row r="755">
          <cell r="D755" t="str">
            <v>SHELL     (SHELL S.A.C.I.)</v>
          </cell>
        </row>
        <row r="756">
          <cell r="D756" t="str">
            <v>ACTIV     (SOC. PRODUCTORES DE LECHE S.A.)</v>
          </cell>
        </row>
        <row r="757">
          <cell r="D757" t="str">
            <v>CREMAS     (SOC. PRODUCTORES DE LECHE S.A.)</v>
          </cell>
        </row>
        <row r="758">
          <cell r="D758" t="str">
            <v>NEXT     (SOC. PRODUCTORES DE LECHE S.A.)</v>
          </cell>
        </row>
        <row r="759">
          <cell r="D759" t="str">
            <v>QUESILLO     (SOC. PRODUCTORES DE LECHE S.A.)</v>
          </cell>
        </row>
        <row r="760">
          <cell r="D760" t="str">
            <v>SOPROLE     (SOC. PRODUCTORES DE LECHE S.A.)</v>
          </cell>
        </row>
        <row r="761">
          <cell r="D761" t="str">
            <v>UNO AL DIA     (SOC. PRODUCTORES DE LECHE S.A.)</v>
          </cell>
        </row>
        <row r="762">
          <cell r="D762" t="str">
            <v>YOGURT NEXT     (SOC. PRODUCTORES DE LECHE S.A.)</v>
          </cell>
        </row>
        <row r="763">
          <cell r="D763" t="str">
            <v>MALETAS CHILE     (SOCIEDAD COMERCIAL MALETAS CHILE LTDA.)</v>
          </cell>
        </row>
        <row r="764">
          <cell r="D764" t="str">
            <v>HOMECENTER     (SODIMAC S.A.)</v>
          </cell>
        </row>
        <row r="765">
          <cell r="D765" t="str">
            <v>HOMECENTER OCTUBRE     (SODIMAC S.A.)</v>
          </cell>
        </row>
        <row r="766">
          <cell r="D766" t="str">
            <v>INSTITUCIONAL     (SODIMAC S.A.)</v>
          </cell>
        </row>
        <row r="767">
          <cell r="D767" t="str">
            <v>TELETON     (SODIMAC S.A.)</v>
          </cell>
        </row>
        <row r="768">
          <cell r="D768" t="str">
            <v>TIENDA HUECHURABA     (SODIMAC S.A.)</v>
          </cell>
        </row>
        <row r="769">
          <cell r="D769" t="str">
            <v>VERANO     (SODIMAC S.A.)</v>
          </cell>
        </row>
        <row r="770">
          <cell r="D770" t="str">
            <v>SOFTLAND INGENIERIA     (SOFTLAND INGENIERIA LTDA.)</v>
          </cell>
        </row>
        <row r="771">
          <cell r="D771" t="str">
            <v>DIA DE LA MADRE     (SOMELA S.A.)</v>
          </cell>
        </row>
        <row r="772">
          <cell r="D772" t="str">
            <v>SOMELA     (SOMELA S.A.)</v>
          </cell>
        </row>
        <row r="773">
          <cell r="D773" t="str">
            <v>HOMETHEATHER     (SONY CHILE LTDA.)</v>
          </cell>
        </row>
        <row r="774">
          <cell r="D774" t="str">
            <v>NETWORK     (SONY CHILE LTDA.)</v>
          </cell>
        </row>
        <row r="775">
          <cell r="D775" t="str">
            <v>SONY     (SONY CHILE LTDA.)</v>
          </cell>
        </row>
        <row r="776">
          <cell r="D776" t="str">
            <v>SONY BRAVIA     (SONY CHILE LTDA.)</v>
          </cell>
        </row>
        <row r="777">
          <cell r="D777" t="str">
            <v>SONY ERICKSSON     (SONY ERICSSON)</v>
          </cell>
        </row>
        <row r="778">
          <cell r="D778" t="str">
            <v>INSTITUCIONAL     (SOUND ADVISORS)</v>
          </cell>
        </row>
        <row r="779">
          <cell r="D779" t="str">
            <v>TIMBERLAND     (SPARTA DEPORTES LTDA.)</v>
          </cell>
        </row>
        <row r="780">
          <cell r="D780" t="str">
            <v>SK BERGER     (SSANYONG MOTOR CHILE S.A)</v>
          </cell>
        </row>
        <row r="781">
          <cell r="D781" t="str">
            <v>SSANYONG     (SSANYONG MOTOR CHILE S.A)</v>
          </cell>
        </row>
        <row r="782">
          <cell r="D782" t="str">
            <v>NAVIDAD     (SUBCENTRO LAS CONDES)</v>
          </cell>
        </row>
        <row r="783">
          <cell r="D783" t="str">
            <v>PARRI YA     (SUBCENTRO LAS CONDES)</v>
          </cell>
        </row>
        <row r="784">
          <cell r="D784" t="str">
            <v>PRIMAVERA OCTUBRE     (SUBCENTRO LAS CONDES)</v>
          </cell>
        </row>
        <row r="785">
          <cell r="D785" t="str">
            <v>SUBCENTRO LAS CONDES     (SUBCENTRO LAS CONDES)</v>
          </cell>
        </row>
        <row r="786">
          <cell r="D786" t="str">
            <v>SUBWAY     (SUBWAY)</v>
          </cell>
        </row>
        <row r="787">
          <cell r="D787" t="str">
            <v>STARBUCK´S     (SUR ANDINO CAFE S.A.)</v>
          </cell>
        </row>
        <row r="788">
          <cell r="D788" t="str">
            <v>DOCKERS     (T.J.C. CHILE S.A.)</v>
          </cell>
        </row>
        <row r="789">
          <cell r="D789" t="str">
            <v>HOLIDAY INN     (TALBOT HOTELES S.A.)</v>
          </cell>
        </row>
        <row r="790">
          <cell r="D790" t="str">
            <v>TAM AIRLINES     (TAM LINHAS AEREAS S.A.)</v>
          </cell>
        </row>
        <row r="791">
          <cell r="D791" t="str">
            <v>CORDILLERA     (TECNOLOGIAS GRAFICAS CORDILLERA S.A.)</v>
          </cell>
        </row>
        <row r="792">
          <cell r="D792" t="str">
            <v>LENCERIA     (TEJIDOS CAFFARENA S.A.)</v>
          </cell>
        </row>
        <row r="793">
          <cell r="D793" t="str">
            <v>TEJIDOS CAFFARENA     (TEJIDOS CAFFARENA S.A.)</v>
          </cell>
        </row>
        <row r="794">
          <cell r="D794" t="str">
            <v>CONVENCION TELEFONICA     (TELECOMUNICACIONES MOVILES DE CHILE)</v>
          </cell>
        </row>
        <row r="795">
          <cell r="D795" t="str">
            <v>MOVISTAR     (TELECOMUNICACIONES MOVILES DE CHILE)</v>
          </cell>
        </row>
        <row r="796">
          <cell r="D796" t="str">
            <v>TELEFONICA     (TELECOMUNICACIONES MOVILES DE CHILE)</v>
          </cell>
        </row>
        <row r="797">
          <cell r="D797" t="str">
            <v>TELEFONICA CTC     (TELECOMUNICACIONES MOVILES DE CHILE)</v>
          </cell>
        </row>
        <row r="798">
          <cell r="D798" t="str">
            <v>TELEFONICA MOVIL DE CHILE     (TELECOMUNICACIONES MOVILES DE CHILE)</v>
          </cell>
        </row>
        <row r="799">
          <cell r="D799" t="str">
            <v>TELEFONICA WIFI     (TELECOMUNICACIONES MOVILES DE CHILE)</v>
          </cell>
        </row>
        <row r="800">
          <cell r="D800" t="str">
            <v>telefonica     (Telefonica Banda Ancha)</v>
          </cell>
        </row>
        <row r="801">
          <cell r="D801" t="str">
            <v>telefonica WIFI     (Telefonica Banda Ancha)</v>
          </cell>
        </row>
        <row r="802">
          <cell r="D802" t="str">
            <v>TELETON     (TELETON)</v>
          </cell>
        </row>
        <row r="803">
          <cell r="D803" t="str">
            <v>24 HORAS     (TELEVISION NACIONAL DE CHILE)</v>
          </cell>
        </row>
        <row r="804">
          <cell r="D804" t="str">
            <v>SEÑAL INTERNACIONAL     (TELEVISION NACIONAL DE CHILE)</v>
          </cell>
        </row>
        <row r="805">
          <cell r="D805" t="str">
            <v>TELESERIE     (TELEVISION NACIONAL DE CHILE)</v>
          </cell>
        </row>
        <row r="806">
          <cell r="D806" t="str">
            <v>TELESERIE COMPLICES     (TELEVISION NACIONAL DE CHILE)</v>
          </cell>
        </row>
        <row r="807">
          <cell r="D807" t="str">
            <v>TELEVISION NACIONAL DE CHILE     (TELEVISION NACIONAL DE CHILE)</v>
          </cell>
        </row>
        <row r="808">
          <cell r="D808" t="str">
            <v>TVN     (TELEVISION NACIONAL DE CHILE)</v>
          </cell>
        </row>
        <row r="809">
          <cell r="D809" t="str">
            <v>3 PLAY     (TELMEX SERVICIOS EMPRESARIALES)</v>
          </cell>
        </row>
        <row r="810">
          <cell r="D810" t="str">
            <v>TELMEX     (TELMEX SERVICIOS EMPRESARIALES)</v>
          </cell>
        </row>
        <row r="811">
          <cell r="D811" t="str">
            <v>KEVINGSTON     (TERESITA ANGELICA MENDEZ CAMEME)</v>
          </cell>
        </row>
        <row r="812">
          <cell r="D812" t="str">
            <v>TERRA     (TERRA NETWORKS CHILE S.A.)</v>
          </cell>
        </row>
        <row r="813">
          <cell r="D813" t="str">
            <v>THE WALT DISNEY COMPANY     (THE WALT DISNEY COMPANY CHILE S.A.)</v>
          </cell>
        </row>
        <row r="814">
          <cell r="D814" t="str">
            <v>TNT     (TNT)</v>
          </cell>
        </row>
        <row r="815">
          <cell r="D815" t="str">
            <v>TRANSBANK     (TRANSBANK S.A.)</v>
          </cell>
        </row>
        <row r="816">
          <cell r="D816" t="str">
            <v>vtr     (TRAVEL SECURITY S.A.)</v>
          </cell>
        </row>
        <row r="817">
          <cell r="D817" t="str">
            <v>TRICOT     (TRICOT S.A.)</v>
          </cell>
        </row>
        <row r="818">
          <cell r="D818" t="str">
            <v>MISS TRIUMPH SPRING SUMMER     (TRIUMPH PH INTERNATIONAL DE CHILE LTDA)</v>
          </cell>
        </row>
        <row r="819">
          <cell r="D819" t="str">
            <v>SLOGGI     (TRIUMPH PH INTERNATIONAL DE CHILE LTDA)</v>
          </cell>
        </row>
        <row r="820">
          <cell r="D820" t="str">
            <v>TRIUMPH     (TRIUMPH PH INTERNATIONAL DE CHILE LTDA)</v>
          </cell>
        </row>
        <row r="821">
          <cell r="D821" t="str">
            <v>ZEBRA     (TRIUMPH PH INTERNATIONAL DE CHILE LTDA)</v>
          </cell>
        </row>
        <row r="822">
          <cell r="D822" t="str">
            <v>TRONWELL     (TRONWELL)</v>
          </cell>
        </row>
        <row r="823">
          <cell r="D823" t="str">
            <v>MUNCHIS     (TSIL CHILE LTDA.)</v>
          </cell>
        </row>
        <row r="824">
          <cell r="D824" t="str">
            <v>UMBRALE     (UMBRALE S.A.)</v>
          </cell>
        </row>
        <row r="825">
          <cell r="D825" t="str">
            <v>ADES     (UNILEVER BESTFOOD S.A. - Alimentación)</v>
          </cell>
        </row>
        <row r="826">
          <cell r="D826" t="str">
            <v>BONELLA     (UNILEVER BESTFOOD S.A. - Alimentación)</v>
          </cell>
        </row>
        <row r="827">
          <cell r="D827" t="str">
            <v>BRESLER     (UNILEVER BESTFOOD S.A. - Alimentación)</v>
          </cell>
        </row>
        <row r="828">
          <cell r="D828" t="str">
            <v>DORINA     (UNILEVER BESTFOOD S.A. - Alimentación)</v>
          </cell>
        </row>
        <row r="829">
          <cell r="D829" t="str">
            <v>HELLMANNS     (UNILEVER BESTFOOD S.A. - Alimentación)</v>
          </cell>
        </row>
        <row r="830">
          <cell r="D830" t="str">
            <v>MALLOA     (UNILEVER BESTFOOD S.A. - Alimentación)</v>
          </cell>
        </row>
        <row r="831">
          <cell r="D831" t="str">
            <v>MARGARINA     (UNILEVER BESTFOOD S.A. - Alimentación)</v>
          </cell>
        </row>
        <row r="832">
          <cell r="D832" t="str">
            <v>ADES     (UNILEVER BESTFOOD S.A. - Bebidas)</v>
          </cell>
        </row>
        <row r="833">
          <cell r="D833" t="str">
            <v>LIPTON     (UNILEVER BESTFOOD S.A. - Bebidas)</v>
          </cell>
        </row>
        <row r="834">
          <cell r="D834" t="str">
            <v>LIPTON ICE TEA     (UNILEVER BESTFOOD S.A. - Bebidas)</v>
          </cell>
        </row>
        <row r="835">
          <cell r="D835" t="str">
            <v>TE CLUB     (UNILEVER BESTFOOD S.A. - Bebidas)</v>
          </cell>
        </row>
        <row r="836">
          <cell r="D836" t="str">
            <v>JB     (UNILEVER CHILE S.A. - Alimentación)</v>
          </cell>
        </row>
        <row r="837">
          <cell r="D837" t="str">
            <v>TE CLUB     (UNILEVER CHILE S.A. - Bebidas)</v>
          </cell>
        </row>
        <row r="838">
          <cell r="D838" t="str">
            <v>CIF     (UNILEVER CHILE S.A. - Higiene Domestica)</v>
          </cell>
        </row>
        <row r="839">
          <cell r="D839" t="str">
            <v>DRIVE     (UNILEVER CHILE S.A. - Higiene Domestica)</v>
          </cell>
        </row>
        <row r="840">
          <cell r="D840" t="str">
            <v>FABRICS 2008     (UNILEVER CHILE S.A. - Higiene Domestica)</v>
          </cell>
        </row>
        <row r="841">
          <cell r="D841" t="str">
            <v>LE SANCY     (UNILEVER CHILE S.A. - Higiene Domestica)</v>
          </cell>
        </row>
        <row r="842">
          <cell r="D842" t="str">
            <v>LIMPIADORES     (UNILEVER CHILE S.A. - Higiene Domestica)</v>
          </cell>
        </row>
        <row r="843">
          <cell r="D843" t="str">
            <v>OMO     (UNILEVER CHILE S.A. - Higiene Domestica)</v>
          </cell>
        </row>
        <row r="844">
          <cell r="D844" t="str">
            <v>OMO BACK TO SCHOOL     (UNILEVER CHILE S.A. - Higiene Domestica)</v>
          </cell>
        </row>
        <row r="845">
          <cell r="D845" t="str">
            <v>OMO SPORT WEAR     (UNILEVER CHILE S.A. - Higiene Domestica)</v>
          </cell>
        </row>
        <row r="846">
          <cell r="D846" t="str">
            <v>QUIX     (UNILEVER CHILE S.A. - Higiene Domestica)</v>
          </cell>
        </row>
        <row r="847">
          <cell r="D847" t="str">
            <v>RINSO     (UNILEVER CHILE S.A. - Higiene Domestica)</v>
          </cell>
        </row>
        <row r="848">
          <cell r="D848" t="str">
            <v>SANFIC     (UNILEVER CHILE S.A. - Higiene Domestica)</v>
          </cell>
        </row>
        <row r="849">
          <cell r="D849" t="str">
            <v>SOFT     (UNILEVER CHILE S.A. - Higiene Domestica)</v>
          </cell>
        </row>
        <row r="850">
          <cell r="D850" t="str">
            <v>UNILEVER     (UNILEVER CHILE S.A. - Higiene Domestica)</v>
          </cell>
        </row>
        <row r="851">
          <cell r="D851" t="str">
            <v>AXE     (UNILEVER CHILE S.A. - Higiene Personal y Belleza)</v>
          </cell>
        </row>
        <row r="852">
          <cell r="D852" t="str">
            <v>DOVE     (UNILEVER CHILE S.A. - Higiene Personal y Belleza)</v>
          </cell>
        </row>
        <row r="853">
          <cell r="D853" t="str">
            <v>DOVE CORE     (UNILEVER CHILE S.A. - Higiene Personal y Belleza)</v>
          </cell>
        </row>
        <row r="854">
          <cell r="D854" t="str">
            <v>DOVE DEO     (UNILEVER CHILE S.A. - Higiene Personal y Belleza)</v>
          </cell>
        </row>
        <row r="855">
          <cell r="D855" t="str">
            <v>DOVE JABON (UNILEVER CHILE S.A. - Higiene Personal y Belleza)     (UNILEVER CHILE S.A. - Higiene Personal y Belleza)</v>
          </cell>
        </row>
        <row r="856">
          <cell r="D856" t="str">
            <v>FOODS     (UNILEVER CHILE S.A. - Higiene Personal y Belleza)</v>
          </cell>
        </row>
        <row r="857">
          <cell r="D857" t="str">
            <v>LE SANCY     (UNILEVER CHILE S.A. - Higiene Personal y Belleza)</v>
          </cell>
        </row>
        <row r="858">
          <cell r="D858" t="str">
            <v>PEPSODENT     (UNILEVER CHILE S.A. - Higiene Personal y Belleza)</v>
          </cell>
        </row>
        <row r="859">
          <cell r="D859" t="str">
            <v>POND'S     (UNILEVER CHILE S.A. - Higiene Personal y Belleza)</v>
          </cell>
        </row>
        <row r="860">
          <cell r="D860" t="str">
            <v>REXONA     (UNILEVER CHILE S.A. - Higiene Personal y Belleza)</v>
          </cell>
        </row>
        <row r="861">
          <cell r="D861" t="str">
            <v>REXONA CHAPARRAL     (UNILEVER CHILE S.A. - Higiene Personal y Belleza)</v>
          </cell>
        </row>
        <row r="862">
          <cell r="D862" t="str">
            <v>REXONA HOMBRE     (UNILEVER CHILE S.A. - Higiene Personal y Belleza)</v>
          </cell>
        </row>
        <row r="863">
          <cell r="D863" t="str">
            <v>REXONA MUJER     (UNILEVER CHILE S.A. - Higiene Personal y Belleza)</v>
          </cell>
        </row>
        <row r="864">
          <cell r="D864" t="str">
            <v>SEDAL     (UNILEVER CHILE S.A. - Higiene Personal y Belleza)</v>
          </cell>
        </row>
        <row r="865">
          <cell r="D865" t="str">
            <v>UNILEVER     (UNILEVER CHILE S.A. - Higiene Personal y Belleza)</v>
          </cell>
        </row>
        <row r="866">
          <cell r="D866" t="str">
            <v>BENNETTON     (UNITED COLORS COMUNICATION)</v>
          </cell>
        </row>
        <row r="867">
          <cell r="D867" t="str">
            <v>VECINOS INVASORES     (UNITED INTERNATIONAL PICTURES)</v>
          </cell>
        </row>
        <row r="868">
          <cell r="D868" t="str">
            <v>UNIVERSIDAD ADOLFO IBAÑEZ     (UNIVERSIDAD ADOLFO IBAÑEZ)</v>
          </cell>
        </row>
        <row r="869">
          <cell r="D869" t="str">
            <v>UNIVERSIDAD     (UNIVERSIDAD ARTURO PRAT)</v>
          </cell>
        </row>
        <row r="870">
          <cell r="D870" t="str">
            <v>ADMISION 2006     (UNIVERSIDAD CENTRAL DE CHILE)</v>
          </cell>
        </row>
        <row r="871">
          <cell r="D871" t="str">
            <v>UNIVERSIDAD CENTRAL     (UNIVERSIDAD CENTRAL DE CHILE)</v>
          </cell>
        </row>
        <row r="872">
          <cell r="D872" t="str">
            <v>UCINF     (UNIVERSIDAD DE CIENCIAS DE LA INFORMATICA)</v>
          </cell>
        </row>
        <row r="873">
          <cell r="D873" t="str">
            <v>UNIVERSIDAD DE CONCEPCION     (UNIVERSIDAD DE CONCEPCION)</v>
          </cell>
        </row>
        <row r="874">
          <cell r="D874" t="str">
            <v>CARRERAS 2007     (UNIVERSIDAD DEL DESARROLLO)</v>
          </cell>
        </row>
        <row r="875">
          <cell r="D875" t="str">
            <v>UNIVERSIDAD DEL PACIFICO     (UNIVERSIDAD DEL PACIFICO)</v>
          </cell>
        </row>
        <row r="876">
          <cell r="D876" t="str">
            <v>ADMISION 2009     (UNIVERSIDAD DIEGO PORTALES)</v>
          </cell>
        </row>
        <row r="877">
          <cell r="D877" t="str">
            <v>INGRESO 2008     (UNIVERSIDAD DIEGO PORTALES)</v>
          </cell>
        </row>
        <row r="878">
          <cell r="D878" t="str">
            <v>UNIVERSIDAD DIEGO PORTALES     (UNIVERSIDAD DIEGO PORTALES)</v>
          </cell>
        </row>
        <row r="879">
          <cell r="D879" t="str">
            <v>UNIVERSIDAD FINIS TERRAE     (UNIVERSIDAD FINIS TERRAE)</v>
          </cell>
        </row>
        <row r="880">
          <cell r="D880" t="str">
            <v>ADMISION 2008     (UNIVERSIDAD GABRIELA MISTRAL)</v>
          </cell>
        </row>
        <row r="881">
          <cell r="D881" t="str">
            <v>UNIVERSIDAD GABRIELA MISTRAL     (UNIVERSIDAD GABRIELA MISTRAL)</v>
          </cell>
        </row>
        <row r="882">
          <cell r="D882" t="str">
            <v>UTEM     (UNIVERSIDAD TECNOLOGICA METROPOLITANA)</v>
          </cell>
        </row>
        <row r="883">
          <cell r="D883" t="str">
            <v>THE WINNERS     (URBANO PRODUCCIONES LTDA.)</v>
          </cell>
        </row>
        <row r="884">
          <cell r="D884" t="str">
            <v>VARIG     (VARIG)</v>
          </cell>
        </row>
        <row r="885">
          <cell r="D885" t="str">
            <v>LACOSTE     (VESUVIO COMERCIAL Y TEXTIL CHILE LTDA.)</v>
          </cell>
        </row>
        <row r="886">
          <cell r="D886" t="str">
            <v>PARMALAT     (VIALAT S.A.)</v>
          </cell>
        </row>
        <row r="887">
          <cell r="D887" t="str">
            <v>REMIX-QUESILLOS-MARGARINA     (VIALAT S.A.)</v>
          </cell>
        </row>
        <row r="888">
          <cell r="D888" t="str">
            <v>VICTORINOX     (VICTORINOX CHILE S.A.)</v>
          </cell>
        </row>
        <row r="889">
          <cell r="D889" t="str">
            <v>VIÑA PORTAL DEL ALTO     (VIÑA PORTAL DEL ALTO S.A.)</v>
          </cell>
        </row>
        <row r="890">
          <cell r="D890" t="str">
            <v>CASTILLO DE MOLINA     (VIÑA SAN PEDRO S.A.)</v>
          </cell>
        </row>
        <row r="891">
          <cell r="D891" t="str">
            <v>GATO     (VIÑA SAN PEDRO S.A.)</v>
          </cell>
        </row>
        <row r="892">
          <cell r="D892" t="str">
            <v>VIÑA SAN PEDRO     (VIÑA SAN PEDRO S.A.)</v>
          </cell>
        </row>
        <row r="893">
          <cell r="D893" t="str">
            <v>VINO SOUR     (VIÑA SAN PEDRO S.A.)</v>
          </cell>
        </row>
        <row r="894">
          <cell r="D894" t="str">
            <v>VIÑA     (VIÑA SANTA RITA SA)</v>
          </cell>
        </row>
        <row r="895">
          <cell r="D895" t="str">
            <v>WINE     (VIÑA SANTA RITA SA)</v>
          </cell>
        </row>
        <row r="896">
          <cell r="D896" t="str">
            <v>CHAMPAGNE LINEA NARANJA     (VIÑA UNDURRAGA S.A.)</v>
          </cell>
        </row>
        <row r="897">
          <cell r="D897" t="str">
            <v>VIÑA     (VIÑA UNDURRAGA S.A.)</v>
          </cell>
        </row>
        <row r="898">
          <cell r="D898" t="str">
            <v>ILKO     (VIRUTEX ILKO S.A.)</v>
          </cell>
        </row>
        <row r="899">
          <cell r="D899" t="str">
            <v>VIRUTEX     (VIRUTEX ILKO S.A.)</v>
          </cell>
        </row>
        <row r="900">
          <cell r="D900" t="str">
            <v>VISA     (VISA)</v>
          </cell>
        </row>
        <row r="901">
          <cell r="D901" t="str">
            <v>VTR     (VTR BANDA ANCHA S.A.)</v>
          </cell>
        </row>
        <row r="902">
          <cell r="D902" t="str">
            <v>VTR BANDA ANCHA     (VTR BANDA ANCHA S.A.)</v>
          </cell>
        </row>
        <row r="903">
          <cell r="D903" t="str">
            <v>VTR DIGITAL     (VTR BANDA ANCHA S.A.)</v>
          </cell>
        </row>
        <row r="904">
          <cell r="D904" t="str">
            <v>VTR HOGAR SEGURO     (VTR BANDA ANCHA S.A.)</v>
          </cell>
        </row>
        <row r="905">
          <cell r="D905" t="str">
            <v>VTR TRIPLE MARZO     (VTR BANDA ANCHA S.A.)</v>
          </cell>
        </row>
        <row r="906">
          <cell r="D906" t="str">
            <v>MERMELADAS     (WATT'S S.A.)</v>
          </cell>
        </row>
        <row r="907">
          <cell r="D907" t="str">
            <v>WATTS     (WATT'S S.A.)</v>
          </cell>
        </row>
        <row r="908">
          <cell r="D908" t="str">
            <v>WATTS SOYA     (WATT'S S.A.)</v>
          </cell>
        </row>
      </sheetData>
      <sheetData sheetId="4">
        <row r="1">
          <cell r="A1" t="str">
            <v>Anunciante</v>
          </cell>
          <cell r="B1" t="str">
            <v>RUT</v>
          </cell>
          <cell r="C1" t="str">
            <v>Categoria</v>
          </cell>
        </row>
        <row r="2">
          <cell r="A2" t="str">
            <v>?SOLUZIONA CHILE S.A.</v>
          </cell>
          <cell r="B2" t="str">
            <v>968511106</v>
          </cell>
        </row>
        <row r="3">
          <cell r="A3" t="str">
            <v>&lt;Unknown&gt;</v>
          </cell>
          <cell r="B3" t="str">
            <v/>
          </cell>
          <cell r="C3" t="str">
            <v>&lt;Unknown&gt;</v>
          </cell>
        </row>
        <row r="4">
          <cell r="A4" t="str">
            <v>20TH CENTURY FOX</v>
          </cell>
          <cell r="B4" t="str">
            <v>926430009</v>
          </cell>
          <cell r="C4" t="str">
            <v>08B-Cultura, Recreo, Deporte y Turismo - Produccion cinematograf</v>
          </cell>
        </row>
        <row r="5">
          <cell r="A5" t="str">
            <v>3M S.A.</v>
          </cell>
          <cell r="B5" t="str">
            <v>936260004</v>
          </cell>
          <cell r="C5" t="str">
            <v>21E-Comercio Detallista - Otros tipos de Comercio</v>
          </cell>
        </row>
        <row r="6">
          <cell r="A6" t="str">
            <v>ABB S.A.</v>
          </cell>
          <cell r="B6" t="str">
            <v/>
          </cell>
          <cell r="C6" t="str">
            <v>12A-Bienes y Servicios Industriales</v>
          </cell>
        </row>
        <row r="7">
          <cell r="A7" t="str">
            <v>ABSOLUT</v>
          </cell>
          <cell r="B7" t="str">
            <v/>
          </cell>
          <cell r="C7" t="str">
            <v>03C-Bedibas - Alcoholes</v>
          </cell>
        </row>
        <row r="8">
          <cell r="A8" t="str">
            <v>ACCENTURE</v>
          </cell>
          <cell r="B8" t="str">
            <v>788097700</v>
          </cell>
          <cell r="C8" t="str">
            <v>16D-Servicios al Consumidor - Otros Servicios al Consumidor</v>
          </cell>
        </row>
        <row r="9">
          <cell r="A9" t="str">
            <v>ACETOGEN GAS CHILE S.A.</v>
          </cell>
          <cell r="B9" t="str">
            <v>93333000-1</v>
          </cell>
        </row>
        <row r="10">
          <cell r="A10" t="str">
            <v>ACOGER SANTIAGO SERVICIOS FUNERARIOS</v>
          </cell>
          <cell r="B10" t="str">
            <v>766317308</v>
          </cell>
          <cell r="C10" t="str">
            <v>16D-Servicios al Consumidor - Otros Servicios al Consumidor</v>
          </cell>
        </row>
        <row r="11">
          <cell r="A11" t="str">
            <v>ACONCAGUA FOODS S.A.</v>
          </cell>
          <cell r="B11" t="str">
            <v>995304805</v>
          </cell>
          <cell r="C11" t="str">
            <v>02A-Alimentacion - Comida / Productos Alimenticios</v>
          </cell>
        </row>
        <row r="12">
          <cell r="A12" t="str">
            <v>ACTUAL SERVICIO S.A.</v>
          </cell>
          <cell r="B12" t="str">
            <v>995803607</v>
          </cell>
          <cell r="C12" t="str">
            <v>28A-Mercado Inmobiliario</v>
          </cell>
        </row>
        <row r="13">
          <cell r="A13" t="str">
            <v>ADIDAS CHILE</v>
          </cell>
          <cell r="B13" t="str">
            <v>787443605</v>
          </cell>
          <cell r="C13" t="str">
            <v>23A-Vestuario y Textil - Artículos / Ropa deportiva</v>
          </cell>
        </row>
        <row r="14">
          <cell r="A14" t="str">
            <v>ADM. DE CREDITOS COM. PRESTO LTDA.</v>
          </cell>
          <cell r="B14" t="str">
            <v>779106209</v>
          </cell>
          <cell r="C14" t="str">
            <v>10B-Mercado Financiero y Seguros -  Tarjetas de Credito</v>
          </cell>
        </row>
        <row r="15">
          <cell r="A15" t="str">
            <v>ADM. DEL CENTRO COMERCIAL ALTO LAS CONDES</v>
          </cell>
          <cell r="B15" t="str">
            <v>784089908</v>
          </cell>
          <cell r="C15" t="str">
            <v>21A-Comercio Detallista - Centros Comerciales</v>
          </cell>
        </row>
        <row r="16">
          <cell r="A16" t="str">
            <v>ADT</v>
          </cell>
          <cell r="B16" t="str">
            <v>11111111</v>
          </cell>
          <cell r="C16" t="str">
            <v>16H-Servicios al Consumidor - Servicio de Seguridad</v>
          </cell>
        </row>
        <row r="17">
          <cell r="A17" t="str">
            <v>AEROLINEAS AUSTRAL CHILE S.A.</v>
          </cell>
          <cell r="B17" t="str">
            <v>995487608</v>
          </cell>
          <cell r="C17" t="str">
            <v>16K-Servicios al Consumidor - Transporte Aéreo</v>
          </cell>
        </row>
        <row r="18">
          <cell r="A18" t="str">
            <v>AEROLINEAS PRINCIPAL S.A.</v>
          </cell>
          <cell r="B18" t="str">
            <v>76587770-9</v>
          </cell>
        </row>
        <row r="19">
          <cell r="A19" t="str">
            <v>AFP SANTA MARIA S.A.</v>
          </cell>
          <cell r="B19" t="str">
            <v>980000001</v>
          </cell>
          <cell r="C19" t="str">
            <v>10C-Mercado Financiero y Seguros -  Tit.Cap. y Previsión</v>
          </cell>
        </row>
        <row r="20">
          <cell r="A20" t="str">
            <v>AGRICOLA ARIZTIA LTDA.</v>
          </cell>
          <cell r="B20" t="str">
            <v>825570004</v>
          </cell>
          <cell r="C20" t="str">
            <v>02A-Alimentacion - Comida / Productos Alimenticios</v>
          </cell>
        </row>
        <row r="21">
          <cell r="A21" t="str">
            <v>AGROCOMMERCES.A.</v>
          </cell>
          <cell r="B21" t="str">
            <v>96973910-0</v>
          </cell>
        </row>
        <row r="22">
          <cell r="A22" t="str">
            <v>AGROSUPER COM. DE ALIMENTOS LTDA.</v>
          </cell>
          <cell r="B22" t="str">
            <v>799842408</v>
          </cell>
          <cell r="C22" t="str">
            <v>02A-Alimentacion - Comida / Productos Alimenticios</v>
          </cell>
        </row>
        <row r="23">
          <cell r="A23" t="str">
            <v>ALIMENTOS CORDILLERA LTDA.</v>
          </cell>
          <cell r="B23" t="str">
            <v>772780605</v>
          </cell>
          <cell r="C23" t="str">
            <v>02A-Alimentacion - Comida / Productos Alimenticios</v>
          </cell>
        </row>
        <row r="24">
          <cell r="A24" t="str">
            <v>AM GESTION S.A.</v>
          </cell>
          <cell r="B24" t="str">
            <v>969769204</v>
          </cell>
          <cell r="C24" t="str">
            <v>18A-Sorteos, Loterias y Casas de Juegos</v>
          </cell>
        </row>
        <row r="25">
          <cell r="A25" t="str">
            <v>AMERICAN AIRLINES INC.</v>
          </cell>
          <cell r="B25" t="str">
            <v>590299405</v>
          </cell>
          <cell r="C25" t="str">
            <v>16K-Servicios al Consumidor - Transporte Aéreo</v>
          </cell>
        </row>
        <row r="26">
          <cell r="A26" t="str">
            <v>ANWO SA.</v>
          </cell>
          <cell r="B26" t="str">
            <v>995748606</v>
          </cell>
          <cell r="C26" t="str">
            <v>06A-Electro Electrónica - Electrodomésticos / Línea blanca</v>
          </cell>
        </row>
        <row r="27">
          <cell r="A27" t="str">
            <v>ARAUCO MEDICINA INTEGRAL S.A.</v>
          </cell>
          <cell r="B27" t="str">
            <v>995342405</v>
          </cell>
          <cell r="C27" t="str">
            <v>16I-Servicios al Consumidor - Servicios de Salud</v>
          </cell>
        </row>
        <row r="28">
          <cell r="A28" t="str">
            <v>ASPILLAGA HORNAHUER</v>
          </cell>
          <cell r="B28" t="str">
            <v>965820701</v>
          </cell>
          <cell r="C28" t="str">
            <v>22A-Vehiculos - General</v>
          </cell>
        </row>
        <row r="29">
          <cell r="A29" t="str">
            <v>ATRAPALO CHILE S.A.</v>
          </cell>
          <cell r="B29" t="str">
            <v>76043047-1</v>
          </cell>
        </row>
        <row r="30">
          <cell r="A30" t="str">
            <v>AVON</v>
          </cell>
          <cell r="B30" t="str">
            <v>Cl. Internacional 3</v>
          </cell>
          <cell r="C30" t="str">
            <v>15A-Higiene Personal y Belleza</v>
          </cell>
        </row>
        <row r="31">
          <cell r="A31" t="str">
            <v>BACARDI MARTINI CHILE S.A.</v>
          </cell>
          <cell r="B31" t="str">
            <v>918000003</v>
          </cell>
          <cell r="C31" t="str">
            <v>03C-Bedibas - Alcoholes</v>
          </cell>
        </row>
        <row r="32">
          <cell r="A32" t="str">
            <v>BANCO DE CHILE</v>
          </cell>
          <cell r="B32" t="str">
            <v>970040005</v>
          </cell>
          <cell r="C32" t="str">
            <v>10A-Mercado Financiero y Seguros -  Financiamientos, Instit. Fin</v>
          </cell>
        </row>
        <row r="33">
          <cell r="A33" t="str">
            <v>BANCO DE CREDITO E INVERSIONES S.A.</v>
          </cell>
          <cell r="B33" t="str">
            <v>970060006</v>
          </cell>
          <cell r="C33" t="str">
            <v>10A-Mercado Financiero y Seguros -  Financiamientos, Instit. Fin</v>
          </cell>
        </row>
        <row r="34">
          <cell r="A34" t="str">
            <v>BANCO EDWARDS</v>
          </cell>
          <cell r="B34" t="str">
            <v>970240004</v>
          </cell>
          <cell r="C34" t="str">
            <v>10A-Mercado Financiero y Seguros -  Financiamientos, Instit. Fin</v>
          </cell>
        </row>
        <row r="35">
          <cell r="A35" t="str">
            <v>BANCO ESTADO</v>
          </cell>
          <cell r="B35" t="str">
            <v>970300007</v>
          </cell>
          <cell r="C35" t="str">
            <v>10A-Mercado Financiero y Seguros -  Financiamientos, Instit. Fin</v>
          </cell>
        </row>
        <row r="36">
          <cell r="A36" t="str">
            <v>BANCO ITAU</v>
          </cell>
          <cell r="B36" t="str">
            <v>76645030K</v>
          </cell>
          <cell r="C36" t="str">
            <v>10A-Mercado Financiero y Seguros -  Financiamientos, Instit. Fin</v>
          </cell>
        </row>
        <row r="37">
          <cell r="A37" t="str">
            <v>BANCO PARIS</v>
          </cell>
          <cell r="B37" t="str">
            <v>111111111111</v>
          </cell>
          <cell r="C37" t="str">
            <v>10A-Mercado Financiero y Seguros -  Financiamientos, Instit. Fin</v>
          </cell>
        </row>
        <row r="38">
          <cell r="A38" t="str">
            <v>BANCO PENTA</v>
          </cell>
          <cell r="B38" t="str">
            <v>97952000K</v>
          </cell>
          <cell r="C38" t="str">
            <v>10A-Mercado Financiero y Seguros -  Financiamientos, Instit. Fin</v>
          </cell>
        </row>
        <row r="39">
          <cell r="A39" t="str">
            <v>BANCO SANTANDER CHILE</v>
          </cell>
          <cell r="B39" t="str">
            <v>97836000K</v>
          </cell>
          <cell r="C39" t="str">
            <v>10A-Mercado Financiero y Seguros -  Financiamientos, Instit. Fin</v>
          </cell>
        </row>
        <row r="40">
          <cell r="A40" t="str">
            <v>BARTER HOUSE</v>
          </cell>
          <cell r="B40" t="str">
            <v>FV vía Optimedia</v>
          </cell>
          <cell r="C40" t="str">
            <v>16E-Servicios al Consumidor - Propaganda y Publicidad</v>
          </cell>
        </row>
        <row r="41">
          <cell r="A41" t="str">
            <v>BATA DE CHILE S.A.</v>
          </cell>
          <cell r="B41" t="str">
            <v>922160007</v>
          </cell>
          <cell r="C41" t="str">
            <v>23A-Vestuario y Textitl - Vestuario / Accesorios</v>
          </cell>
        </row>
        <row r="42">
          <cell r="A42" t="str">
            <v>Bazuca Films Limitada</v>
          </cell>
          <cell r="B42" t="str">
            <v>76324430K</v>
          </cell>
          <cell r="C42" t="str">
            <v>08B-Cultura, Recreo, Deporte y Turismo - Produccion cinematograf</v>
          </cell>
        </row>
        <row r="43">
          <cell r="A43" t="str">
            <v>BBVA BANCO BHIF</v>
          </cell>
          <cell r="B43" t="str">
            <v>970320008</v>
          </cell>
          <cell r="C43" t="str">
            <v>10A-Mercado Financiero y Seguros -  Financiamientos, Instit. Fin</v>
          </cell>
        </row>
        <row r="44">
          <cell r="A44" t="str">
            <v>BEIRSDORF S.A.</v>
          </cell>
          <cell r="B44" t="str">
            <v>93513000K</v>
          </cell>
          <cell r="C44" t="str">
            <v>09A-Farmacéutica</v>
          </cell>
        </row>
        <row r="45">
          <cell r="A45" t="str">
            <v>BELIAN S.A.</v>
          </cell>
          <cell r="B45" t="str">
            <v>969963809</v>
          </cell>
          <cell r="C45" t="str">
            <v>23A-Vestuario y Textitl - Vestuario / Accesorios</v>
          </cell>
        </row>
        <row r="46">
          <cell r="A46" t="str">
            <v>BICE ADMINISTRADORA GENERAL DE FONDOS S.A.</v>
          </cell>
          <cell r="B46" t="str">
            <v>965144102</v>
          </cell>
          <cell r="C46" t="str">
            <v>10A-Mercado Financiero y Seguros -  Financiamientos, Instit. Fin</v>
          </cell>
        </row>
        <row r="47">
          <cell r="A47" t="str">
            <v>BLACK &amp; DECKER S.A.</v>
          </cell>
          <cell r="B47" t="str">
            <v>968991205</v>
          </cell>
          <cell r="C47" t="str">
            <v>06A-Electro Electrónica - Electrodomésticos / Línea blanca</v>
          </cell>
        </row>
        <row r="48">
          <cell r="A48" t="str">
            <v>BLANCHARD PRODUCCIONES S.A.</v>
          </cell>
          <cell r="B48" t="str">
            <v>783394405</v>
          </cell>
          <cell r="C48" t="str">
            <v>16E-Servicios al Consumidor - Propaganda y Publicidad</v>
          </cell>
        </row>
        <row r="49">
          <cell r="A49" t="str">
            <v>BOULEVARD SAINT GERMAIN S.A.</v>
          </cell>
          <cell r="B49" t="str">
            <v>99579070K</v>
          </cell>
          <cell r="C49" t="str">
            <v>23A-Vestuario y Textitl - Vestuario / Accesorios</v>
          </cell>
        </row>
        <row r="50">
          <cell r="A50" t="str">
            <v>BRAVO &amp; BRAVO LTDA.</v>
          </cell>
          <cell r="B50" t="str">
            <v>76076460-4</v>
          </cell>
          <cell r="C50" t="str">
            <v>16E-Servicios al Consumidor - Propaganda y Publicidad</v>
          </cell>
        </row>
        <row r="51">
          <cell r="A51" t="str">
            <v>BREDENMASTER CHILE S.A.</v>
          </cell>
          <cell r="B51" t="str">
            <v>966063106</v>
          </cell>
          <cell r="C51" t="str">
            <v>02A-Alimentacion - Comida / Productos Alimenticios</v>
          </cell>
        </row>
        <row r="52">
          <cell r="A52" t="str">
            <v>C.M.P.C. TISSUE S.A.</v>
          </cell>
          <cell r="B52" t="str">
            <v>965293108</v>
          </cell>
          <cell r="C52" t="str">
            <v>15A-Higiene Personal y Belleza</v>
          </cell>
        </row>
        <row r="53">
          <cell r="A53" t="str">
            <v>CADBURY STANI ADAMS CHILE PRODUCTOS</v>
          </cell>
          <cell r="B53" t="str">
            <v>782968009</v>
          </cell>
          <cell r="C53" t="str">
            <v>02A-Alimentacion - Comida / Productos Alimenticios</v>
          </cell>
        </row>
        <row r="54">
          <cell r="A54" t="str">
            <v>CAFE BRITT CHILE LTDA.</v>
          </cell>
          <cell r="B54" t="str">
            <v>766616402</v>
          </cell>
          <cell r="C54" t="str">
            <v>16F-Servicios al Consumidor - Restorantes y Fuentes de Soda</v>
          </cell>
        </row>
        <row r="55">
          <cell r="A55" t="str">
            <v>CAMPUS MATER S.A.</v>
          </cell>
          <cell r="B55" t="str">
            <v>96629020K</v>
          </cell>
          <cell r="C55" t="str">
            <v>16A-Servicios al Consumidor - Colegios y Universidades</v>
          </cell>
        </row>
        <row r="56">
          <cell r="A56" t="str">
            <v>CANNEX</v>
          </cell>
          <cell r="B56" t="str">
            <v>969695200</v>
          </cell>
          <cell r="C56" t="str">
            <v>02A-Alimentacion - Comida / Productos Alimenticios</v>
          </cell>
        </row>
        <row r="57">
          <cell r="A57" t="str">
            <v>CARDINALE S.A.</v>
          </cell>
          <cell r="B57" t="str">
            <v>93562000-7</v>
          </cell>
        </row>
        <row r="58">
          <cell r="A58" t="str">
            <v>CARPENTER S.A.</v>
          </cell>
          <cell r="B58" t="str">
            <v>800203003</v>
          </cell>
          <cell r="C58" t="str">
            <v>25A-Construcción y Terminaciones</v>
          </cell>
        </row>
        <row r="59">
          <cell r="A59" t="str">
            <v>CATECU S.A.</v>
          </cell>
          <cell r="B59" t="str">
            <v>913840003</v>
          </cell>
          <cell r="C59" t="str">
            <v>23A-Vestuario y Textitl - Vestuario / Accesorios</v>
          </cell>
        </row>
        <row r="60">
          <cell r="A60" t="str">
            <v>CAVALSA TRADING S.A.</v>
          </cell>
          <cell r="B60" t="str">
            <v>965822100</v>
          </cell>
          <cell r="C60" t="str">
            <v>10A-Mercado Financiero y Seguros -  Financiamientos, Instit. Fin</v>
          </cell>
        </row>
        <row r="61">
          <cell r="A61" t="str">
            <v>CAVE IT SERVICIOS INFORMATICOS LTDA.</v>
          </cell>
          <cell r="B61" t="str">
            <v>77970280-4</v>
          </cell>
        </row>
        <row r="62">
          <cell r="A62" t="str">
            <v>CCAF LOS HEROES</v>
          </cell>
          <cell r="B62" t="str">
            <v>70016330-K</v>
          </cell>
        </row>
        <row r="63">
          <cell r="A63" t="str">
            <v>CECINAS LA PREFERIDA S.A.</v>
          </cell>
          <cell r="B63" t="str">
            <v>927780003</v>
          </cell>
          <cell r="C63" t="str">
            <v>02A-Alimentacion - Comida / Productos Alimenticios</v>
          </cell>
        </row>
        <row r="64">
          <cell r="A64" t="str">
            <v>CECINAS SAN JORGE S.A.</v>
          </cell>
          <cell r="B64" t="str">
            <v>801863000</v>
          </cell>
          <cell r="C64" t="str">
            <v>02A-Alimentacion - Comida / Productos Alimenticios</v>
          </cell>
        </row>
        <row r="65">
          <cell r="A65" t="str">
            <v>CELL STAR</v>
          </cell>
          <cell r="B65" t="str">
            <v>966701706</v>
          </cell>
          <cell r="C65" t="str">
            <v>16J-Servicios al Consumidor - Telefonia</v>
          </cell>
        </row>
        <row r="66">
          <cell r="A66" t="str">
            <v>CENCOSUD S.A.</v>
          </cell>
          <cell r="B66" t="str">
            <v>942260008</v>
          </cell>
          <cell r="C66" t="str">
            <v>21D-Comercio Detallista - Super e Hipermercados</v>
          </cell>
        </row>
        <row r="67">
          <cell r="A67" t="str">
            <v>CENTRO DE CONVENCIONES SANTIAGO S.A.</v>
          </cell>
          <cell r="B67" t="str">
            <v>96946650-3</v>
          </cell>
        </row>
        <row r="68">
          <cell r="A68" t="str">
            <v>CERAMICAS CORDILLERA</v>
          </cell>
          <cell r="B68" t="str">
            <v>965737804</v>
          </cell>
          <cell r="C68" t="str">
            <v>25A-Construcción y Terminaciones</v>
          </cell>
        </row>
        <row r="69">
          <cell r="A69" t="str">
            <v>CERVECERA CCU CHILE LTDA.</v>
          </cell>
          <cell r="B69" t="str">
            <v>885864007</v>
          </cell>
          <cell r="C69" t="str">
            <v>03C-Bedibas - Alcoholes</v>
          </cell>
        </row>
        <row r="70">
          <cell r="A70" t="str">
            <v>CERVECERIA CHILE S.A.</v>
          </cell>
          <cell r="B70" t="str">
            <v>965477101</v>
          </cell>
          <cell r="C70" t="str">
            <v>03C-Bedibas - Alcoholes</v>
          </cell>
        </row>
        <row r="71">
          <cell r="A71" t="str">
            <v>CHOCOLATES HERSHEY</v>
          </cell>
          <cell r="B71" t="str">
            <v/>
          </cell>
          <cell r="C71" t="str">
            <v>02A-Alimentacion - Comida / Productos Alimenticios</v>
          </cell>
        </row>
        <row r="72">
          <cell r="A72" t="str">
            <v>CIA. DE PETROLEOS DE CHILE COPEC</v>
          </cell>
          <cell r="B72" t="str">
            <v>995200007</v>
          </cell>
          <cell r="C72" t="str">
            <v>22B-Vehiculos - Combustibles y Lubricantes</v>
          </cell>
        </row>
        <row r="73">
          <cell r="A73" t="str">
            <v>CIA. DE TELECOMUNICACIONES DE CHILE</v>
          </cell>
          <cell r="B73" t="str">
            <v>906350001</v>
          </cell>
          <cell r="C73" t="str">
            <v>16J-Servicios al Consumidor - Telefonia</v>
          </cell>
        </row>
        <row r="74">
          <cell r="A74" t="str">
            <v>CINES E INV. CINEPLEX LTDA.</v>
          </cell>
          <cell r="B74" t="str">
            <v>76179370-5</v>
          </cell>
          <cell r="C74" t="str">
            <v>14B-Medios - Tv / Radios</v>
          </cell>
        </row>
        <row r="75">
          <cell r="A75" t="str">
            <v>CITIBANK N.A.</v>
          </cell>
          <cell r="B75" t="str">
            <v>970080007</v>
          </cell>
          <cell r="C75" t="str">
            <v>10A-Mercado Financiero y Seguros -  Financiamientos, Instit. Fin</v>
          </cell>
        </row>
        <row r="76">
          <cell r="A76" t="str">
            <v>CITROEN CHILE S.A.C.</v>
          </cell>
          <cell r="B76" t="str">
            <v>934350006</v>
          </cell>
          <cell r="C76" t="str">
            <v>22A-Vehiculos - General</v>
          </cell>
        </row>
        <row r="77">
          <cell r="A77" t="str">
            <v>CLARO CHILE S.A.</v>
          </cell>
          <cell r="B77" t="str">
            <v>96799250K</v>
          </cell>
          <cell r="C77" t="str">
            <v>16J-Servicios al Consumidor - Telefonia</v>
          </cell>
        </row>
        <row r="78">
          <cell r="A78" t="str">
            <v>CLINICA ALEMANA DE SANTIAGO S.A.</v>
          </cell>
          <cell r="B78" t="str">
            <v>967701009</v>
          </cell>
          <cell r="C78" t="str">
            <v>16I-Servicios al Consumidor - Servicios de Salud</v>
          </cell>
        </row>
        <row r="79">
          <cell r="A79" t="str">
            <v>CLINICA CIUDAD DEL MAR S.A.</v>
          </cell>
          <cell r="B79" t="str">
            <v>968859501</v>
          </cell>
          <cell r="C79" t="str">
            <v>16I-Servicios al Consumidor - Servicios de Salud</v>
          </cell>
        </row>
        <row r="80">
          <cell r="A80" t="str">
            <v>CLINICA REÑACA S.A.</v>
          </cell>
          <cell r="B80" t="str">
            <v>79576810-6</v>
          </cell>
          <cell r="C80" t="str">
            <v>16I-Servicios al Consumidor - Servicios de Salud</v>
          </cell>
        </row>
        <row r="81">
          <cell r="A81" t="str">
            <v>CLINICA SAN CARLOS DE APOQUINDO</v>
          </cell>
          <cell r="B81" t="str">
            <v>995734907</v>
          </cell>
          <cell r="C81" t="str">
            <v>16I-Servicios al Consumidor - Servicios de Salud</v>
          </cell>
        </row>
        <row r="82">
          <cell r="A82" t="str">
            <v>CLINICA SANTA MARIA S.A.</v>
          </cell>
          <cell r="B82" t="str">
            <v>90753000-0</v>
          </cell>
        </row>
        <row r="83">
          <cell r="A83" t="str">
            <v>CLOROX CHILE S.A.</v>
          </cell>
          <cell r="B83" t="str">
            <v>966814705</v>
          </cell>
          <cell r="C83" t="str">
            <v>11A-Higiene Domestica - Productos para el hogar</v>
          </cell>
        </row>
        <row r="84">
          <cell r="A84" t="str">
            <v>CMC ORGANIZADORES PROFESIONALES S.A.</v>
          </cell>
          <cell r="B84" t="str">
            <v>99543750-3</v>
          </cell>
        </row>
        <row r="85">
          <cell r="A85" t="str">
            <v>CNN CHILE CANAL DE TELEVISION LTDA.</v>
          </cell>
          <cell r="B85" t="str">
            <v>76012138-K</v>
          </cell>
          <cell r="C85" t="str">
            <v>14B-Medios - Tv / Radios</v>
          </cell>
        </row>
        <row r="86">
          <cell r="A86" t="str">
            <v>COCA COLA DE CHILE S.A.</v>
          </cell>
          <cell r="B86" t="str">
            <v>967148709</v>
          </cell>
          <cell r="C86" t="str">
            <v>03A-Bebidas - Jugos / Bebidas</v>
          </cell>
        </row>
        <row r="87">
          <cell r="A87" t="str">
            <v>COLCHONES ROSEN S.A.C.I.</v>
          </cell>
          <cell r="B87" t="str">
            <v>931290002</v>
          </cell>
          <cell r="C87" t="str">
            <v>05A-Casa y Decoración - Productos para el hogar</v>
          </cell>
        </row>
        <row r="88">
          <cell r="A88" t="str">
            <v>COMERCIAL ADRENALIN LTDA.</v>
          </cell>
          <cell r="B88" t="str">
            <v>784887502</v>
          </cell>
          <cell r="C88" t="str">
            <v>23A-Vestuario y Textitl - Vestuario / Accesorios</v>
          </cell>
        </row>
        <row r="89">
          <cell r="A89" t="str">
            <v>COMERCIAL APS S.A.</v>
          </cell>
          <cell r="B89" t="str">
            <v>780032308</v>
          </cell>
          <cell r="C89" t="str">
            <v>23A-Vestuario y Textitl - Vestuario / Accesorios</v>
          </cell>
        </row>
        <row r="90">
          <cell r="A90" t="str">
            <v>COMERCIAL DEPOR LTDA.</v>
          </cell>
          <cell r="B90" t="str">
            <v>760306800</v>
          </cell>
          <cell r="C90" t="str">
            <v>23A-Vestuario y Textitl - Vestuario / Accesorios</v>
          </cell>
        </row>
        <row r="91">
          <cell r="A91" t="str">
            <v>COMERCIAL E IMPORTADORA BBR S.A.</v>
          </cell>
          <cell r="B91" t="str">
            <v>764713206</v>
          </cell>
          <cell r="C91" t="str">
            <v>06A-Electro Electrónica - Electrodomésticos / Línea blanca</v>
          </cell>
        </row>
        <row r="92">
          <cell r="A92" t="str">
            <v>COMERCIAL E INDUSTRIAL SILFA S.A.</v>
          </cell>
          <cell r="B92" t="str">
            <v>965219307</v>
          </cell>
          <cell r="C92" t="str">
            <v>04A-Juguetes  y Articulos Infantiles</v>
          </cell>
        </row>
        <row r="93">
          <cell r="A93" t="str">
            <v>COMERCIAL ECCSA S.A.</v>
          </cell>
          <cell r="B93" t="str">
            <v>833827006</v>
          </cell>
          <cell r="C93" t="str">
            <v>21B-Comercio Detallista - Grandes tiendas de Departamento</v>
          </cell>
        </row>
        <row r="94">
          <cell r="A94" t="str">
            <v>COMERCIAL EXS LTDA.</v>
          </cell>
          <cell r="B94" t="str">
            <v>762705605</v>
          </cell>
          <cell r="C94" t="str">
            <v>23A-Vestuario y Textitl - Vestuario / Accesorios</v>
          </cell>
        </row>
        <row r="95">
          <cell r="A95" t="str">
            <v>COMERCIAL ITALA S.A.</v>
          </cell>
          <cell r="B95" t="str">
            <v>965556400</v>
          </cell>
          <cell r="C95" t="str">
            <v>22A-Vehiculos - General</v>
          </cell>
        </row>
        <row r="96">
          <cell r="A96" t="str">
            <v>COMERCIAL RAM LTDA.</v>
          </cell>
          <cell r="B96" t="str">
            <v>76402420-6</v>
          </cell>
        </row>
        <row r="97">
          <cell r="A97" t="str">
            <v>COMERCIAL SPORTEX LTDA.</v>
          </cell>
          <cell r="B97" t="str">
            <v>965471804</v>
          </cell>
          <cell r="C97" t="str">
            <v>23A-Vestuario y Textitl - Vestuario / Accesorios</v>
          </cell>
        </row>
        <row r="98">
          <cell r="A98" t="str">
            <v>COMERCIAL TASE TEXTIL LTDA.</v>
          </cell>
          <cell r="B98" t="str">
            <v>771316407</v>
          </cell>
          <cell r="C98" t="str">
            <v>23A-Vestuario y Textil - Artículos / Ropa deportiva</v>
          </cell>
        </row>
        <row r="99">
          <cell r="A99" t="str">
            <v>COMERCIAL TORO</v>
          </cell>
          <cell r="B99" t="str">
            <v>788060904</v>
          </cell>
          <cell r="C99" t="str">
            <v>06A-Electro Electrónica - Electrodomésticos / Línea blanca</v>
          </cell>
        </row>
        <row r="100">
          <cell r="A100" t="str">
            <v>COMERCIAL VIA UNO CHILE LTDA.</v>
          </cell>
          <cell r="B100" t="str">
            <v>76.055.749-8</v>
          </cell>
          <cell r="C100" t="str">
            <v>23A-Vestuario y Textitl - Vestuario / Accesorios</v>
          </cell>
        </row>
        <row r="101">
          <cell r="A101" t="str">
            <v>COMERCIALIZADORA DE VESTUARIO FES LTDA.</v>
          </cell>
          <cell r="B101" t="str">
            <v>775664304</v>
          </cell>
          <cell r="C101" t="str">
            <v>23A-Vestuario y Textitl - Vestuario / Accesorios</v>
          </cell>
        </row>
        <row r="102">
          <cell r="A102" t="str">
            <v>COMERCIALIZADORA EBUYIN LTDA.</v>
          </cell>
          <cell r="B102" t="str">
            <v>763492702</v>
          </cell>
          <cell r="C102" t="str">
            <v>22A-Vehiculos - General</v>
          </cell>
        </row>
        <row r="103">
          <cell r="A103" t="str">
            <v>COMERCIALIZADORA IDEAS DEL SUR Y CIA. LTDA.</v>
          </cell>
          <cell r="B103" t="str">
            <v>761969005</v>
          </cell>
          <cell r="C103" t="str">
            <v>21E-Comercio Detallista - Otros tipos de Comercio</v>
          </cell>
        </row>
        <row r="104">
          <cell r="A104" t="str">
            <v>COMERCIALIZADORA SKECHERS CHILE LTDA.</v>
          </cell>
          <cell r="B104" t="str">
            <v>76047265-4</v>
          </cell>
        </row>
        <row r="105">
          <cell r="A105" t="str">
            <v>COMERVEST S.A.</v>
          </cell>
          <cell r="B105" t="str">
            <v>96554710K</v>
          </cell>
          <cell r="C105" t="str">
            <v>23A-Vestuario y Textitl - Vestuario / Accesorios</v>
          </cell>
        </row>
        <row r="106">
          <cell r="A106" t="str">
            <v>COMITE PALTA HASS DE CHILE</v>
          </cell>
          <cell r="B106" t="str">
            <v>653001800</v>
          </cell>
          <cell r="C106" t="str">
            <v>02A-Alimentacion - Comida / Productos Alimenticios</v>
          </cell>
        </row>
        <row r="107">
          <cell r="A107" t="str">
            <v>COMPAÑIA CHILENA DE TABACOS S.A.</v>
          </cell>
          <cell r="B107" t="str">
            <v>902860002</v>
          </cell>
          <cell r="C107" t="str">
            <v>19A-Tabacos</v>
          </cell>
        </row>
        <row r="108">
          <cell r="A108" t="str">
            <v>COMPAÑIA CHILENA DE TELEVISION S.A.</v>
          </cell>
          <cell r="B108" t="str">
            <v>965646809</v>
          </cell>
          <cell r="C108" t="str">
            <v>14B-Medios - Tv / Radios</v>
          </cell>
        </row>
        <row r="109">
          <cell r="A109" t="str">
            <v>COMPAÑIA PISQUERA CHILE</v>
          </cell>
          <cell r="B109" t="str">
            <v>995862808</v>
          </cell>
          <cell r="C109" t="str">
            <v>03C-Bedibas - Alcoholes</v>
          </cell>
        </row>
        <row r="110">
          <cell r="A110" t="str">
            <v>COMPUTACION OLIDATA LTDA</v>
          </cell>
          <cell r="B110" t="str">
            <v>968068407</v>
          </cell>
          <cell r="C110" t="str">
            <v>13A-Informática</v>
          </cell>
        </row>
        <row r="111">
          <cell r="A111" t="str">
            <v>CONFECCCIONES TOP</v>
          </cell>
          <cell r="B111" t="str">
            <v>33333333</v>
          </cell>
          <cell r="C111" t="str">
            <v>23A-Vestuario y Textitl - Vestuario / Accesorios</v>
          </cell>
        </row>
        <row r="112">
          <cell r="A112" t="str">
            <v>CONFECCIONES FEROUCH LTDA.</v>
          </cell>
          <cell r="B112" t="str">
            <v>867088008</v>
          </cell>
          <cell r="C112" t="str">
            <v>23A-Vestuario y Textitl - Vestuario / Accesorios</v>
          </cell>
        </row>
        <row r="113">
          <cell r="A113" t="str">
            <v>CONFECCIONES NAZAL LTDA.</v>
          </cell>
          <cell r="B113" t="str">
            <v>889104007</v>
          </cell>
          <cell r="C113" t="str">
            <v>23A-Vestuario y Textitl - Vestuario / Accesorios</v>
          </cell>
        </row>
        <row r="114">
          <cell r="A114" t="str">
            <v>CONFECCIONESTEXTILES EL AGUILA LTDA</v>
          </cell>
          <cell r="B114" t="str">
            <v>818400004</v>
          </cell>
          <cell r="C114" t="str">
            <v>23A-Vestuario y Textitl - Vestuario / Accesorios</v>
          </cell>
        </row>
        <row r="115">
          <cell r="A115" t="str">
            <v>CONSORCIO NAC. SEGUROS DE VIDA S.A.</v>
          </cell>
          <cell r="B115" t="str">
            <v>990120005</v>
          </cell>
          <cell r="C115" t="str">
            <v>10E-Mercado Financiero y Seguros - Seguros</v>
          </cell>
        </row>
        <row r="116">
          <cell r="A116" t="str">
            <v>CONSTRUCTORA ALMAGRO S.A.</v>
          </cell>
          <cell r="B116" t="str">
            <v>86356400K</v>
          </cell>
          <cell r="C116" t="str">
            <v>28A-Mercado Inmobiliario</v>
          </cell>
        </row>
        <row r="117">
          <cell r="A117" t="str">
            <v>CONSTRUCTORA GLS LTDA.</v>
          </cell>
          <cell r="B117" t="str">
            <v>787709907</v>
          </cell>
          <cell r="C117" t="str">
            <v>28A-Mercado Inmobiliario</v>
          </cell>
        </row>
        <row r="118">
          <cell r="A118" t="str">
            <v>CONSTRUMART S.A.</v>
          </cell>
          <cell r="B118" t="str">
            <v>96511460-2</v>
          </cell>
        </row>
        <row r="119">
          <cell r="A119" t="str">
            <v>COOP. AGRI. LECHERA LA UNION LTDA.</v>
          </cell>
          <cell r="B119" t="str">
            <v>810941006</v>
          </cell>
          <cell r="C119" t="str">
            <v>02A-Alimentacion - Lacteos</v>
          </cell>
        </row>
        <row r="120">
          <cell r="A120" t="str">
            <v>CORP. DE TELEVISION DE LA PONT. UNIVERSIDAD CATOLICA</v>
          </cell>
          <cell r="B120" t="str">
            <v>816989000/A</v>
          </cell>
          <cell r="C120" t="str">
            <v>14B-Medios - Tv / Radios</v>
          </cell>
        </row>
        <row r="121">
          <cell r="A121" t="str">
            <v>CORP. DESARROLLO SOCIAL DEL SECTOR RURAL</v>
          </cell>
          <cell r="B121" t="str">
            <v>70265000-3</v>
          </cell>
        </row>
        <row r="122">
          <cell r="A122" t="str">
            <v>CORPBANCA</v>
          </cell>
          <cell r="B122" t="str">
            <v>970230009</v>
          </cell>
          <cell r="C122" t="str">
            <v>10A-Mercado Financiero y Seguros -  Financiamientos, Instit. Fin</v>
          </cell>
        </row>
        <row r="123">
          <cell r="A123" t="str">
            <v>CORPORA TRES MONTES S.A.</v>
          </cell>
          <cell r="B123" t="str">
            <v>965696903</v>
          </cell>
          <cell r="C123" t="str">
            <v>03A-Bebidas - Jugos / Bebidas</v>
          </cell>
        </row>
        <row r="124">
          <cell r="A124" t="str">
            <v>CORPORACION DE FOMENTO CORFO</v>
          </cell>
          <cell r="B124" t="str">
            <v/>
          </cell>
          <cell r="C124" t="str">
            <v>16C-Servicios al Consumidor - Empresas Pulbicas y Conceciones</v>
          </cell>
        </row>
        <row r="125">
          <cell r="A125" t="str">
            <v>CORPORACION LA ESPERANZA</v>
          </cell>
          <cell r="B125" t="str">
            <v>2222222-6</v>
          </cell>
        </row>
        <row r="126">
          <cell r="A126" t="str">
            <v>COSPER COSMETICA Y PERFUMERIA S.A.</v>
          </cell>
          <cell r="B126" t="str">
            <v>96565250-7</v>
          </cell>
          <cell r="C126" t="str">
            <v>15A-Higiene Personal y Belleza</v>
          </cell>
        </row>
        <row r="127">
          <cell r="A127" t="str">
            <v>CREACIONES MELODY LTDA.</v>
          </cell>
          <cell r="B127" t="str">
            <v>81776200K</v>
          </cell>
          <cell r="C127" t="str">
            <v>23A-Vestuario y Textitl - Vestuario / Accesorios</v>
          </cell>
        </row>
        <row r="128">
          <cell r="A128" t="str">
            <v>CREDICHILE</v>
          </cell>
          <cell r="B128" t="str">
            <v/>
          </cell>
          <cell r="C128" t="str">
            <v>10A-Mercado Financiero y Seguros -  Financiamientos, Instit. Fin</v>
          </cell>
        </row>
        <row r="129">
          <cell r="A129" t="str">
            <v>CSC COMPUTER SCIENCES CORPORATION CHILE LTDA.</v>
          </cell>
          <cell r="B129" t="str">
            <v>77547590-0</v>
          </cell>
        </row>
        <row r="130">
          <cell r="A130" t="str">
            <v>CTC TRANSMISIONES REGIONALES S.A.</v>
          </cell>
          <cell r="B130" t="str">
            <v>965516700</v>
          </cell>
          <cell r="C130" t="str">
            <v>16J-Servicios al Consumidor - Telefonia</v>
          </cell>
        </row>
        <row r="131">
          <cell r="A131" t="str">
            <v>CTI CHILE</v>
          </cell>
          <cell r="B131" t="str">
            <v>12</v>
          </cell>
          <cell r="C131" t="str">
            <v>06A-Electro Electrónica - Electrodomésticos / Línea blanca</v>
          </cell>
        </row>
        <row r="132">
          <cell r="A132" t="str">
            <v>CTS TURISMO LTDA.</v>
          </cell>
          <cell r="B132" t="str">
            <v>86000800-9</v>
          </cell>
        </row>
        <row r="133">
          <cell r="A133" t="str">
            <v>CUBANA AVIACION</v>
          </cell>
          <cell r="B133" t="str">
            <v>590330000</v>
          </cell>
          <cell r="C133" t="str">
            <v>16K-Servicios al Consumidor - Transporte Aéreo</v>
          </cell>
        </row>
        <row r="134">
          <cell r="A134" t="str">
            <v>CUENTAS PUNTO COM S.A.</v>
          </cell>
          <cell r="B134" t="str">
            <v>96.603.260-K</v>
          </cell>
        </row>
        <row r="135">
          <cell r="A135" t="str">
            <v>DANILO AHUMADA FLORES</v>
          </cell>
          <cell r="B135" t="str">
            <v>13431758-2</v>
          </cell>
        </row>
        <row r="136">
          <cell r="A136" t="str">
            <v>DANONE CHILE S.A.</v>
          </cell>
          <cell r="B136" t="str">
            <v>76455830-8</v>
          </cell>
        </row>
        <row r="137">
          <cell r="A137" t="str">
            <v>DELTA AIRLINES</v>
          </cell>
          <cell r="B137" t="str">
            <v>590725102</v>
          </cell>
          <cell r="C137" t="str">
            <v>16K-Servicios al Consumidor - Transporte Aéreo</v>
          </cell>
        </row>
        <row r="138">
          <cell r="A138" t="str">
            <v>DENTO S.A.</v>
          </cell>
          <cell r="B138" t="str">
            <v>96983670-K</v>
          </cell>
          <cell r="C138" t="str">
            <v>16I-Servicios al Consumidor - Servicios de Salud</v>
          </cell>
        </row>
        <row r="139">
          <cell r="A139" t="str">
            <v>DERCO S.A</v>
          </cell>
          <cell r="B139" t="str">
            <v>941410006</v>
          </cell>
          <cell r="C139" t="str">
            <v>22A-Vehiculos - General</v>
          </cell>
        </row>
        <row r="140">
          <cell r="A140" t="str">
            <v>DESPEGAR.COM CHILE S.A.</v>
          </cell>
          <cell r="B140" t="str">
            <v>96.907.830-9</v>
          </cell>
        </row>
        <row r="141">
          <cell r="A141" t="str">
            <v>DIAGEO CHILE LTDA.</v>
          </cell>
          <cell r="B141" t="str">
            <v>784276902</v>
          </cell>
          <cell r="C141" t="str">
            <v>03C-Bedibas - Alcoholes</v>
          </cell>
        </row>
        <row r="142">
          <cell r="A142" t="str">
            <v>DIAL METROPOLITANO S,A.</v>
          </cell>
          <cell r="B142" t="str">
            <v>76642410-4</v>
          </cell>
        </row>
        <row r="143">
          <cell r="A143" t="str">
            <v>DIMACOFI S.A.</v>
          </cell>
          <cell r="B143" t="str">
            <v>920830005</v>
          </cell>
          <cell r="C143" t="str">
            <v>07A-Oficina y Papeleria</v>
          </cell>
        </row>
        <row r="144">
          <cell r="A144" t="str">
            <v>DINER CLUB INTERNACIONAL</v>
          </cell>
          <cell r="B144" t="str">
            <v/>
          </cell>
          <cell r="C144" t="str">
            <v>10B-Mercado Financiero y Seguros -  Tarjetas de Credito</v>
          </cell>
        </row>
        <row r="145">
          <cell r="A145" t="str">
            <v>DIRECCION GENERAL DE MOVILIZACION NACIONAL</v>
          </cell>
          <cell r="B145" t="str">
            <v>611100000</v>
          </cell>
          <cell r="C145" t="str">
            <v>17A-Servicio Público y Soc. - Campañas Publicas</v>
          </cell>
        </row>
        <row r="146">
          <cell r="A146" t="str">
            <v>DIRECTV CHILE TELEVISION LTDA</v>
          </cell>
          <cell r="B146" t="str">
            <v>811611009</v>
          </cell>
          <cell r="C146" t="str">
            <v>14B-Medios - Tv / Radios</v>
          </cell>
        </row>
        <row r="147">
          <cell r="A147" t="str">
            <v>DIST. DE ARTICULOS DEPORTIVOS LTDA</v>
          </cell>
          <cell r="B147" t="str">
            <v>76404400-2</v>
          </cell>
        </row>
        <row r="148">
          <cell r="A148" t="str">
            <v>DIST. TEXTIL WARNACO CHILE LTDA.</v>
          </cell>
          <cell r="B148" t="str">
            <v>76050925-6</v>
          </cell>
          <cell r="C148" t="str">
            <v>23A-Vestuario y Textitl - Vestuario / Accesorios</v>
          </cell>
        </row>
        <row r="149">
          <cell r="A149" t="str">
            <v>DISTRIBUIDORA AUTOMOTRIZ SANTIAGO L</v>
          </cell>
          <cell r="B149" t="str">
            <v>878144007</v>
          </cell>
          <cell r="C149" t="str">
            <v>22A-Vehiculos - General</v>
          </cell>
        </row>
        <row r="150">
          <cell r="A150" t="str">
            <v>DISTRIBUIDORA CUMMINS CHILE S.A.</v>
          </cell>
          <cell r="B150" t="str">
            <v>968431404</v>
          </cell>
          <cell r="C150" t="str">
            <v>12A-Bienes y Servicios Industriales</v>
          </cell>
        </row>
        <row r="151">
          <cell r="A151" t="str">
            <v>DISTRIBUIDORA DE ARTICULOS DEPORTIVOS LTDA.</v>
          </cell>
          <cell r="B151" t="str">
            <v>764044002</v>
          </cell>
          <cell r="C151" t="str">
            <v>23A-Vestuario y Textil - Artículos / Ropa deportiva</v>
          </cell>
        </row>
        <row r="152">
          <cell r="A152" t="str">
            <v>DISTRIBUIDORA ERRAZURIZ S.A.</v>
          </cell>
          <cell r="B152" t="str">
            <v>965689702</v>
          </cell>
          <cell r="C152" t="str">
            <v>03C-Bedibas - Alcoholes</v>
          </cell>
        </row>
        <row r="153">
          <cell r="A153" t="str">
            <v>DISTRIBUIDORA PUIG CHILE LTDA.</v>
          </cell>
          <cell r="B153" t="str">
            <v>770620805</v>
          </cell>
          <cell r="C153" t="str">
            <v>15A-Higiene Personal y Belleza</v>
          </cell>
        </row>
        <row r="154">
          <cell r="A154" t="str">
            <v>DISTRIBUIDORA Y SERVICIOS D Y S S.A.</v>
          </cell>
          <cell r="B154" t="str">
            <v>964390002</v>
          </cell>
          <cell r="C154" t="str">
            <v>21D-Comercio Detallista - Super e Hipermercados</v>
          </cell>
        </row>
        <row r="155">
          <cell r="A155" t="str">
            <v>EDITORIAL TELEVISA CHILE S.A.</v>
          </cell>
          <cell r="B155" t="str">
            <v>935850002</v>
          </cell>
          <cell r="C155" t="str">
            <v>14B-Medios - Tv / Radios</v>
          </cell>
        </row>
        <row r="156">
          <cell r="A156" t="str">
            <v>EJERCITO DE CHILE ESCUELA MILITAR</v>
          </cell>
          <cell r="B156" t="str">
            <v>611010176</v>
          </cell>
          <cell r="C156" t="str">
            <v>17A-Servicio Público y Soc. - Campañas Publicas</v>
          </cell>
        </row>
        <row r="157">
          <cell r="A157" t="str">
            <v>EL BARRIO PROPIEDADES</v>
          </cell>
          <cell r="B157" t="str">
            <v>969284707</v>
          </cell>
          <cell r="C157" t="str">
            <v>28A-Mercado Inmobiliario</v>
          </cell>
        </row>
        <row r="158">
          <cell r="A158" t="str">
            <v>ELECTROLUX CHILE S.A.</v>
          </cell>
          <cell r="B158" t="str">
            <v>99578940K</v>
          </cell>
          <cell r="C158" t="str">
            <v>06A-Electro Electrónica - Electrodomésticos / Línea blanca</v>
          </cell>
        </row>
        <row r="159">
          <cell r="A159" t="str">
            <v>EMBOTELLADORA CASTEL LTDA.</v>
          </cell>
          <cell r="B159" t="str">
            <v>802473001</v>
          </cell>
          <cell r="C159" t="str">
            <v>03A-Bebidas - Jugos / Bebidas</v>
          </cell>
        </row>
        <row r="160">
          <cell r="A160" t="str">
            <v>EMBOTELLADORA CHILENAS UNIDAS S.A.</v>
          </cell>
          <cell r="B160" t="str">
            <v>965244107</v>
          </cell>
          <cell r="C160" t="str">
            <v>03A-Bebidas - Jugos / Bebidas</v>
          </cell>
        </row>
        <row r="161">
          <cell r="A161" t="str">
            <v>EMBRATUR</v>
          </cell>
          <cell r="B161" t="str">
            <v>2222222-9</v>
          </cell>
          <cell r="C161" t="str">
            <v>08A-Cultura, Recreo, Deporte y Turismo - Hoteles</v>
          </cell>
        </row>
        <row r="162">
          <cell r="A162" t="str">
            <v>EMERSON ELECTRIC HOLDING CORPORATION</v>
          </cell>
          <cell r="B162" t="str">
            <v>772731205</v>
          </cell>
          <cell r="C162" t="str">
            <v>06A-Electro Electrónica - Electrónica</v>
          </cell>
        </row>
        <row r="163">
          <cell r="A163" t="str">
            <v>EMP. TRANSPORTES RURALES LTDA.</v>
          </cell>
          <cell r="B163" t="str">
            <v>80314700-0</v>
          </cell>
        </row>
        <row r="164">
          <cell r="A164" t="str">
            <v>EMPRESA CAROZZI S.A.</v>
          </cell>
          <cell r="B164" t="str">
            <v>965910409</v>
          </cell>
          <cell r="C164" t="str">
            <v>02A-Alimentacion - Comida / Productos Alimenticios</v>
          </cell>
        </row>
        <row r="165">
          <cell r="A165" t="str">
            <v>EMPRESA ELECTRICA GUACOLDA S.A.</v>
          </cell>
          <cell r="B165" t="str">
            <v>96635700-2</v>
          </cell>
        </row>
        <row r="166">
          <cell r="A166" t="str">
            <v>EMPRESA PERIODISTICA DIARIO CONCEPCION S.A.</v>
          </cell>
          <cell r="B166" t="str">
            <v>760188247</v>
          </cell>
          <cell r="C166" t="str">
            <v>14A-Medios - Diarios / Revistas</v>
          </cell>
        </row>
        <row r="167">
          <cell r="A167" t="str">
            <v>EMPRESA PERIODISTICA LA TERCERA S.A.</v>
          </cell>
          <cell r="B167" t="str">
            <v>995799804</v>
          </cell>
          <cell r="C167" t="str">
            <v>14A-Medios - Diarios / Revistas</v>
          </cell>
        </row>
        <row r="168">
          <cell r="A168" t="str">
            <v>ENTEL PCS TELECOMUNICACIONES S.A.</v>
          </cell>
          <cell r="B168" t="str">
            <v>968069802</v>
          </cell>
          <cell r="C168" t="str">
            <v>16J-Servicios al Consumidor - Telefonia</v>
          </cell>
        </row>
        <row r="169">
          <cell r="A169" t="str">
            <v>ENTEL S.A.</v>
          </cell>
          <cell r="B169" t="str">
            <v>925800007</v>
          </cell>
          <cell r="C169" t="str">
            <v>16J-Servicios al Consumidor - Telefonia</v>
          </cell>
        </row>
        <row r="170">
          <cell r="A170" t="str">
            <v>ERNST &amp; YOUNG LTDA.</v>
          </cell>
          <cell r="B170" t="str">
            <v>778024306</v>
          </cell>
          <cell r="C170" t="str">
            <v>10D-Mercado Financiero y Seguros - Otros</v>
          </cell>
        </row>
        <row r="171">
          <cell r="A171" t="str">
            <v>EUROFASHION LTDA.</v>
          </cell>
          <cell r="B171" t="str">
            <v>798295004</v>
          </cell>
          <cell r="C171" t="str">
            <v>23A-Vestuario y Textitl - Vestuario / Accesorios</v>
          </cell>
        </row>
        <row r="172">
          <cell r="A172" t="str">
            <v>EVENTUAL SERVICIOS LTDA.</v>
          </cell>
          <cell r="B172" t="str">
            <v>76313850-K</v>
          </cell>
        </row>
        <row r="173">
          <cell r="A173" t="str">
            <v>EVERIS CHILE S.A.</v>
          </cell>
          <cell r="B173" t="str">
            <v>968861107</v>
          </cell>
          <cell r="C173" t="str">
            <v>10D-Mercado Financiero y Seguros - Otros</v>
          </cell>
        </row>
        <row r="174">
          <cell r="A174" t="str">
            <v>EXXACON DESARROLLO INMOBILIARIO S.A.</v>
          </cell>
          <cell r="B174" t="str">
            <v>774197702</v>
          </cell>
          <cell r="C174" t="str">
            <v>28A-Mercado Inmobiliario</v>
          </cell>
        </row>
        <row r="175">
          <cell r="A175" t="str">
            <v>F.G.M. AROME ET BEAUTE</v>
          </cell>
          <cell r="B175" t="str">
            <v>796249005.</v>
          </cell>
          <cell r="C175" t="str">
            <v>15A-Higiene Personal y Belleza</v>
          </cell>
        </row>
        <row r="176">
          <cell r="A176" t="str">
            <v>FAB. NACIONAL DE COLCHAS EL CASTILLO S.A.</v>
          </cell>
          <cell r="B176" t="str">
            <v>91819000-7</v>
          </cell>
        </row>
        <row r="177">
          <cell r="A177" t="str">
            <v>FALABELLA S.A.C.I.</v>
          </cell>
          <cell r="B177" t="str">
            <v>907490009</v>
          </cell>
          <cell r="C177" t="str">
            <v>21B-Comercio Detallista - Grandes tiendas de Departamento</v>
          </cell>
        </row>
        <row r="178">
          <cell r="A178" t="str">
            <v>FARMACIAS AHUMADA S.A.</v>
          </cell>
          <cell r="B178" t="str">
            <v>937670001</v>
          </cell>
          <cell r="C178" t="str">
            <v>21F-Comercio Detallista - Farmacias y Perfumerias</v>
          </cell>
        </row>
        <row r="179">
          <cell r="A179" t="str">
            <v>FASHION COMPANY S.A.</v>
          </cell>
          <cell r="B179" t="str">
            <v>80304400-7</v>
          </cell>
        </row>
        <row r="180">
          <cell r="A180" t="str">
            <v>FAST FOOD CHILE S.A.</v>
          </cell>
          <cell r="B180" t="str">
            <v/>
          </cell>
          <cell r="C180" t="str">
            <v>16B-Servicios al Consumidor - Comida Rapida</v>
          </cell>
        </row>
        <row r="181">
          <cell r="A181" t="str">
            <v>Fca. Confecciones Trial S.A.</v>
          </cell>
          <cell r="B181" t="str">
            <v>967182109</v>
          </cell>
          <cell r="C181" t="str">
            <v>23A-Vestuario y Textitl - Vestuario / Accesorios</v>
          </cell>
        </row>
        <row r="182">
          <cell r="A182" t="str">
            <v>FISA S.A.</v>
          </cell>
          <cell r="B182" t="str">
            <v>969557800</v>
          </cell>
          <cell r="C182" t="str">
            <v>21A-Comercio Detallista - Centros Comerciales</v>
          </cell>
        </row>
        <row r="183">
          <cell r="A183" t="str">
            <v>FORD MOTOR COMPANY CHILE LTDA.</v>
          </cell>
          <cell r="B183" t="str">
            <v>787039103</v>
          </cell>
          <cell r="C183" t="str">
            <v>22A-Vehiculos - General</v>
          </cell>
        </row>
        <row r="184">
          <cell r="A184" t="str">
            <v>FORUS S.A.</v>
          </cell>
          <cell r="B184" t="str">
            <v>869632007</v>
          </cell>
          <cell r="C184" t="str">
            <v>23A-Vestuario y Textitl - Vestuario / Accesorios</v>
          </cell>
        </row>
        <row r="185">
          <cell r="A185" t="str">
            <v>FOX LATIN AMERICAN CHANNELS CHILE LTDA.</v>
          </cell>
          <cell r="B185" t="str">
            <v>76157220E</v>
          </cell>
          <cell r="C185" t="str">
            <v>14B-Medios - Tv / Radios</v>
          </cell>
        </row>
        <row r="186">
          <cell r="A186" t="str">
            <v>FRANCO MECANICA S.A.</v>
          </cell>
          <cell r="B186" t="str">
            <v>930610003</v>
          </cell>
          <cell r="C186" t="str">
            <v>22A-Vehiculos - General</v>
          </cell>
        </row>
        <row r="187">
          <cell r="A187" t="str">
            <v>FUND. GREENPEACE PACIFICO SUR</v>
          </cell>
          <cell r="B187" t="str">
            <v>730554001</v>
          </cell>
          <cell r="C187" t="str">
            <v>17B-Servicio Público y Soc. - Campañas de Beneficienca</v>
          </cell>
        </row>
        <row r="188">
          <cell r="A188" t="str">
            <v>FUNDACION COANIL</v>
          </cell>
          <cell r="B188" t="str">
            <v/>
          </cell>
          <cell r="C188" t="str">
            <v>17B-Servicio Público y Soc. - Campañas de Beneficienca</v>
          </cell>
        </row>
        <row r="189">
          <cell r="A189" t="str">
            <v>FUNDACION INTEGRA</v>
          </cell>
          <cell r="B189" t="str">
            <v/>
          </cell>
          <cell r="C189" t="str">
            <v>17B-Servicio Público y Soc. - Campañas de Beneficienca</v>
          </cell>
        </row>
        <row r="190">
          <cell r="A190" t="str">
            <v>FUNDACION LAS ROSAS</v>
          </cell>
          <cell r="B190" t="str">
            <v>705436002</v>
          </cell>
          <cell r="C190" t="str">
            <v>17B-Servicio Público y Soc. - Campañas de Beneficienca</v>
          </cell>
        </row>
        <row r="191">
          <cell r="A191" t="str">
            <v>FUNDACION MARCELO ASTOREGA CORREA</v>
          </cell>
          <cell r="B191" t="str">
            <v>2233333-8</v>
          </cell>
        </row>
        <row r="192">
          <cell r="A192" t="str">
            <v>FUNDACION NUESTROS HIJOS</v>
          </cell>
          <cell r="B192" t="str">
            <v>720384000</v>
          </cell>
          <cell r="C192" t="str">
            <v>17B-Servicio Público y Soc. - Campañas de Beneficienca</v>
          </cell>
        </row>
        <row r="193">
          <cell r="A193" t="str">
            <v>General Motors Chile ltda</v>
          </cell>
          <cell r="B193" t="str">
            <v>935150000</v>
          </cell>
          <cell r="C193" t="str">
            <v>22A-Vehiculos - General</v>
          </cell>
        </row>
        <row r="194">
          <cell r="A194" t="str">
            <v>GLAXOSMITHKLINE CHILE FARMACEUTICA LTDA.</v>
          </cell>
          <cell r="B194" t="str">
            <v>85025700-0</v>
          </cell>
        </row>
        <row r="195">
          <cell r="A195" t="str">
            <v>GMO CHILE S.A.</v>
          </cell>
          <cell r="B195" t="str">
            <v>968913700</v>
          </cell>
          <cell r="C195" t="str">
            <v>21C-Comercio Detallista - Productos de uso Personal</v>
          </cell>
        </row>
        <row r="196">
          <cell r="A196" t="str">
            <v>GOOD FOODS S.A.</v>
          </cell>
          <cell r="B196" t="str">
            <v>966654600</v>
          </cell>
          <cell r="C196" t="str">
            <v>02A-Alimentacion - Comida / Productos Alimenticios</v>
          </cell>
        </row>
        <row r="197">
          <cell r="A197" t="str">
            <v>GOODYEAR DE CHILE S.A.I.C.</v>
          </cell>
          <cell r="B197" t="str">
            <v>937700008</v>
          </cell>
          <cell r="C197" t="str">
            <v>22A-Vehiculos - General</v>
          </cell>
        </row>
        <row r="198">
          <cell r="A198" t="str">
            <v>GROOVE LINE LTDA.</v>
          </cell>
          <cell r="B198" t="str">
            <v>76508130-0</v>
          </cell>
        </row>
        <row r="199">
          <cell r="A199" t="str">
            <v>GRUPO CALDERON</v>
          </cell>
          <cell r="B199" t="str">
            <v/>
          </cell>
          <cell r="C199" t="str">
            <v>21A-Comercio Detallista - Centros Comerciales</v>
          </cell>
        </row>
        <row r="200">
          <cell r="A200" t="str">
            <v>GRUPO DOS ORGANIZACION Y PRODUCCION DE EVENTOS LTDA.</v>
          </cell>
          <cell r="B200" t="str">
            <v>76.876.440-9</v>
          </cell>
          <cell r="C200" t="str">
            <v>16E-Servicios al Consumidor - Propaganda y Publicidad</v>
          </cell>
        </row>
        <row r="201">
          <cell r="A201" t="str">
            <v>GTD MANQUEHUE</v>
          </cell>
          <cell r="B201" t="str">
            <v>FV vía Ag. Nueve Veinte</v>
          </cell>
          <cell r="C201" t="str">
            <v>16J-Servicios al Consumidor - Telefonia</v>
          </cell>
        </row>
        <row r="202">
          <cell r="A202" t="str">
            <v>H. BRIONES COMERCIAL S.A.</v>
          </cell>
          <cell r="B202" t="str">
            <v>967204900</v>
          </cell>
          <cell r="C202" t="str">
            <v>26A-Productos de uso Personal</v>
          </cell>
        </row>
        <row r="203">
          <cell r="A203" t="str">
            <v>HAVANA CLUB</v>
          </cell>
          <cell r="B203" t="str">
            <v/>
          </cell>
          <cell r="C203" t="str">
            <v>03C-Bedibas - Alcoholes</v>
          </cell>
        </row>
        <row r="204">
          <cell r="A204" t="str">
            <v>HERBALIFE INTERNATIONAL DE CHILE LTDA.</v>
          </cell>
          <cell r="B204" t="str">
            <v>78.882.180-8</v>
          </cell>
          <cell r="C204" t="str">
            <v>21E-Comercio Detallista - Otros tipos de Comercio</v>
          </cell>
        </row>
        <row r="205">
          <cell r="A205" t="str">
            <v>HEWLETT PACKARD CHILE COMERCIAL LTDA.</v>
          </cell>
          <cell r="B205" t="str">
            <v>966786809</v>
          </cell>
          <cell r="C205" t="str">
            <v>06A-Electro Electrónica - Electrónica</v>
          </cell>
        </row>
        <row r="206">
          <cell r="A206" t="str">
            <v>HIGH QUALITY S.A.</v>
          </cell>
          <cell r="B206" t="str">
            <v/>
          </cell>
          <cell r="C206" t="str">
            <v>13A-Informática</v>
          </cell>
        </row>
        <row r="207">
          <cell r="A207" t="str">
            <v>HOGAR DE CRISTO</v>
          </cell>
          <cell r="B207" t="str">
            <v/>
          </cell>
          <cell r="C207" t="str">
            <v>17B-Servicio Público y Soc. - Campañas de Beneficienca</v>
          </cell>
        </row>
        <row r="208">
          <cell r="A208" t="str">
            <v>HOTELERA SOMONTUR S.A.</v>
          </cell>
          <cell r="B208" t="str">
            <v>852296003</v>
          </cell>
          <cell r="C208" t="str">
            <v>08A-Cultura, Recreo, Deporte y Turismo - Hoteles</v>
          </cell>
        </row>
        <row r="209">
          <cell r="A209" t="str">
            <v>HSBC BANK (CHILE)</v>
          </cell>
          <cell r="B209" t="str">
            <v>97951000-4</v>
          </cell>
        </row>
        <row r="210">
          <cell r="A210" t="str">
            <v>IBERIA LINEAS AEREAS</v>
          </cell>
          <cell r="B210" t="str">
            <v>921160003</v>
          </cell>
          <cell r="C210" t="str">
            <v>16K-Servicios al Consumidor - Transporte Aéreo</v>
          </cell>
        </row>
        <row r="211">
          <cell r="A211" t="str">
            <v>IBEROAMERICAN RADIO CHILE LTDA</v>
          </cell>
          <cell r="B211" t="str">
            <v>968679902</v>
          </cell>
          <cell r="C211" t="str">
            <v>14B-Medios - Tv / Radios</v>
          </cell>
        </row>
        <row r="212">
          <cell r="A212" t="str">
            <v>IDEAL S.A.</v>
          </cell>
          <cell r="B212" t="str">
            <v>826235004</v>
          </cell>
          <cell r="C212" t="str">
            <v>02A-Alimentacion - Comida / Productos Alimenticios</v>
          </cell>
        </row>
        <row r="213">
          <cell r="A213" t="str">
            <v>ILUSTRE MUNICIPALIDAD DE LAS CONDES</v>
          </cell>
          <cell r="B213" t="str">
            <v>690704005</v>
          </cell>
          <cell r="C213" t="str">
            <v>17A-Servicio Público y Soc. - Campañas Publicas</v>
          </cell>
        </row>
        <row r="214">
          <cell r="A214" t="str">
            <v>IMPORT. Y COMERCIAL ALTEA LTDA.</v>
          </cell>
          <cell r="B214" t="str">
            <v>78058000-3</v>
          </cell>
          <cell r="C214" t="str">
            <v>21C-Comercio Detallista - Productos de uso Personal</v>
          </cell>
        </row>
        <row r="215">
          <cell r="A215" t="str">
            <v>IMPORT. Y DISTRIBUIDORA ALAMEDA S.A.</v>
          </cell>
          <cell r="B215" t="str">
            <v>943400008</v>
          </cell>
          <cell r="C215" t="str">
            <v>22A-Vehiculos - General</v>
          </cell>
        </row>
        <row r="216">
          <cell r="A216" t="str">
            <v>IMPORTADORA CAFE DO BRASIL S.A.C.I.</v>
          </cell>
          <cell r="B216" t="str">
            <v>93178000-K</v>
          </cell>
        </row>
        <row r="217">
          <cell r="A217" t="str">
            <v>IMPORTADORA OBJECTIFLUN</v>
          </cell>
          <cell r="B217" t="str">
            <v>782147501</v>
          </cell>
          <cell r="C217" t="str">
            <v>23A-Vestuario y Textil - Artículos / Ropa deportiva</v>
          </cell>
        </row>
        <row r="218">
          <cell r="A218" t="str">
            <v>IMPORTADORA SPORT OPTIC LTDA</v>
          </cell>
          <cell r="B218" t="str">
            <v>779113205</v>
          </cell>
          <cell r="C218" t="str">
            <v>21C-Comercio Detallista - Productos de uso Personal</v>
          </cell>
        </row>
        <row r="219">
          <cell r="A219" t="str">
            <v>INACAP</v>
          </cell>
          <cell r="B219" t="str">
            <v>871529000</v>
          </cell>
          <cell r="C219" t="str">
            <v>16A-Servicios al Consumidor - Colegios y Universidades</v>
          </cell>
        </row>
        <row r="220">
          <cell r="A220" t="str">
            <v>INDUMENTARIA CHILE S.A.</v>
          </cell>
          <cell r="B220" t="str">
            <v>767804906</v>
          </cell>
          <cell r="C220" t="str">
            <v>23A-Vestuario y Textitl - Vestuario / Accesorios</v>
          </cell>
        </row>
        <row r="221">
          <cell r="A221" t="str">
            <v>INDUMOTORA AUTOMOTRIZ S.A.</v>
          </cell>
          <cell r="B221" t="str">
            <v>932970007</v>
          </cell>
          <cell r="C221" t="str">
            <v>22A-Vehiculos - General</v>
          </cell>
        </row>
        <row r="222">
          <cell r="A222" t="str">
            <v>INDUSTRIA DE ALIMENTOS DOS EN UNO S.A.</v>
          </cell>
          <cell r="B222" t="str">
            <v>84476300K</v>
          </cell>
          <cell r="C222" t="str">
            <v>02A-Alimentacion - Comida / Productos Alimenticios</v>
          </cell>
        </row>
        <row r="223">
          <cell r="A223" t="str">
            <v>ING SALUD SA.</v>
          </cell>
          <cell r="B223" t="str">
            <v>965014500</v>
          </cell>
          <cell r="C223" t="str">
            <v>16I-Servicios al Consumidor - Servicios de Salud</v>
          </cell>
        </row>
        <row r="224">
          <cell r="A224" t="str">
            <v>ING SEGUROS DE VIDA S.A.</v>
          </cell>
          <cell r="B224" t="str">
            <v>965490507</v>
          </cell>
          <cell r="C224" t="str">
            <v>16I-Servicios al Consumidor - Servicios de Salud</v>
          </cell>
        </row>
        <row r="225">
          <cell r="A225" t="str">
            <v>INGENIERIA COMUNICACION Y PRODUCCIONES S.A.</v>
          </cell>
          <cell r="B225" t="str">
            <v>995529602</v>
          </cell>
          <cell r="C225" t="str">
            <v>16J-Servicios al Consumidor - Telefonia</v>
          </cell>
        </row>
        <row r="226">
          <cell r="A226" t="str">
            <v>INMOBIL. E INVERS. VALLE VERDE S.A.</v>
          </cell>
          <cell r="B226" t="str">
            <v>96762110-2</v>
          </cell>
          <cell r="C226" t="str">
            <v>28A-Mercado Inmobiliario</v>
          </cell>
        </row>
        <row r="227">
          <cell r="A227" t="str">
            <v>INMOBILIARIA  ADMINISTRADORA Y COMERCIAL MALL SPORT S.A.</v>
          </cell>
          <cell r="B227" t="str">
            <v>995181401</v>
          </cell>
          <cell r="C227" t="str">
            <v>21A-Comercio Detallista - Centros Comerciales</v>
          </cell>
        </row>
        <row r="228">
          <cell r="A228" t="str">
            <v>INMOBILIARIA  LOS BRAVOS S.A.</v>
          </cell>
          <cell r="B228" t="str">
            <v>763497100</v>
          </cell>
          <cell r="C228" t="str">
            <v>28A-Mercado Inmobiliario</v>
          </cell>
        </row>
        <row r="229">
          <cell r="A229" t="str">
            <v>INMOBILIARIA ANDALUE S.A.</v>
          </cell>
          <cell r="B229" t="str">
            <v>966845201</v>
          </cell>
          <cell r="C229" t="str">
            <v>28A-Mercado Inmobiliario</v>
          </cell>
        </row>
        <row r="230">
          <cell r="A230" t="str">
            <v>INMOBILIARIA E INVERSIONES LAS ACACIAS LTDA.</v>
          </cell>
          <cell r="B230" t="str">
            <v>765845300</v>
          </cell>
          <cell r="C230" t="str">
            <v>28A-Mercado Inmobiliario</v>
          </cell>
        </row>
        <row r="231">
          <cell r="A231" t="str">
            <v>INMOBILIARIA ECASA S.A.</v>
          </cell>
          <cell r="B231" t="str">
            <v>763422402</v>
          </cell>
          <cell r="C231" t="str">
            <v>28A-Mercado Inmobiliario</v>
          </cell>
        </row>
        <row r="232">
          <cell r="A232" t="str">
            <v>INMOBILIARIA LOS CANELOS LTDA.</v>
          </cell>
          <cell r="B232" t="str">
            <v>78185610K</v>
          </cell>
          <cell r="C232" t="str">
            <v>28A-Mercado Inmobiliario</v>
          </cell>
        </row>
        <row r="233">
          <cell r="A233" t="str">
            <v>INMOBILIARIA PARQUE LA FLORIDA S.A.</v>
          </cell>
          <cell r="B233" t="str">
            <v>968440004</v>
          </cell>
          <cell r="C233" t="str">
            <v>28A-Mercado Inmobiliario</v>
          </cell>
        </row>
        <row r="234">
          <cell r="A234" t="str">
            <v>INMOBILIARIA SECURITY</v>
          </cell>
          <cell r="B234" t="str">
            <v>967862703</v>
          </cell>
          <cell r="C234" t="str">
            <v>28A-Mercado Inmobiliario</v>
          </cell>
        </row>
        <row r="235">
          <cell r="A235" t="str">
            <v>INMOBILIARIA SOCOVESA SANTIAGO S.A.</v>
          </cell>
          <cell r="B235" t="str">
            <v>967570303</v>
          </cell>
          <cell r="C235" t="str">
            <v>28A-Mercado Inmobiliario</v>
          </cell>
        </row>
        <row r="236">
          <cell r="A236" t="str">
            <v>Instituto Profesional AIEP S.A.</v>
          </cell>
          <cell r="B236" t="str">
            <v>966216409</v>
          </cell>
          <cell r="C236" t="str">
            <v>16A-Servicios al Consumidor - Colegios y Universidades</v>
          </cell>
        </row>
        <row r="237">
          <cell r="A237" t="str">
            <v>INVERSIONES CASA MATRIZ LTDA.</v>
          </cell>
          <cell r="B237" t="str">
            <v>760647608</v>
          </cell>
          <cell r="C237" t="str">
            <v>10A-Mercado Financiero y Seguros -  Financiamientos, Instit. Fin</v>
          </cell>
        </row>
        <row r="238">
          <cell r="A238" t="str">
            <v>INVERSIONES MACALTO S.A.</v>
          </cell>
          <cell r="B238" t="str">
            <v>967301809</v>
          </cell>
          <cell r="C238" t="str">
            <v>10D-Mercado Financiero y Seguros - Otros</v>
          </cell>
        </row>
        <row r="239">
          <cell r="A239" t="str">
            <v>INVERSIONES PRO-TG LTDA.</v>
          </cell>
          <cell r="B239" t="str">
            <v>777941100</v>
          </cell>
          <cell r="C239" t="str">
            <v>06A-Electro Electrónica - Electrónica</v>
          </cell>
        </row>
        <row r="240">
          <cell r="A240" t="str">
            <v>INVERSIONES Y RENTAS SANTA YOLANDA LTDA.</v>
          </cell>
          <cell r="B240" t="str">
            <v>79.727.850-5</v>
          </cell>
          <cell r="C240" t="str">
            <v>08A-Cultura, Recreo, Deporte y Turismo - Hoteles</v>
          </cell>
        </row>
        <row r="241">
          <cell r="A241" t="str">
            <v>ISAPRE BANMEDICA</v>
          </cell>
          <cell r="B241" t="str">
            <v>965728007</v>
          </cell>
          <cell r="C241" t="str">
            <v>16I-Servicios al Consumidor - Servicios de Salud</v>
          </cell>
        </row>
        <row r="242">
          <cell r="A242" t="str">
            <v>ITALMOD S.A.</v>
          </cell>
          <cell r="B242" t="str">
            <v>96577470K</v>
          </cell>
          <cell r="C242" t="str">
            <v>23A-Vestuario y Textitl - Vestuario / Accesorios</v>
          </cell>
        </row>
        <row r="243">
          <cell r="A243" t="str">
            <v>ITEM LTDA.</v>
          </cell>
          <cell r="B243" t="str">
            <v>78936330-7</v>
          </cell>
          <cell r="C243" t="str">
            <v>12A-Bienes y Servicios Industriales</v>
          </cell>
        </row>
        <row r="244">
          <cell r="A244" t="str">
            <v>IVI SANTIAGO DE CHILE S.A.</v>
          </cell>
          <cell r="B244" t="str">
            <v>76438170K</v>
          </cell>
          <cell r="C244" t="str">
            <v>16I-Servicios al Consumidor - Servicios de Salud</v>
          </cell>
        </row>
        <row r="245">
          <cell r="A245" t="str">
            <v>JANSSEN S.A.</v>
          </cell>
          <cell r="B245" t="str">
            <v>811981001</v>
          </cell>
          <cell r="C245" t="str">
            <v>12A-Bienes y Servicios Industriales</v>
          </cell>
        </row>
        <row r="246">
          <cell r="A246" t="str">
            <v>JET LTDA.</v>
          </cell>
          <cell r="B246" t="str">
            <v>777329006</v>
          </cell>
          <cell r="C246" t="str">
            <v>15A-Higiene Personal y Belleza</v>
          </cell>
        </row>
        <row r="247">
          <cell r="A247" t="str">
            <v>JOHNSONS S.A.</v>
          </cell>
          <cell r="B247" t="str">
            <v>924580003</v>
          </cell>
          <cell r="C247" t="str">
            <v>21B-Comercio Detallista - Grandes tiendas de Departamento</v>
          </cell>
        </row>
        <row r="248">
          <cell r="A248" t="str">
            <v>KELLOGG CHILE LTDA.</v>
          </cell>
          <cell r="B248" t="str">
            <v>787089801</v>
          </cell>
          <cell r="C248" t="str">
            <v>02A-Alimentacion - Comida / Productos Alimenticios</v>
          </cell>
        </row>
        <row r="249">
          <cell r="A249" t="str">
            <v>KENTUCKY FOODS CHILE LTDA.</v>
          </cell>
          <cell r="B249" t="str">
            <v>796821000</v>
          </cell>
          <cell r="C249" t="str">
            <v>02A-Alimentacion - Comida / Productos Alimenticios</v>
          </cell>
        </row>
        <row r="250">
          <cell r="A250" t="str">
            <v>KEY COMPANY S.A.</v>
          </cell>
          <cell r="B250" t="str">
            <v>96596340-5</v>
          </cell>
          <cell r="C250" t="str">
            <v>15A-Higiene Personal y Belleza</v>
          </cell>
        </row>
        <row r="251">
          <cell r="A251" t="str">
            <v>KIA CHILE S.A.</v>
          </cell>
          <cell r="B251" t="str">
            <v>96931150K</v>
          </cell>
          <cell r="C251" t="str">
            <v>22A-Vehiculos - General</v>
          </cell>
        </row>
        <row r="252">
          <cell r="A252" t="str">
            <v>KIMBERLY CLARK CHILE</v>
          </cell>
          <cell r="B252" t="str">
            <v>966957700</v>
          </cell>
          <cell r="C252" t="str">
            <v>15A-Higiene Personal y Belleza</v>
          </cell>
        </row>
        <row r="253">
          <cell r="A253" t="str">
            <v>KOMATSU CHILE S.A.</v>
          </cell>
          <cell r="B253" t="str">
            <v>968431307</v>
          </cell>
          <cell r="C253" t="str">
            <v>12A-Bienes y Servicios Industriales</v>
          </cell>
        </row>
        <row r="254">
          <cell r="A254" t="str">
            <v>KRAFT FOODS CHILE S.A.</v>
          </cell>
          <cell r="B254" t="str">
            <v>967209104</v>
          </cell>
          <cell r="C254" t="str">
            <v>02A-Alimentacion - Comida / Productos Alimenticios</v>
          </cell>
        </row>
        <row r="255">
          <cell r="A255" t="str">
            <v>LA GRAN GUIA S.A.</v>
          </cell>
          <cell r="B255" t="str">
            <v>995384701</v>
          </cell>
          <cell r="C255" t="str">
            <v>14A-Medios - Diarios / Revistas</v>
          </cell>
        </row>
        <row r="256">
          <cell r="A256" t="str">
            <v>LABORATORIO ARBEU LTDA.</v>
          </cell>
          <cell r="B256" t="str">
            <v>79705450K</v>
          </cell>
          <cell r="C256" t="str">
            <v>15A-Higiene Personal y Belleza</v>
          </cell>
        </row>
        <row r="257">
          <cell r="A257" t="str">
            <v>LABORATORIO DURANDIN S.A.I.</v>
          </cell>
          <cell r="B257" t="str">
            <v>919130008</v>
          </cell>
          <cell r="C257" t="str">
            <v>09A-Farmacéutica</v>
          </cell>
        </row>
        <row r="258">
          <cell r="A258" t="str">
            <v>LABORATORIO SAVAL</v>
          </cell>
          <cell r="B258" t="str">
            <v>916500009</v>
          </cell>
          <cell r="C258" t="str">
            <v>09A-Farmacéutica</v>
          </cell>
        </row>
        <row r="259">
          <cell r="A259" t="str">
            <v>LAN AIRLINES S.A.</v>
          </cell>
          <cell r="B259" t="str">
            <v>898622002</v>
          </cell>
          <cell r="C259" t="str">
            <v>16K-Servicios al Consumidor - Transporte Aéreo</v>
          </cell>
        </row>
        <row r="260">
          <cell r="A260" t="str">
            <v>LARRAIN VIAL ADMINISTRADORA GENERAL</v>
          </cell>
          <cell r="B260" t="str">
            <v>96955500K</v>
          </cell>
          <cell r="C260" t="str">
            <v>10D-Mercado Financiero y Seguros - Otros</v>
          </cell>
        </row>
        <row r="261">
          <cell r="A261" t="str">
            <v>LE COQ S.A.</v>
          </cell>
          <cell r="B261" t="str">
            <v>995368404</v>
          </cell>
          <cell r="C261" t="str">
            <v>23A-Vestuario y Textitl - Vestuario / Accesorios</v>
          </cell>
        </row>
        <row r="262">
          <cell r="A262" t="str">
            <v>LEIN S.A.</v>
          </cell>
          <cell r="B262" t="str">
            <v>882490009</v>
          </cell>
          <cell r="C262" t="str">
            <v>23A-Vestuario y Textitl - Vestuario / Accesorios</v>
          </cell>
        </row>
        <row r="263">
          <cell r="A263" t="str">
            <v>LENOVO AGENCIA EN CHILE</v>
          </cell>
          <cell r="B263" t="str">
            <v>591129309</v>
          </cell>
          <cell r="C263" t="str">
            <v>13A-Informática</v>
          </cell>
        </row>
        <row r="264">
          <cell r="A264" t="str">
            <v>LG ELECTRONICS INC. CHILE LTDA.</v>
          </cell>
          <cell r="B264" t="str">
            <v>760146102</v>
          </cell>
          <cell r="C264" t="str">
            <v>06A-Electro Electrónica - Electrodomésticos / Línea blanca</v>
          </cell>
        </row>
        <row r="265">
          <cell r="A265" t="str">
            <v>LICORES MITJANS S.A.</v>
          </cell>
          <cell r="B265" t="str">
            <v>909050006</v>
          </cell>
          <cell r="C265" t="str">
            <v>03C-Bedibas - Alcoholes</v>
          </cell>
        </row>
        <row r="266">
          <cell r="A266" t="str">
            <v>LOREAL CHILE S.A.</v>
          </cell>
          <cell r="B266" t="str">
            <v>796939303</v>
          </cell>
          <cell r="C266" t="str">
            <v>15A-Higiene Personal y Belleza</v>
          </cell>
        </row>
        <row r="267">
          <cell r="A267" t="str">
            <v>LOS ROBLES S.A.</v>
          </cell>
          <cell r="B267" t="str">
            <v>966920400</v>
          </cell>
          <cell r="C267" t="str">
            <v>06A-Electro Electrónica - Electrodomésticos / Línea blanca</v>
          </cell>
        </row>
        <row r="268">
          <cell r="A268" t="str">
            <v>LOWE PORTA</v>
          </cell>
          <cell r="B268" t="str">
            <v>55555533</v>
          </cell>
          <cell r="C268" t="str">
            <v>16E-Servicios al Consumidor - Propaganda y Publicidad</v>
          </cell>
        </row>
        <row r="269">
          <cell r="A269" t="str">
            <v>MACO INDUSTRIAL Y COMERCIAL S.A.</v>
          </cell>
          <cell r="B269" t="str">
            <v>962330002</v>
          </cell>
          <cell r="C269" t="str">
            <v>22A-Vehiculos - General</v>
          </cell>
        </row>
        <row r="270">
          <cell r="A270" t="str">
            <v>MAGAL PUBLICIDAD Y MERCADEO LTDA.</v>
          </cell>
          <cell r="B270" t="str">
            <v>760149144</v>
          </cell>
          <cell r="C270" t="str">
            <v>16E-Servicios al Consumidor - Propaganda y Publicidad</v>
          </cell>
        </row>
        <row r="271">
          <cell r="A271" t="str">
            <v>MALL ARAUCO MAIPU</v>
          </cell>
          <cell r="B271" t="str">
            <v>3333333333</v>
          </cell>
          <cell r="C271" t="str">
            <v>21A-Comercio Detallista - Centros Comerciales</v>
          </cell>
        </row>
        <row r="272">
          <cell r="A272" t="str">
            <v>MALL CENTER</v>
          </cell>
          <cell r="B272" t="str">
            <v>333333331</v>
          </cell>
          <cell r="C272" t="str">
            <v>21A-Comercio Detallista - Centros Comerciales</v>
          </cell>
        </row>
        <row r="273">
          <cell r="A273" t="str">
            <v>MALL PASEO LOS TRAPENSES</v>
          </cell>
          <cell r="B273" t="str">
            <v/>
          </cell>
          <cell r="C273" t="str">
            <v>21A-Comercio Detallista - Centros Comerciales</v>
          </cell>
        </row>
        <row r="274">
          <cell r="A274" t="str">
            <v>MALL PLAZA</v>
          </cell>
          <cell r="B274" t="str">
            <v/>
          </cell>
          <cell r="C274" t="str">
            <v>21A-Comercio Detallista - Centros Comerciales</v>
          </cell>
        </row>
        <row r="275">
          <cell r="A275" t="str">
            <v>MALL PLAZA OESTE</v>
          </cell>
          <cell r="B275" t="str">
            <v>966536500</v>
          </cell>
          <cell r="C275" t="str">
            <v>21A-Comercio Detallista - Centros Comerciales</v>
          </cell>
        </row>
        <row r="276">
          <cell r="A276" t="str">
            <v>MALL PLAZA VESPUCIO</v>
          </cell>
          <cell r="B276" t="str">
            <v/>
          </cell>
          <cell r="C276" t="str">
            <v>21A-Comercio Detallista - Centros Comerciales</v>
          </cell>
        </row>
        <row r="277">
          <cell r="A277" t="str">
            <v>MALL PORTAL LA DEHESA</v>
          </cell>
          <cell r="B277" t="str">
            <v>444444441</v>
          </cell>
          <cell r="C277" t="str">
            <v>21A-Comercio Detallista - Centros Comerciales</v>
          </cell>
        </row>
        <row r="278">
          <cell r="A278" t="str">
            <v>MANPOWER</v>
          </cell>
          <cell r="B278" t="str">
            <v>22222227</v>
          </cell>
          <cell r="C278" t="str">
            <v>16G-Servicios al Consumidor - Serv. de Educación y Complementari</v>
          </cell>
        </row>
        <row r="279">
          <cell r="A279" t="str">
            <v>MANUFACTURAS DE CALZADOS GUANTE LTDA.</v>
          </cell>
          <cell r="B279" t="str">
            <v>805829001</v>
          </cell>
          <cell r="C279" t="str">
            <v>23A-Vestuario y Textitl - Vestuario / Accesorios</v>
          </cell>
        </row>
        <row r="280">
          <cell r="A280" t="str">
            <v>MANUFACTURAS LOUIS PHILLIPE</v>
          </cell>
          <cell r="B280" t="str">
            <v>501436704</v>
          </cell>
          <cell r="C280" t="str">
            <v>23A-Vestuario y Textitl - Vestuario / Accesorios</v>
          </cell>
        </row>
        <row r="281">
          <cell r="A281" t="str">
            <v>MANUFACTURAS TEXTILES FLORES Y CIA. S.A.</v>
          </cell>
          <cell r="B281" t="str">
            <v>92987000K</v>
          </cell>
          <cell r="C281" t="str">
            <v>23A-Vestuario y Textitl - Vestuario / Accesorios</v>
          </cell>
        </row>
        <row r="282">
          <cell r="A282" t="str">
            <v>MAR DEL SUR</v>
          </cell>
          <cell r="B282" t="str">
            <v>333333338</v>
          </cell>
          <cell r="C282" t="str">
            <v>05A-Casa y Decoración - Productos para el hogar</v>
          </cell>
        </row>
        <row r="283">
          <cell r="A283" t="str">
            <v>MARCAS Y PRODUCCIONES LTDA.</v>
          </cell>
          <cell r="B283" t="str">
            <v>762241609</v>
          </cell>
          <cell r="C283" t="str">
            <v>16E-Servicios al Consumidor - Propaganda y Publicidad</v>
          </cell>
        </row>
        <row r="284">
          <cell r="A284" t="str">
            <v>MARCO ENRIQUEZ OMINAMI</v>
          </cell>
          <cell r="B284" t="str">
            <v>13436389-4</v>
          </cell>
        </row>
        <row r="285">
          <cell r="A285" t="str">
            <v>MASSIVA S.A.</v>
          </cell>
          <cell r="B285" t="str">
            <v>770229103</v>
          </cell>
          <cell r="C285" t="str">
            <v>16E-Servicios al Consumidor - Propaganda y Publicidad</v>
          </cell>
        </row>
        <row r="286">
          <cell r="A286" t="str">
            <v>MASTERFOODS CHILE LTDA.</v>
          </cell>
          <cell r="B286" t="str">
            <v>788434901</v>
          </cell>
          <cell r="C286" t="str">
            <v>01A-Agropecuario - Alimentos de Animales Domesticos</v>
          </cell>
        </row>
        <row r="287">
          <cell r="A287" t="str">
            <v>MAUI &amp; SONS S.A.</v>
          </cell>
          <cell r="B287" t="str">
            <v>965555102</v>
          </cell>
          <cell r="C287" t="str">
            <v>23A-Vestuario y Textil - Artículos / Ropa deportiva</v>
          </cell>
        </row>
        <row r="288">
          <cell r="A288" t="str">
            <v>MAY BELLINE</v>
          </cell>
          <cell r="B288" t="str">
            <v/>
          </cell>
          <cell r="C288" t="str">
            <v>15A-Higiene Personal y Belleza</v>
          </cell>
        </row>
        <row r="289">
          <cell r="A289" t="str">
            <v>MC CONSULTORES LTDA.</v>
          </cell>
          <cell r="B289" t="str">
            <v>778827107</v>
          </cell>
          <cell r="C289" t="str">
            <v>10D-Mercado Financiero y Seguros - Otros</v>
          </cell>
        </row>
        <row r="290">
          <cell r="A290" t="str">
            <v>MC DONALD</v>
          </cell>
          <cell r="B290" t="str">
            <v/>
          </cell>
          <cell r="C290" t="str">
            <v>16B-Servicios al Consumidor - Comida Rapida</v>
          </cell>
        </row>
        <row r="291">
          <cell r="A291" t="str">
            <v>MEDIAKEYS S.A.R.I.</v>
          </cell>
          <cell r="B291" t="str">
            <v>110892881/2</v>
          </cell>
          <cell r="C291" t="str">
            <v>08D-Cultura, Recreo, Deporte y Turismo - Eventos</v>
          </cell>
        </row>
        <row r="292">
          <cell r="A292" t="str">
            <v>MICROSOFT</v>
          </cell>
          <cell r="B292" t="str">
            <v>333333330-9</v>
          </cell>
        </row>
        <row r="293">
          <cell r="A293" t="str">
            <v>MMC CHILE S.A.</v>
          </cell>
          <cell r="B293" t="str">
            <v>96364000-5</v>
          </cell>
          <cell r="C293" t="str">
            <v>22A-Vehiculos - General</v>
          </cell>
        </row>
        <row r="294">
          <cell r="A294" t="str">
            <v>MOTOROLA</v>
          </cell>
          <cell r="B294" t="str">
            <v>966824301</v>
          </cell>
          <cell r="C294" t="str">
            <v>06A-Electro Electrónica - Electrónica</v>
          </cell>
        </row>
        <row r="295">
          <cell r="A295" t="str">
            <v>MUNDOS COMUNICACIONES LTDA.</v>
          </cell>
          <cell r="B295" t="str">
            <v>77897540-8</v>
          </cell>
        </row>
        <row r="296">
          <cell r="A296" t="str">
            <v>MUNICIPALIDAD DE LA SERENA</v>
          </cell>
          <cell r="B296" t="str">
            <v>69040100-2</v>
          </cell>
          <cell r="C296" t="str">
            <v>16C-Servicios al Consumidor - Empresas Pulbicas y Conceciones</v>
          </cell>
        </row>
        <row r="297">
          <cell r="A297" t="str">
            <v>NESTLÉ CHILE S.A. - Agropecuario</v>
          </cell>
          <cell r="B297" t="str">
            <v>907030008/3</v>
          </cell>
          <cell r="C297" t="str">
            <v>01A-Agropecuario - Alimentos de Animales Domesticos</v>
          </cell>
        </row>
        <row r="298">
          <cell r="A298" t="str">
            <v>NESTLÉ CHILE S.A. - Alimentos</v>
          </cell>
          <cell r="B298" t="str">
            <v>907030008</v>
          </cell>
          <cell r="C298" t="str">
            <v>02A-Alimentacion - Comida / Productos Alimenticios</v>
          </cell>
        </row>
        <row r="299">
          <cell r="A299" t="str">
            <v>NESTLÉ CHILE S.A. - Bebidas</v>
          </cell>
          <cell r="B299" t="str">
            <v>907030008/2</v>
          </cell>
          <cell r="C299" t="str">
            <v>03A-Bebidas - Jugos / Bebidas</v>
          </cell>
        </row>
        <row r="300">
          <cell r="A300" t="str">
            <v>NIKE DE CHILE S.A.</v>
          </cell>
          <cell r="B300" t="str">
            <v>966756705</v>
          </cell>
          <cell r="C300" t="str">
            <v>23A-Vestuario y Textitl - Vestuario / Accesorios</v>
          </cell>
        </row>
        <row r="301">
          <cell r="A301" t="str">
            <v>NINTENDO</v>
          </cell>
          <cell r="B301" t="str">
            <v>123444444</v>
          </cell>
          <cell r="C301" t="str">
            <v>04A-Juguetes  y Articulos Infantiles</v>
          </cell>
        </row>
        <row r="302">
          <cell r="A302" t="str">
            <v>NIZA S.A.</v>
          </cell>
          <cell r="B302" t="str">
            <v>30-62241762</v>
          </cell>
          <cell r="C302" t="str">
            <v>02A-Alimentacion - Comida / Productos Alimenticios</v>
          </cell>
        </row>
        <row r="303">
          <cell r="A303" t="str">
            <v>NOKIA S.A.</v>
          </cell>
          <cell r="B303" t="str">
            <v>9668794205 - MALO</v>
          </cell>
          <cell r="C303" t="str">
            <v>06A-Electro Electrónica - Electrónica</v>
          </cell>
        </row>
        <row r="304">
          <cell r="A304" t="str">
            <v>NUEVOS ALMACENES INTERNACIONALES S.A.</v>
          </cell>
          <cell r="B304" t="str">
            <v>965208100</v>
          </cell>
          <cell r="C304" t="str">
            <v>23A-Vestuario y Textitl - Vestuario / Accesorios</v>
          </cell>
        </row>
        <row r="305">
          <cell r="A305" t="str">
            <v>ORIFLAME DE CHILE S.A.</v>
          </cell>
          <cell r="B305" t="str">
            <v>96.541.470-3</v>
          </cell>
          <cell r="C305" t="str">
            <v>09A-Farmacéutica</v>
          </cell>
        </row>
        <row r="306">
          <cell r="A306" t="str">
            <v>OSVALDO ARAVENA Y CIA. LTDA.</v>
          </cell>
          <cell r="B306" t="str">
            <v>852108002</v>
          </cell>
          <cell r="C306" t="str">
            <v>23A-Vestuario y Textitl - Vestuario / Accesorios</v>
          </cell>
        </row>
        <row r="307">
          <cell r="A307" t="str">
            <v>P.U.C. CENTRO EXTENSION (UNIVERSIDADES)</v>
          </cell>
          <cell r="B307" t="str">
            <v>816989000/C</v>
          </cell>
          <cell r="C307" t="str">
            <v>16A-Servicios al Consumidor - Colegios y Universidades</v>
          </cell>
        </row>
        <row r="308">
          <cell r="A308" t="str">
            <v>PANASONIC</v>
          </cell>
          <cell r="B308" t="str">
            <v>21314</v>
          </cell>
          <cell r="C308" t="str">
            <v>06A-Electro Electrónica - Electrodomésticos / Línea blanca</v>
          </cell>
        </row>
        <row r="309">
          <cell r="A309" t="str">
            <v>PARIS S.A</v>
          </cell>
          <cell r="B309" t="str">
            <v>81201000K</v>
          </cell>
          <cell r="C309" t="str">
            <v>21B-Comercio Detallista - Grandes tiendas de Departamento</v>
          </cell>
        </row>
        <row r="310">
          <cell r="A310" t="str">
            <v>PARQUE ARAUCO S.A.</v>
          </cell>
          <cell r="B310" t="str">
            <v>946270008</v>
          </cell>
          <cell r="C310" t="str">
            <v>21A-Comercio Detallista - Centros Comerciales</v>
          </cell>
        </row>
        <row r="311">
          <cell r="A311" t="str">
            <v>PARQUE METROPOLITANO</v>
          </cell>
          <cell r="B311" t="str">
            <v>333333335</v>
          </cell>
          <cell r="C311" t="str">
            <v>08F-Cultura, Recreo, Deporte y Turismo - Otros Cultura y Diversi</v>
          </cell>
        </row>
        <row r="312">
          <cell r="A312" t="str">
            <v>PARTIDO DEMOCRATA CRISTIANO</v>
          </cell>
          <cell r="B312" t="str">
            <v>71468400-0</v>
          </cell>
        </row>
        <row r="313">
          <cell r="A313" t="str">
            <v>PC A TODO INC</v>
          </cell>
          <cell r="B313" t="str">
            <v>111111E</v>
          </cell>
          <cell r="C313" t="str">
            <v>06A-Electro Electrónica - Electrónica</v>
          </cell>
        </row>
        <row r="314">
          <cell r="A314" t="str">
            <v>PELUQUERIAS PALUMBO</v>
          </cell>
          <cell r="B314" t="str">
            <v>22222229</v>
          </cell>
          <cell r="C314" t="str">
            <v>16M-Servicios al Consumidor - Servicios ds Belleza</v>
          </cell>
        </row>
        <row r="315">
          <cell r="A315" t="str">
            <v>PERNOD RICARD CHILE S.A.</v>
          </cell>
          <cell r="B315" t="str">
            <v>967773506</v>
          </cell>
          <cell r="C315" t="str">
            <v>03C-Bedibas - Alcoholes</v>
          </cell>
        </row>
        <row r="316">
          <cell r="A316" t="str">
            <v>PEUGEOT CHILE S.A.</v>
          </cell>
          <cell r="B316" t="str">
            <v>84687500K</v>
          </cell>
          <cell r="C316" t="str">
            <v>22A-Vehiculos - General</v>
          </cell>
        </row>
        <row r="317">
          <cell r="A317" t="str">
            <v>PHILIP MORRIS CHILE COMERCIALIZADORA LTDA.</v>
          </cell>
          <cell r="B317" t="str">
            <v>776198307</v>
          </cell>
          <cell r="C317" t="str">
            <v>19A-Tabacos</v>
          </cell>
        </row>
        <row r="318">
          <cell r="A318" t="str">
            <v>PHILIPS CHILENA S.A.</v>
          </cell>
          <cell r="B318" t="str">
            <v>907610004</v>
          </cell>
          <cell r="C318" t="str">
            <v>06A-Electro Electrónica - Electrónica</v>
          </cell>
        </row>
        <row r="319">
          <cell r="A319" t="str">
            <v>PINTURAS TRICOLOR S.A.                               968052608</v>
          </cell>
          <cell r="B319" t="str">
            <v>783183307</v>
          </cell>
          <cell r="C319" t="str">
            <v>25A-Construcción y Terminaciones</v>
          </cell>
        </row>
        <row r="320">
          <cell r="A320" t="str">
            <v>PIZZA PIOLA</v>
          </cell>
          <cell r="B320" t="str">
            <v/>
          </cell>
          <cell r="C320" t="str">
            <v>16F-Servicios al Consumidor - Restorantes y Fuentes de Soda</v>
          </cell>
        </row>
        <row r="321">
          <cell r="A321" t="str">
            <v>PLUMA LINEAS AEREAS URUGUAYAS</v>
          </cell>
          <cell r="B321" t="str">
            <v>590624500</v>
          </cell>
          <cell r="C321" t="str">
            <v>16K-Servicios al Consumidor - Transporte Aéreo</v>
          </cell>
        </row>
        <row r="322">
          <cell r="A322" t="str">
            <v>POLLA CHILENA DE BENEFICENCIA S.A.</v>
          </cell>
          <cell r="B322" t="str">
            <v>616040006</v>
          </cell>
          <cell r="C322" t="str">
            <v>18A-Sorteos, Loterias y Casas de Juegos</v>
          </cell>
        </row>
        <row r="323">
          <cell r="A323" t="str">
            <v>PONTIFICIA UNIVERSIDAD CATOLICA - HOSPITALES</v>
          </cell>
          <cell r="B323" t="str">
            <v>816989000/B</v>
          </cell>
          <cell r="C323" t="str">
            <v>16I-Servicios al Consumidor - Servicios de Salud</v>
          </cell>
        </row>
        <row r="324">
          <cell r="A324" t="str">
            <v>PRECISION ISPANA S.A.</v>
          </cell>
          <cell r="B324" t="str">
            <v>812178008</v>
          </cell>
          <cell r="C324" t="str">
            <v>06A-Electro Electrónica - Electrónica</v>
          </cell>
        </row>
        <row r="325">
          <cell r="A325" t="str">
            <v>PRIVILEGE S.A.</v>
          </cell>
          <cell r="B325" t="str">
            <v>965351507</v>
          </cell>
          <cell r="C325" t="str">
            <v>23A-Vestuario y Textitl - Vestuario / Accesorios</v>
          </cell>
        </row>
        <row r="326">
          <cell r="A326" t="str">
            <v>PROCHILE</v>
          </cell>
          <cell r="B326" t="str">
            <v>700201902</v>
          </cell>
          <cell r="C326" t="str">
            <v>17A-Servicio Público y Soc. - Campañas Publicas</v>
          </cell>
        </row>
        <row r="327">
          <cell r="A327" t="str">
            <v>PROCTER &amp; GAMBLE COMERCIAL LTDA.</v>
          </cell>
          <cell r="B327" t="str">
            <v>760756806</v>
          </cell>
          <cell r="C327" t="str">
            <v>15A-Higiene Personal y Belleza</v>
          </cell>
        </row>
        <row r="328">
          <cell r="A328" t="str">
            <v>PROCTER &amp; GAMBLE DO BRASIL INC.</v>
          </cell>
          <cell r="B328" t="str">
            <v>590779601</v>
          </cell>
          <cell r="C328" t="str">
            <v>11A-Higiene Domestica - Productos para el hogar</v>
          </cell>
        </row>
        <row r="329">
          <cell r="A329" t="str">
            <v>PROCTER &amp; GAMBLE S.A.</v>
          </cell>
          <cell r="B329" t="str">
            <v>966566604</v>
          </cell>
          <cell r="C329" t="str">
            <v>15A-Higiene Personal y Belleza</v>
          </cell>
        </row>
        <row r="330">
          <cell r="A330" t="str">
            <v>PROD. RETAGUARDIA FILMS LTDA.</v>
          </cell>
          <cell r="B330" t="str">
            <v>773026009</v>
          </cell>
          <cell r="C330" t="str">
            <v>08B-Cultura, Recreo, Deporte y Turismo - Produccion cinematograf</v>
          </cell>
        </row>
        <row r="331">
          <cell r="A331" t="str">
            <v>PRODUCCIONES CONCORDE LTDA.</v>
          </cell>
          <cell r="B331" t="str">
            <v>76880210-6</v>
          </cell>
        </row>
        <row r="332">
          <cell r="A332" t="str">
            <v>PRODUCTOS TORRE S.A.</v>
          </cell>
          <cell r="B332" t="str">
            <v>96872220-4</v>
          </cell>
        </row>
        <row r="333">
          <cell r="A333" t="str">
            <v>PROMODA S.A.</v>
          </cell>
          <cell r="B333" t="str">
            <v>774531904</v>
          </cell>
          <cell r="C333" t="str">
            <v>23A-Vestuario y Textitl - Vestuario / Accesorios</v>
          </cell>
        </row>
        <row r="334">
          <cell r="A334" t="str">
            <v>PROMOLAC</v>
          </cell>
          <cell r="B334" t="str">
            <v>666666662</v>
          </cell>
          <cell r="C334" t="str">
            <v>02A-Alimentacion - Lacteos</v>
          </cell>
        </row>
        <row r="335">
          <cell r="A335" t="str">
            <v>PROTEGE</v>
          </cell>
          <cell r="B335" t="str">
            <v/>
          </cell>
        </row>
        <row r="336">
          <cell r="A336" t="str">
            <v>PUBLIETAPA</v>
          </cell>
          <cell r="B336" t="str">
            <v>765969506</v>
          </cell>
          <cell r="C336" t="str">
            <v>16D-Servicios al Consumidor - Otros Servicios al Consumidor</v>
          </cell>
        </row>
        <row r="337">
          <cell r="A337" t="str">
            <v>PUMA CHILE S.A.</v>
          </cell>
          <cell r="B337" t="str">
            <v>888879005</v>
          </cell>
          <cell r="C337" t="str">
            <v>23A-Vestuario y Textil - Artículos / Ropa deportiva</v>
          </cell>
        </row>
        <row r="338">
          <cell r="A338" t="str">
            <v>QUAPPE MARKETING S.A.</v>
          </cell>
          <cell r="B338" t="str">
            <v>76.741.250-9</v>
          </cell>
          <cell r="C338" t="str">
            <v>23A-Vestuario y Textitl - Vestuario / Accesorios</v>
          </cell>
        </row>
        <row r="339">
          <cell r="A339" t="str">
            <v>QUIMICA INDUSTRIAL SPES S.A.</v>
          </cell>
          <cell r="B339" t="str">
            <v>936540007</v>
          </cell>
          <cell r="C339" t="str">
            <v>02A-Alimentacion - Comida / Productos Alimenticios</v>
          </cell>
        </row>
        <row r="340">
          <cell r="A340" t="str">
            <v>QUINTEC S.A.</v>
          </cell>
          <cell r="B340" t="str">
            <v>96629520-1</v>
          </cell>
          <cell r="C340" t="str">
            <v>10A-Mercado Financiero y Seguros -  Financiamientos, Instit. Fin</v>
          </cell>
        </row>
        <row r="341">
          <cell r="A341" t="str">
            <v>RAP S.A.</v>
          </cell>
          <cell r="B341" t="str">
            <v>967913901</v>
          </cell>
          <cell r="C341" t="str">
            <v>16F-Servicios al Consumidor - Restorantes y Fuentes de Soda</v>
          </cell>
        </row>
        <row r="342">
          <cell r="A342" t="str">
            <v>RAUL ORTUZAR ALLIENDE</v>
          </cell>
          <cell r="B342" t="str">
            <v>9911265-4</v>
          </cell>
        </row>
        <row r="343">
          <cell r="A343" t="str">
            <v>RECKITT &amp; BECKINSER</v>
          </cell>
          <cell r="B343" t="str">
            <v>111111113</v>
          </cell>
          <cell r="C343" t="str">
            <v>15A-Higiene Personal y Belleza</v>
          </cell>
        </row>
        <row r="344">
          <cell r="A344" t="str">
            <v>RED DE TELEVISION CHILEVISION S.A.</v>
          </cell>
          <cell r="B344" t="str">
            <v>96669520K</v>
          </cell>
          <cell r="C344" t="str">
            <v>14B-Medios - Tv / Radios</v>
          </cell>
        </row>
        <row r="345">
          <cell r="A345" t="str">
            <v>RED TELEVISIVA MEGAVISION S.A.</v>
          </cell>
          <cell r="B345" t="str">
            <v>799523507</v>
          </cell>
          <cell r="C345" t="str">
            <v>14B-Medios - Tv / Radios</v>
          </cell>
        </row>
        <row r="346">
          <cell r="A346" t="str">
            <v>REEBOK CHILE S.A.</v>
          </cell>
          <cell r="B346" t="str">
            <v>965781609</v>
          </cell>
          <cell r="C346" t="str">
            <v>23A-Vestuario y Textil - Artículos / Ropa deportiva</v>
          </cell>
        </row>
        <row r="347">
          <cell r="A347" t="str">
            <v>REGUS MANAGEMENT DE CHILE LTDA.</v>
          </cell>
          <cell r="B347" t="str">
            <v>78951270-1</v>
          </cell>
          <cell r="C347" t="str">
            <v>28A-Mercado Inmobiliario</v>
          </cell>
        </row>
        <row r="348">
          <cell r="A348" t="str">
            <v>REIFSCHNEIDER S.A.</v>
          </cell>
          <cell r="B348" t="str">
            <v>969999501</v>
          </cell>
          <cell r="C348" t="str">
            <v>06A-Electro Electrónica - Electrónica</v>
          </cell>
        </row>
        <row r="349">
          <cell r="A349" t="str">
            <v>RELOJERIA URZUA</v>
          </cell>
          <cell r="B349" t="str">
            <v/>
          </cell>
          <cell r="C349" t="str">
            <v>21C-Comercio Detallista - Productos de uso Personal</v>
          </cell>
        </row>
        <row r="350">
          <cell r="A350" t="str">
            <v>RESTAURANT Y CENTRO DE EVENTOS PUDAHUEL S.A.</v>
          </cell>
          <cell r="B350" t="str">
            <v>760005355</v>
          </cell>
          <cell r="C350" t="str">
            <v>16F-Servicios al Consumidor - Restorantes y Fuentes de Soda</v>
          </cell>
        </row>
        <row r="351">
          <cell r="A351" t="str">
            <v>RESTAURANTES FRITZ LTDA.</v>
          </cell>
          <cell r="B351" t="str">
            <v>788106505</v>
          </cell>
          <cell r="C351" t="str">
            <v>16F-Servicios al Consumidor - Restorantes y Fuentes de Soda</v>
          </cell>
        </row>
        <row r="352">
          <cell r="A352" t="str">
            <v>RETAIL S.A.</v>
          </cell>
          <cell r="B352" t="str">
            <v>966921609</v>
          </cell>
          <cell r="C352" t="str">
            <v>05A-Casa y Decoración - Productos para el hogar</v>
          </cell>
        </row>
        <row r="353">
          <cell r="A353" t="str">
            <v>REVISTA CAPITAL</v>
          </cell>
          <cell r="B353" t="str">
            <v>222222223</v>
          </cell>
          <cell r="C353" t="str">
            <v>14A-Medios - Diarios / Revistas</v>
          </cell>
        </row>
        <row r="354">
          <cell r="A354" t="str">
            <v>RIGG MOVIL LTDA.</v>
          </cell>
          <cell r="B354" t="str">
            <v>776770507</v>
          </cell>
          <cell r="C354" t="str">
            <v>13A-Informática</v>
          </cell>
        </row>
        <row r="355">
          <cell r="A355" t="str">
            <v>ROTTER &amp; KRAUSS</v>
          </cell>
          <cell r="B355" t="str">
            <v>918920005</v>
          </cell>
          <cell r="C355" t="str">
            <v>21C-Comercio Detallista - Productos de uso Personal</v>
          </cell>
        </row>
        <row r="356">
          <cell r="A356" t="str">
            <v>ROYAL SUNALLIANCE</v>
          </cell>
          <cell r="B356" t="str">
            <v>990170002</v>
          </cell>
          <cell r="C356" t="str">
            <v>10E-Mercado Financiero y Seguros - Seguros</v>
          </cell>
        </row>
        <row r="357">
          <cell r="A357" t="str">
            <v>S.C. JOHNSON &amp; SON CHILE LTDA.</v>
          </cell>
          <cell r="B357" t="str">
            <v>932400006</v>
          </cell>
          <cell r="C357" t="str">
            <v>21B-Comercio Detallista - Grandes tiendas de Departamento</v>
          </cell>
        </row>
        <row r="358">
          <cell r="A358" t="str">
            <v>SADIA CHILE S.A.</v>
          </cell>
          <cell r="B358" t="str">
            <v>96894370-7</v>
          </cell>
        </row>
        <row r="359">
          <cell r="A359" t="str">
            <v>SAMSUNG ELECTRONICS CHILE LTDA.</v>
          </cell>
          <cell r="B359" t="str">
            <v>778792400</v>
          </cell>
          <cell r="C359" t="str">
            <v>06A-Electro Electrónica - Electrónica</v>
          </cell>
        </row>
        <row r="360">
          <cell r="A360" t="str">
            <v>SAMSUNG ELECTRONICS CO LTDA.</v>
          </cell>
          <cell r="B360" t="str">
            <v>124-81-00998-E</v>
          </cell>
          <cell r="C360" t="str">
            <v>06A-Electro Electrónica - Electrónica</v>
          </cell>
        </row>
        <row r="361">
          <cell r="A361" t="str">
            <v>SANTA ISABEL S.A.</v>
          </cell>
          <cell r="B361" t="str">
            <v>846717005</v>
          </cell>
          <cell r="C361" t="str">
            <v>21D-Comercio Detallista - Super e Hipermercados</v>
          </cell>
        </row>
        <row r="362">
          <cell r="A362" t="str">
            <v>SANTIAGO DE CHILE SALUD A.G.</v>
          </cell>
          <cell r="B362" t="str">
            <v>65.825.750-1</v>
          </cell>
          <cell r="C362" t="str">
            <v>16I-Servicios al Consumidor - Servicios de Salud</v>
          </cell>
        </row>
        <row r="363">
          <cell r="A363" t="str">
            <v>SCEM ESCUELA MILITAR</v>
          </cell>
          <cell r="B363" t="str">
            <v>123</v>
          </cell>
        </row>
        <row r="364">
          <cell r="A364" t="str">
            <v>SCL STORES</v>
          </cell>
          <cell r="B364" t="str">
            <v>Via Ag. G2</v>
          </cell>
          <cell r="C364" t="str">
            <v>21A-Comercio Detallista - Centros Comerciales</v>
          </cell>
        </row>
        <row r="365">
          <cell r="A365" t="str">
            <v>SCL TERMINAL AEREO DE SANTIAGO S.A.</v>
          </cell>
          <cell r="B365" t="str">
            <v>968509608</v>
          </cell>
          <cell r="C365" t="str">
            <v>16C-Servicios al Consumidor - Empresas Pulbicas y Conceciones</v>
          </cell>
        </row>
        <row r="366">
          <cell r="A366" t="str">
            <v>SCOTIABANK SUD AMERICANO</v>
          </cell>
          <cell r="B366" t="str">
            <v>970180001</v>
          </cell>
          <cell r="C366" t="str">
            <v>10A-Mercado Financiero y Seguros -  Financiamientos, Instit. Fin</v>
          </cell>
        </row>
        <row r="367">
          <cell r="A367" t="str">
            <v>SEBASTIAN ANDRES NIENY HODAR</v>
          </cell>
          <cell r="B367" t="str">
            <v>13551983-9</v>
          </cell>
          <cell r="C367" t="str">
            <v>28A-Mercado Inmobiliario</v>
          </cell>
        </row>
        <row r="368">
          <cell r="A368" t="str">
            <v>SEBASTIAN PIÑERA</v>
          </cell>
          <cell r="B368" t="str">
            <v>5126663-6</v>
          </cell>
        </row>
        <row r="369">
          <cell r="A369" t="str">
            <v>SEGURIDAD Y TELECOMUNICACIONES S.A.</v>
          </cell>
          <cell r="B369" t="str">
            <v>969364700</v>
          </cell>
          <cell r="C369" t="str">
            <v>16J-Servicios al Consumidor - Telefonia</v>
          </cell>
        </row>
        <row r="370">
          <cell r="A370" t="str">
            <v>SEGUROS CRUZ DEL SUR S.A.</v>
          </cell>
          <cell r="B370" t="str">
            <v>966287802</v>
          </cell>
          <cell r="C370" t="str">
            <v>10E-Mercado Financiero y Seguros - Seguros</v>
          </cell>
        </row>
        <row r="371">
          <cell r="A371" t="str">
            <v>SEGUROS INTERAMERICANA</v>
          </cell>
          <cell r="B371" t="str">
            <v/>
          </cell>
          <cell r="C371" t="str">
            <v>10E-Mercado Financiero y Seguros - Seguros</v>
          </cell>
        </row>
        <row r="372">
          <cell r="A372" t="str">
            <v>SEGUROS VIDA SECURITY PREVISION S.A.</v>
          </cell>
          <cell r="B372" t="str">
            <v>993010006</v>
          </cell>
          <cell r="C372" t="str">
            <v>10E-Mercado Financiero y Seguros - Seguros</v>
          </cell>
        </row>
        <row r="373">
          <cell r="A373" t="str">
            <v>SERNAM</v>
          </cell>
          <cell r="B373" t="str">
            <v>22222212-9</v>
          </cell>
        </row>
        <row r="374">
          <cell r="A374" t="str">
            <v>SERNATUR</v>
          </cell>
          <cell r="B374" t="str">
            <v/>
          </cell>
          <cell r="C374" t="str">
            <v>08E-Cultura, Recreo, Deporte y Turismo - Excursiones y Viajes</v>
          </cell>
        </row>
        <row r="375">
          <cell r="A375" t="str">
            <v>SERVICIO AGRICOLA Y GANADERO</v>
          </cell>
          <cell r="B375" t="str">
            <v>613080007</v>
          </cell>
          <cell r="C375" t="str">
            <v>17A-Servicio Público y Soc. - Campañas Publicas</v>
          </cell>
        </row>
        <row r="376">
          <cell r="A376" t="str">
            <v>SERVICIOS DE INTERNET LTDA.</v>
          </cell>
          <cell r="B376" t="str">
            <v>77.409.600-0</v>
          </cell>
          <cell r="C376" t="str">
            <v>13A-Informática</v>
          </cell>
        </row>
        <row r="377">
          <cell r="A377" t="str">
            <v>SERVIMUN S.A.</v>
          </cell>
          <cell r="B377" t="str">
            <v>96959660-1</v>
          </cell>
        </row>
        <row r="378">
          <cell r="A378" t="str">
            <v>SHELL S.A.C.I.</v>
          </cell>
          <cell r="B378" t="str">
            <v>920110002</v>
          </cell>
          <cell r="C378" t="str">
            <v>22B-Vehiculos - Combustibles y Lubricantes</v>
          </cell>
        </row>
        <row r="379">
          <cell r="A379" t="str">
            <v>SOC. E INVERSIONES NAIVASHA S.A.</v>
          </cell>
          <cell r="B379" t="str">
            <v>99597220-4</v>
          </cell>
          <cell r="C379" t="str">
            <v>10A-Mercado Financiero y Seguros -  Financiamientos, Instit. Fin</v>
          </cell>
        </row>
        <row r="380">
          <cell r="A380" t="str">
            <v>SOC. INFORMATICA Y COM ESICOM LTDA.</v>
          </cell>
          <cell r="B380" t="str">
            <v>76057468-6</v>
          </cell>
        </row>
        <row r="381">
          <cell r="A381" t="str">
            <v>SOC. PRODUCTORES DE LECHE S.A.</v>
          </cell>
          <cell r="B381" t="str">
            <v>914920000</v>
          </cell>
          <cell r="C381" t="str">
            <v>02A-Alimentacion - Lacteos</v>
          </cell>
        </row>
        <row r="382">
          <cell r="A382" t="str">
            <v>SOCIEDAD COMERCIAL MALETAS CHILE LTDA.</v>
          </cell>
          <cell r="B382" t="str">
            <v>795315500</v>
          </cell>
          <cell r="C382" t="str">
            <v>26A-Productos de uso Personal</v>
          </cell>
        </row>
        <row r="383">
          <cell r="A383" t="str">
            <v>SODIMAC S.A.</v>
          </cell>
          <cell r="B383" t="str">
            <v>96792430K</v>
          </cell>
          <cell r="C383" t="str">
            <v>21B-Comercio Detallista - Grandes tiendas de Departamento</v>
          </cell>
        </row>
        <row r="384">
          <cell r="A384" t="str">
            <v>SOFTLAND INGENIERIA LTDA.</v>
          </cell>
          <cell r="B384" t="str">
            <v>89889200K</v>
          </cell>
          <cell r="C384" t="str">
            <v>13A-Informática</v>
          </cell>
        </row>
        <row r="385">
          <cell r="A385" t="str">
            <v>SOMELA S.A.</v>
          </cell>
          <cell r="B385" t="str">
            <v>911700005</v>
          </cell>
          <cell r="C385" t="str">
            <v>06A-Electro Electrónica - Electrodomésticos / Línea blanca</v>
          </cell>
        </row>
        <row r="386">
          <cell r="A386" t="str">
            <v>SONY CHILE LTDA.</v>
          </cell>
          <cell r="B386" t="str">
            <v>796271906</v>
          </cell>
          <cell r="C386" t="str">
            <v>06A-Electro Electrónica - Electrónica</v>
          </cell>
        </row>
        <row r="387">
          <cell r="A387" t="str">
            <v>SONY ERICSSON</v>
          </cell>
          <cell r="B387" t="str">
            <v>590925209</v>
          </cell>
          <cell r="C387" t="str">
            <v>06A-Electro Electrónica - Electrónica</v>
          </cell>
        </row>
        <row r="388">
          <cell r="A388" t="str">
            <v>SOUND ADVISORS</v>
          </cell>
          <cell r="B388" t="str">
            <v>766923402</v>
          </cell>
          <cell r="C388" t="str">
            <v>06A-Electro Electrónica - Electrónica</v>
          </cell>
        </row>
        <row r="389">
          <cell r="A389" t="str">
            <v>SOUTH PACIFIC MOTOR CHILE S.A.</v>
          </cell>
          <cell r="B389" t="str">
            <v>76005843-2</v>
          </cell>
        </row>
        <row r="390">
          <cell r="A390" t="str">
            <v>SPAFAX MEDIOS Y PUBLICIDAD LTDA.</v>
          </cell>
          <cell r="B390" t="str">
            <v>76.075.760-8</v>
          </cell>
        </row>
        <row r="391">
          <cell r="A391" t="str">
            <v>SPARTA DEPORTES LTDA.</v>
          </cell>
          <cell r="B391" t="str">
            <v>773113408</v>
          </cell>
          <cell r="C391" t="str">
            <v>23A-Vestuario y Textil - Artículos / Ropa deportiva</v>
          </cell>
        </row>
        <row r="392">
          <cell r="A392" t="str">
            <v>SSANYONG MOTOR CHILE S.A</v>
          </cell>
          <cell r="B392" t="str">
            <v>969842300</v>
          </cell>
          <cell r="C392" t="str">
            <v>22A-Vehiculos - General</v>
          </cell>
        </row>
        <row r="393">
          <cell r="A393" t="str">
            <v>SUBCENTRO LAS CONDES</v>
          </cell>
          <cell r="B393" t="str">
            <v/>
          </cell>
          <cell r="C393" t="str">
            <v>21A-Comercio Detallista - Centros Comerciales</v>
          </cell>
        </row>
        <row r="394">
          <cell r="A394" t="str">
            <v>SUBSECRETARIA PREVISION SOCIAL</v>
          </cell>
          <cell r="B394" t="str">
            <v>61503000-7</v>
          </cell>
        </row>
        <row r="395">
          <cell r="A395" t="str">
            <v>SUBWAY</v>
          </cell>
          <cell r="B395" t="str">
            <v>555555559</v>
          </cell>
          <cell r="C395" t="str">
            <v>16B-Servicios al Consumidor - Comida Rapida</v>
          </cell>
        </row>
        <row r="396">
          <cell r="A396" t="str">
            <v>SUR ANDINO CAFE S.A.</v>
          </cell>
          <cell r="B396" t="str">
            <v>995160307</v>
          </cell>
          <cell r="C396" t="str">
            <v>16F-Servicios al Consumidor - Restorantes y Fuentes de Soda</v>
          </cell>
        </row>
        <row r="397">
          <cell r="A397" t="str">
            <v>SYNAPSIS SOLUCIONES Y SERVICIOS LTDA.</v>
          </cell>
          <cell r="B397" t="str">
            <v>96529420-1</v>
          </cell>
        </row>
        <row r="398">
          <cell r="A398" t="str">
            <v>T.J.C. CHILE S.A.</v>
          </cell>
          <cell r="B398" t="str">
            <v>965330801</v>
          </cell>
          <cell r="C398" t="str">
            <v>23A-Vestuario y Textitl - Vestuario / Accesorios</v>
          </cell>
        </row>
        <row r="399">
          <cell r="A399" t="str">
            <v>TALBOT HOTELES S.A.</v>
          </cell>
          <cell r="B399" t="str">
            <v>966856904</v>
          </cell>
          <cell r="C399" t="str">
            <v>08A-Cultura, Recreo, Deporte y Turismo - Hoteles</v>
          </cell>
        </row>
        <row r="400">
          <cell r="A400" t="str">
            <v>TAM LINHAS AEREAS S.A.</v>
          </cell>
          <cell r="B400" t="str">
            <v>59.109.600-1</v>
          </cell>
          <cell r="C400" t="str">
            <v>16K-Servicios al Consumidor - Transporte Aéreo</v>
          </cell>
        </row>
        <row r="401">
          <cell r="A401" t="str">
            <v>TECNOLOGIAS GRAFICAS CORDILLERA S.A.</v>
          </cell>
          <cell r="B401" t="str">
            <v>787402801</v>
          </cell>
          <cell r="C401" t="str">
            <v>16D-Servicios al Consumidor - Otros Servicios al Consumidor</v>
          </cell>
        </row>
        <row r="402">
          <cell r="A402" t="str">
            <v>TEJIDOS CAFFARENA S.A.</v>
          </cell>
          <cell r="B402" t="str">
            <v>910080008</v>
          </cell>
          <cell r="C402" t="str">
            <v>23A-Vestuario y Textitl - Vestuario / Accesorios</v>
          </cell>
        </row>
        <row r="403">
          <cell r="A403" t="str">
            <v>TELECOMUNICACIONES MOVILES DE CHILE</v>
          </cell>
          <cell r="B403" t="str">
            <v>966721502</v>
          </cell>
          <cell r="C403" t="str">
            <v>16J-Servicios al Consumidor - Telefonia</v>
          </cell>
        </row>
        <row r="404">
          <cell r="A404" t="str">
            <v>Telefonica Banda Ancha</v>
          </cell>
          <cell r="B404" t="str">
            <v>11112222</v>
          </cell>
          <cell r="C404" t="str">
            <v>16J-Servicios al Consumidor - Telefonia</v>
          </cell>
        </row>
        <row r="405">
          <cell r="A405" t="str">
            <v>TELETON</v>
          </cell>
          <cell r="B405" t="str">
            <v/>
          </cell>
          <cell r="C405" t="str">
            <v>17B-Servicio Público y Soc. - Campañas de Beneficienca</v>
          </cell>
        </row>
        <row r="406">
          <cell r="A406" t="str">
            <v>TELEVISION NACIONAL DE CHILE</v>
          </cell>
          <cell r="B406" t="str">
            <v>816898005</v>
          </cell>
          <cell r="C406" t="str">
            <v>14B-Medios - Tv / Radios</v>
          </cell>
        </row>
        <row r="407">
          <cell r="A407" t="str">
            <v>TELMEX SERVICIOS EMPRESARIALES</v>
          </cell>
          <cell r="B407" t="str">
            <v>957140009</v>
          </cell>
          <cell r="C407" t="str">
            <v>16J-Servicios al Consumidor - Telefonia</v>
          </cell>
        </row>
        <row r="408">
          <cell r="A408" t="str">
            <v>TERESITA ANGELICA MENDEZ CAMEME</v>
          </cell>
          <cell r="B408" t="str">
            <v>183018914</v>
          </cell>
          <cell r="C408" t="str">
            <v>23A-Vestuario y Textitl - Vestuario / Accesorios</v>
          </cell>
        </row>
        <row r="409">
          <cell r="A409" t="str">
            <v>TERRA NETWORKS CHILE S.A.</v>
          </cell>
          <cell r="B409" t="str">
            <v>968342304</v>
          </cell>
          <cell r="C409" t="str">
            <v>16J-Servicios al Consumidor - Telefonia</v>
          </cell>
        </row>
        <row r="410">
          <cell r="A410" t="str">
            <v>THE WALT DISNEY COMPANY CHILE S.A.</v>
          </cell>
          <cell r="B410" t="str">
            <v>96831520K</v>
          </cell>
          <cell r="C410" t="str">
            <v>08B-Cultura, Recreo, Deporte y Turismo - Produccion cinematograf</v>
          </cell>
        </row>
        <row r="411">
          <cell r="A411" t="str">
            <v>TNT</v>
          </cell>
          <cell r="B411" t="str">
            <v>FV vía Inventa Ltda</v>
          </cell>
          <cell r="C411" t="str">
            <v>08B-Cultura, Recreo, Deporte y Turismo - Produccion cinematograf</v>
          </cell>
        </row>
        <row r="412">
          <cell r="A412" t="str">
            <v>TRANSBANK S.A.</v>
          </cell>
          <cell r="B412" t="str">
            <v>966893109</v>
          </cell>
          <cell r="C412" t="str">
            <v>10B-Mercado Financiero y Seguros -  Tarjetas de Credito</v>
          </cell>
        </row>
        <row r="413">
          <cell r="A413" t="str">
            <v>TRAVEL SECURITY S.A.</v>
          </cell>
          <cell r="B413" t="str">
            <v>23333333</v>
          </cell>
          <cell r="C413" t="str">
            <v>08E-Cultura, Recreo, Deporte y Turismo - Excursiones y Viajes</v>
          </cell>
        </row>
        <row r="414">
          <cell r="A414" t="str">
            <v>TRICOT S.A.</v>
          </cell>
          <cell r="B414" t="str">
            <v>111111114</v>
          </cell>
          <cell r="C414" t="str">
            <v>21B-Comercio Detallista - Grandes tiendas de Departamento</v>
          </cell>
        </row>
        <row r="415">
          <cell r="A415" t="str">
            <v>TRIUMPH PH INTERNATIONAL DE CHILE LTDA</v>
          </cell>
          <cell r="B415" t="str">
            <v>85274300K</v>
          </cell>
          <cell r="C415" t="str">
            <v>23A-Vestuario y Textitl - Vestuario / Accesorios</v>
          </cell>
        </row>
        <row r="416">
          <cell r="A416" t="str">
            <v>TRONWELL</v>
          </cell>
          <cell r="B416" t="str">
            <v>965050108</v>
          </cell>
          <cell r="C416" t="str">
            <v>16A-Servicios al Consumidor - Colegios y Universidades</v>
          </cell>
        </row>
        <row r="417">
          <cell r="A417" t="str">
            <v>TSIL CHILE LTDA.</v>
          </cell>
          <cell r="B417" t="str">
            <v>763325008</v>
          </cell>
          <cell r="C417" t="str">
            <v>02A-Alimentacion - Comida / Productos Alimenticios</v>
          </cell>
        </row>
        <row r="418">
          <cell r="A418" t="str">
            <v>UMBRALE S.A.</v>
          </cell>
          <cell r="B418" t="str">
            <v>761933604</v>
          </cell>
          <cell r="C418" t="str">
            <v>23A-Vestuario y Textitl - Vestuario / Accesorios</v>
          </cell>
        </row>
        <row r="419">
          <cell r="A419" t="str">
            <v>UNILEVER BESTFOOD S.A. - Alimentación</v>
          </cell>
          <cell r="B419" t="str">
            <v>96568090K</v>
          </cell>
          <cell r="C419" t="str">
            <v>02A-Alimentacion - Comida / Productos Alimenticios</v>
          </cell>
        </row>
        <row r="420">
          <cell r="A420" t="str">
            <v>UNILEVER BESTFOOD S.A. - Bebidas</v>
          </cell>
          <cell r="B420" t="str">
            <v/>
          </cell>
          <cell r="C420" t="str">
            <v>03A-Bebidas - Jugos / Bebidas</v>
          </cell>
        </row>
        <row r="421">
          <cell r="A421" t="str">
            <v>UNILEVER CHILE S.A. - Alimentación</v>
          </cell>
          <cell r="B421" t="str">
            <v>920910009/2</v>
          </cell>
          <cell r="C421" t="str">
            <v>02A-Alimentacion - Comida / Productos Alimenticios</v>
          </cell>
        </row>
        <row r="422">
          <cell r="A422" t="str">
            <v>UNILEVER CHILE S.A. - Bebidas</v>
          </cell>
          <cell r="B422" t="str">
            <v>920910009/3</v>
          </cell>
          <cell r="C422" t="str">
            <v>03A-Bebidas - Jugos / Bebidas</v>
          </cell>
        </row>
        <row r="423">
          <cell r="A423" t="str">
            <v>UNILEVER CHILE S.A. - Higiene Domestica</v>
          </cell>
          <cell r="B423" t="str">
            <v>920910009</v>
          </cell>
          <cell r="C423" t="str">
            <v>11A-Higiene Domestica - Productos para el hogar</v>
          </cell>
        </row>
        <row r="424">
          <cell r="A424" t="str">
            <v>UNILEVER CHILE S.A. - Higiene Personal y Belleza</v>
          </cell>
          <cell r="B424" t="str">
            <v>920910009/4</v>
          </cell>
          <cell r="C424" t="str">
            <v>15A-Higiene Personal y Belleza</v>
          </cell>
        </row>
        <row r="425">
          <cell r="A425" t="str">
            <v>UNITED COLORS COMUNICATION</v>
          </cell>
          <cell r="B425" t="str">
            <v>11111111E</v>
          </cell>
          <cell r="C425" t="str">
            <v>23A-Vestuario y Textitl - Vestuario / Accesorios</v>
          </cell>
        </row>
        <row r="426">
          <cell r="A426" t="str">
            <v>UNITED INTERNATIONAL PICTURES</v>
          </cell>
          <cell r="B426" t="str">
            <v>83475200K</v>
          </cell>
          <cell r="C426" t="str">
            <v>08B-Cultura, Recreo, Deporte y Turismo - Produccion cinematograf</v>
          </cell>
        </row>
        <row r="427">
          <cell r="A427" t="str">
            <v>UNIVERSIDAD ADOLFO IBAÑEZ</v>
          </cell>
          <cell r="B427" t="str">
            <v>715432005</v>
          </cell>
          <cell r="C427" t="str">
            <v>16A-Servicios al Consumidor - Colegios y Universidades</v>
          </cell>
        </row>
        <row r="428">
          <cell r="A428" t="str">
            <v>UNIVERSIDAD ARTURO PRAT</v>
          </cell>
          <cell r="B428" t="str">
            <v>707775009</v>
          </cell>
          <cell r="C428" t="str">
            <v>16A-Servicios al Consumidor - Colegios y Universidades</v>
          </cell>
        </row>
        <row r="429">
          <cell r="A429" t="str">
            <v>UNIVERSIDAD AUTONOMA DE CHILE</v>
          </cell>
          <cell r="B429" t="str">
            <v>71633300-0</v>
          </cell>
        </row>
        <row r="430">
          <cell r="A430" t="str">
            <v>UNIVERSIDAD CENTRAL DE CHILE</v>
          </cell>
          <cell r="B430" t="str">
            <v>709952005</v>
          </cell>
          <cell r="C430" t="str">
            <v>16A-Servicios al Consumidor - Colegios y Universidades</v>
          </cell>
        </row>
        <row r="431">
          <cell r="A431" t="str">
            <v>UNIVERSIDAD DE CIENCIAS DE LA INFORMATICA</v>
          </cell>
          <cell r="B431" t="str">
            <v>716189007</v>
          </cell>
          <cell r="C431" t="str">
            <v>16A-Servicios al Consumidor - Colegios y Universidades</v>
          </cell>
        </row>
        <row r="432">
          <cell r="A432" t="str">
            <v>UNIVERSIDAD DE CONCEPCION</v>
          </cell>
          <cell r="B432" t="str">
            <v>FV via Bravo &amp; Bravo</v>
          </cell>
          <cell r="C432" t="str">
            <v>16A-Servicios al Consumidor - Colegios y Universidades</v>
          </cell>
        </row>
        <row r="433">
          <cell r="A433" t="str">
            <v>UNIVERSIDAD DE LAS AMERICAS</v>
          </cell>
          <cell r="B433" t="str">
            <v/>
          </cell>
        </row>
        <row r="434">
          <cell r="A434" t="str">
            <v>UNIVERSIDAD DE VALPARAISO</v>
          </cell>
          <cell r="B434" t="str">
            <v>60921000-1</v>
          </cell>
        </row>
        <row r="435">
          <cell r="A435" t="str">
            <v>UNIVERSIDAD DEL DESARROLLO</v>
          </cell>
          <cell r="B435" t="str">
            <v>716443000</v>
          </cell>
          <cell r="C435" t="str">
            <v>16A-Servicios al Consumidor - Colegios y Universidades</v>
          </cell>
        </row>
        <row r="436">
          <cell r="A436" t="str">
            <v>UNIVERSIDAD DEL PACIFICO</v>
          </cell>
          <cell r="B436" t="str">
            <v>717047001</v>
          </cell>
          <cell r="C436" t="str">
            <v>16A-Servicios al Consumidor - Colegios y Universidades</v>
          </cell>
        </row>
        <row r="437">
          <cell r="A437" t="str">
            <v>UNIVERSIDAD DIEGO PORTALES</v>
          </cell>
          <cell r="B437" t="str">
            <v>70990700K</v>
          </cell>
          <cell r="C437" t="str">
            <v>16A-Servicios al Consumidor - Colegios y Universidades</v>
          </cell>
        </row>
        <row r="438">
          <cell r="A438" t="str">
            <v>UNIVERSIDAD FINIS TERRAE</v>
          </cell>
          <cell r="B438" t="str">
            <v>708847003</v>
          </cell>
          <cell r="C438" t="str">
            <v>16A-Servicios al Consumidor - Colegios y Universidades</v>
          </cell>
        </row>
        <row r="439">
          <cell r="A439" t="str">
            <v>UNIVERSIDAD GABRIELA MISTRAL</v>
          </cell>
          <cell r="B439" t="str">
            <v>707715006</v>
          </cell>
          <cell r="C439" t="str">
            <v>16A-Servicios al Consumidor - Colegios y Universidades</v>
          </cell>
        </row>
        <row r="440">
          <cell r="A440" t="str">
            <v>UNIVERSIDAD TECNOLOGICA METROPOLITANA</v>
          </cell>
          <cell r="B440" t="str">
            <v>70729100-1</v>
          </cell>
          <cell r="C440" t="str">
            <v>16G-Servicios al Consumidor - Serv. de Educación y Complementari</v>
          </cell>
        </row>
        <row r="441">
          <cell r="A441" t="str">
            <v>URBANO PRODUCCIONES LTDA.</v>
          </cell>
          <cell r="B441" t="str">
            <v/>
          </cell>
          <cell r="C441" t="str">
            <v>08D-Cultura, Recreo, Deporte y Turismo - Eventos</v>
          </cell>
        </row>
        <row r="442">
          <cell r="A442" t="str">
            <v>VARIG</v>
          </cell>
          <cell r="B442" t="str">
            <v>591329308</v>
          </cell>
          <cell r="C442" t="str">
            <v>16K-Servicios al Consumidor - Transporte Aéreo</v>
          </cell>
        </row>
        <row r="443">
          <cell r="A443" t="str">
            <v>VESUVIO COMERCIAL Y TEXTIL CHILE LTDA.</v>
          </cell>
          <cell r="B443" t="str">
            <v>779404900</v>
          </cell>
          <cell r="C443" t="str">
            <v>23A-Vestuario y Textitl - Vestuario / Accesorios</v>
          </cell>
        </row>
        <row r="444">
          <cell r="A444" t="str">
            <v>VIALAT S.A.</v>
          </cell>
          <cell r="B444" t="str">
            <v>854870009</v>
          </cell>
          <cell r="C444" t="str">
            <v>02A-Alimentacion - Lacteos</v>
          </cell>
        </row>
        <row r="445">
          <cell r="A445" t="str">
            <v>VICTORINOX CHILE S.A.</v>
          </cell>
          <cell r="B445" t="str">
            <v>96648090-4</v>
          </cell>
          <cell r="C445" t="str">
            <v>26A-Productos de uso Personal</v>
          </cell>
        </row>
        <row r="446">
          <cell r="A446" t="str">
            <v>VIÑA FRANCISCO DE AGUIRRE S.A.</v>
          </cell>
          <cell r="B446" t="str">
            <v>96668670-7</v>
          </cell>
        </row>
        <row r="447">
          <cell r="A447" t="str">
            <v>VIÑA PORTAL DEL ALTO S.A.</v>
          </cell>
          <cell r="B447" t="str">
            <v>85.187.000-8</v>
          </cell>
          <cell r="C447" t="str">
            <v>03B-Bebidas - Viñas</v>
          </cell>
        </row>
        <row r="448">
          <cell r="A448" t="str">
            <v>VIÑA SAN PEDRO S.A.</v>
          </cell>
          <cell r="B448" t="str">
            <v>910410008</v>
          </cell>
          <cell r="C448" t="str">
            <v>03B-Bebidas - Viñas</v>
          </cell>
        </row>
        <row r="449">
          <cell r="A449" t="str">
            <v>VIÑA SANTA RITA SA</v>
          </cell>
          <cell r="B449" t="str">
            <v/>
          </cell>
          <cell r="C449" t="str">
            <v>03B-Bebidas - Viñas</v>
          </cell>
        </row>
        <row r="450">
          <cell r="A450" t="str">
            <v>VIÑA UNDURRAGA S.A.</v>
          </cell>
          <cell r="B450" t="str">
            <v>92461000K</v>
          </cell>
          <cell r="C450" t="str">
            <v>03B-Bebidas - Viñas</v>
          </cell>
        </row>
        <row r="451">
          <cell r="A451" t="str">
            <v>VIRUTEX ILKO S.A.</v>
          </cell>
          <cell r="B451" t="str">
            <v>935500001</v>
          </cell>
          <cell r="C451" t="str">
            <v>11A-Higiene Domestica - Productos para el hogar</v>
          </cell>
        </row>
        <row r="452">
          <cell r="A452" t="str">
            <v>VISA</v>
          </cell>
          <cell r="B452" t="str">
            <v>Cl.Internacional</v>
          </cell>
          <cell r="C452" t="str">
            <v>10B-Mercado Financiero y Seguros -  Tarjetas de Credito</v>
          </cell>
        </row>
        <row r="453">
          <cell r="A453" t="str">
            <v>VTR BANDA ANCHA S.A.</v>
          </cell>
          <cell r="B453" t="str">
            <v>967794902</v>
          </cell>
          <cell r="C453" t="str">
            <v>16J-Servicios al Consumidor - Telefonia</v>
          </cell>
        </row>
        <row r="454">
          <cell r="A454" t="str">
            <v>WALL STREET INSTITUTE</v>
          </cell>
          <cell r="B454" t="str">
            <v>78952330-4</v>
          </cell>
        </row>
        <row r="455">
          <cell r="A455" t="str">
            <v>WATT'S S.A.</v>
          </cell>
          <cell r="B455" t="str">
            <v>922360006</v>
          </cell>
          <cell r="C455" t="str">
            <v>02A-Alimentacion - Comida / Productos Alimenticios</v>
          </cell>
        </row>
        <row r="456">
          <cell r="A456" t="str">
            <v>WILLIAMSON BALFOUR MOTORS S.A.</v>
          </cell>
          <cell r="B456" t="str">
            <v>96695420-5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orega (2)"/>
      <sheetName val="Eno (2)"/>
      <sheetName val="Aqua (2)"/>
      <sheetName val="Panadol (2)"/>
      <sheetName val="Cronos"/>
      <sheetName val="Alcance Tiempo"/>
      <sheetName val="Auspicios"/>
      <sheetName val="Resumen final (4-2-04)"/>
      <sheetName val="Resumen final"/>
      <sheetName val="Panadol"/>
      <sheetName val="Corega"/>
      <sheetName val="Eno"/>
      <sheetName val="Aqua"/>
      <sheetName val="Top Programas"/>
      <sheetName val="Resumen"/>
      <sheetName val="CPR"/>
      <sheetName val="CPR (2)"/>
      <sheetName val="PI Jun 04"/>
      <sheetName val="Hoja2 (2)"/>
      <sheetName val="Corega_(2)"/>
      <sheetName val="Eno_(2)"/>
      <sheetName val="Aqua_(2)"/>
      <sheetName val="Panadol_(2)"/>
      <sheetName val="Alcance_Tiempo"/>
      <sheetName val="Resumen_final_(4-2-04)"/>
      <sheetName val="Resumen_final"/>
      <sheetName val="Top_Programas"/>
      <sheetName val="CPR_(2)"/>
      <sheetName val="Hoja2_(2)"/>
      <sheetName val="PI_Jun_04"/>
      <sheetName val="Corega_(2)1"/>
      <sheetName val="Eno_(2)1"/>
      <sheetName val="Aqua_(2)1"/>
      <sheetName val="Panadol_(2)1"/>
      <sheetName val="Alcance_Tiempo1"/>
      <sheetName val="Resumen_final_(4-2-04)1"/>
      <sheetName val="Resumen_final1"/>
      <sheetName val="Top_Programas1"/>
      <sheetName val="CPR_(2)1"/>
      <sheetName val="Hoja2_(2)1"/>
      <sheetName val="PI_Jun_041"/>
      <sheetName val="Corega_(2)2"/>
      <sheetName val="Eno_(2)2"/>
      <sheetName val="Aqua_(2)2"/>
      <sheetName val="Panadol_(2)2"/>
      <sheetName val="Alcance_Tiempo2"/>
      <sheetName val="Resumen_final_(4-2-04)2"/>
      <sheetName val="Resumen_final2"/>
      <sheetName val="Top_Programas2"/>
      <sheetName val="CPR_(2)2"/>
      <sheetName val="Hoja2_(2)2"/>
      <sheetName val="PI_Jun_042"/>
      <sheetName val="Cronos (2)"/>
      <sheetName val="Eno (3)"/>
      <sheetName val="tablas final 1°sem 2008"/>
      <sheetName val="JORGE"/>
      <sheetName val="1"/>
      <sheetName val="ADS"/>
      <sheetName val="Anunciantes"/>
      <sheetName val="Marcas"/>
      <sheetName val="MarcasCli"/>
      <sheetName val="Rubros"/>
      <sheetName val="regiones"/>
      <sheetName val="Rating"/>
      <sheetName val="Master"/>
      <sheetName val="module1"/>
      <sheetName val="Tablas"/>
      <sheetName val="aca-"/>
      <sheetName val="RESUMEN "/>
      <sheetName val="Resumen Inversión "/>
      <sheetName val="TVA"/>
      <sheetName val="Radio Turista ( Abr a May)"/>
      <sheetName val="Prensa Turista (Abr a May)"/>
      <sheetName val="Prensa Turista (Sept a Nov)"/>
      <sheetName val="Evaluacíón"/>
      <sheetName val="TVC Business (Abr a May)"/>
      <sheetName val="TVC Business (Oct)"/>
      <sheetName val="TVC Business (Marzo)"/>
      <sheetName val=" Radio Business (Octubre)"/>
      <sheetName val="Resumen Digital"/>
      <sheetName val="Digital Business (May Junio) "/>
      <sheetName val="Digital Business (Sep Nov)"/>
      <sheetName val=" VP Business (Abr a Mayo)"/>
      <sheetName val="Digital Business (Marzo)"/>
      <sheetName val=" VP Octubre"/>
      <sheetName val=" Radio Business ( Sep a Nov)"/>
      <sheetName val="Prensa Business (Abr a May)"/>
      <sheetName val="REVISTAS "/>
      <sheetName val=" VP Marzo"/>
      <sheetName val="Rat%Cable"/>
      <sheetName val="Lectoría Suplementos"/>
      <sheetName val="Hoja3"/>
      <sheetName val="Lectoría Prensa"/>
      <sheetName val="Perfil Radios"/>
      <sheetName val="Radio Bloque Horario"/>
      <sheetName val="Afinidad"/>
      <sheetName val="Corega_(2)3"/>
      <sheetName val="Eno_(2)3"/>
      <sheetName val="Aqua_(2)3"/>
      <sheetName val="Panadol_(2)3"/>
      <sheetName val="Alcance_Tiempo3"/>
      <sheetName val="Resumen_final_(4-2-04)3"/>
      <sheetName val="Resumen_final3"/>
      <sheetName val="Top_Programas3"/>
      <sheetName val="CPR_(2)3"/>
      <sheetName val="Hoja2_(2)3"/>
      <sheetName val="PI_Jun_043"/>
      <sheetName val="Cronos_(2)"/>
      <sheetName val="Eno_(3)"/>
      <sheetName val="tablas_final_1°sem_2008"/>
      <sheetName val="RESUMEN_"/>
      <sheetName val="Resumen_Inversión_"/>
      <sheetName val="Radio_Turista_(_Abr_a_May)"/>
      <sheetName val="Prensa_Turista_(Abr_a_May)"/>
      <sheetName val="Prensa_Turista_(Sept_a_Nov)"/>
      <sheetName val="TVC_Business_(Abr_a_May)"/>
      <sheetName val="TVC_Business_(Oct)"/>
      <sheetName val="TVC_Business_(Marzo)"/>
      <sheetName val="_Radio_Business_(Octubre)"/>
      <sheetName val="Resumen_Digital"/>
      <sheetName val="Digital_Business_(May_Junio)_"/>
      <sheetName val="Digital_Business_(Sep_Nov)"/>
      <sheetName val="_VP_Business_(Abr_a_Mayo)"/>
      <sheetName val="Digital_Business_(Marzo)"/>
      <sheetName val="_VP_Octubre"/>
      <sheetName val="_Radio_Business_(_Sep_a_Nov)"/>
      <sheetName val="Prensa_Business_(Abr_a_May)"/>
      <sheetName val="REVISTAS_"/>
      <sheetName val="_VP_Marzo"/>
      <sheetName val="Lectoría_Suplementos"/>
      <sheetName val="Lectoría_Prensa"/>
      <sheetName val="Perfil_Radios"/>
      <sheetName val="Radio_Bloque_Horario"/>
      <sheetName val="Auxiliar"/>
      <sheetName val="DAYPART MIX"/>
      <sheetName val="channel"/>
      <sheetName val="Corega_(2)4"/>
      <sheetName val="Eno_(2)4"/>
      <sheetName val="Aqua_(2)4"/>
      <sheetName val="Panadol_(2)4"/>
      <sheetName val="Alcance_Tiempo4"/>
      <sheetName val="Resumen_final_(4-2-04)4"/>
      <sheetName val="Resumen_final4"/>
      <sheetName val="Top_Programas4"/>
      <sheetName val="CPR_(2)4"/>
      <sheetName val="Hoja2_(2)4"/>
      <sheetName val="Cronos_(2)1"/>
      <sheetName val="Eno_(3)1"/>
      <sheetName val="tablas_final_1°sem_20081"/>
      <sheetName val="PI_Jun_044"/>
      <sheetName val="RESUMEN_1"/>
      <sheetName val="Resumen_Inversión_1"/>
      <sheetName val="Radio_Turista_(_Abr_a_May)1"/>
      <sheetName val="Prensa_Turista_(Abr_a_May)1"/>
      <sheetName val="Prensa_Turista_(Sept_a_Nov)1"/>
      <sheetName val="TVC_Business_(Abr_a_May)1"/>
      <sheetName val="TVC_Business_(Oct)1"/>
      <sheetName val="TVC_Business_(Marzo)1"/>
      <sheetName val="_Radio_Business_(Octubre)1"/>
      <sheetName val="Resumen_Digital1"/>
      <sheetName val="Digital_Business_(May_Junio)_1"/>
      <sheetName val="Digital_Business_(Sep_Nov)1"/>
      <sheetName val="_VP_Business_(Abr_a_Mayo)1"/>
      <sheetName val="Digital_Business_(Marzo)1"/>
      <sheetName val="_VP_Octubre1"/>
      <sheetName val="_Radio_Business_(_Sep_a_Nov)1"/>
      <sheetName val="Prensa_Business_(Abr_a_May)1"/>
      <sheetName val="REVISTAS_1"/>
      <sheetName val="_VP_Marzo1"/>
      <sheetName val="Lectoría_Suplementos1"/>
      <sheetName val="Lectoría_Prensa1"/>
      <sheetName val="Perfil_Radios1"/>
      <sheetName val="Radio_Bloque_Horario1"/>
      <sheetName val="Corega_(2)5"/>
      <sheetName val="Eno_(2)5"/>
      <sheetName val="Aqua_(2)5"/>
      <sheetName val="Panadol_(2)5"/>
      <sheetName val="Alcance_Tiempo5"/>
      <sheetName val="Resumen_final_(4-2-04)5"/>
      <sheetName val="Resumen_final5"/>
      <sheetName val="Top_Programas5"/>
      <sheetName val="CPR_(2)5"/>
      <sheetName val="PI_Jun_045"/>
      <sheetName val="Hoja2_(2)5"/>
      <sheetName val="Cronos_(2)2"/>
      <sheetName val="Eno_(3)2"/>
      <sheetName val="tablas_final_1°sem_20082"/>
      <sheetName val="RESUMEN_2"/>
      <sheetName val="Resumen_Inversión_2"/>
      <sheetName val="Radio_Turista_(_Abr_a_May)2"/>
      <sheetName val="Prensa_Turista_(Abr_a_May)2"/>
      <sheetName val="Prensa_Turista_(Sept_a_Nov)2"/>
      <sheetName val="TVC_Business_(Abr_a_May)2"/>
      <sheetName val="TVC_Business_(Oct)2"/>
      <sheetName val="TVC_Business_(Marzo)2"/>
      <sheetName val="_Radio_Business_(Octubre)2"/>
      <sheetName val="Resumen_Digital2"/>
      <sheetName val="Digital_Business_(May_Junio)_2"/>
      <sheetName val="Digital_Business_(Sep_Nov)2"/>
      <sheetName val="_VP_Business_(Abr_a_Mayo)2"/>
      <sheetName val="Digital_Business_(Marzo)2"/>
      <sheetName val="_VP_Octubre2"/>
      <sheetName val="_Radio_Business_(_Sep_a_Nov)2"/>
      <sheetName val="Prensa_Business_(Abr_a_May)2"/>
      <sheetName val="REVISTAS_2"/>
      <sheetName val="_VP_Marzo2"/>
      <sheetName val="Lectoría_Suplementos2"/>
      <sheetName val="Lectoría_Prensa2"/>
      <sheetName val="Perfil_Radios2"/>
      <sheetName val="Radio_Bloque_Horario2"/>
      <sheetName val="DAYPART_MIX"/>
      <sheetName val="Corega_(2)6"/>
      <sheetName val="Eno_(2)6"/>
      <sheetName val="Aqua_(2)6"/>
      <sheetName val="Panadol_(2)6"/>
      <sheetName val="Alcance_Tiempo6"/>
      <sheetName val="Resumen_final_(4-2-04)6"/>
      <sheetName val="Resumen_final6"/>
      <sheetName val="Top_Programas6"/>
      <sheetName val="CPR_(2)6"/>
      <sheetName val="PI_Jun_046"/>
      <sheetName val="Hoja2_(2)6"/>
      <sheetName val="Cronos_(2)3"/>
      <sheetName val="Eno_(3)3"/>
      <sheetName val="tablas_final_1°sem_20083"/>
      <sheetName val="RESUMEN_3"/>
      <sheetName val="Resumen_Inversión_3"/>
      <sheetName val="Radio_Turista_(_Abr_a_May)3"/>
      <sheetName val="Prensa_Turista_(Abr_a_May)3"/>
      <sheetName val="Prensa_Turista_(Sept_a_Nov)3"/>
      <sheetName val="TVC_Business_(Abr_a_May)3"/>
      <sheetName val="TVC_Business_(Oct)3"/>
      <sheetName val="TVC_Business_(Marzo)3"/>
      <sheetName val="_Radio_Business_(Octubre)3"/>
      <sheetName val="Resumen_Digital3"/>
      <sheetName val="Digital_Business_(May_Junio)_3"/>
      <sheetName val="Digital_Business_(Sep_Nov)3"/>
      <sheetName val="_VP_Business_(Abr_a_Mayo)3"/>
      <sheetName val="Digital_Business_(Marzo)3"/>
      <sheetName val="_VP_Octubre3"/>
      <sheetName val="_Radio_Business_(_Sep_a_Nov)3"/>
      <sheetName val="Prensa_Business_(Abr_a_May)3"/>
      <sheetName val="REVISTAS_3"/>
      <sheetName val="_VP_Marzo3"/>
      <sheetName val="Lectoría_Suplementos3"/>
      <sheetName val="Lectoría_Prensa3"/>
      <sheetName val="Perfil_Radios3"/>
      <sheetName val="Radio_Bloque_Horario3"/>
      <sheetName val="DAYPART_MIX1"/>
      <sheetName val="Bahia Blanca"/>
      <sheetName val="Tabla 1º sem 2010"/>
    </sheetNames>
    <sheetDataSet>
      <sheetData sheetId="0">
        <row r="7">
          <cell r="C7" t="str">
            <v>X0</v>
          </cell>
          <cell r="D7">
            <v>107000</v>
          </cell>
        </row>
        <row r="8">
          <cell r="C8" t="str">
            <v>X1</v>
          </cell>
          <cell r="D8">
            <v>134000</v>
          </cell>
        </row>
        <row r="9">
          <cell r="C9" t="str">
            <v>X2</v>
          </cell>
          <cell r="D9">
            <v>168000</v>
          </cell>
        </row>
        <row r="10">
          <cell r="C10" t="str">
            <v>X3</v>
          </cell>
          <cell r="D10">
            <v>198000</v>
          </cell>
        </row>
        <row r="11">
          <cell r="C11" t="str">
            <v>X4</v>
          </cell>
          <cell r="D11">
            <v>218000</v>
          </cell>
        </row>
        <row r="12">
          <cell r="C12" t="str">
            <v>X5</v>
          </cell>
          <cell r="D12">
            <v>239000</v>
          </cell>
        </row>
        <row r="13">
          <cell r="C13" t="str">
            <v>X6</v>
          </cell>
          <cell r="D13">
            <v>263000</v>
          </cell>
        </row>
        <row r="14">
          <cell r="C14" t="str">
            <v>X7</v>
          </cell>
          <cell r="D14">
            <v>290000</v>
          </cell>
        </row>
        <row r="15">
          <cell r="C15" t="str">
            <v>X8</v>
          </cell>
          <cell r="D15">
            <v>318000</v>
          </cell>
        </row>
        <row r="16">
          <cell r="C16" t="str">
            <v>X9</v>
          </cell>
          <cell r="D16">
            <v>350000</v>
          </cell>
        </row>
        <row r="17">
          <cell r="C17" t="str">
            <v>X10</v>
          </cell>
          <cell r="D17">
            <v>385000</v>
          </cell>
        </row>
        <row r="18">
          <cell r="C18" t="str">
            <v>X11</v>
          </cell>
          <cell r="D18">
            <v>424000</v>
          </cell>
        </row>
        <row r="19">
          <cell r="C19" t="str">
            <v>X12</v>
          </cell>
          <cell r="D19">
            <v>466000</v>
          </cell>
        </row>
        <row r="20">
          <cell r="C20" t="str">
            <v>X13</v>
          </cell>
          <cell r="D20">
            <v>513000</v>
          </cell>
        </row>
        <row r="21">
          <cell r="C21" t="str">
            <v>X14</v>
          </cell>
          <cell r="D21">
            <v>564000</v>
          </cell>
        </row>
        <row r="22">
          <cell r="C22" t="str">
            <v>X15</v>
          </cell>
          <cell r="D22">
            <v>621000</v>
          </cell>
        </row>
        <row r="23">
          <cell r="C23" t="str">
            <v>X16</v>
          </cell>
          <cell r="D23">
            <v>683000</v>
          </cell>
        </row>
        <row r="24">
          <cell r="C24" t="str">
            <v>X17</v>
          </cell>
          <cell r="D24">
            <v>751000</v>
          </cell>
        </row>
        <row r="25">
          <cell r="C25" t="str">
            <v>X18</v>
          </cell>
          <cell r="D25">
            <v>826000</v>
          </cell>
        </row>
        <row r="26">
          <cell r="C26" t="str">
            <v>X19</v>
          </cell>
          <cell r="D26">
            <v>909000</v>
          </cell>
        </row>
        <row r="27">
          <cell r="C27" t="str">
            <v>X20</v>
          </cell>
          <cell r="D27">
            <v>1000000</v>
          </cell>
        </row>
        <row r="28">
          <cell r="C28" t="str">
            <v>X21</v>
          </cell>
          <cell r="D28">
            <v>1099000</v>
          </cell>
        </row>
        <row r="29">
          <cell r="C29" t="str">
            <v>X22</v>
          </cell>
          <cell r="D29">
            <v>1209000</v>
          </cell>
        </row>
        <row r="30">
          <cell r="C30" t="str">
            <v>X23</v>
          </cell>
          <cell r="D30">
            <v>1330000</v>
          </cell>
        </row>
        <row r="31">
          <cell r="C31" t="str">
            <v>X24</v>
          </cell>
          <cell r="D31">
            <v>1463000</v>
          </cell>
        </row>
        <row r="32">
          <cell r="C32" t="str">
            <v>X25</v>
          </cell>
          <cell r="D32">
            <v>1610000</v>
          </cell>
        </row>
        <row r="33">
          <cell r="C33" t="str">
            <v>X26</v>
          </cell>
          <cell r="D33">
            <v>1771000</v>
          </cell>
        </row>
        <row r="34">
          <cell r="C34" t="str">
            <v>X27</v>
          </cell>
          <cell r="D34">
            <v>1948000</v>
          </cell>
        </row>
        <row r="35">
          <cell r="C35" t="str">
            <v>X28</v>
          </cell>
          <cell r="D35">
            <v>2143000</v>
          </cell>
        </row>
        <row r="36">
          <cell r="C36" t="str">
            <v>X29</v>
          </cell>
          <cell r="D36">
            <v>2357000</v>
          </cell>
        </row>
        <row r="37">
          <cell r="C37" t="str">
            <v>X30</v>
          </cell>
          <cell r="D37">
            <v>2592000</v>
          </cell>
        </row>
        <row r="38">
          <cell r="C38" t="str">
            <v>X31</v>
          </cell>
          <cell r="D38">
            <v>2852000</v>
          </cell>
        </row>
        <row r="39">
          <cell r="C39" t="str">
            <v>X32</v>
          </cell>
          <cell r="D39">
            <v>3137000</v>
          </cell>
        </row>
        <row r="40">
          <cell r="C40" t="str">
            <v>X33</v>
          </cell>
          <cell r="D40">
            <v>3451000</v>
          </cell>
        </row>
        <row r="41">
          <cell r="C41" t="str">
            <v>X34</v>
          </cell>
          <cell r="D41">
            <v>3796000</v>
          </cell>
        </row>
        <row r="42">
          <cell r="C42" t="str">
            <v>X35</v>
          </cell>
          <cell r="D42">
            <v>4175000</v>
          </cell>
        </row>
        <row r="43">
          <cell r="C43" t="str">
            <v>X36</v>
          </cell>
          <cell r="D43">
            <v>4593000</v>
          </cell>
        </row>
        <row r="44">
          <cell r="C44" t="str">
            <v>X37</v>
          </cell>
          <cell r="D44">
            <v>5052000</v>
          </cell>
        </row>
        <row r="45">
          <cell r="C45" t="str">
            <v>X38</v>
          </cell>
          <cell r="D45">
            <v>5557000</v>
          </cell>
        </row>
        <row r="46">
          <cell r="C46" t="str">
            <v>X39</v>
          </cell>
          <cell r="D46">
            <v>6113000</v>
          </cell>
        </row>
        <row r="47">
          <cell r="C47" t="str">
            <v>X40</v>
          </cell>
          <cell r="D47">
            <v>6724000</v>
          </cell>
        </row>
        <row r="48">
          <cell r="C48" t="str">
            <v>X41</v>
          </cell>
          <cell r="D48">
            <v>7397000</v>
          </cell>
        </row>
        <row r="49">
          <cell r="C49" t="str">
            <v>X42</v>
          </cell>
          <cell r="D49">
            <v>8136000</v>
          </cell>
        </row>
        <row r="50">
          <cell r="C50" t="str">
            <v>X43</v>
          </cell>
          <cell r="D50">
            <v>8950000</v>
          </cell>
        </row>
        <row r="51">
          <cell r="C51" t="str">
            <v>X44</v>
          </cell>
          <cell r="D51">
            <v>9845000</v>
          </cell>
        </row>
        <row r="52">
          <cell r="C52" t="str">
            <v>X45</v>
          </cell>
          <cell r="D52">
            <v>10829000</v>
          </cell>
        </row>
        <row r="53">
          <cell r="C53" t="str">
            <v>X46</v>
          </cell>
          <cell r="D53">
            <v>11912000</v>
          </cell>
        </row>
        <row r="54">
          <cell r="C54" t="str">
            <v>X47</v>
          </cell>
          <cell r="D54">
            <v>13103000</v>
          </cell>
        </row>
        <row r="55">
          <cell r="C55" t="str">
            <v>X48</v>
          </cell>
          <cell r="D55">
            <v>14414000</v>
          </cell>
        </row>
        <row r="56">
          <cell r="C56" t="str">
            <v>X49</v>
          </cell>
          <cell r="D56">
            <v>15855000</v>
          </cell>
        </row>
        <row r="57">
          <cell r="C57" t="str">
            <v>X50</v>
          </cell>
          <cell r="D57">
            <v>17441000</v>
          </cell>
        </row>
      </sheetData>
      <sheetData sheetId="1">
        <row r="7">
          <cell r="C7" t="str">
            <v>X0</v>
          </cell>
        </row>
      </sheetData>
      <sheetData sheetId="2">
        <row r="7">
          <cell r="C7" t="str">
            <v>X0</v>
          </cell>
        </row>
      </sheetData>
      <sheetData sheetId="3">
        <row r="7">
          <cell r="C7" t="str">
            <v>X0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C7" t="str">
            <v>X0</v>
          </cell>
        </row>
      </sheetData>
      <sheetData sheetId="12">
        <row r="7">
          <cell r="C7" t="str">
            <v>X0</v>
          </cell>
        </row>
      </sheetData>
      <sheetData sheetId="13">
        <row r="7">
          <cell r="C7" t="str">
            <v>X0</v>
          </cell>
        </row>
      </sheetData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7">
          <cell r="C7"/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>
        <row r="7">
          <cell r="C7" t="str">
            <v>X0</v>
          </cell>
        </row>
      </sheetData>
      <sheetData sheetId="98">
        <row r="7">
          <cell r="C7" t="str">
            <v>X0</v>
          </cell>
        </row>
      </sheetData>
      <sheetData sheetId="99">
        <row r="7">
          <cell r="C7" t="str">
            <v>X0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>
        <row r="7">
          <cell r="C7" t="str">
            <v>X0</v>
          </cell>
        </row>
      </sheetData>
      <sheetData sheetId="138">
        <row r="7">
          <cell r="C7" t="str">
            <v>X0</v>
          </cell>
        </row>
      </sheetData>
      <sheetData sheetId="139">
        <row r="7">
          <cell r="C7" t="str">
            <v>X0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7">
          <cell r="C7" t="str">
            <v>X0</v>
          </cell>
        </row>
      </sheetData>
      <sheetData sheetId="175">
        <row r="7">
          <cell r="C7" t="str">
            <v>X0</v>
          </cell>
        </row>
      </sheetData>
      <sheetData sheetId="176">
        <row r="7">
          <cell r="C7" t="str">
            <v>X0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>
        <row r="7">
          <cell r="C7" t="str">
            <v>X0</v>
          </cell>
        </row>
      </sheetData>
      <sheetData sheetId="213">
        <row r="7">
          <cell r="C7" t="str">
            <v>X0</v>
          </cell>
        </row>
      </sheetData>
      <sheetData sheetId="214">
        <row r="7">
          <cell r="C7" t="str">
            <v>X0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Cómo se hace"/>
      <sheetName val="Tarifa Especial (2)"/>
      <sheetName val="Tarifa Especial"/>
      <sheetName val="Tarifa Especial (3)"/>
      <sheetName val="Pauta Impacto"/>
      <sheetName val="Tarifa Preferencial"/>
      <sheetName val="Tarifa Preferencial (2)"/>
      <sheetName val="Pauta Impacto (2)"/>
      <sheetName val="Tarifa Especial (4)"/>
      <sheetName val="Pauta A"/>
      <sheetName val="Tarifa Preferencial (3)"/>
      <sheetName val="Rating"/>
      <sheetName val="ANEXOS"/>
      <sheetName val="1 al 14"/>
      <sheetName val="15 al 21"/>
    </sheetNames>
    <sheetDataSet>
      <sheetData sheetId="0"/>
      <sheetData sheetId="1"/>
      <sheetData sheetId="2"/>
      <sheetData sheetId="3"/>
      <sheetData sheetId="4"/>
      <sheetData sheetId="5"/>
      <sheetData sheetId="6">
        <row r="73">
          <cell r="G73">
            <v>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A11" t="str">
            <v>Valor por segundaje</v>
          </cell>
          <cell r="B11" t="str">
            <v>5''</v>
          </cell>
          <cell r="C11" t="str">
            <v>10''</v>
          </cell>
          <cell r="D11" t="str">
            <v>15''</v>
          </cell>
          <cell r="E11" t="str">
            <v>20"</v>
          </cell>
          <cell r="F11" t="str">
            <v>25"</v>
          </cell>
          <cell r="G11" t="str">
            <v>30"</v>
          </cell>
          <cell r="H11" t="str">
            <v>35"</v>
          </cell>
          <cell r="I11" t="str">
            <v>40"</v>
          </cell>
          <cell r="J11" t="str">
            <v>45"</v>
          </cell>
          <cell r="K11" t="str">
            <v>50"</v>
          </cell>
          <cell r="L11" t="str">
            <v>55"</v>
          </cell>
          <cell r="M11" t="str">
            <v>60"</v>
          </cell>
          <cell r="N11" t="str">
            <v>65"</v>
          </cell>
        </row>
        <row r="12">
          <cell r="A12" t="str">
            <v>Prime 20:00 a 24:00 hrs.</v>
          </cell>
        </row>
        <row r="13">
          <cell r="A13" t="str">
            <v>Martin Rivas A</v>
          </cell>
          <cell r="B13">
            <v>602000</v>
          </cell>
          <cell r="C13">
            <v>1203000</v>
          </cell>
          <cell r="D13">
            <v>1378000</v>
          </cell>
          <cell r="E13">
            <v>1647000</v>
          </cell>
          <cell r="F13">
            <v>1773000</v>
          </cell>
          <cell r="G13">
            <v>1900000</v>
          </cell>
          <cell r="H13">
            <v>2217000</v>
          </cell>
          <cell r="I13">
            <v>2533000</v>
          </cell>
          <cell r="J13">
            <v>2850000</v>
          </cell>
          <cell r="K13">
            <v>3325000</v>
          </cell>
          <cell r="L13">
            <v>3832000</v>
          </cell>
          <cell r="M13">
            <v>4370000</v>
          </cell>
          <cell r="N13">
            <v>4734000</v>
          </cell>
        </row>
        <row r="14">
          <cell r="A14" t="str">
            <v>Martin Rivas B</v>
          </cell>
          <cell r="B14">
            <v>760000</v>
          </cell>
          <cell r="C14">
            <v>1520000</v>
          </cell>
          <cell r="D14">
            <v>1740000</v>
          </cell>
          <cell r="E14">
            <v>2080000</v>
          </cell>
          <cell r="F14">
            <v>2240000</v>
          </cell>
          <cell r="G14">
            <v>2400000</v>
          </cell>
          <cell r="H14">
            <v>2800000</v>
          </cell>
          <cell r="I14">
            <v>3200000</v>
          </cell>
          <cell r="J14">
            <v>3600000</v>
          </cell>
          <cell r="K14">
            <v>4200000</v>
          </cell>
          <cell r="L14">
            <v>4840000</v>
          </cell>
          <cell r="M14">
            <v>5520000</v>
          </cell>
          <cell r="N14">
            <v>5980000</v>
          </cell>
        </row>
        <row r="16">
          <cell r="A16" t="str">
            <v>24 HORAS CENTRAL LJV</v>
          </cell>
          <cell r="B16">
            <v>792000</v>
          </cell>
          <cell r="C16">
            <v>1583000</v>
          </cell>
          <cell r="D16">
            <v>1813000</v>
          </cell>
          <cell r="E16">
            <v>2167000</v>
          </cell>
          <cell r="F16">
            <v>2333000</v>
          </cell>
          <cell r="G16">
            <v>2500000</v>
          </cell>
          <cell r="H16">
            <v>2917000</v>
          </cell>
          <cell r="I16">
            <v>3333000</v>
          </cell>
          <cell r="J16">
            <v>3750000</v>
          </cell>
          <cell r="K16">
            <v>4375000</v>
          </cell>
          <cell r="L16">
            <v>5042000</v>
          </cell>
          <cell r="M16">
            <v>5750000</v>
          </cell>
          <cell r="N16">
            <v>6229000</v>
          </cell>
        </row>
        <row r="17">
          <cell r="A17" t="str">
            <v>24 HORAS CENTRAL MW</v>
          </cell>
          <cell r="B17">
            <v>728000</v>
          </cell>
          <cell r="C17">
            <v>1457000</v>
          </cell>
          <cell r="D17">
            <v>1668000</v>
          </cell>
          <cell r="E17">
            <v>1993000</v>
          </cell>
          <cell r="F17">
            <v>2147000</v>
          </cell>
          <cell r="G17">
            <v>2300000</v>
          </cell>
          <cell r="H17">
            <v>2683000</v>
          </cell>
          <cell r="I17">
            <v>3067000</v>
          </cell>
          <cell r="J17">
            <v>3450000</v>
          </cell>
          <cell r="K17">
            <v>4025000</v>
          </cell>
          <cell r="L17">
            <v>4638000</v>
          </cell>
          <cell r="M17">
            <v>5290000</v>
          </cell>
          <cell r="N17">
            <v>5731000</v>
          </cell>
        </row>
        <row r="18">
          <cell r="A18" t="str">
            <v>24 HORAS CENTRAL S</v>
          </cell>
          <cell r="B18">
            <v>412000</v>
          </cell>
          <cell r="C18">
            <v>823000</v>
          </cell>
          <cell r="D18">
            <v>943000</v>
          </cell>
          <cell r="E18">
            <v>1127000</v>
          </cell>
          <cell r="F18">
            <v>1213000</v>
          </cell>
          <cell r="G18">
            <v>1300000</v>
          </cell>
          <cell r="H18">
            <v>1517000</v>
          </cell>
          <cell r="I18">
            <v>1733000</v>
          </cell>
          <cell r="J18">
            <v>1950000</v>
          </cell>
          <cell r="K18">
            <v>2275000</v>
          </cell>
          <cell r="L18">
            <v>2622000</v>
          </cell>
          <cell r="M18">
            <v>2990000</v>
          </cell>
          <cell r="N18">
            <v>3239000</v>
          </cell>
        </row>
        <row r="19">
          <cell r="A19" t="str">
            <v>24 HORAS CENTRAL D</v>
          </cell>
          <cell r="B19">
            <v>507000</v>
          </cell>
          <cell r="C19">
            <v>1013000</v>
          </cell>
          <cell r="D19">
            <v>1160000</v>
          </cell>
          <cell r="E19">
            <v>1387000</v>
          </cell>
          <cell r="F19">
            <v>1493000</v>
          </cell>
          <cell r="G19">
            <v>1600000</v>
          </cell>
          <cell r="H19">
            <v>1867000</v>
          </cell>
          <cell r="I19">
            <v>2133000</v>
          </cell>
          <cell r="J19">
            <v>2400000</v>
          </cell>
          <cell r="K19">
            <v>2800000</v>
          </cell>
          <cell r="L19">
            <v>3227000</v>
          </cell>
          <cell r="M19">
            <v>3680000</v>
          </cell>
          <cell r="N19">
            <v>3987000</v>
          </cell>
        </row>
        <row r="21">
          <cell r="A21" t="str">
            <v>CONDE VROLOK L-J</v>
          </cell>
          <cell r="B21">
            <v>728000</v>
          </cell>
          <cell r="C21">
            <v>1457000</v>
          </cell>
          <cell r="D21">
            <v>1668000</v>
          </cell>
          <cell r="E21">
            <v>1993000</v>
          </cell>
          <cell r="F21">
            <v>2147000</v>
          </cell>
          <cell r="G21">
            <v>2300000</v>
          </cell>
          <cell r="H21">
            <v>2683000</v>
          </cell>
          <cell r="I21">
            <v>3067000</v>
          </cell>
          <cell r="J21">
            <v>3450000</v>
          </cell>
          <cell r="K21">
            <v>4025000</v>
          </cell>
          <cell r="L21">
            <v>4638000</v>
          </cell>
          <cell r="M21">
            <v>5290000</v>
          </cell>
          <cell r="N21">
            <v>5731000</v>
          </cell>
        </row>
        <row r="22">
          <cell r="A22" t="str">
            <v>Esta es Mi Familia</v>
          </cell>
          <cell r="B22">
            <v>665000</v>
          </cell>
          <cell r="C22">
            <v>1330000</v>
          </cell>
          <cell r="D22">
            <v>1523000</v>
          </cell>
          <cell r="E22">
            <v>1820000</v>
          </cell>
          <cell r="F22">
            <v>1960000</v>
          </cell>
          <cell r="G22">
            <v>2100000</v>
          </cell>
          <cell r="H22">
            <v>2450000</v>
          </cell>
          <cell r="I22">
            <v>2800000</v>
          </cell>
          <cell r="J22">
            <v>3150000</v>
          </cell>
          <cell r="K22">
            <v>3675000</v>
          </cell>
          <cell r="L22">
            <v>4235000</v>
          </cell>
          <cell r="M22">
            <v>4830000</v>
          </cell>
          <cell r="N22">
            <v>5233000</v>
          </cell>
        </row>
        <row r="23">
          <cell r="A23" t="str">
            <v>PELOTON L-W</v>
          </cell>
          <cell r="B23">
            <v>792000</v>
          </cell>
          <cell r="C23">
            <v>1583000</v>
          </cell>
          <cell r="D23">
            <v>1813000</v>
          </cell>
          <cell r="E23">
            <v>2167000</v>
          </cell>
          <cell r="F23">
            <v>2333000</v>
          </cell>
          <cell r="G23">
            <v>2500000</v>
          </cell>
          <cell r="H23">
            <v>2917000</v>
          </cell>
          <cell r="I23">
            <v>3333000</v>
          </cell>
          <cell r="J23">
            <v>3750000</v>
          </cell>
          <cell r="K23">
            <v>4375000</v>
          </cell>
          <cell r="L23">
            <v>5042000</v>
          </cell>
          <cell r="M23">
            <v>5750000</v>
          </cell>
          <cell r="N23">
            <v>6229000</v>
          </cell>
        </row>
        <row r="24">
          <cell r="A24" t="str">
            <v>Guerreros</v>
          </cell>
          <cell r="B24">
            <v>665000</v>
          </cell>
          <cell r="C24">
            <v>1330000</v>
          </cell>
          <cell r="D24">
            <v>1523000</v>
          </cell>
          <cell r="E24">
            <v>1820000</v>
          </cell>
          <cell r="F24">
            <v>1960000</v>
          </cell>
          <cell r="G24">
            <v>2100000</v>
          </cell>
          <cell r="H24">
            <v>2450000</v>
          </cell>
          <cell r="I24">
            <v>2800000</v>
          </cell>
          <cell r="J24">
            <v>3150000</v>
          </cell>
          <cell r="K24">
            <v>3675000</v>
          </cell>
          <cell r="L24">
            <v>4235000</v>
          </cell>
          <cell r="M24">
            <v>4830000</v>
          </cell>
          <cell r="N24">
            <v>5233000</v>
          </cell>
        </row>
        <row r="25">
          <cell r="A25" t="str">
            <v>Esto No Tiene Nombre</v>
          </cell>
          <cell r="B25">
            <v>633000</v>
          </cell>
          <cell r="C25">
            <v>1267000</v>
          </cell>
          <cell r="D25">
            <v>1450000</v>
          </cell>
          <cell r="E25">
            <v>1733000</v>
          </cell>
          <cell r="F25">
            <v>1867000</v>
          </cell>
          <cell r="G25">
            <v>2000000</v>
          </cell>
          <cell r="H25">
            <v>2333000</v>
          </cell>
          <cell r="I25">
            <v>2667000</v>
          </cell>
          <cell r="J25">
            <v>3000000</v>
          </cell>
          <cell r="K25">
            <v>3500000</v>
          </cell>
          <cell r="L25">
            <v>4033000</v>
          </cell>
          <cell r="M25">
            <v>4600000</v>
          </cell>
          <cell r="N25">
            <v>4983000</v>
          </cell>
        </row>
        <row r="26">
          <cell r="A26" t="str">
            <v>Circo de Estrellas</v>
          </cell>
          <cell r="B26">
            <v>792000</v>
          </cell>
          <cell r="C26">
            <v>1583000</v>
          </cell>
          <cell r="D26">
            <v>1813000</v>
          </cell>
          <cell r="E26">
            <v>2167000</v>
          </cell>
          <cell r="F26">
            <v>2333000</v>
          </cell>
          <cell r="G26">
            <v>2500000</v>
          </cell>
          <cell r="H26">
            <v>2917000</v>
          </cell>
          <cell r="I26">
            <v>3333000</v>
          </cell>
          <cell r="J26">
            <v>3750000</v>
          </cell>
          <cell r="K26">
            <v>4375000</v>
          </cell>
          <cell r="L26">
            <v>5042000</v>
          </cell>
          <cell r="M26">
            <v>5750000</v>
          </cell>
          <cell r="N26">
            <v>6229000</v>
          </cell>
        </row>
        <row r="27">
          <cell r="A27" t="str">
            <v>CIRCO DETRÁS DE LA MAGIA</v>
          </cell>
          <cell r="B27">
            <v>443000</v>
          </cell>
          <cell r="C27">
            <v>887000</v>
          </cell>
          <cell r="D27">
            <v>1015000</v>
          </cell>
          <cell r="E27">
            <v>1213000</v>
          </cell>
          <cell r="F27">
            <v>1307000</v>
          </cell>
          <cell r="G27">
            <v>1400000</v>
          </cell>
          <cell r="H27">
            <v>1633000</v>
          </cell>
          <cell r="I27">
            <v>1867000</v>
          </cell>
          <cell r="J27">
            <v>2100000</v>
          </cell>
          <cell r="K27">
            <v>2450000</v>
          </cell>
          <cell r="L27">
            <v>2823000</v>
          </cell>
          <cell r="M27">
            <v>3220000</v>
          </cell>
          <cell r="N27">
            <v>3488000</v>
          </cell>
        </row>
        <row r="28">
          <cell r="A28" t="str">
            <v>Abre los Ojos</v>
          </cell>
          <cell r="B28">
            <v>570000</v>
          </cell>
          <cell r="C28">
            <v>1140000</v>
          </cell>
          <cell r="D28">
            <v>1305000</v>
          </cell>
          <cell r="E28">
            <v>1560000</v>
          </cell>
          <cell r="F28">
            <v>1680000</v>
          </cell>
          <cell r="G28">
            <v>1800000</v>
          </cell>
          <cell r="H28">
            <v>2100000</v>
          </cell>
          <cell r="I28">
            <v>2400000</v>
          </cell>
          <cell r="J28">
            <v>2700000</v>
          </cell>
          <cell r="K28">
            <v>3150000</v>
          </cell>
          <cell r="L28">
            <v>3630000</v>
          </cell>
          <cell r="M28">
            <v>4140000</v>
          </cell>
          <cell r="N28">
            <v>4485000</v>
          </cell>
        </row>
        <row r="29">
          <cell r="A29" t="str">
            <v>FINAL PELOTON PARTE I</v>
          </cell>
          <cell r="B29">
            <v>792000</v>
          </cell>
          <cell r="C29">
            <v>1583000</v>
          </cell>
          <cell r="D29">
            <v>1813000</v>
          </cell>
          <cell r="E29">
            <v>2167000</v>
          </cell>
          <cell r="F29">
            <v>2333000</v>
          </cell>
          <cell r="G29">
            <v>2500000</v>
          </cell>
          <cell r="H29">
            <v>2917000</v>
          </cell>
          <cell r="I29">
            <v>3333000</v>
          </cell>
          <cell r="J29">
            <v>3750000</v>
          </cell>
          <cell r="K29">
            <v>4375000</v>
          </cell>
          <cell r="L29">
            <v>5042000</v>
          </cell>
          <cell r="M29">
            <v>5750000</v>
          </cell>
          <cell r="N29">
            <v>6229000</v>
          </cell>
        </row>
        <row r="30">
          <cell r="A30" t="str">
            <v>Final Pelotón Parte II</v>
          </cell>
          <cell r="B30">
            <v>950000</v>
          </cell>
          <cell r="C30">
            <v>1900000</v>
          </cell>
          <cell r="D30">
            <v>2175000</v>
          </cell>
          <cell r="E30">
            <v>2600000</v>
          </cell>
          <cell r="F30">
            <v>2800000</v>
          </cell>
          <cell r="G30">
            <v>3000000</v>
          </cell>
          <cell r="H30">
            <v>3500000</v>
          </cell>
          <cell r="I30">
            <v>4000000</v>
          </cell>
          <cell r="J30">
            <v>4500000</v>
          </cell>
          <cell r="K30">
            <v>5250000</v>
          </cell>
          <cell r="L30">
            <v>6050000</v>
          </cell>
          <cell r="M30">
            <v>6900000</v>
          </cell>
          <cell r="N30">
            <v>7475000</v>
          </cell>
        </row>
        <row r="31">
          <cell r="A31" t="str">
            <v>SUDAFRICA MIA</v>
          </cell>
          <cell r="B31">
            <v>697000</v>
          </cell>
          <cell r="C31">
            <v>1393000</v>
          </cell>
          <cell r="D31">
            <v>1595000</v>
          </cell>
          <cell r="E31">
            <v>1907000</v>
          </cell>
          <cell r="F31">
            <v>2053000</v>
          </cell>
          <cell r="G31">
            <v>2200000</v>
          </cell>
          <cell r="H31">
            <v>2567000</v>
          </cell>
          <cell r="I31">
            <v>2933000</v>
          </cell>
          <cell r="J31">
            <v>3300000</v>
          </cell>
          <cell r="K31">
            <v>3850000</v>
          </cell>
          <cell r="L31">
            <v>4437000</v>
          </cell>
          <cell r="M31">
            <v>5060000</v>
          </cell>
          <cell r="N31">
            <v>5482000</v>
          </cell>
        </row>
        <row r="33">
          <cell r="A33" t="str">
            <v>MEDIANOCHE L-J</v>
          </cell>
          <cell r="B33">
            <v>238000</v>
          </cell>
          <cell r="C33">
            <v>475000</v>
          </cell>
          <cell r="D33">
            <v>544000</v>
          </cell>
          <cell r="E33">
            <v>650000</v>
          </cell>
          <cell r="F33">
            <v>700000</v>
          </cell>
          <cell r="G33">
            <v>750000</v>
          </cell>
          <cell r="H33">
            <v>875000</v>
          </cell>
          <cell r="I33">
            <v>1000000</v>
          </cell>
          <cell r="J33">
            <v>1125000</v>
          </cell>
          <cell r="K33">
            <v>1313000</v>
          </cell>
          <cell r="L33">
            <v>1513000</v>
          </cell>
          <cell r="M33">
            <v>1725000</v>
          </cell>
          <cell r="N33">
            <v>1869000</v>
          </cell>
        </row>
        <row r="34">
          <cell r="A34" t="str">
            <v>MEDIANOCHE V</v>
          </cell>
          <cell r="B34">
            <v>285000</v>
          </cell>
          <cell r="C34">
            <v>570000</v>
          </cell>
          <cell r="D34">
            <v>653000</v>
          </cell>
          <cell r="E34">
            <v>780000</v>
          </cell>
          <cell r="F34">
            <v>840000</v>
          </cell>
          <cell r="G34">
            <v>900000</v>
          </cell>
          <cell r="H34">
            <v>1050000</v>
          </cell>
          <cell r="I34">
            <v>1200000</v>
          </cell>
          <cell r="J34">
            <v>1350000</v>
          </cell>
          <cell r="K34">
            <v>1575000</v>
          </cell>
          <cell r="L34">
            <v>1815000</v>
          </cell>
          <cell r="M34">
            <v>2070000</v>
          </cell>
          <cell r="N34">
            <v>2243000</v>
          </cell>
        </row>
        <row r="35">
          <cell r="A35" t="str">
            <v>TV Tiempo Final</v>
          </cell>
          <cell r="B35">
            <v>238000</v>
          </cell>
          <cell r="C35">
            <v>475000</v>
          </cell>
          <cell r="D35">
            <v>544000</v>
          </cell>
          <cell r="E35">
            <v>650000</v>
          </cell>
          <cell r="F35">
            <v>700000</v>
          </cell>
          <cell r="G35">
            <v>750000</v>
          </cell>
          <cell r="H35">
            <v>875000</v>
          </cell>
          <cell r="I35">
            <v>1000000</v>
          </cell>
          <cell r="J35">
            <v>1125000</v>
          </cell>
          <cell r="K35">
            <v>1313000</v>
          </cell>
          <cell r="L35">
            <v>1513000</v>
          </cell>
          <cell r="M35">
            <v>1725000</v>
          </cell>
          <cell r="N35">
            <v>1869000</v>
          </cell>
        </row>
        <row r="36">
          <cell r="A36" t="str">
            <v>Alguien te Mira ®</v>
          </cell>
          <cell r="B36">
            <v>174000</v>
          </cell>
          <cell r="C36">
            <v>348000</v>
          </cell>
          <cell r="D36">
            <v>399000</v>
          </cell>
          <cell r="E36">
            <v>477000</v>
          </cell>
          <cell r="F36">
            <v>513000</v>
          </cell>
          <cell r="G36">
            <v>550000</v>
          </cell>
          <cell r="H36">
            <v>642000</v>
          </cell>
          <cell r="I36">
            <v>733000</v>
          </cell>
          <cell r="J36">
            <v>825000</v>
          </cell>
          <cell r="K36">
            <v>963000</v>
          </cell>
          <cell r="L36">
            <v>1109000</v>
          </cell>
          <cell r="M36">
            <v>1265000</v>
          </cell>
          <cell r="N36">
            <v>1370000</v>
          </cell>
        </row>
        <row r="37">
          <cell r="A37" t="str">
            <v>Zona D: Grandes Directores</v>
          </cell>
          <cell r="B37">
            <v>174000</v>
          </cell>
          <cell r="C37">
            <v>348000</v>
          </cell>
          <cell r="D37">
            <v>399000</v>
          </cell>
          <cell r="E37">
            <v>477000</v>
          </cell>
          <cell r="F37">
            <v>513000</v>
          </cell>
          <cell r="G37">
            <v>550000</v>
          </cell>
          <cell r="H37">
            <v>642000</v>
          </cell>
          <cell r="I37">
            <v>733000</v>
          </cell>
          <cell r="J37">
            <v>825000</v>
          </cell>
          <cell r="K37">
            <v>963000</v>
          </cell>
          <cell r="L37">
            <v>1109000</v>
          </cell>
          <cell r="M37">
            <v>1265000</v>
          </cell>
          <cell r="N37">
            <v>1370000</v>
          </cell>
        </row>
        <row r="38">
          <cell r="A38" t="str">
            <v>Zoom Mundial</v>
          </cell>
          <cell r="B38">
            <v>174000</v>
          </cell>
          <cell r="C38">
            <v>348000</v>
          </cell>
          <cell r="D38">
            <v>399000</v>
          </cell>
          <cell r="E38">
            <v>477000</v>
          </cell>
          <cell r="F38">
            <v>513000</v>
          </cell>
          <cell r="G38">
            <v>550000</v>
          </cell>
          <cell r="H38">
            <v>642000</v>
          </cell>
          <cell r="I38">
            <v>733000</v>
          </cell>
          <cell r="J38">
            <v>825000</v>
          </cell>
          <cell r="K38">
            <v>963000</v>
          </cell>
          <cell r="L38">
            <v>1109000</v>
          </cell>
          <cell r="M38">
            <v>1265000</v>
          </cell>
          <cell r="N38">
            <v>1370000</v>
          </cell>
        </row>
        <row r="41">
          <cell r="A41" t="str">
            <v>24 Horas a la Hora</v>
          </cell>
          <cell r="B41">
            <v>51000</v>
          </cell>
          <cell r="C41">
            <v>101000</v>
          </cell>
          <cell r="D41">
            <v>116000</v>
          </cell>
          <cell r="E41">
            <v>139000</v>
          </cell>
          <cell r="F41">
            <v>149000</v>
          </cell>
          <cell r="G41">
            <v>160000</v>
          </cell>
          <cell r="H41">
            <v>187000</v>
          </cell>
          <cell r="I41">
            <v>213000</v>
          </cell>
          <cell r="J41">
            <v>240000</v>
          </cell>
          <cell r="K41">
            <v>280000</v>
          </cell>
          <cell r="L41">
            <v>323000</v>
          </cell>
          <cell r="M41">
            <v>368000</v>
          </cell>
          <cell r="N41">
            <v>399000</v>
          </cell>
        </row>
        <row r="42">
          <cell r="A42" t="str">
            <v>24 Horas en la Mañana</v>
          </cell>
          <cell r="B42">
            <v>143000</v>
          </cell>
          <cell r="C42">
            <v>285000</v>
          </cell>
          <cell r="D42">
            <v>326000</v>
          </cell>
          <cell r="E42">
            <v>390000</v>
          </cell>
          <cell r="F42">
            <v>420000</v>
          </cell>
          <cell r="G42">
            <v>450000</v>
          </cell>
          <cell r="H42">
            <v>525000</v>
          </cell>
          <cell r="I42">
            <v>600000</v>
          </cell>
          <cell r="J42">
            <v>675000</v>
          </cell>
          <cell r="K42">
            <v>788000</v>
          </cell>
          <cell r="L42">
            <v>908000</v>
          </cell>
          <cell r="M42">
            <v>1035000</v>
          </cell>
          <cell r="N42">
            <v>1121000</v>
          </cell>
        </row>
        <row r="43">
          <cell r="A43" t="str">
            <v>BUENOS DIAS A TODOS (A)</v>
          </cell>
          <cell r="B43">
            <v>206000</v>
          </cell>
          <cell r="C43">
            <v>412000</v>
          </cell>
          <cell r="D43">
            <v>471000</v>
          </cell>
          <cell r="E43">
            <v>563000</v>
          </cell>
          <cell r="F43">
            <v>607000</v>
          </cell>
          <cell r="G43">
            <v>650000</v>
          </cell>
          <cell r="H43">
            <v>758000</v>
          </cell>
          <cell r="I43">
            <v>867000</v>
          </cell>
          <cell r="J43">
            <v>975000</v>
          </cell>
          <cell r="K43">
            <v>1138000</v>
          </cell>
          <cell r="L43">
            <v>1311000</v>
          </cell>
          <cell r="M43">
            <v>1495000</v>
          </cell>
          <cell r="N43">
            <v>1620000</v>
          </cell>
        </row>
        <row r="44">
          <cell r="A44" t="str">
            <v>BUENOS DIAS A TODOS (B)</v>
          </cell>
          <cell r="B44">
            <v>190000</v>
          </cell>
          <cell r="C44">
            <v>380000</v>
          </cell>
          <cell r="D44">
            <v>435000</v>
          </cell>
          <cell r="E44">
            <v>520000</v>
          </cell>
          <cell r="F44">
            <v>560000</v>
          </cell>
          <cell r="G44">
            <v>600000</v>
          </cell>
          <cell r="H44">
            <v>700000</v>
          </cell>
          <cell r="I44">
            <v>800000</v>
          </cell>
          <cell r="J44">
            <v>900000</v>
          </cell>
          <cell r="K44">
            <v>1050000</v>
          </cell>
          <cell r="L44">
            <v>1210000</v>
          </cell>
          <cell r="M44">
            <v>1380000</v>
          </cell>
          <cell r="N44">
            <v>1495000</v>
          </cell>
        </row>
        <row r="45">
          <cell r="A45" t="str">
            <v>BUENOS DIAS A TODOS (C)</v>
          </cell>
          <cell r="B45">
            <v>174000</v>
          </cell>
          <cell r="C45">
            <v>348000</v>
          </cell>
          <cell r="D45">
            <v>399000</v>
          </cell>
          <cell r="E45">
            <v>477000</v>
          </cell>
          <cell r="F45">
            <v>513000</v>
          </cell>
          <cell r="G45">
            <v>550000</v>
          </cell>
          <cell r="H45">
            <v>642000</v>
          </cell>
          <cell r="I45">
            <v>733000</v>
          </cell>
          <cell r="J45">
            <v>825000</v>
          </cell>
          <cell r="K45">
            <v>963000</v>
          </cell>
          <cell r="L45">
            <v>1109000</v>
          </cell>
          <cell r="M45">
            <v>1265000</v>
          </cell>
          <cell r="N45">
            <v>1370000</v>
          </cell>
        </row>
        <row r="46">
          <cell r="A46" t="str">
            <v>BUENOS DIAS A TODOS (D)</v>
          </cell>
          <cell r="B46">
            <v>143000</v>
          </cell>
          <cell r="C46">
            <v>285000</v>
          </cell>
          <cell r="D46">
            <v>326000</v>
          </cell>
          <cell r="E46">
            <v>390000</v>
          </cell>
          <cell r="F46">
            <v>420000</v>
          </cell>
          <cell r="G46">
            <v>450000</v>
          </cell>
          <cell r="H46">
            <v>525000</v>
          </cell>
          <cell r="I46">
            <v>600000</v>
          </cell>
          <cell r="J46">
            <v>675000</v>
          </cell>
          <cell r="K46">
            <v>788000</v>
          </cell>
          <cell r="L46">
            <v>908000</v>
          </cell>
          <cell r="M46">
            <v>1035000</v>
          </cell>
          <cell r="N46">
            <v>1121000</v>
          </cell>
        </row>
        <row r="47">
          <cell r="A47" t="str">
            <v>EL MENU DE TVITO</v>
          </cell>
          <cell r="B47">
            <v>95000</v>
          </cell>
          <cell r="C47">
            <v>190000</v>
          </cell>
          <cell r="D47">
            <v>218000</v>
          </cell>
          <cell r="E47">
            <v>260000</v>
          </cell>
          <cell r="F47">
            <v>280000</v>
          </cell>
          <cell r="G47">
            <v>300000</v>
          </cell>
          <cell r="H47">
            <v>350000</v>
          </cell>
          <cell r="I47">
            <v>400000</v>
          </cell>
          <cell r="J47">
            <v>450000</v>
          </cell>
          <cell r="K47">
            <v>525000</v>
          </cell>
          <cell r="L47">
            <v>605000</v>
          </cell>
          <cell r="M47">
            <v>690000</v>
          </cell>
          <cell r="N47">
            <v>748000</v>
          </cell>
        </row>
        <row r="48">
          <cell r="A48" t="str">
            <v>PELOTON LO MEJOR</v>
          </cell>
          <cell r="B48">
            <v>95000</v>
          </cell>
          <cell r="C48">
            <v>190000</v>
          </cell>
          <cell r="D48">
            <v>218000</v>
          </cell>
          <cell r="E48">
            <v>260000</v>
          </cell>
          <cell r="F48">
            <v>280000</v>
          </cell>
          <cell r="G48">
            <v>300000</v>
          </cell>
          <cell r="H48">
            <v>350000</v>
          </cell>
          <cell r="I48">
            <v>400000</v>
          </cell>
          <cell r="J48">
            <v>450000</v>
          </cell>
          <cell r="K48">
            <v>525000</v>
          </cell>
          <cell r="L48">
            <v>605000</v>
          </cell>
          <cell r="M48">
            <v>690000</v>
          </cell>
          <cell r="N48">
            <v>748000</v>
          </cell>
        </row>
        <row r="49">
          <cell r="A49" t="str">
            <v>24 HORAS AL DIA L-V</v>
          </cell>
          <cell r="B49">
            <v>174000</v>
          </cell>
          <cell r="C49">
            <v>348000</v>
          </cell>
          <cell r="D49">
            <v>399000</v>
          </cell>
          <cell r="E49">
            <v>477000</v>
          </cell>
          <cell r="F49">
            <v>513000</v>
          </cell>
          <cell r="G49">
            <v>550000</v>
          </cell>
          <cell r="H49">
            <v>642000</v>
          </cell>
          <cell r="I49">
            <v>733000</v>
          </cell>
          <cell r="J49">
            <v>825000</v>
          </cell>
          <cell r="K49">
            <v>963000</v>
          </cell>
          <cell r="L49">
            <v>1109000</v>
          </cell>
          <cell r="M49">
            <v>1265000</v>
          </cell>
          <cell r="N49">
            <v>1370000</v>
          </cell>
        </row>
        <row r="50">
          <cell r="A50" t="str">
            <v>Los Venegas</v>
          </cell>
          <cell r="B50">
            <v>127000</v>
          </cell>
          <cell r="C50">
            <v>253000</v>
          </cell>
          <cell r="D50">
            <v>290000</v>
          </cell>
          <cell r="E50">
            <v>347000</v>
          </cell>
          <cell r="F50">
            <v>373000</v>
          </cell>
          <cell r="G50">
            <v>400000</v>
          </cell>
          <cell r="H50">
            <v>467000</v>
          </cell>
          <cell r="I50">
            <v>533000</v>
          </cell>
          <cell r="J50">
            <v>600000</v>
          </cell>
          <cell r="K50">
            <v>700000</v>
          </cell>
          <cell r="L50">
            <v>807000</v>
          </cell>
          <cell r="M50">
            <v>920000</v>
          </cell>
          <cell r="N50">
            <v>997000</v>
          </cell>
        </row>
        <row r="51">
          <cell r="A51" t="str">
            <v>CUANDO SEAS MIA</v>
          </cell>
          <cell r="B51">
            <v>95000</v>
          </cell>
          <cell r="C51">
            <v>190000</v>
          </cell>
          <cell r="D51">
            <v>218000</v>
          </cell>
          <cell r="E51">
            <v>260000</v>
          </cell>
          <cell r="F51">
            <v>280000</v>
          </cell>
          <cell r="G51">
            <v>300000</v>
          </cell>
          <cell r="H51">
            <v>350000</v>
          </cell>
          <cell r="I51">
            <v>400000</v>
          </cell>
          <cell r="J51">
            <v>450000</v>
          </cell>
          <cell r="K51">
            <v>525000</v>
          </cell>
          <cell r="L51">
            <v>605000</v>
          </cell>
          <cell r="M51">
            <v>690000</v>
          </cell>
          <cell r="N51">
            <v>748000</v>
          </cell>
        </row>
        <row r="52">
          <cell r="A52" t="str">
            <v>ROMANE ®</v>
          </cell>
          <cell r="B52">
            <v>95000</v>
          </cell>
          <cell r="C52">
            <v>190000</v>
          </cell>
          <cell r="D52">
            <v>218000</v>
          </cell>
          <cell r="E52">
            <v>260000</v>
          </cell>
          <cell r="F52">
            <v>280000</v>
          </cell>
          <cell r="G52">
            <v>300000</v>
          </cell>
          <cell r="H52">
            <v>350000</v>
          </cell>
          <cell r="I52">
            <v>400000</v>
          </cell>
          <cell r="J52">
            <v>450000</v>
          </cell>
          <cell r="K52">
            <v>525000</v>
          </cell>
          <cell r="L52">
            <v>605000</v>
          </cell>
          <cell r="M52">
            <v>690000</v>
          </cell>
          <cell r="N52">
            <v>748000</v>
          </cell>
        </row>
        <row r="53">
          <cell r="A53" t="str">
            <v xml:space="preserve">PELOTON PM </v>
          </cell>
          <cell r="B53">
            <v>127000</v>
          </cell>
          <cell r="C53">
            <v>253000</v>
          </cell>
          <cell r="D53">
            <v>290000</v>
          </cell>
          <cell r="E53">
            <v>347000</v>
          </cell>
          <cell r="F53">
            <v>373000</v>
          </cell>
          <cell r="G53">
            <v>400000</v>
          </cell>
          <cell r="H53">
            <v>467000</v>
          </cell>
          <cell r="I53">
            <v>533000</v>
          </cell>
          <cell r="J53">
            <v>600000</v>
          </cell>
          <cell r="K53">
            <v>700000</v>
          </cell>
          <cell r="L53">
            <v>807000</v>
          </cell>
          <cell r="M53">
            <v>920000</v>
          </cell>
          <cell r="N53">
            <v>997000</v>
          </cell>
        </row>
        <row r="54">
          <cell r="A54" t="str">
            <v>CALLE 7 A</v>
          </cell>
          <cell r="B54">
            <v>143000</v>
          </cell>
          <cell r="C54">
            <v>285000</v>
          </cell>
          <cell r="D54">
            <v>326000</v>
          </cell>
          <cell r="E54">
            <v>390000</v>
          </cell>
          <cell r="F54">
            <v>420000</v>
          </cell>
          <cell r="G54">
            <v>450000</v>
          </cell>
          <cell r="H54">
            <v>525000</v>
          </cell>
          <cell r="I54">
            <v>600000</v>
          </cell>
          <cell r="J54">
            <v>675000</v>
          </cell>
          <cell r="K54">
            <v>788000</v>
          </cell>
          <cell r="L54">
            <v>908000</v>
          </cell>
          <cell r="M54">
            <v>1035000</v>
          </cell>
          <cell r="N54">
            <v>1121000</v>
          </cell>
        </row>
        <row r="55">
          <cell r="A55" t="str">
            <v>CALLE 7 B</v>
          </cell>
          <cell r="B55">
            <v>222000</v>
          </cell>
          <cell r="C55">
            <v>443000</v>
          </cell>
          <cell r="D55">
            <v>508000</v>
          </cell>
          <cell r="E55">
            <v>607000</v>
          </cell>
          <cell r="F55">
            <v>653000</v>
          </cell>
          <cell r="G55">
            <v>700000</v>
          </cell>
          <cell r="H55">
            <v>817000</v>
          </cell>
          <cell r="I55">
            <v>933000</v>
          </cell>
          <cell r="J55">
            <v>1050000</v>
          </cell>
          <cell r="K55">
            <v>1225000</v>
          </cell>
          <cell r="L55">
            <v>1412000</v>
          </cell>
          <cell r="M55">
            <v>1610000</v>
          </cell>
          <cell r="N55">
            <v>1744000</v>
          </cell>
        </row>
        <row r="57">
          <cell r="A57" t="str">
            <v>DIBUJOS ANIMADOS S</v>
          </cell>
          <cell r="B57">
            <v>57000</v>
          </cell>
          <cell r="C57">
            <v>114000</v>
          </cell>
          <cell r="D57">
            <v>131000</v>
          </cell>
          <cell r="E57">
            <v>156000</v>
          </cell>
          <cell r="F57">
            <v>168000</v>
          </cell>
          <cell r="G57">
            <v>180000</v>
          </cell>
          <cell r="H57">
            <v>210000</v>
          </cell>
          <cell r="I57">
            <v>240000</v>
          </cell>
          <cell r="J57">
            <v>270000</v>
          </cell>
          <cell r="K57">
            <v>315000</v>
          </cell>
          <cell r="L57">
            <v>363000</v>
          </cell>
          <cell r="M57">
            <v>414000</v>
          </cell>
          <cell r="N57">
            <v>449000</v>
          </cell>
        </row>
        <row r="58">
          <cell r="A58" t="str">
            <v>POP CORN</v>
          </cell>
          <cell r="B58">
            <v>57000</v>
          </cell>
          <cell r="C58">
            <v>114000</v>
          </cell>
          <cell r="D58">
            <v>131000</v>
          </cell>
          <cell r="E58">
            <v>156000</v>
          </cell>
          <cell r="F58">
            <v>168000</v>
          </cell>
          <cell r="G58">
            <v>180000</v>
          </cell>
          <cell r="H58">
            <v>210000</v>
          </cell>
          <cell r="I58">
            <v>240000</v>
          </cell>
          <cell r="J58">
            <v>270000</v>
          </cell>
          <cell r="K58">
            <v>315000</v>
          </cell>
          <cell r="L58">
            <v>363000</v>
          </cell>
          <cell r="M58">
            <v>414000</v>
          </cell>
          <cell r="N58">
            <v>449000</v>
          </cell>
        </row>
        <row r="59">
          <cell r="A59" t="str">
            <v>Hombre al Agua ®</v>
          </cell>
          <cell r="B59">
            <v>57000</v>
          </cell>
          <cell r="C59">
            <v>114000</v>
          </cell>
          <cell r="D59">
            <v>131000</v>
          </cell>
          <cell r="E59">
            <v>156000</v>
          </cell>
          <cell r="F59">
            <v>168000</v>
          </cell>
          <cell r="G59">
            <v>180000</v>
          </cell>
          <cell r="H59">
            <v>210000</v>
          </cell>
          <cell r="I59">
            <v>240000</v>
          </cell>
          <cell r="J59">
            <v>270000</v>
          </cell>
          <cell r="K59">
            <v>315000</v>
          </cell>
          <cell r="L59">
            <v>363000</v>
          </cell>
          <cell r="M59">
            <v>414000</v>
          </cell>
          <cell r="N59">
            <v>449000</v>
          </cell>
        </row>
        <row r="60">
          <cell r="A60" t="str">
            <v>PELOTON LAS COMPETENCIAS</v>
          </cell>
          <cell r="B60">
            <v>143000</v>
          </cell>
          <cell r="C60">
            <v>285000</v>
          </cell>
          <cell r="D60">
            <v>326000</v>
          </cell>
          <cell r="E60">
            <v>390000</v>
          </cell>
          <cell r="F60">
            <v>420000</v>
          </cell>
          <cell r="G60">
            <v>450000</v>
          </cell>
          <cell r="H60">
            <v>525000</v>
          </cell>
          <cell r="I60">
            <v>600000</v>
          </cell>
          <cell r="J60">
            <v>675000</v>
          </cell>
          <cell r="K60">
            <v>788000</v>
          </cell>
          <cell r="L60">
            <v>908000</v>
          </cell>
          <cell r="M60">
            <v>1035000</v>
          </cell>
          <cell r="N60">
            <v>1121000</v>
          </cell>
        </row>
        <row r="61">
          <cell r="A61" t="str">
            <v>24 HORAS AL DIA S</v>
          </cell>
          <cell r="B61">
            <v>158000</v>
          </cell>
          <cell r="C61">
            <v>317000</v>
          </cell>
          <cell r="D61">
            <v>363000</v>
          </cell>
          <cell r="E61">
            <v>433000</v>
          </cell>
          <cell r="F61">
            <v>467000</v>
          </cell>
          <cell r="G61">
            <v>500000</v>
          </cell>
          <cell r="H61">
            <v>583000</v>
          </cell>
          <cell r="I61">
            <v>667000</v>
          </cell>
          <cell r="J61">
            <v>750000</v>
          </cell>
          <cell r="K61">
            <v>875000</v>
          </cell>
          <cell r="L61">
            <v>1008000</v>
          </cell>
          <cell r="M61">
            <v>1150000</v>
          </cell>
          <cell r="N61">
            <v>1246000</v>
          </cell>
        </row>
        <row r="62">
          <cell r="A62" t="str">
            <v>Zona D: Reportajes</v>
          </cell>
          <cell r="B62">
            <v>143000</v>
          </cell>
          <cell r="C62">
            <v>285000</v>
          </cell>
          <cell r="D62">
            <v>326000</v>
          </cell>
          <cell r="E62">
            <v>390000</v>
          </cell>
          <cell r="F62">
            <v>420000</v>
          </cell>
          <cell r="G62">
            <v>450000</v>
          </cell>
          <cell r="H62">
            <v>525000</v>
          </cell>
          <cell r="I62">
            <v>600000</v>
          </cell>
          <cell r="J62">
            <v>675000</v>
          </cell>
          <cell r="K62">
            <v>788000</v>
          </cell>
          <cell r="L62">
            <v>908000</v>
          </cell>
          <cell r="M62">
            <v>1035000</v>
          </cell>
          <cell r="N62">
            <v>1121000</v>
          </cell>
        </row>
        <row r="63">
          <cell r="A63" t="str">
            <v>EL MENU DE TVITO S</v>
          </cell>
          <cell r="B63">
            <v>127000</v>
          </cell>
          <cell r="C63">
            <v>253000</v>
          </cell>
          <cell r="D63">
            <v>290000</v>
          </cell>
          <cell r="E63">
            <v>347000</v>
          </cell>
          <cell r="F63">
            <v>373000</v>
          </cell>
          <cell r="G63">
            <v>400000</v>
          </cell>
          <cell r="H63">
            <v>467000</v>
          </cell>
          <cell r="I63">
            <v>533000</v>
          </cell>
          <cell r="J63">
            <v>600000</v>
          </cell>
          <cell r="K63">
            <v>700000</v>
          </cell>
          <cell r="L63">
            <v>807000</v>
          </cell>
          <cell r="M63">
            <v>920000</v>
          </cell>
          <cell r="N63">
            <v>997000</v>
          </cell>
        </row>
        <row r="64">
          <cell r="A64" t="str">
            <v>SUPER CINE S</v>
          </cell>
          <cell r="B64">
            <v>158000</v>
          </cell>
          <cell r="C64">
            <v>317000</v>
          </cell>
          <cell r="D64">
            <v>363000</v>
          </cell>
          <cell r="E64">
            <v>433000</v>
          </cell>
          <cell r="F64">
            <v>467000</v>
          </cell>
          <cell r="G64">
            <v>500000</v>
          </cell>
          <cell r="H64">
            <v>583000</v>
          </cell>
          <cell r="I64">
            <v>667000</v>
          </cell>
          <cell r="J64">
            <v>750000</v>
          </cell>
          <cell r="K64">
            <v>875000</v>
          </cell>
          <cell r="L64">
            <v>1008000</v>
          </cell>
          <cell r="M64">
            <v>1150000</v>
          </cell>
          <cell r="N64">
            <v>1246000</v>
          </cell>
        </row>
        <row r="66">
          <cell r="A66" t="str">
            <v>Tronia Kids</v>
          </cell>
          <cell r="B66">
            <v>57000</v>
          </cell>
          <cell r="C66">
            <v>114000</v>
          </cell>
          <cell r="D66">
            <v>131000</v>
          </cell>
          <cell r="E66">
            <v>156000</v>
          </cell>
          <cell r="F66">
            <v>168000</v>
          </cell>
          <cell r="G66">
            <v>180000</v>
          </cell>
          <cell r="H66">
            <v>210000</v>
          </cell>
          <cell r="I66">
            <v>240000</v>
          </cell>
          <cell r="J66">
            <v>270000</v>
          </cell>
          <cell r="K66">
            <v>315000</v>
          </cell>
          <cell r="L66">
            <v>363000</v>
          </cell>
          <cell r="M66">
            <v>414000</v>
          </cell>
          <cell r="N66">
            <v>449000</v>
          </cell>
        </row>
        <row r="67">
          <cell r="A67" t="str">
            <v>Estado Nacional</v>
          </cell>
          <cell r="B67">
            <v>57000</v>
          </cell>
          <cell r="C67">
            <v>114000</v>
          </cell>
          <cell r="D67">
            <v>131000</v>
          </cell>
          <cell r="E67">
            <v>156000</v>
          </cell>
          <cell r="F67">
            <v>168000</v>
          </cell>
          <cell r="G67">
            <v>180000</v>
          </cell>
          <cell r="H67">
            <v>210000</v>
          </cell>
          <cell r="I67">
            <v>240000</v>
          </cell>
          <cell r="J67">
            <v>270000</v>
          </cell>
          <cell r="K67">
            <v>315000</v>
          </cell>
          <cell r="L67">
            <v>363000</v>
          </cell>
          <cell r="M67">
            <v>414000</v>
          </cell>
          <cell r="N67">
            <v>449000</v>
          </cell>
        </row>
        <row r="68">
          <cell r="A68" t="str">
            <v>BUENOS DIAS A TODOS ®</v>
          </cell>
          <cell r="B68">
            <v>206000</v>
          </cell>
          <cell r="C68">
            <v>412000</v>
          </cell>
          <cell r="D68">
            <v>471000</v>
          </cell>
          <cell r="E68">
            <v>563000</v>
          </cell>
          <cell r="F68">
            <v>607000</v>
          </cell>
          <cell r="G68">
            <v>650000</v>
          </cell>
          <cell r="H68">
            <v>758000</v>
          </cell>
          <cell r="I68">
            <v>867000</v>
          </cell>
          <cell r="J68">
            <v>975000</v>
          </cell>
          <cell r="K68">
            <v>1138000</v>
          </cell>
          <cell r="L68">
            <v>1311000</v>
          </cell>
          <cell r="M68">
            <v>1495000</v>
          </cell>
          <cell r="N68">
            <v>1620000</v>
          </cell>
        </row>
        <row r="69">
          <cell r="A69" t="str">
            <v>24 HORAS AL DIA D</v>
          </cell>
          <cell r="B69">
            <v>206000</v>
          </cell>
          <cell r="C69">
            <v>412000</v>
          </cell>
          <cell r="D69">
            <v>471000</v>
          </cell>
          <cell r="E69">
            <v>563000</v>
          </cell>
          <cell r="F69">
            <v>607000</v>
          </cell>
          <cell r="G69">
            <v>650000</v>
          </cell>
          <cell r="H69">
            <v>758000</v>
          </cell>
          <cell r="I69">
            <v>867000</v>
          </cell>
          <cell r="J69">
            <v>975000</v>
          </cell>
          <cell r="K69">
            <v>1138000</v>
          </cell>
          <cell r="L69">
            <v>1311000</v>
          </cell>
          <cell r="M69">
            <v>1495000</v>
          </cell>
          <cell r="N69">
            <v>1620000</v>
          </cell>
        </row>
        <row r="70">
          <cell r="A70" t="str">
            <v>Chile Conectado</v>
          </cell>
          <cell r="B70">
            <v>190000</v>
          </cell>
          <cell r="C70">
            <v>380000</v>
          </cell>
          <cell r="D70">
            <v>435000</v>
          </cell>
          <cell r="E70">
            <v>520000</v>
          </cell>
          <cell r="F70">
            <v>560000</v>
          </cell>
          <cell r="G70">
            <v>600000</v>
          </cell>
          <cell r="H70">
            <v>700000</v>
          </cell>
          <cell r="I70">
            <v>800000</v>
          </cell>
          <cell r="J70">
            <v>900000</v>
          </cell>
          <cell r="K70">
            <v>1050000</v>
          </cell>
          <cell r="L70">
            <v>1210000</v>
          </cell>
          <cell r="M70">
            <v>1380000</v>
          </cell>
          <cell r="N70">
            <v>1495000</v>
          </cell>
        </row>
        <row r="71">
          <cell r="A71" t="str">
            <v>FRUTOS DEL PAIS</v>
          </cell>
          <cell r="B71">
            <v>190000</v>
          </cell>
          <cell r="C71">
            <v>380000</v>
          </cell>
          <cell r="D71">
            <v>435000</v>
          </cell>
          <cell r="E71">
            <v>520000</v>
          </cell>
          <cell r="F71">
            <v>560000</v>
          </cell>
          <cell r="G71">
            <v>600000</v>
          </cell>
          <cell r="H71">
            <v>700000</v>
          </cell>
          <cell r="I71">
            <v>800000</v>
          </cell>
          <cell r="J71">
            <v>900000</v>
          </cell>
          <cell r="K71">
            <v>1050000</v>
          </cell>
          <cell r="L71">
            <v>1210000</v>
          </cell>
          <cell r="M71">
            <v>1380000</v>
          </cell>
          <cell r="N71">
            <v>1495000</v>
          </cell>
        </row>
        <row r="72">
          <cell r="A72" t="str">
            <v>La Cultura Entretenida</v>
          </cell>
          <cell r="B72">
            <v>158000</v>
          </cell>
          <cell r="C72">
            <v>317000</v>
          </cell>
          <cell r="D72">
            <v>363000</v>
          </cell>
          <cell r="E72">
            <v>433000</v>
          </cell>
          <cell r="F72">
            <v>467000</v>
          </cell>
          <cell r="G72">
            <v>500000</v>
          </cell>
          <cell r="H72">
            <v>583000</v>
          </cell>
          <cell r="I72">
            <v>667000</v>
          </cell>
          <cell r="J72">
            <v>750000</v>
          </cell>
          <cell r="K72">
            <v>875000</v>
          </cell>
          <cell r="L72">
            <v>1008000</v>
          </cell>
          <cell r="M72">
            <v>1150000</v>
          </cell>
          <cell r="N72">
            <v>1246000</v>
          </cell>
        </row>
        <row r="73">
          <cell r="A73" t="str">
            <v>Vive el Mundial</v>
          </cell>
          <cell r="B73">
            <v>253000</v>
          </cell>
          <cell r="C73">
            <v>507000</v>
          </cell>
          <cell r="D73">
            <v>580000</v>
          </cell>
          <cell r="E73">
            <v>693000</v>
          </cell>
          <cell r="F73">
            <v>747000</v>
          </cell>
          <cell r="G73">
            <v>800000</v>
          </cell>
          <cell r="H73">
            <v>933000</v>
          </cell>
          <cell r="I73">
            <v>1067000</v>
          </cell>
          <cell r="J73">
            <v>1200000</v>
          </cell>
          <cell r="K73">
            <v>1400000</v>
          </cell>
          <cell r="L73">
            <v>1613000</v>
          </cell>
          <cell r="M73">
            <v>1840000</v>
          </cell>
          <cell r="N73">
            <v>1993000</v>
          </cell>
        </row>
        <row r="74">
          <cell r="A74" t="str">
            <v>SUPER CINE D</v>
          </cell>
          <cell r="B74">
            <v>158000</v>
          </cell>
          <cell r="C74">
            <v>317000</v>
          </cell>
          <cell r="D74">
            <v>363000</v>
          </cell>
          <cell r="E74">
            <v>433000</v>
          </cell>
          <cell r="F74">
            <v>467000</v>
          </cell>
          <cell r="G74">
            <v>500000</v>
          </cell>
          <cell r="H74">
            <v>583000</v>
          </cell>
          <cell r="I74">
            <v>667000</v>
          </cell>
          <cell r="J74">
            <v>750000</v>
          </cell>
          <cell r="K74">
            <v>875000</v>
          </cell>
          <cell r="L74">
            <v>1008000</v>
          </cell>
          <cell r="M74">
            <v>1150000</v>
          </cell>
          <cell r="N74">
            <v>1246000</v>
          </cell>
        </row>
      </sheetData>
      <sheetData sheetId="15">
        <row r="12">
          <cell r="L12" t="str">
            <v>24 HORAS CENTRALMW</v>
          </cell>
        </row>
        <row r="67">
          <cell r="L67" t="str">
            <v>PELOTONLMWJS</v>
          </cell>
          <cell r="M67" t="e">
            <v>#N/A</v>
          </cell>
        </row>
        <row r="68">
          <cell r="L68" t="str">
            <v>PELOTONW</v>
          </cell>
          <cell r="M68">
            <v>9.1</v>
          </cell>
        </row>
        <row r="69">
          <cell r="L69" t="str">
            <v>PELOTONJ</v>
          </cell>
          <cell r="M69">
            <v>9.5</v>
          </cell>
        </row>
        <row r="70">
          <cell r="L70" t="str">
            <v>PELOTONM</v>
          </cell>
          <cell r="M70">
            <v>9.6999999999999993</v>
          </cell>
        </row>
        <row r="71">
          <cell r="L71" t="str">
            <v>PELOTONL</v>
          </cell>
          <cell r="M71">
            <v>9.6999999999999993</v>
          </cell>
        </row>
        <row r="72">
          <cell r="L72" t="str">
            <v>PELOTONS</v>
          </cell>
          <cell r="M72" t="e">
            <v>#N/A</v>
          </cell>
        </row>
        <row r="73">
          <cell r="L73" t="str">
            <v>PELOTONLMWJ</v>
          </cell>
          <cell r="M73">
            <v>9.5</v>
          </cell>
        </row>
      </sheetData>
      <sheetData sheetId="16"/>
      <sheetData sheetId="17"/>
      <sheetData sheetId="1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"/>
      <sheetName val="Rating1"/>
      <sheetName val="COL"/>
      <sheetName val="Hoja1"/>
      <sheetName val="Tarifa_PLUS"/>
      <sheetName val="Cuantificador_RM"/>
      <sheetName val="Cuantificador_TP"/>
      <sheetName val="Tarifa_PLUS2"/>
      <sheetName val="Tarifa_Preferencial"/>
      <sheetName val="Tarifa_PLUS1"/>
      <sheetName val="Tarifa_PLUS3"/>
      <sheetName val="Rk"/>
      <sheetName val="Tarifa_PLUS4"/>
      <sheetName val="Tarifa_PLUS5"/>
      <sheetName val="Cuantificador_RM1"/>
      <sheetName val="Cuantificador_TP1"/>
      <sheetName val="Tarifa_PLUS6"/>
      <sheetName val="Tarifa_Preferencial1"/>
      <sheetName val="Tarifa_PLU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A7" t="str">
            <v>Valor por segundaje</v>
          </cell>
          <cell r="C7" t="str">
            <v>5''</v>
          </cell>
          <cell r="D7" t="str">
            <v>10''</v>
          </cell>
          <cell r="E7" t="str">
            <v>15''</v>
          </cell>
          <cell r="F7" t="str">
            <v>20"</v>
          </cell>
          <cell r="G7" t="str">
            <v>25"</v>
          </cell>
          <cell r="H7" t="str">
            <v>30"</v>
          </cell>
          <cell r="I7" t="str">
            <v>35"</v>
          </cell>
          <cell r="J7" t="str">
            <v>40"</v>
          </cell>
          <cell r="K7" t="str">
            <v>45"</v>
          </cell>
          <cell r="L7" t="str">
            <v>50"</v>
          </cell>
          <cell r="M7" t="str">
            <v>55"</v>
          </cell>
          <cell r="N7" t="str">
            <v>60"</v>
          </cell>
          <cell r="O7" t="str">
            <v>65"</v>
          </cell>
        </row>
        <row r="8">
          <cell r="A8" t="str">
            <v>24 HORAS LU-VI PLUS</v>
          </cell>
          <cell r="C8">
            <v>19000</v>
          </cell>
          <cell r="D8">
            <v>38000</v>
          </cell>
          <cell r="E8">
            <v>44000</v>
          </cell>
          <cell r="F8">
            <v>52000</v>
          </cell>
          <cell r="G8">
            <v>56000</v>
          </cell>
          <cell r="H8">
            <v>60000</v>
          </cell>
          <cell r="I8">
            <v>70000</v>
          </cell>
          <cell r="J8">
            <v>80000</v>
          </cell>
          <cell r="K8">
            <v>90000</v>
          </cell>
          <cell r="L8">
            <v>105000</v>
          </cell>
          <cell r="M8">
            <v>121000</v>
          </cell>
          <cell r="N8">
            <v>138000</v>
          </cell>
          <cell r="O8">
            <v>150000</v>
          </cell>
        </row>
        <row r="9">
          <cell r="A9" t="str">
            <v>24 Horas Sábado Plus</v>
          </cell>
          <cell r="B9">
            <v>0</v>
          </cell>
          <cell r="C9">
            <v>19000</v>
          </cell>
          <cell r="D9">
            <v>38000</v>
          </cell>
          <cell r="E9">
            <v>44000</v>
          </cell>
          <cell r="F9">
            <v>52000</v>
          </cell>
          <cell r="G9">
            <v>56000</v>
          </cell>
          <cell r="H9">
            <v>60000</v>
          </cell>
          <cell r="I9">
            <v>70000</v>
          </cell>
          <cell r="J9">
            <v>80000</v>
          </cell>
          <cell r="K9">
            <v>90000</v>
          </cell>
          <cell r="L9">
            <v>105000</v>
          </cell>
          <cell r="M9">
            <v>121000</v>
          </cell>
          <cell r="N9">
            <v>138000</v>
          </cell>
          <cell r="O9">
            <v>150000</v>
          </cell>
        </row>
        <row r="10">
          <cell r="A10" t="str">
            <v>24 Horas Domingo Plus</v>
          </cell>
          <cell r="B10">
            <v>0</v>
          </cell>
          <cell r="C10">
            <v>19000</v>
          </cell>
          <cell r="D10">
            <v>38000</v>
          </cell>
          <cell r="E10">
            <v>44000</v>
          </cell>
          <cell r="F10">
            <v>52000</v>
          </cell>
          <cell r="G10">
            <v>56000</v>
          </cell>
          <cell r="H10">
            <v>60000</v>
          </cell>
          <cell r="I10">
            <v>70000</v>
          </cell>
          <cell r="J10">
            <v>80000</v>
          </cell>
          <cell r="K10">
            <v>90000</v>
          </cell>
          <cell r="L10">
            <v>105000</v>
          </cell>
          <cell r="M10">
            <v>121000</v>
          </cell>
          <cell r="N10">
            <v>138000</v>
          </cell>
          <cell r="O10">
            <v>150000</v>
          </cell>
        </row>
        <row r="12">
          <cell r="A12" t="str">
            <v>Domingo de Goles Plus</v>
          </cell>
          <cell r="C12">
            <v>16000</v>
          </cell>
          <cell r="D12">
            <v>32000</v>
          </cell>
          <cell r="E12">
            <v>36000</v>
          </cell>
          <cell r="F12">
            <v>43000</v>
          </cell>
          <cell r="G12">
            <v>47000</v>
          </cell>
          <cell r="H12">
            <v>50000</v>
          </cell>
          <cell r="I12">
            <v>58000</v>
          </cell>
          <cell r="J12">
            <v>67000</v>
          </cell>
          <cell r="K12">
            <v>75000</v>
          </cell>
          <cell r="L12">
            <v>88000</v>
          </cell>
          <cell r="M12">
            <v>101000</v>
          </cell>
          <cell r="N12">
            <v>115000</v>
          </cell>
          <cell r="O12">
            <v>124000</v>
          </cell>
        </row>
        <row r="13">
          <cell r="A13" t="str">
            <v>TU MAÑANA A PLUS</v>
          </cell>
          <cell r="B13">
            <v>0</v>
          </cell>
          <cell r="C13">
            <v>6000</v>
          </cell>
          <cell r="D13">
            <v>13000</v>
          </cell>
          <cell r="E13">
            <v>15000</v>
          </cell>
          <cell r="F13">
            <v>17000</v>
          </cell>
          <cell r="G13">
            <v>19000</v>
          </cell>
          <cell r="H13">
            <v>20000</v>
          </cell>
          <cell r="I13">
            <v>23000</v>
          </cell>
          <cell r="J13">
            <v>27000</v>
          </cell>
          <cell r="K13">
            <v>30000</v>
          </cell>
          <cell r="L13">
            <v>35000</v>
          </cell>
          <cell r="M13">
            <v>40000</v>
          </cell>
          <cell r="N13">
            <v>46000</v>
          </cell>
          <cell r="O13">
            <v>50000</v>
          </cell>
        </row>
        <row r="14">
          <cell r="A14" t="str">
            <v>TU MAÑANA B PLUS</v>
          </cell>
          <cell r="B14">
            <v>0</v>
          </cell>
          <cell r="C14">
            <v>6000</v>
          </cell>
          <cell r="D14">
            <v>13000</v>
          </cell>
          <cell r="E14">
            <v>14000</v>
          </cell>
          <cell r="F14">
            <v>17000</v>
          </cell>
          <cell r="G14">
            <v>19000</v>
          </cell>
          <cell r="H14">
            <v>20000</v>
          </cell>
          <cell r="I14">
            <v>23000</v>
          </cell>
          <cell r="J14">
            <v>27000</v>
          </cell>
          <cell r="K14">
            <v>30000</v>
          </cell>
          <cell r="L14">
            <v>35000</v>
          </cell>
          <cell r="M14">
            <v>40000</v>
          </cell>
          <cell r="N14">
            <v>46000</v>
          </cell>
          <cell r="O14">
            <v>50000</v>
          </cell>
        </row>
        <row r="16">
          <cell r="A16" t="str">
            <v>24 Horas al día Plus</v>
          </cell>
          <cell r="B16">
            <v>0</v>
          </cell>
          <cell r="C16">
            <v>9000</v>
          </cell>
          <cell r="D16">
            <v>19000</v>
          </cell>
          <cell r="E16">
            <v>22000</v>
          </cell>
          <cell r="F16">
            <v>26000</v>
          </cell>
          <cell r="G16">
            <v>28000</v>
          </cell>
          <cell r="H16">
            <v>30000</v>
          </cell>
          <cell r="I16">
            <v>35000</v>
          </cell>
          <cell r="J16">
            <v>40000</v>
          </cell>
          <cell r="K16">
            <v>45000</v>
          </cell>
          <cell r="L16">
            <v>52000</v>
          </cell>
          <cell r="M16">
            <v>60000</v>
          </cell>
          <cell r="N16">
            <v>69000</v>
          </cell>
          <cell r="O16">
            <v>75000</v>
          </cell>
        </row>
        <row r="17">
          <cell r="A17" t="str">
            <v>24 horas Día Sá Plus</v>
          </cell>
          <cell r="B17">
            <v>0</v>
          </cell>
          <cell r="C17">
            <v>9000</v>
          </cell>
          <cell r="D17">
            <v>19000</v>
          </cell>
          <cell r="E17">
            <v>22000</v>
          </cell>
          <cell r="F17">
            <v>26000</v>
          </cell>
          <cell r="G17">
            <v>28000</v>
          </cell>
          <cell r="H17">
            <v>30000</v>
          </cell>
          <cell r="I17">
            <v>35000</v>
          </cell>
          <cell r="J17">
            <v>40000</v>
          </cell>
          <cell r="K17">
            <v>45000</v>
          </cell>
          <cell r="L17">
            <v>52000</v>
          </cell>
          <cell r="M17">
            <v>60000</v>
          </cell>
          <cell r="N17">
            <v>69000</v>
          </cell>
          <cell r="O17">
            <v>75000</v>
          </cell>
        </row>
        <row r="18">
          <cell r="A18" t="str">
            <v>24 horas Día Do Plus</v>
          </cell>
          <cell r="B18">
            <v>0</v>
          </cell>
          <cell r="C18">
            <v>10000</v>
          </cell>
          <cell r="D18">
            <v>19000</v>
          </cell>
          <cell r="E18">
            <v>21000</v>
          </cell>
          <cell r="F18">
            <v>26000</v>
          </cell>
          <cell r="G18">
            <v>28000</v>
          </cell>
          <cell r="H18">
            <v>30000</v>
          </cell>
          <cell r="I18">
            <v>35000</v>
          </cell>
          <cell r="J18">
            <v>40000</v>
          </cell>
          <cell r="K18">
            <v>45000</v>
          </cell>
          <cell r="L18">
            <v>53000</v>
          </cell>
          <cell r="M18">
            <v>61000</v>
          </cell>
          <cell r="N18">
            <v>69000</v>
          </cell>
          <cell r="O18">
            <v>75000</v>
          </cell>
        </row>
      </sheetData>
      <sheetData sheetId="5" refreshError="1"/>
      <sheetData sheetId="6" refreshError="1"/>
      <sheetData sheetId="7" refreshError="1">
        <row r="3">
          <cell r="H3" t="str">
            <v>24 HORAS A LA HORALMWJD</v>
          </cell>
        </row>
        <row r="12">
          <cell r="J12" t="str">
            <v>24 HORAS CENTRALMWJV</v>
          </cell>
          <cell r="K12">
            <v>2.294</v>
          </cell>
        </row>
        <row r="13">
          <cell r="J13" t="str">
            <v>24 HORAS CENTRALLJV</v>
          </cell>
          <cell r="K13">
            <v>2.1366666666666667</v>
          </cell>
        </row>
        <row r="14">
          <cell r="J14" t="str">
            <v>24 HORAS CENTRALL</v>
          </cell>
          <cell r="K14">
            <v>2.4700000000000002</v>
          </cell>
        </row>
        <row r="15">
          <cell r="J15" t="str">
            <v>24 HORAS CENTRALM</v>
          </cell>
          <cell r="K15">
            <v>2.21</v>
          </cell>
        </row>
        <row r="16">
          <cell r="J16" t="str">
            <v>24 HORAS CENTRALW</v>
          </cell>
          <cell r="K16">
            <v>2.85</v>
          </cell>
        </row>
        <row r="17">
          <cell r="J17" t="str">
            <v>24 HORAS CENTRALJ</v>
          </cell>
          <cell r="K17">
            <v>2.54</v>
          </cell>
        </row>
        <row r="18">
          <cell r="J18" t="str">
            <v>24 HORAS CENTRALV</v>
          </cell>
          <cell r="K18">
            <v>1.4</v>
          </cell>
        </row>
        <row r="19">
          <cell r="J19" t="str">
            <v>24 HORAS CENTRALMW</v>
          </cell>
          <cell r="K19">
            <v>2.5300000000000002</v>
          </cell>
        </row>
      </sheetData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>
        <row r="7">
          <cell r="A7" t="str">
            <v>Valor por segundaje</v>
          </cell>
        </row>
      </sheetData>
      <sheetData sheetId="23"/>
      <sheetData sheetId="2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codigos"/>
      <sheetName val="2015 Netas"/>
      <sheetName val="Pauta"/>
      <sheetName val="Rating1"/>
      <sheetName val="COL"/>
      <sheetName val="Hoja1"/>
      <sheetName val="Hoja2"/>
      <sheetName val="Cuantificador_RM"/>
      <sheetName val="Cuantificador_TP"/>
      <sheetName val="2015_Netas"/>
      <sheetName val="Cuantificador_RM2"/>
      <sheetName val="Cuantificador_TP2"/>
      <sheetName val="2015_Netas2"/>
      <sheetName val="Cuantificador_RM1"/>
      <sheetName val="Cuantificador_TP1"/>
      <sheetName val="2015_Netas1"/>
      <sheetName val="Cuantificador_RM3"/>
      <sheetName val="Cuantificador_TP3"/>
      <sheetName val="2015_Netas3"/>
      <sheetName val="Pref May-Jun"/>
      <sheetName val="Cuantificador_RM4"/>
      <sheetName val="Cuantificador_TP4"/>
      <sheetName val="2015_Netas4"/>
      <sheetName val="Pref_May-Jun"/>
      <sheetName val="Cuantificador_RM5"/>
      <sheetName val="Cuantificador_TP5"/>
      <sheetName val="2015_Netas5"/>
      <sheetName val="Pref_May-Jun1"/>
      <sheetName val="Cuantificador_RM6"/>
      <sheetName val="Cuantificador_TP6"/>
      <sheetName val="2015_Netas6"/>
      <sheetName val="Pref_May-Jun2"/>
      <sheetName val="Cuantificador_RM8"/>
      <sheetName val="Cuantificador_TP8"/>
      <sheetName val="2015_Netas8"/>
      <sheetName val="Pref_May-Jun4"/>
      <sheetName val="Cuantificador_RM7"/>
      <sheetName val="Cuantificador_TP7"/>
      <sheetName val="2015_Netas7"/>
      <sheetName val="Pref_May-Jun3"/>
      <sheetName val="Cuantificador_RM9"/>
      <sheetName val="Cuantificador_TP9"/>
      <sheetName val="2015_Netas9"/>
      <sheetName val="Pref_May-Jun5"/>
      <sheetName val="Cuantificador_RM10"/>
      <sheetName val="Cuantificador_TP10"/>
      <sheetName val="2015_Netas10"/>
      <sheetName val="Pref_May-Jun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 t="str">
            <v>Valor por segundaje</v>
          </cell>
          <cell r="B7">
            <v>0</v>
          </cell>
        </row>
        <row r="8">
          <cell r="A8" t="str">
            <v>Matriarcas A</v>
          </cell>
          <cell r="B8">
            <v>76920</v>
          </cell>
        </row>
        <row r="9">
          <cell r="A9" t="str">
            <v>Matriarcas B</v>
          </cell>
          <cell r="B9">
            <v>76921</v>
          </cell>
        </row>
        <row r="10">
          <cell r="A10">
            <v>0</v>
          </cell>
          <cell r="B10">
            <v>0</v>
          </cell>
        </row>
        <row r="11">
          <cell r="A11" t="str">
            <v>24 HORAS LU-VI</v>
          </cell>
          <cell r="B11">
            <v>70960</v>
          </cell>
        </row>
        <row r="12">
          <cell r="A12" t="str">
            <v>24 HORAS LU-VI PLUS</v>
          </cell>
          <cell r="B12">
            <v>0</v>
          </cell>
        </row>
        <row r="13">
          <cell r="A13" t="str">
            <v>24 Horas Sábado</v>
          </cell>
          <cell r="B13">
            <v>65780</v>
          </cell>
        </row>
        <row r="14">
          <cell r="A14" t="str">
            <v>24 Horas Sábado Plus</v>
          </cell>
          <cell r="B14">
            <v>0</v>
          </cell>
        </row>
        <row r="15">
          <cell r="A15" t="str">
            <v>24 Horas Domingo</v>
          </cell>
          <cell r="B15">
            <v>65781</v>
          </cell>
        </row>
        <row r="16">
          <cell r="A16" t="str">
            <v>24 Horas Domingo Plus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 t="str">
            <v>Colegas</v>
          </cell>
          <cell r="B18">
            <v>77842</v>
          </cell>
        </row>
        <row r="19">
          <cell r="A19" t="str">
            <v>Y Tu Que Harias?</v>
          </cell>
          <cell r="B19">
            <v>77626</v>
          </cell>
        </row>
        <row r="20">
          <cell r="A20" t="str">
            <v>JOSE DE EGIPTO</v>
          </cell>
          <cell r="B20">
            <v>77738</v>
          </cell>
        </row>
        <row r="21">
          <cell r="A21" t="str">
            <v>Happy Together</v>
          </cell>
          <cell r="B21">
            <v>77627</v>
          </cell>
        </row>
        <row r="22">
          <cell r="A22" t="str">
            <v>Informe Especial</v>
          </cell>
          <cell r="B22">
            <v>10156</v>
          </cell>
        </row>
        <row r="23">
          <cell r="A23" t="str">
            <v>Siete Edades del Rock</v>
          </cell>
          <cell r="B23">
            <v>77844</v>
          </cell>
        </row>
        <row r="24">
          <cell r="A24" t="str">
            <v>El Informante</v>
          </cell>
          <cell r="B24">
            <v>75735</v>
          </cell>
        </row>
        <row r="25">
          <cell r="A25" t="str">
            <v>COLEGAS LO  MEJOR</v>
          </cell>
          <cell r="B25">
            <v>77843</v>
          </cell>
        </row>
        <row r="26">
          <cell r="A26" t="str">
            <v>BEST SELLER V</v>
          </cell>
          <cell r="B26">
            <v>10098</v>
          </cell>
        </row>
        <row r="27">
          <cell r="A27" t="str">
            <v>Kunga</v>
          </cell>
          <cell r="B27">
            <v>76849</v>
          </cell>
        </row>
        <row r="28">
          <cell r="A28" t="str">
            <v>Juana Brava</v>
          </cell>
          <cell r="B28">
            <v>77634</v>
          </cell>
        </row>
        <row r="29">
          <cell r="A29" t="str">
            <v>Domingo de Goles</v>
          </cell>
          <cell r="B29">
            <v>75721</v>
          </cell>
        </row>
        <row r="30">
          <cell r="A30" t="str">
            <v>Domingo de Goles Plus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 t="str">
            <v>Medianoche</v>
          </cell>
          <cell r="B32">
            <v>70981</v>
          </cell>
        </row>
        <row r="33">
          <cell r="A33" t="str">
            <v>BUSCANDO AMERICA</v>
          </cell>
          <cell r="B33">
            <v>77347</v>
          </cell>
        </row>
        <row r="34">
          <cell r="A34" t="str">
            <v>DEPORTES 24</v>
          </cell>
          <cell r="B34">
            <v>77827</v>
          </cell>
        </row>
        <row r="35">
          <cell r="A35" t="str">
            <v>MIRADA ECONOMICA TRAS</v>
          </cell>
          <cell r="B35">
            <v>77845</v>
          </cell>
        </row>
        <row r="36">
          <cell r="A36" t="str">
            <v>SESIONES 24 TRAS</v>
          </cell>
          <cell r="B36">
            <v>77846</v>
          </cell>
        </row>
        <row r="37">
          <cell r="A37" t="str">
            <v>AVANCES 24 TRAS</v>
          </cell>
          <cell r="B37">
            <v>77847</v>
          </cell>
        </row>
        <row r="38">
          <cell r="A38" t="str">
            <v>Trasnoche Y Tu Que Harias? RR</v>
          </cell>
          <cell r="B38">
            <v>77831</v>
          </cell>
        </row>
        <row r="39">
          <cell r="A39" t="str">
            <v>Trasnoche Happy Together RR</v>
          </cell>
          <cell r="B39">
            <v>77848</v>
          </cell>
        </row>
        <row r="40">
          <cell r="A40" t="str">
            <v>Trasnoche Informe Especial RR</v>
          </cell>
          <cell r="B40">
            <v>77828</v>
          </cell>
        </row>
        <row r="41">
          <cell r="A41" t="str">
            <v>Trasnoche Siete Edades del Rock RR</v>
          </cell>
          <cell r="B41">
            <v>77849</v>
          </cell>
        </row>
        <row r="42">
          <cell r="A42" t="str">
            <v>Trasnoche 24 Horas a la Hora</v>
          </cell>
          <cell r="B42">
            <v>77833</v>
          </cell>
        </row>
        <row r="43">
          <cell r="A43" t="str">
            <v>TRASNOCHE JOSE DE EGIPTO RR</v>
          </cell>
          <cell r="B43">
            <v>77829</v>
          </cell>
        </row>
        <row r="44">
          <cell r="A44" t="str">
            <v>Trasnoche El Informante RR</v>
          </cell>
          <cell r="B44">
            <v>77835</v>
          </cell>
        </row>
        <row r="45">
          <cell r="A45" t="str">
            <v>TRASNOCHE MARATON ESA NO SOY YO</v>
          </cell>
          <cell r="B45">
            <v>77608</v>
          </cell>
        </row>
        <row r="46">
          <cell r="A46" t="str">
            <v>Zona D Realizadores</v>
          </cell>
          <cell r="B46">
            <v>73251</v>
          </cell>
        </row>
        <row r="47">
          <cell r="A47" t="str">
            <v>Trasnoche Sucupira la serie</v>
          </cell>
          <cell r="B47">
            <v>77830</v>
          </cell>
        </row>
        <row r="48">
          <cell r="A48" t="str">
            <v>TRASNOCHE MARATON MATRIARCAS</v>
          </cell>
          <cell r="B48">
            <v>77606</v>
          </cell>
        </row>
        <row r="49">
          <cell r="A49" t="str">
            <v>DR HOUSE</v>
          </cell>
          <cell r="B49">
            <v>71041</v>
          </cell>
        </row>
        <row r="50">
          <cell r="A50" t="str">
            <v>TRASNOCHE LA VIDA ES UNA LOTERIA</v>
          </cell>
          <cell r="B50">
            <v>77372</v>
          </cell>
        </row>
        <row r="51">
          <cell r="A51" t="str">
            <v>TRASNOCHE MEA CULPA</v>
          </cell>
          <cell r="B51">
            <v>77487</v>
          </cell>
        </row>
        <row r="52">
          <cell r="A52" t="str">
            <v>TRASNOCHE BUSCANDO AMERICA DOM</v>
          </cell>
          <cell r="B52">
            <v>77347</v>
          </cell>
        </row>
        <row r="53">
          <cell r="A53">
            <v>0</v>
          </cell>
          <cell r="B53">
            <v>0</v>
          </cell>
        </row>
        <row r="54">
          <cell r="A54" t="str">
            <v>5:50</v>
          </cell>
          <cell r="B54">
            <v>75832</v>
          </cell>
        </row>
        <row r="55">
          <cell r="A55" t="str">
            <v>Tu Mañana A</v>
          </cell>
          <cell r="B55">
            <v>76305</v>
          </cell>
        </row>
        <row r="56">
          <cell r="A56" t="str">
            <v>TU MAÑANA A PLUS</v>
          </cell>
          <cell r="B56">
            <v>0</v>
          </cell>
        </row>
        <row r="57">
          <cell r="A57" t="str">
            <v>Tu Mañana B</v>
          </cell>
          <cell r="B57">
            <v>76306</v>
          </cell>
        </row>
        <row r="58">
          <cell r="A58" t="str">
            <v>TU MAÑANA B PLUS</v>
          </cell>
          <cell r="B58">
            <v>0</v>
          </cell>
        </row>
        <row r="59">
          <cell r="A59" t="str">
            <v>Buenos Días a Todos A</v>
          </cell>
          <cell r="B59">
            <v>70967</v>
          </cell>
        </row>
        <row r="60">
          <cell r="A60" t="str">
            <v>Buenos Días a Todos B</v>
          </cell>
          <cell r="B60">
            <v>70968</v>
          </cell>
        </row>
        <row r="61">
          <cell r="A61" t="str">
            <v>Buenos Días a Todos C</v>
          </cell>
          <cell r="B61">
            <v>70969</v>
          </cell>
        </row>
        <row r="62">
          <cell r="A62" t="str">
            <v>Buenos Días a Todos D</v>
          </cell>
          <cell r="B62">
            <v>70970</v>
          </cell>
        </row>
        <row r="63">
          <cell r="A63" t="str">
            <v>Sucupira La Comedia</v>
          </cell>
          <cell r="B63">
            <v>77851</v>
          </cell>
        </row>
        <row r="64">
          <cell r="A64">
            <v>0</v>
          </cell>
          <cell r="B64">
            <v>0</v>
          </cell>
        </row>
        <row r="65">
          <cell r="A65" t="str">
            <v>24 Horas al día</v>
          </cell>
          <cell r="B65">
            <v>70955</v>
          </cell>
        </row>
        <row r="66">
          <cell r="A66" t="str">
            <v>24 Horas al día Plus</v>
          </cell>
          <cell r="B66">
            <v>0</v>
          </cell>
        </row>
        <row r="67">
          <cell r="A67" t="str">
            <v>Esa No Soy Yo</v>
          </cell>
          <cell r="B67">
            <v>77338</v>
          </cell>
        </row>
        <row r="68">
          <cell r="A68" t="str">
            <v>El Secreto de Puente Viejo</v>
          </cell>
          <cell r="B68">
            <v>76495</v>
          </cell>
        </row>
        <row r="69">
          <cell r="A69" t="str">
            <v>NOTICREO</v>
          </cell>
          <cell r="B69">
            <v>77737</v>
          </cell>
        </row>
        <row r="70">
          <cell r="A70" t="str">
            <v>Carrusel</v>
          </cell>
          <cell r="B70">
            <v>77624</v>
          </cell>
        </row>
        <row r="71">
          <cell r="A71">
            <v>0</v>
          </cell>
          <cell r="B71">
            <v>0</v>
          </cell>
        </row>
        <row r="72">
          <cell r="A72" t="str">
            <v>Kung Fu Panda</v>
          </cell>
          <cell r="B72">
            <v>76841</v>
          </cell>
        </row>
        <row r="73">
          <cell r="A73" t="str">
            <v>Peppa Pig</v>
          </cell>
          <cell r="B73">
            <v>77273</v>
          </cell>
        </row>
        <row r="74">
          <cell r="A74" t="str">
            <v>Super Cine Mañana 1</v>
          </cell>
          <cell r="B74">
            <v>76012</v>
          </cell>
        </row>
        <row r="75">
          <cell r="A75" t="str">
            <v>Super Cine Mañana 2</v>
          </cell>
          <cell r="B75">
            <v>76011</v>
          </cell>
        </row>
        <row r="76">
          <cell r="A76" t="str">
            <v>24 horas Día Sá</v>
          </cell>
          <cell r="B76">
            <v>72883</v>
          </cell>
        </row>
        <row r="77">
          <cell r="A77" t="str">
            <v>24 horas Día Sá Plus</v>
          </cell>
          <cell r="B77">
            <v>0</v>
          </cell>
        </row>
        <row r="78">
          <cell r="A78" t="str">
            <v>Melo y Astorga Nacional</v>
          </cell>
          <cell r="B78">
            <v>77735</v>
          </cell>
        </row>
        <row r="79">
          <cell r="A79" t="str">
            <v>MELO Y ASTORGA EARTH</v>
          </cell>
          <cell r="B79">
            <v>77850</v>
          </cell>
        </row>
        <row r="80">
          <cell r="A80" t="str">
            <v>Super Cine</v>
          </cell>
          <cell r="B80">
            <v>71948</v>
          </cell>
        </row>
        <row r="81">
          <cell r="A81">
            <v>0</v>
          </cell>
          <cell r="B81">
            <v>0</v>
          </cell>
        </row>
        <row r="82">
          <cell r="A82" t="str">
            <v>Sesiones 24</v>
          </cell>
          <cell r="B82">
            <v>77518</v>
          </cell>
        </row>
        <row r="83">
          <cell r="A83" t="str">
            <v>MIRADA ECONOMICA</v>
          </cell>
          <cell r="B83">
            <v>77517</v>
          </cell>
        </row>
        <row r="84">
          <cell r="A84" t="str">
            <v>24 HORAS A LA HORA</v>
          </cell>
          <cell r="B84">
            <v>76107</v>
          </cell>
        </row>
        <row r="85">
          <cell r="A85" t="str">
            <v>Estado Nacional</v>
          </cell>
          <cell r="B85">
            <v>69474</v>
          </cell>
        </row>
        <row r="86">
          <cell r="A86" t="str">
            <v>Avance 24 Horas</v>
          </cell>
          <cell r="B86">
            <v>77075</v>
          </cell>
        </row>
        <row r="87">
          <cell r="A87" t="str">
            <v>Comisario Rex</v>
          </cell>
          <cell r="B87">
            <v>76192</v>
          </cell>
        </row>
        <row r="88">
          <cell r="A88" t="str">
            <v>24 horas Día Do</v>
          </cell>
          <cell r="B88">
            <v>72582</v>
          </cell>
        </row>
        <row r="89">
          <cell r="A89" t="str">
            <v>24 horas Día Do Plus</v>
          </cell>
          <cell r="B89">
            <v>0</v>
          </cell>
        </row>
        <row r="90">
          <cell r="A90" t="str">
            <v>Chile Conectado</v>
          </cell>
          <cell r="B90">
            <v>72199</v>
          </cell>
        </row>
        <row r="91">
          <cell r="A91" t="str">
            <v>Frutos del País</v>
          </cell>
          <cell r="B91">
            <v>67312</v>
          </cell>
        </row>
        <row r="92">
          <cell r="A92" t="str">
            <v>CULTURA ENTRETENIDA</v>
          </cell>
          <cell r="B92">
            <v>75228</v>
          </cell>
        </row>
        <row r="93">
          <cell r="A93" t="str">
            <v>Cultura Entretenida: Cumbres del Mundo</v>
          </cell>
          <cell r="B93">
            <v>75519</v>
          </cell>
        </row>
        <row r="94">
          <cell r="A94">
            <v>0</v>
          </cell>
          <cell r="B94">
            <v>0</v>
          </cell>
        </row>
      </sheetData>
      <sheetData sheetId="5">
        <row r="4">
          <cell r="G4" t="str">
            <v>BLOQUES</v>
          </cell>
        </row>
      </sheetData>
      <sheetData sheetId="6" refreshError="1"/>
      <sheetData sheetId="7" refreshError="1"/>
      <sheetData sheetId="8">
        <row r="5">
          <cell r="C5">
            <v>5</v>
          </cell>
        </row>
      </sheetData>
      <sheetData sheetId="9" refreshError="1"/>
      <sheetData sheetId="10" refreshError="1"/>
      <sheetData sheetId="11"/>
      <sheetData sheetId="12"/>
      <sheetData sheetId="13">
        <row r="4">
          <cell r="G4" t="str">
            <v>BLOQUES</v>
          </cell>
        </row>
      </sheetData>
      <sheetData sheetId="14"/>
      <sheetData sheetId="15"/>
      <sheetData sheetId="16">
        <row r="4">
          <cell r="G4" t="str">
            <v>BLOQUES</v>
          </cell>
        </row>
      </sheetData>
      <sheetData sheetId="17"/>
      <sheetData sheetId="18"/>
      <sheetData sheetId="19">
        <row r="4">
          <cell r="G4" t="str">
            <v>BLOQUES</v>
          </cell>
        </row>
      </sheetData>
      <sheetData sheetId="20"/>
      <sheetData sheetId="21"/>
      <sheetData sheetId="22">
        <row r="4">
          <cell r="G4" t="str">
            <v>BLOQUES</v>
          </cell>
        </row>
      </sheetData>
      <sheetData sheetId="23" refreshError="1"/>
      <sheetData sheetId="24"/>
      <sheetData sheetId="25"/>
      <sheetData sheetId="26">
        <row r="4">
          <cell r="G4" t="str">
            <v>BLOQUES</v>
          </cell>
        </row>
      </sheetData>
      <sheetData sheetId="27"/>
      <sheetData sheetId="28"/>
      <sheetData sheetId="29"/>
      <sheetData sheetId="30">
        <row r="4">
          <cell r="G4" t="str">
            <v>BLOQUES</v>
          </cell>
        </row>
      </sheetData>
      <sheetData sheetId="31"/>
      <sheetData sheetId="32"/>
      <sheetData sheetId="33"/>
      <sheetData sheetId="34">
        <row r="4">
          <cell r="G4" t="str">
            <v>BLOQUES</v>
          </cell>
        </row>
      </sheetData>
      <sheetData sheetId="35"/>
      <sheetData sheetId="36"/>
      <sheetData sheetId="37"/>
      <sheetData sheetId="38">
        <row r="4">
          <cell r="G4" t="str">
            <v>BLOQUES</v>
          </cell>
        </row>
      </sheetData>
      <sheetData sheetId="39"/>
      <sheetData sheetId="40"/>
      <sheetData sheetId="41"/>
      <sheetData sheetId="42">
        <row r="4">
          <cell r="G4" t="str">
            <v>BLOQUES</v>
          </cell>
        </row>
      </sheetData>
      <sheetData sheetId="43"/>
      <sheetData sheetId="44"/>
      <sheetData sheetId="45"/>
      <sheetData sheetId="46">
        <row r="4">
          <cell r="G4" t="str">
            <v>BLOQUES</v>
          </cell>
        </row>
      </sheetData>
      <sheetData sheetId="47"/>
      <sheetData sheetId="48"/>
      <sheetData sheetId="49"/>
      <sheetData sheetId="50">
        <row r="4">
          <cell r="G4" t="str">
            <v>BLOQUES</v>
          </cell>
        </row>
      </sheetData>
      <sheetData sheetId="5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EVAOLA"/>
      <sheetName val="Analisis"/>
      <sheetName val="Prueba 1"/>
      <sheetName val="ventas"/>
      <sheetName val="PLAN"/>
      <sheetName val="Regiones Noviembre 2002"/>
      <sheetName val="Prueba_1"/>
      <sheetName val="Notas"/>
      <sheetName val="GRP CCAA"/>
      <sheetName val="Horas"/>
      <sheetName val="TARIFAS"/>
      <sheetName val="Hoja1"/>
      <sheetName val="NON TIED"/>
      <sheetName val="Regiones_Noviembre_2002"/>
      <sheetName val="Prueba_11"/>
      <sheetName val="Regiones_Noviembre_20021"/>
      <sheetName val="Prueba_12"/>
      <sheetName val="Regiones_Noviembre_20022"/>
      <sheetName val="an-r"/>
      <sheetName val="rating "/>
      <sheetName val="BASE"/>
      <sheetName val="Rank Negociación"/>
      <sheetName val="FCST Q1"/>
      <sheetName val="codigos"/>
      <sheetName val="Prueba_14"/>
      <sheetName val="Regiones_Noviembre_20024"/>
      <sheetName val="Rank_Negociación1"/>
      <sheetName val="GRP_CCAA1"/>
      <sheetName val="NON_TIED1"/>
      <sheetName val="rating_1"/>
      <sheetName val="Prueba_13"/>
      <sheetName val="Regiones_Noviembre_20023"/>
      <sheetName val="Rank_Negociación"/>
      <sheetName val="GRP_CCAA"/>
      <sheetName val="NON_TIED"/>
      <sheetName val="rating_"/>
      <sheetName val="#G.O."/>
      <sheetName val="Boos 2010"/>
      <sheetName val="IMSTRAT"/>
      <sheetName val="Resumen anual acumulado"/>
      <sheetName val="tablas final 2°sem 2008"/>
      <sheetName val="Prueba_15"/>
      <sheetName val="GRP_CCAA2"/>
      <sheetName val="Regiones_Noviembre_20025"/>
      <sheetName val="NON_TIED2"/>
      <sheetName val="rating_2"/>
      <sheetName val="Rank_Negociación2"/>
      <sheetName val="FCST_Q1"/>
      <sheetName val="Prueba_17"/>
      <sheetName val="GRP_CCAA4"/>
      <sheetName val="Regiones_Noviembre_20027"/>
      <sheetName val="NON_TIED4"/>
      <sheetName val="rating_4"/>
      <sheetName val="Rank_Negociación4"/>
      <sheetName val="FCST_Q12"/>
      <sheetName val="Prueba_16"/>
      <sheetName val="GRP_CCAA3"/>
      <sheetName val="Regiones_Noviembre_20026"/>
      <sheetName val="NON_TIED3"/>
      <sheetName val="rating_3"/>
      <sheetName val="Rank_Negociación3"/>
      <sheetName val="FCST_Q11"/>
      <sheetName val="Prueba_18"/>
      <sheetName val="GRP_CCAA5"/>
      <sheetName val="Regiones_Noviembre_20028"/>
      <sheetName val="NON_TIED5"/>
      <sheetName val="rating_5"/>
      <sheetName val="Rank_Negociación5"/>
      <sheetName val="FCST_Q13"/>
      <sheetName val="Prueba_19"/>
      <sheetName val="GRP_CCAA6"/>
      <sheetName val="Regiones_Noviembre_20029"/>
      <sheetName val="NON_TIED6"/>
      <sheetName val="rating_6"/>
      <sheetName val="Rank_Negociación6"/>
      <sheetName val="FCST_Q14"/>
      <sheetName val="Rank TV Target"/>
      <sheetName val="ONLINE"/>
      <sheetName val="negociaciones1"/>
      <sheetName val="Rtng TV"/>
      <sheetName val="Prueba_110"/>
      <sheetName val="GRP_CCAA7"/>
      <sheetName val="Regiones_Noviembre_200210"/>
      <sheetName val="NON_TIED7"/>
      <sheetName val="rating_7"/>
      <sheetName val="Rank_Negociación7"/>
      <sheetName val="FCST_Q15"/>
      <sheetName val="#G_O_"/>
      <sheetName val="Boos_2010"/>
      <sheetName val="Resumen_anual_acumulado"/>
      <sheetName val="tablas_final_2°sem_2008"/>
      <sheetName val="Rank_TV_Target"/>
      <sheetName val="Prueba_111"/>
      <sheetName val="GRP_CCAA8"/>
      <sheetName val="Regiones_Noviembre_200211"/>
      <sheetName val="NON_TIED8"/>
      <sheetName val="rating_8"/>
      <sheetName val="Rank_Negociación8"/>
      <sheetName val="FCST_Q16"/>
      <sheetName val="#G_O_1"/>
      <sheetName val="Boos_20101"/>
      <sheetName val="Resumen_anual_acumulado1"/>
      <sheetName val="tablas_final_2°sem_20081"/>
      <sheetName val="Rank_TV_Target1"/>
      <sheetName val="Prueba_112"/>
      <sheetName val="GRP_CCAA9"/>
      <sheetName val="Regiones_Noviembre_200212"/>
      <sheetName val="NON_TIED9"/>
      <sheetName val="rating_9"/>
      <sheetName val="Rank_Negociación9"/>
      <sheetName val="FCST_Q17"/>
      <sheetName val="#G_O_2"/>
      <sheetName val="Boos_20102"/>
      <sheetName val="Resumen_anual_acumulado2"/>
      <sheetName val="tablas_final_2°sem_20082"/>
      <sheetName val="Rank_TV_Target2"/>
      <sheetName val="Prueba_114"/>
      <sheetName val="GRP_CCAA11"/>
      <sheetName val="Regiones_Noviembre_200214"/>
      <sheetName val="NON_TIED11"/>
      <sheetName val="rating_11"/>
      <sheetName val="Rank_Negociación11"/>
      <sheetName val="FCST_Q19"/>
      <sheetName val="#G_O_4"/>
      <sheetName val="Boos_20104"/>
      <sheetName val="Resumen_anual_acumulado4"/>
      <sheetName val="tablas_final_2°sem_20084"/>
      <sheetName val="Rank_TV_Target4"/>
      <sheetName val="Prueba_113"/>
      <sheetName val="GRP_CCAA10"/>
      <sheetName val="Regiones_Noviembre_200213"/>
      <sheetName val="NON_TIED10"/>
      <sheetName val="rating_10"/>
      <sheetName val="Rank_Negociación10"/>
      <sheetName val="FCST_Q18"/>
      <sheetName val="#G_O_3"/>
      <sheetName val="Boos_20103"/>
      <sheetName val="Resumen_anual_acumulado3"/>
      <sheetName val="tablas_final_2°sem_20083"/>
      <sheetName val="Rank_TV_Target3"/>
      <sheetName val="Prueba_115"/>
      <sheetName val="GRP_CCAA12"/>
      <sheetName val="Regiones_Noviembre_200215"/>
      <sheetName val="NON_TIED12"/>
      <sheetName val="rating_12"/>
      <sheetName val="Rank_Negociación12"/>
      <sheetName val="FCST_Q110"/>
      <sheetName val="#G_O_5"/>
      <sheetName val="Boos_20105"/>
      <sheetName val="Resumen_anual_acumulado5"/>
      <sheetName val="tablas_final_2°sem_20085"/>
      <sheetName val="Rank_TV_Target5"/>
    </sheetNames>
    <sheetDataSet>
      <sheetData sheetId="0" refreshError="1"/>
      <sheetData sheetId="1">
        <row r="1">
          <cell r="A1" t="str">
            <v>Can</v>
          </cell>
          <cell r="B1" t="str">
            <v>Genero</v>
          </cell>
          <cell r="C1" t="str">
            <v>Programa</v>
          </cell>
          <cell r="D1" t="str">
            <v>Rat</v>
          </cell>
          <cell r="E1" t="str">
            <v>Personas</v>
          </cell>
          <cell r="F1" t="str">
            <v>Lun</v>
          </cell>
          <cell r="G1" t="str">
            <v>Mar</v>
          </cell>
          <cell r="H1" t="str">
            <v>Mie</v>
          </cell>
          <cell r="I1" t="str">
            <v>Jue</v>
          </cell>
          <cell r="J1" t="str">
            <v>Vie</v>
          </cell>
          <cell r="K1" t="str">
            <v>Sab</v>
          </cell>
          <cell r="L1" t="str">
            <v>Dom</v>
          </cell>
          <cell r="M1" t="str">
            <v>HoraI</v>
          </cell>
          <cell r="N1" t="str">
            <v>HoraF</v>
          </cell>
          <cell r="O1" t="str">
            <v>Clasifi</v>
          </cell>
          <cell r="P1" t="str">
            <v>Costo</v>
          </cell>
          <cell r="Q1" t="str">
            <v>desc. 1</v>
          </cell>
          <cell r="R1" t="str">
            <v>desc. 2</v>
          </cell>
          <cell r="S1" t="str">
            <v>desc. 3</v>
          </cell>
          <cell r="T1" t="str">
            <v>Valor Bruto</v>
          </cell>
          <cell r="U1" t="str">
            <v>CtoPto</v>
          </cell>
        </row>
        <row r="2">
          <cell r="A2" t="str">
            <v>04</v>
          </cell>
          <cell r="B2" t="str">
            <v>PELICULA</v>
          </cell>
          <cell r="C2" t="str">
            <v>SUPER CINE</v>
          </cell>
          <cell r="D2">
            <v>3.6</v>
          </cell>
          <cell r="E2">
            <v>28069</v>
          </cell>
          <cell r="F2">
            <v>2</v>
          </cell>
          <cell r="G2">
            <v>2.7</v>
          </cell>
          <cell r="H2">
            <v>3.3</v>
          </cell>
          <cell r="I2">
            <v>5.5</v>
          </cell>
          <cell r="J2">
            <v>4.3</v>
          </cell>
          <cell r="M2" t="str">
            <v>21:59</v>
          </cell>
          <cell r="N2" t="str">
            <v>00:36</v>
          </cell>
          <cell r="O2" t="str">
            <v>A18</v>
          </cell>
          <cell r="P2">
            <v>1000000</v>
          </cell>
          <cell r="Q2">
            <v>0.9</v>
          </cell>
          <cell r="R2">
            <v>0</v>
          </cell>
          <cell r="S2">
            <v>0</v>
          </cell>
          <cell r="T2">
            <v>99999.999999999971</v>
          </cell>
          <cell r="U2">
            <v>27777.77777777777</v>
          </cell>
        </row>
        <row r="3">
          <cell r="A3" t="str">
            <v>04</v>
          </cell>
          <cell r="B3" t="str">
            <v>NOTICIERO</v>
          </cell>
          <cell r="C3" t="str">
            <v>TELEDIARIO</v>
          </cell>
          <cell r="D3">
            <v>1.4</v>
          </cell>
          <cell r="E3">
            <v>11031</v>
          </cell>
          <cell r="F3">
            <v>1.5</v>
          </cell>
          <cell r="G3">
            <v>0.7</v>
          </cell>
          <cell r="H3">
            <v>0.9</v>
          </cell>
          <cell r="I3">
            <v>1.3</v>
          </cell>
          <cell r="J3">
            <v>2.6</v>
          </cell>
          <cell r="M3" t="str">
            <v>13:45</v>
          </cell>
          <cell r="N3" t="str">
            <v>14:03</v>
          </cell>
          <cell r="O3" t="str">
            <v>A9</v>
          </cell>
          <cell r="P3">
            <v>546000</v>
          </cell>
          <cell r="Q3">
            <v>0.9</v>
          </cell>
          <cell r="R3">
            <v>0</v>
          </cell>
          <cell r="S3">
            <v>0</v>
          </cell>
          <cell r="T3">
            <v>54599.999999999985</v>
          </cell>
          <cell r="U3">
            <v>38999.999999999993</v>
          </cell>
        </row>
        <row r="4">
          <cell r="A4" t="str">
            <v>04</v>
          </cell>
          <cell r="B4" t="str">
            <v>MISCELANEO</v>
          </cell>
          <cell r="C4" t="str">
            <v>EL MATINAL DE LA TARDE (R)</v>
          </cell>
          <cell r="D4">
            <v>0.7</v>
          </cell>
          <cell r="E4">
            <v>5369</v>
          </cell>
          <cell r="F4">
            <v>0.1</v>
          </cell>
          <cell r="G4">
            <v>0.9</v>
          </cell>
          <cell r="H4">
            <v>0.9</v>
          </cell>
          <cell r="I4">
            <v>0.4</v>
          </cell>
          <cell r="J4">
            <v>1.1000000000000001</v>
          </cell>
          <cell r="M4" t="str">
            <v>00:02</v>
          </cell>
          <cell r="N4" t="str">
            <v>01:32</v>
          </cell>
          <cell r="O4" t="str">
            <v>A6</v>
          </cell>
          <cell r="P4">
            <v>322000</v>
          </cell>
          <cell r="Q4">
            <v>0.9</v>
          </cell>
          <cell r="R4">
            <v>0</v>
          </cell>
          <cell r="S4">
            <v>0</v>
          </cell>
          <cell r="T4">
            <v>32199.999999999993</v>
          </cell>
          <cell r="U4">
            <v>45999.999999999993</v>
          </cell>
        </row>
        <row r="5">
          <cell r="A5" t="str">
            <v>04</v>
          </cell>
          <cell r="B5" t="str">
            <v>NOTICIERO</v>
          </cell>
          <cell r="C5" t="str">
            <v>TELEDIARIO NOCHE</v>
          </cell>
          <cell r="D5">
            <v>1.8</v>
          </cell>
          <cell r="E5">
            <v>14287</v>
          </cell>
          <cell r="F5">
            <v>1.2</v>
          </cell>
          <cell r="G5">
            <v>2.1</v>
          </cell>
          <cell r="H5">
            <v>1.9</v>
          </cell>
          <cell r="I5">
            <v>2.7</v>
          </cell>
          <cell r="J5">
            <v>1.1000000000000001</v>
          </cell>
          <cell r="M5" t="str">
            <v>23:46</v>
          </cell>
          <cell r="N5" t="str">
            <v>00:52</v>
          </cell>
          <cell r="O5" t="str">
            <v>A12</v>
          </cell>
          <cell r="P5">
            <v>938000</v>
          </cell>
          <cell r="Q5">
            <v>0.9</v>
          </cell>
          <cell r="R5">
            <v>0</v>
          </cell>
          <cell r="S5">
            <v>0</v>
          </cell>
          <cell r="T5">
            <v>93799.999999999985</v>
          </cell>
          <cell r="U5">
            <v>52111.111111111102</v>
          </cell>
        </row>
        <row r="6">
          <cell r="A6" t="str">
            <v>04</v>
          </cell>
          <cell r="B6" t="str">
            <v>TELENOVELA</v>
          </cell>
          <cell r="C6" t="str">
            <v>ACUARELA DE BRASIL</v>
          </cell>
          <cell r="D6">
            <v>1.8</v>
          </cell>
          <cell r="E6">
            <v>14569</v>
          </cell>
          <cell r="F6">
            <v>1.4</v>
          </cell>
          <cell r="G6">
            <v>1.3</v>
          </cell>
          <cell r="H6">
            <v>2.1</v>
          </cell>
          <cell r="I6">
            <v>2.1</v>
          </cell>
          <cell r="J6">
            <v>2.2000000000000002</v>
          </cell>
          <cell r="M6" t="str">
            <v>21:00</v>
          </cell>
          <cell r="N6" t="str">
            <v>21:59</v>
          </cell>
          <cell r="O6" t="str">
            <v>A14</v>
          </cell>
          <cell r="P6">
            <v>1000000</v>
          </cell>
          <cell r="Q6">
            <v>0.9</v>
          </cell>
          <cell r="R6">
            <v>0</v>
          </cell>
          <cell r="S6">
            <v>0</v>
          </cell>
          <cell r="T6">
            <v>99999.999999999971</v>
          </cell>
          <cell r="U6">
            <v>55555.55555555554</v>
          </cell>
        </row>
        <row r="7">
          <cell r="A7" t="str">
            <v>04</v>
          </cell>
          <cell r="B7" t="str">
            <v>MISCELANEO</v>
          </cell>
          <cell r="C7" t="str">
            <v>OCURRIO ASI</v>
          </cell>
          <cell r="D7">
            <v>0.3</v>
          </cell>
          <cell r="E7">
            <v>2564</v>
          </cell>
          <cell r="F7">
            <v>0.2</v>
          </cell>
          <cell r="G7">
            <v>0.6</v>
          </cell>
          <cell r="H7">
            <v>0</v>
          </cell>
          <cell r="I7">
            <v>0.3</v>
          </cell>
          <cell r="J7">
            <v>0.5</v>
          </cell>
          <cell r="M7" t="str">
            <v>11:56</v>
          </cell>
          <cell r="N7" t="str">
            <v>12:32</v>
          </cell>
          <cell r="O7" t="str">
            <v>A6</v>
          </cell>
          <cell r="P7">
            <v>322000</v>
          </cell>
          <cell r="Q7">
            <v>0.9</v>
          </cell>
          <cell r="R7">
            <v>0</v>
          </cell>
          <cell r="S7">
            <v>0</v>
          </cell>
          <cell r="T7">
            <v>32199.999999999993</v>
          </cell>
          <cell r="U7">
            <v>107333.33333333331</v>
          </cell>
        </row>
        <row r="8">
          <cell r="A8" t="str">
            <v>04</v>
          </cell>
          <cell r="B8" t="str">
            <v>NOTICIERO</v>
          </cell>
          <cell r="C8" t="str">
            <v>TELEDIARIO CENTRAL</v>
          </cell>
          <cell r="D8">
            <v>0.9</v>
          </cell>
          <cell r="E8">
            <v>6803</v>
          </cell>
          <cell r="F8">
            <v>1.1000000000000001</v>
          </cell>
          <cell r="G8">
            <v>0.3</v>
          </cell>
          <cell r="H8">
            <v>1.7</v>
          </cell>
          <cell r="I8">
            <v>1.2</v>
          </cell>
          <cell r="J8">
            <v>0.8</v>
          </cell>
          <cell r="K8">
            <v>0.4</v>
          </cell>
          <cell r="L8">
            <v>0.5</v>
          </cell>
          <cell r="M8" t="str">
            <v>20:30</v>
          </cell>
          <cell r="N8" t="str">
            <v>21:30</v>
          </cell>
          <cell r="O8" t="str">
            <v>A14</v>
          </cell>
          <cell r="P8">
            <v>1000000</v>
          </cell>
          <cell r="Q8">
            <v>0.9</v>
          </cell>
          <cell r="R8">
            <v>0</v>
          </cell>
          <cell r="S8">
            <v>0</v>
          </cell>
          <cell r="T8">
            <v>99999.999999999971</v>
          </cell>
          <cell r="U8">
            <v>111111.11111111108</v>
          </cell>
        </row>
        <row r="9">
          <cell r="A9" t="str">
            <v>04</v>
          </cell>
          <cell r="B9" t="str">
            <v>TELENOVELA</v>
          </cell>
          <cell r="C9" t="str">
            <v>LA BABY SISTER</v>
          </cell>
          <cell r="D9">
            <v>0.7</v>
          </cell>
          <cell r="E9">
            <v>5664</v>
          </cell>
          <cell r="F9">
            <v>1.2</v>
          </cell>
          <cell r="G9">
            <v>0.5</v>
          </cell>
          <cell r="H9">
            <v>0.7</v>
          </cell>
          <cell r="I9">
            <v>0.3</v>
          </cell>
          <cell r="J9">
            <v>0.9</v>
          </cell>
          <cell r="M9" t="str">
            <v>19:28</v>
          </cell>
          <cell r="N9" t="str">
            <v>20:30</v>
          </cell>
          <cell r="O9" t="str">
            <v>A12</v>
          </cell>
          <cell r="P9">
            <v>938000</v>
          </cell>
          <cell r="Q9">
            <v>0.9</v>
          </cell>
          <cell r="R9">
            <v>0</v>
          </cell>
          <cell r="S9">
            <v>0</v>
          </cell>
          <cell r="T9">
            <v>93799.999999999985</v>
          </cell>
          <cell r="U9">
            <v>134000</v>
          </cell>
        </row>
        <row r="10">
          <cell r="A10" t="str">
            <v>04</v>
          </cell>
          <cell r="B10" t="str">
            <v>TELENOVELA</v>
          </cell>
          <cell r="C10" t="str">
            <v>GIRASOLES PARA LUCIA</v>
          </cell>
          <cell r="D10">
            <v>0.3</v>
          </cell>
          <cell r="E10">
            <v>2298</v>
          </cell>
          <cell r="F10">
            <v>0.1</v>
          </cell>
          <cell r="G10">
            <v>0.2</v>
          </cell>
          <cell r="H10">
            <v>0.4</v>
          </cell>
          <cell r="I10">
            <v>0.6</v>
          </cell>
          <cell r="J10">
            <v>0.2</v>
          </cell>
          <cell r="M10" t="str">
            <v>17:30</v>
          </cell>
          <cell r="N10" t="str">
            <v>18:23</v>
          </cell>
          <cell r="O10" t="str">
            <v>A9</v>
          </cell>
          <cell r="P10">
            <v>546000</v>
          </cell>
          <cell r="Q10">
            <v>0.9</v>
          </cell>
          <cell r="R10">
            <v>0</v>
          </cell>
          <cell r="S10">
            <v>0</v>
          </cell>
          <cell r="T10">
            <v>54599.999999999985</v>
          </cell>
          <cell r="U10">
            <v>181999.99999999997</v>
          </cell>
        </row>
        <row r="11">
          <cell r="A11" t="str">
            <v>04</v>
          </cell>
          <cell r="B11" t="str">
            <v>TELENOVELA</v>
          </cell>
          <cell r="C11" t="str">
            <v>MARIA EMILIA</v>
          </cell>
          <cell r="D11">
            <v>0.5</v>
          </cell>
          <cell r="E11">
            <v>3890</v>
          </cell>
          <cell r="F11">
            <v>0.4</v>
          </cell>
          <cell r="G11">
            <v>0.5</v>
          </cell>
          <cell r="H11">
            <v>0.4</v>
          </cell>
          <cell r="I11">
            <v>0.9</v>
          </cell>
          <cell r="J11">
            <v>0.3</v>
          </cell>
          <cell r="M11" t="str">
            <v>14:50</v>
          </cell>
          <cell r="N11" t="str">
            <v>15:45</v>
          </cell>
          <cell r="O11" t="str">
            <v>A12</v>
          </cell>
          <cell r="P11">
            <v>938000</v>
          </cell>
          <cell r="Q11">
            <v>0.9</v>
          </cell>
          <cell r="R11">
            <v>0</v>
          </cell>
          <cell r="S11">
            <v>0</v>
          </cell>
          <cell r="T11">
            <v>93799.999999999985</v>
          </cell>
          <cell r="U11">
            <v>187599.99999999997</v>
          </cell>
        </row>
        <row r="12">
          <cell r="A12" t="str">
            <v>04</v>
          </cell>
          <cell r="B12" t="str">
            <v>MISCELANEO</v>
          </cell>
          <cell r="C12" t="str">
            <v>EL MATINAL DE LA TARDE</v>
          </cell>
          <cell r="D12">
            <v>0.4</v>
          </cell>
          <cell r="E12">
            <v>3262</v>
          </cell>
          <cell r="F12">
            <v>0.5</v>
          </cell>
          <cell r="G12">
            <v>0.4</v>
          </cell>
          <cell r="H12">
            <v>0.5</v>
          </cell>
          <cell r="I12">
            <v>0.6</v>
          </cell>
          <cell r="J12">
            <v>0.1</v>
          </cell>
          <cell r="M12" t="str">
            <v>15:44</v>
          </cell>
          <cell r="N12" t="str">
            <v>17:31</v>
          </cell>
          <cell r="O12" t="str">
            <v>A12</v>
          </cell>
          <cell r="P12">
            <v>938000</v>
          </cell>
          <cell r="Q12">
            <v>0.9</v>
          </cell>
          <cell r="R12">
            <v>0</v>
          </cell>
          <cell r="S12">
            <v>0</v>
          </cell>
          <cell r="T12">
            <v>93799.999999999985</v>
          </cell>
          <cell r="U12">
            <v>234499.99999999994</v>
          </cell>
        </row>
        <row r="13">
          <cell r="A13" t="str">
            <v>04</v>
          </cell>
          <cell r="B13" t="str">
            <v>TELENOVELA</v>
          </cell>
          <cell r="C13" t="str">
            <v>LA GUERRA DE LAS ROSAS</v>
          </cell>
          <cell r="D13">
            <v>0.4</v>
          </cell>
          <cell r="E13">
            <v>2791</v>
          </cell>
          <cell r="F13">
            <v>0.2</v>
          </cell>
          <cell r="G13">
            <v>0.3</v>
          </cell>
          <cell r="H13">
            <v>0.1</v>
          </cell>
          <cell r="I13">
            <v>0.5</v>
          </cell>
          <cell r="J13">
            <v>0.6</v>
          </cell>
          <cell r="M13" t="str">
            <v>14:03</v>
          </cell>
          <cell r="N13" t="str">
            <v>14:54</v>
          </cell>
          <cell r="O13" t="str">
            <v>A12</v>
          </cell>
          <cell r="P13">
            <v>938000</v>
          </cell>
          <cell r="Q13">
            <v>0.9</v>
          </cell>
          <cell r="R13">
            <v>0</v>
          </cell>
          <cell r="S13">
            <v>0</v>
          </cell>
          <cell r="T13">
            <v>93799.999999999985</v>
          </cell>
          <cell r="U13">
            <v>234499.99999999994</v>
          </cell>
        </row>
        <row r="14">
          <cell r="A14" t="str">
            <v>07</v>
          </cell>
          <cell r="B14" t="str">
            <v>MISCELANEO</v>
          </cell>
          <cell r="C14" t="str">
            <v>DIA A DIA</v>
          </cell>
          <cell r="D14">
            <v>3.2</v>
          </cell>
          <cell r="E14">
            <v>24904</v>
          </cell>
          <cell r="F14">
            <v>2.7</v>
          </cell>
          <cell r="G14">
            <v>3.9</v>
          </cell>
          <cell r="H14">
            <v>3.3</v>
          </cell>
          <cell r="I14">
            <v>3.3</v>
          </cell>
          <cell r="J14">
            <v>2.6</v>
          </cell>
          <cell r="M14" t="str">
            <v>12:10</v>
          </cell>
          <cell r="N14" t="str">
            <v>13:26</v>
          </cell>
          <cell r="O14" t="str">
            <v>X13</v>
          </cell>
          <cell r="P14">
            <v>457000</v>
          </cell>
          <cell r="Q14">
            <v>0.6</v>
          </cell>
          <cell r="R14">
            <v>0</v>
          </cell>
          <cell r="S14">
            <v>0</v>
          </cell>
          <cell r="T14">
            <v>182800</v>
          </cell>
          <cell r="U14">
            <v>57125</v>
          </cell>
        </row>
        <row r="15">
          <cell r="A15" t="str">
            <v>07</v>
          </cell>
          <cell r="B15" t="str">
            <v>COMEDIA</v>
          </cell>
          <cell r="C15" t="str">
            <v>LOS VENEGAS</v>
          </cell>
          <cell r="D15">
            <v>3.8</v>
          </cell>
          <cell r="E15">
            <v>30284</v>
          </cell>
          <cell r="F15">
            <v>2.7</v>
          </cell>
          <cell r="G15">
            <v>4.0999999999999996</v>
          </cell>
          <cell r="H15">
            <v>3.8</v>
          </cell>
          <cell r="I15">
            <v>4.5</v>
          </cell>
          <cell r="J15">
            <v>4.2</v>
          </cell>
          <cell r="M15" t="str">
            <v>13:21</v>
          </cell>
          <cell r="N15" t="str">
            <v>13:59</v>
          </cell>
          <cell r="O15" t="str">
            <v>X15</v>
          </cell>
          <cell r="P15">
            <v>553000</v>
          </cell>
          <cell r="Q15">
            <v>0.6</v>
          </cell>
          <cell r="R15">
            <v>0</v>
          </cell>
          <cell r="S15">
            <v>0</v>
          </cell>
          <cell r="T15">
            <v>221200</v>
          </cell>
          <cell r="U15">
            <v>58210.526315789473</v>
          </cell>
        </row>
        <row r="16">
          <cell r="A16" t="str">
            <v>07</v>
          </cell>
          <cell r="B16" t="str">
            <v>TELENOVELA</v>
          </cell>
          <cell r="C16" t="str">
            <v>ROMPECORAZON</v>
          </cell>
          <cell r="D16">
            <v>3.4</v>
          </cell>
          <cell r="E16">
            <v>26896</v>
          </cell>
          <cell r="F16">
            <v>3.4</v>
          </cell>
          <cell r="G16">
            <v>3.4</v>
          </cell>
          <cell r="H16">
            <v>2.4</v>
          </cell>
          <cell r="I16">
            <v>3.9</v>
          </cell>
          <cell r="J16">
            <v>3.9</v>
          </cell>
          <cell r="M16" t="str">
            <v>14:31</v>
          </cell>
          <cell r="N16" t="str">
            <v>15:44</v>
          </cell>
          <cell r="O16" t="str">
            <v>X14</v>
          </cell>
          <cell r="P16">
            <v>503000</v>
          </cell>
          <cell r="Q16">
            <v>0.6</v>
          </cell>
          <cell r="R16">
            <v>0</v>
          </cell>
          <cell r="S16">
            <v>0</v>
          </cell>
          <cell r="T16">
            <v>201200</v>
          </cell>
          <cell r="U16">
            <v>59176.470588235294</v>
          </cell>
        </row>
        <row r="17">
          <cell r="A17" t="str">
            <v>07</v>
          </cell>
          <cell r="B17" t="str">
            <v>NOTICIERO</v>
          </cell>
          <cell r="C17" t="str">
            <v>SEGUNDA EDICION DE 24 HORAS</v>
          </cell>
          <cell r="D17">
            <v>5.9</v>
          </cell>
          <cell r="E17">
            <v>46446</v>
          </cell>
          <cell r="F17">
            <v>6.5</v>
          </cell>
          <cell r="G17">
            <v>7.2</v>
          </cell>
          <cell r="H17">
            <v>7.2</v>
          </cell>
          <cell r="I17">
            <v>6.2</v>
          </cell>
          <cell r="J17">
            <v>7.1</v>
          </cell>
          <cell r="K17">
            <v>3.4</v>
          </cell>
          <cell r="L17">
            <v>3.6</v>
          </cell>
          <cell r="M17" t="str">
            <v>13:59</v>
          </cell>
          <cell r="N17" t="str">
            <v>14:34</v>
          </cell>
          <cell r="O17" t="str">
            <v>X20</v>
          </cell>
          <cell r="P17">
            <v>891000</v>
          </cell>
          <cell r="Q17">
            <v>0.6</v>
          </cell>
          <cell r="R17">
            <v>0</v>
          </cell>
          <cell r="S17">
            <v>0</v>
          </cell>
          <cell r="T17">
            <v>356400</v>
          </cell>
          <cell r="U17">
            <v>60406.779661016946</v>
          </cell>
        </row>
        <row r="18">
          <cell r="A18" t="str">
            <v>07</v>
          </cell>
          <cell r="B18" t="str">
            <v>CULTURAL</v>
          </cell>
          <cell r="C18" t="str">
            <v>CINE VIDEO MAS TEATRO</v>
          </cell>
          <cell r="D18">
            <v>3.1</v>
          </cell>
          <cell r="E18">
            <v>24795</v>
          </cell>
          <cell r="G18">
            <v>3.1</v>
          </cell>
          <cell r="M18" t="str">
            <v>23:11</v>
          </cell>
          <cell r="N18" t="str">
            <v>23:56</v>
          </cell>
          <cell r="O18" t="str">
            <v>X18</v>
          </cell>
          <cell r="P18">
            <v>736000</v>
          </cell>
          <cell r="Q18">
            <v>0.7</v>
          </cell>
          <cell r="R18">
            <v>0</v>
          </cell>
          <cell r="S18">
            <v>0</v>
          </cell>
          <cell r="T18">
            <v>220800.00000000003</v>
          </cell>
          <cell r="U18">
            <v>71225.806451612909</v>
          </cell>
        </row>
        <row r="19">
          <cell r="A19" t="str">
            <v>07</v>
          </cell>
          <cell r="B19" t="str">
            <v>MISCELANEO</v>
          </cell>
          <cell r="C19" t="str">
            <v>BUENOS DIAS A TODOS (B)</v>
          </cell>
          <cell r="D19">
            <v>4.7</v>
          </cell>
          <cell r="E19">
            <v>36727</v>
          </cell>
          <cell r="F19">
            <v>5</v>
          </cell>
          <cell r="G19">
            <v>6</v>
          </cell>
          <cell r="H19">
            <v>4.3</v>
          </cell>
          <cell r="I19">
            <v>4</v>
          </cell>
          <cell r="J19">
            <v>4</v>
          </cell>
          <cell r="M19" t="str">
            <v>09:00</v>
          </cell>
          <cell r="N19" t="str">
            <v>09:59</v>
          </cell>
          <cell r="O19" t="str">
            <v>X21</v>
          </cell>
          <cell r="P19">
            <v>980000</v>
          </cell>
          <cell r="Q19">
            <v>0.6</v>
          </cell>
          <cell r="R19">
            <v>0</v>
          </cell>
          <cell r="S19">
            <v>0</v>
          </cell>
          <cell r="T19">
            <v>392000</v>
          </cell>
          <cell r="U19">
            <v>83404.255319148928</v>
          </cell>
        </row>
        <row r="20">
          <cell r="A20" t="str">
            <v>07</v>
          </cell>
          <cell r="B20" t="str">
            <v>CONVERSACION</v>
          </cell>
          <cell r="C20" t="str">
            <v>EN DEBATE</v>
          </cell>
          <cell r="D20">
            <v>5.5</v>
          </cell>
          <cell r="E20">
            <v>42991</v>
          </cell>
          <cell r="I20">
            <v>5.5</v>
          </cell>
          <cell r="M20" t="str">
            <v>23:14</v>
          </cell>
          <cell r="N20" t="str">
            <v>00:29</v>
          </cell>
          <cell r="O20" t="str">
            <v>X23</v>
          </cell>
          <cell r="P20">
            <v>1186000</v>
          </cell>
          <cell r="Q20">
            <v>0.6</v>
          </cell>
          <cell r="R20">
            <v>0</v>
          </cell>
          <cell r="S20">
            <v>0</v>
          </cell>
          <cell r="T20">
            <v>474400</v>
          </cell>
          <cell r="U20">
            <v>86254.545454545456</v>
          </cell>
        </row>
        <row r="21">
          <cell r="A21" t="str">
            <v>07</v>
          </cell>
          <cell r="B21" t="str">
            <v>INFORMATIVO</v>
          </cell>
          <cell r="C21" t="str">
            <v>MEDIA NOCHE</v>
          </cell>
          <cell r="D21">
            <v>4</v>
          </cell>
          <cell r="E21">
            <v>31559</v>
          </cell>
          <cell r="F21">
            <v>5.9</v>
          </cell>
          <cell r="G21">
            <v>3.9</v>
          </cell>
          <cell r="H21">
            <v>2.5</v>
          </cell>
          <cell r="I21">
            <v>3.9</v>
          </cell>
          <cell r="J21">
            <v>3.8</v>
          </cell>
          <cell r="M21" t="str">
            <v>23:52</v>
          </cell>
          <cell r="N21" t="str">
            <v>01:25</v>
          </cell>
          <cell r="O21" t="str">
            <v>X20</v>
          </cell>
          <cell r="P21">
            <v>891000</v>
          </cell>
          <cell r="Q21">
            <v>0.6</v>
          </cell>
          <cell r="R21">
            <v>0</v>
          </cell>
          <cell r="S21">
            <v>0</v>
          </cell>
          <cell r="T21">
            <v>356400</v>
          </cell>
          <cell r="U21">
            <v>89100</v>
          </cell>
        </row>
        <row r="22">
          <cell r="A22" t="str">
            <v>07</v>
          </cell>
          <cell r="B22" t="str">
            <v>MISCELANEO</v>
          </cell>
          <cell r="C22" t="str">
            <v>BUENOS DIAS A TODOS (C)</v>
          </cell>
          <cell r="D22">
            <v>4.5</v>
          </cell>
          <cell r="E22">
            <v>35434</v>
          </cell>
          <cell r="F22">
            <v>4.7</v>
          </cell>
          <cell r="G22">
            <v>4.7</v>
          </cell>
          <cell r="H22">
            <v>4.3</v>
          </cell>
          <cell r="I22">
            <v>4.4000000000000004</v>
          </cell>
          <cell r="J22">
            <v>4.4000000000000004</v>
          </cell>
          <cell r="M22" t="str">
            <v>10:00</v>
          </cell>
          <cell r="N22" t="str">
            <v>10:59</v>
          </cell>
          <cell r="O22" t="str">
            <v>X22</v>
          </cell>
          <cell r="P22">
            <v>1078000</v>
          </cell>
          <cell r="Q22">
            <v>0.6</v>
          </cell>
          <cell r="R22">
            <v>0</v>
          </cell>
          <cell r="S22">
            <v>0</v>
          </cell>
          <cell r="T22">
            <v>431200</v>
          </cell>
          <cell r="U22">
            <v>95822.222222222219</v>
          </cell>
        </row>
        <row r="23">
          <cell r="A23" t="str">
            <v>07</v>
          </cell>
          <cell r="B23" t="str">
            <v>NOTICIERO</v>
          </cell>
          <cell r="C23" t="str">
            <v>EDICION VESPERTINA DE 24 HORAS</v>
          </cell>
          <cell r="D23">
            <v>5.7</v>
          </cell>
          <cell r="E23">
            <v>45053</v>
          </cell>
          <cell r="F23">
            <v>5.0999999999999996</v>
          </cell>
          <cell r="G23">
            <v>4.7</v>
          </cell>
          <cell r="H23">
            <v>4.7</v>
          </cell>
          <cell r="I23">
            <v>6.7</v>
          </cell>
          <cell r="J23">
            <v>7.3</v>
          </cell>
          <cell r="M23" t="str">
            <v>17:58</v>
          </cell>
          <cell r="N23" t="str">
            <v>18:30</v>
          </cell>
          <cell r="O23" t="str">
            <v>X25</v>
          </cell>
          <cell r="P23">
            <v>1434000</v>
          </cell>
          <cell r="Q23">
            <v>0.6</v>
          </cell>
          <cell r="R23">
            <v>0</v>
          </cell>
          <cell r="S23">
            <v>0</v>
          </cell>
          <cell r="T23">
            <v>573600</v>
          </cell>
          <cell r="U23">
            <v>100631.57894736841</v>
          </cell>
        </row>
        <row r="24">
          <cell r="A24" t="str">
            <v>07</v>
          </cell>
          <cell r="B24" t="str">
            <v>MISCELANEO</v>
          </cell>
          <cell r="C24" t="str">
            <v>BUENOS DIAS A TODOS (A)</v>
          </cell>
          <cell r="D24">
            <v>4.0999999999999996</v>
          </cell>
          <cell r="E24">
            <v>32297</v>
          </cell>
          <cell r="F24">
            <v>4</v>
          </cell>
          <cell r="G24">
            <v>5.4</v>
          </cell>
          <cell r="H24">
            <v>3.5</v>
          </cell>
          <cell r="I24">
            <v>4.2</v>
          </cell>
          <cell r="J24">
            <v>3.4</v>
          </cell>
          <cell r="M24" t="str">
            <v>08:01</v>
          </cell>
          <cell r="N24" t="str">
            <v>08:59</v>
          </cell>
          <cell r="O24" t="str">
            <v>X22</v>
          </cell>
          <cell r="P24">
            <v>1078000</v>
          </cell>
          <cell r="Q24">
            <v>0.6</v>
          </cell>
          <cell r="R24">
            <v>0</v>
          </cell>
          <cell r="S24">
            <v>0</v>
          </cell>
          <cell r="T24">
            <v>431200</v>
          </cell>
          <cell r="U24">
            <v>105170.73170731709</v>
          </cell>
        </row>
        <row r="25">
          <cell r="A25" t="str">
            <v>07</v>
          </cell>
          <cell r="B25" t="str">
            <v>TELENOVELA</v>
          </cell>
          <cell r="C25" t="str">
            <v>AMORES DE MERCADO</v>
          </cell>
          <cell r="D25">
            <v>21</v>
          </cell>
          <cell r="E25">
            <v>165478</v>
          </cell>
          <cell r="F25">
            <v>20.6</v>
          </cell>
          <cell r="G25">
            <v>19.8</v>
          </cell>
          <cell r="H25">
            <v>22.4</v>
          </cell>
          <cell r="I25">
            <v>20.399999999999999</v>
          </cell>
          <cell r="J25">
            <v>21.6</v>
          </cell>
          <cell r="M25" t="str">
            <v>19:18</v>
          </cell>
          <cell r="N25" t="str">
            <v>21:00</v>
          </cell>
          <cell r="O25" t="str">
            <v>X37</v>
          </cell>
          <cell r="P25">
            <v>4502000</v>
          </cell>
          <cell r="Q25">
            <v>0.5</v>
          </cell>
          <cell r="R25">
            <v>0</v>
          </cell>
          <cell r="S25">
            <v>0</v>
          </cell>
          <cell r="T25">
            <v>2251000</v>
          </cell>
          <cell r="U25">
            <v>107190.47619047618</v>
          </cell>
        </row>
        <row r="26">
          <cell r="A26" t="str">
            <v>07</v>
          </cell>
          <cell r="B26" t="str">
            <v>NOTICIERO</v>
          </cell>
          <cell r="C26" t="str">
            <v>EDICION MATINAL 24 HORAS</v>
          </cell>
          <cell r="D26">
            <v>4.3</v>
          </cell>
          <cell r="E26">
            <v>34283</v>
          </cell>
          <cell r="F26">
            <v>4.5999999999999996</v>
          </cell>
          <cell r="G26">
            <v>4.3</v>
          </cell>
          <cell r="H26">
            <v>4.9000000000000004</v>
          </cell>
          <cell r="I26">
            <v>4</v>
          </cell>
          <cell r="J26">
            <v>4</v>
          </cell>
          <cell r="M26" t="str">
            <v>06:59</v>
          </cell>
          <cell r="N26" t="str">
            <v>08:01</v>
          </cell>
          <cell r="O26" t="str">
            <v>X23</v>
          </cell>
          <cell r="P26">
            <v>1186000</v>
          </cell>
          <cell r="Q26">
            <v>0.6</v>
          </cell>
          <cell r="R26">
            <v>0</v>
          </cell>
          <cell r="S26">
            <v>0</v>
          </cell>
          <cell r="T26">
            <v>474400</v>
          </cell>
          <cell r="U26">
            <v>110325.58139534884</v>
          </cell>
        </row>
        <row r="27">
          <cell r="A27" t="str">
            <v>07</v>
          </cell>
          <cell r="B27" t="str">
            <v>MISCELANEO</v>
          </cell>
          <cell r="C27" t="str">
            <v>BUENOS DIAS A TODOS (D)</v>
          </cell>
          <cell r="D27">
            <v>3.4</v>
          </cell>
          <cell r="E27">
            <v>27148</v>
          </cell>
          <cell r="F27">
            <v>3</v>
          </cell>
          <cell r="G27">
            <v>3.4</v>
          </cell>
          <cell r="H27">
            <v>3.3</v>
          </cell>
          <cell r="I27">
            <v>3.7</v>
          </cell>
          <cell r="J27">
            <v>3.8</v>
          </cell>
          <cell r="M27" t="str">
            <v>11:00</v>
          </cell>
          <cell r="N27" t="str">
            <v>12:00</v>
          </cell>
          <cell r="O27" t="str">
            <v>X21</v>
          </cell>
          <cell r="P27">
            <v>980000</v>
          </cell>
          <cell r="Q27">
            <v>0.6</v>
          </cell>
          <cell r="R27">
            <v>0</v>
          </cell>
          <cell r="S27">
            <v>0</v>
          </cell>
          <cell r="T27">
            <v>392000</v>
          </cell>
          <cell r="U27">
            <v>115294.11764705883</v>
          </cell>
        </row>
        <row r="28">
          <cell r="A28" t="str">
            <v>07</v>
          </cell>
          <cell r="B28" t="str">
            <v>MISCELANEO</v>
          </cell>
          <cell r="C28" t="str">
            <v>BUENAS TARDES ELI</v>
          </cell>
          <cell r="D28">
            <v>4.5999999999999996</v>
          </cell>
          <cell r="E28">
            <v>36219</v>
          </cell>
          <cell r="F28">
            <v>4.9000000000000004</v>
          </cell>
          <cell r="G28">
            <v>3.2</v>
          </cell>
          <cell r="H28">
            <v>4.2</v>
          </cell>
          <cell r="I28">
            <v>4.9000000000000004</v>
          </cell>
          <cell r="J28">
            <v>5.7</v>
          </cell>
          <cell r="M28" t="str">
            <v>15:43</v>
          </cell>
          <cell r="N28" t="str">
            <v>18:00</v>
          </cell>
          <cell r="O28" t="str">
            <v>X25</v>
          </cell>
          <cell r="P28">
            <v>1434000</v>
          </cell>
          <cell r="Q28">
            <v>0.6</v>
          </cell>
          <cell r="R28">
            <v>0</v>
          </cell>
          <cell r="S28">
            <v>0</v>
          </cell>
          <cell r="T28">
            <v>573600</v>
          </cell>
          <cell r="U28">
            <v>124695.65217391305</v>
          </cell>
        </row>
        <row r="29">
          <cell r="A29" t="str">
            <v>07</v>
          </cell>
          <cell r="B29" t="str">
            <v>NOTICIERO</v>
          </cell>
          <cell r="C29" t="str">
            <v>24 HORAS</v>
          </cell>
          <cell r="D29">
            <v>15.2</v>
          </cell>
          <cell r="E29">
            <v>119646</v>
          </cell>
          <cell r="F29">
            <v>17.3</v>
          </cell>
          <cell r="G29">
            <v>19.5</v>
          </cell>
          <cell r="H29">
            <v>17</v>
          </cell>
          <cell r="I29">
            <v>18.399999999999999</v>
          </cell>
          <cell r="J29">
            <v>17.3</v>
          </cell>
          <cell r="K29">
            <v>7.9</v>
          </cell>
          <cell r="L29">
            <v>8.8000000000000007</v>
          </cell>
          <cell r="M29" t="str">
            <v>20:59</v>
          </cell>
          <cell r="N29" t="str">
            <v>21:57</v>
          </cell>
          <cell r="O29" t="str">
            <v>X37</v>
          </cell>
          <cell r="P29">
            <v>4502000</v>
          </cell>
          <cell r="Q29">
            <v>0.5</v>
          </cell>
          <cell r="R29">
            <v>0</v>
          </cell>
          <cell r="S29">
            <v>0</v>
          </cell>
          <cell r="T29">
            <v>2251000</v>
          </cell>
          <cell r="U29">
            <v>148092.10526315789</v>
          </cell>
        </row>
        <row r="30">
          <cell r="A30" t="str">
            <v>07</v>
          </cell>
          <cell r="B30" t="str">
            <v>REPORTAJE</v>
          </cell>
          <cell r="C30" t="str">
            <v>INFORME ESPECIAL</v>
          </cell>
          <cell r="D30">
            <v>14.7</v>
          </cell>
          <cell r="E30">
            <v>116259</v>
          </cell>
          <cell r="I30">
            <v>14.7</v>
          </cell>
          <cell r="M30" t="str">
            <v>22:01</v>
          </cell>
          <cell r="N30" t="str">
            <v>23:13</v>
          </cell>
          <cell r="O30" t="str">
            <v>X37</v>
          </cell>
          <cell r="P30">
            <v>4502000</v>
          </cell>
          <cell r="Q30">
            <v>0.5</v>
          </cell>
          <cell r="R30">
            <v>0</v>
          </cell>
          <cell r="S30">
            <v>0</v>
          </cell>
          <cell r="T30">
            <v>2251000</v>
          </cell>
          <cell r="U30">
            <v>153129.25170068027</v>
          </cell>
        </row>
        <row r="31">
          <cell r="A31" t="str">
            <v>07</v>
          </cell>
          <cell r="B31" t="str">
            <v>REALITY SHOW</v>
          </cell>
          <cell r="C31" t="str">
            <v>ENIGMA</v>
          </cell>
          <cell r="D31">
            <v>8.6</v>
          </cell>
          <cell r="E31">
            <v>67737</v>
          </cell>
          <cell r="G31">
            <v>8.6</v>
          </cell>
          <cell r="M31" t="str">
            <v>22:04</v>
          </cell>
          <cell r="N31" t="str">
            <v>23:10</v>
          </cell>
          <cell r="O31" t="str">
            <v>X36</v>
          </cell>
          <cell r="P31">
            <v>4093000</v>
          </cell>
          <cell r="Q31">
            <v>0.5</v>
          </cell>
          <cell r="R31">
            <v>0</v>
          </cell>
          <cell r="S31">
            <v>0</v>
          </cell>
          <cell r="T31">
            <v>2046500</v>
          </cell>
          <cell r="U31">
            <v>237965.11627906977</v>
          </cell>
        </row>
        <row r="32">
          <cell r="A32" t="str">
            <v>07</v>
          </cell>
          <cell r="B32" t="str">
            <v>MISCELANEO</v>
          </cell>
          <cell r="C32" t="str">
            <v>PASE LO QUE PASE</v>
          </cell>
          <cell r="D32">
            <v>5.9</v>
          </cell>
          <cell r="E32">
            <v>46687</v>
          </cell>
          <cell r="F32">
            <v>5.0999999999999996</v>
          </cell>
          <cell r="G32">
            <v>5.7</v>
          </cell>
          <cell r="H32">
            <v>5.0999999999999996</v>
          </cell>
          <cell r="I32">
            <v>6.6</v>
          </cell>
          <cell r="J32">
            <v>7</v>
          </cell>
          <cell r="M32" t="str">
            <v>18:30</v>
          </cell>
          <cell r="N32" t="str">
            <v>19:47</v>
          </cell>
          <cell r="O32" t="str">
            <v>X35</v>
          </cell>
          <cell r="P32">
            <v>3721000</v>
          </cell>
          <cell r="Q32">
            <v>0.6</v>
          </cell>
          <cell r="R32">
            <v>0</v>
          </cell>
          <cell r="S32">
            <v>0</v>
          </cell>
          <cell r="T32">
            <v>1488400</v>
          </cell>
          <cell r="U32">
            <v>252271.18644067796</v>
          </cell>
        </row>
        <row r="33">
          <cell r="A33" t="str">
            <v>07</v>
          </cell>
          <cell r="B33" t="str">
            <v>CONVERSACION</v>
          </cell>
          <cell r="C33" t="str">
            <v>EL DIA MENOS PENSADO</v>
          </cell>
          <cell r="D33">
            <v>5.9</v>
          </cell>
          <cell r="E33">
            <v>46439</v>
          </cell>
          <cell r="H33">
            <v>5.9</v>
          </cell>
          <cell r="M33" t="str">
            <v>22:02</v>
          </cell>
          <cell r="N33" t="str">
            <v>23:31</v>
          </cell>
          <cell r="O33" t="str">
            <v>X37</v>
          </cell>
          <cell r="P33">
            <v>4502000</v>
          </cell>
          <cell r="Q33">
            <v>0.5</v>
          </cell>
          <cell r="R33">
            <v>0</v>
          </cell>
          <cell r="S33">
            <v>0</v>
          </cell>
          <cell r="T33">
            <v>2251000</v>
          </cell>
          <cell r="U33">
            <v>381525.42372881353</v>
          </cell>
        </row>
        <row r="34">
          <cell r="A34" t="str">
            <v>09</v>
          </cell>
          <cell r="B34" t="str">
            <v>NOTICIERO</v>
          </cell>
          <cell r="C34" t="str">
            <v>MEGANOTICIAS EDICION TARDE</v>
          </cell>
          <cell r="D34">
            <v>2.8</v>
          </cell>
          <cell r="E34">
            <v>22088</v>
          </cell>
          <cell r="F34">
            <v>2.4</v>
          </cell>
          <cell r="G34">
            <v>2.6</v>
          </cell>
          <cell r="H34">
            <v>3.1</v>
          </cell>
          <cell r="I34">
            <v>3.1</v>
          </cell>
          <cell r="J34">
            <v>2.8</v>
          </cell>
          <cell r="M34" t="str">
            <v>13:29</v>
          </cell>
          <cell r="N34" t="str">
            <v>13:59</v>
          </cell>
          <cell r="O34" t="str">
            <v>G24</v>
          </cell>
          <cell r="P34">
            <v>807000</v>
          </cell>
          <cell r="Q34">
            <v>0.59699999999999998</v>
          </cell>
          <cell r="R34">
            <v>0.27</v>
          </cell>
          <cell r="S34">
            <v>0</v>
          </cell>
          <cell r="T34">
            <v>237411.33</v>
          </cell>
          <cell r="U34">
            <v>84789.760714285716</v>
          </cell>
        </row>
        <row r="35">
          <cell r="A35" t="str">
            <v>09</v>
          </cell>
          <cell r="B35" t="str">
            <v>TELENOVELA</v>
          </cell>
          <cell r="C35" t="str">
            <v>EL NOVENO MANDAMIENTO</v>
          </cell>
          <cell r="D35">
            <v>2.6</v>
          </cell>
          <cell r="E35">
            <v>20298</v>
          </cell>
          <cell r="F35">
            <v>1.9</v>
          </cell>
          <cell r="G35">
            <v>2.5</v>
          </cell>
          <cell r="H35">
            <v>2.6</v>
          </cell>
          <cell r="I35">
            <v>3.4</v>
          </cell>
          <cell r="J35">
            <v>2.4</v>
          </cell>
          <cell r="M35" t="str">
            <v>13:56</v>
          </cell>
          <cell r="N35" t="str">
            <v>14:51</v>
          </cell>
          <cell r="O35" t="str">
            <v>G26</v>
          </cell>
          <cell r="P35">
            <v>959000</v>
          </cell>
          <cell r="Q35">
            <v>0.59699999999999998</v>
          </cell>
          <cell r="R35">
            <v>0.27</v>
          </cell>
          <cell r="S35">
            <v>0</v>
          </cell>
          <cell r="T35">
            <v>282128.21000000002</v>
          </cell>
          <cell r="U35">
            <v>108510.85</v>
          </cell>
        </row>
        <row r="36">
          <cell r="A36" t="str">
            <v>09</v>
          </cell>
          <cell r="B36" t="str">
            <v>TELENOVELA</v>
          </cell>
          <cell r="C36" t="str">
            <v>LA INTRUSA</v>
          </cell>
          <cell r="D36">
            <v>2.4</v>
          </cell>
          <cell r="E36">
            <v>18718</v>
          </cell>
          <cell r="F36">
            <v>1.7</v>
          </cell>
          <cell r="G36">
            <v>2.5</v>
          </cell>
          <cell r="H36">
            <v>2.4</v>
          </cell>
          <cell r="I36">
            <v>2.4</v>
          </cell>
          <cell r="J36">
            <v>2.8</v>
          </cell>
          <cell r="M36" t="str">
            <v>14:48</v>
          </cell>
          <cell r="N36" t="str">
            <v>15:45</v>
          </cell>
          <cell r="O36" t="str">
            <v>G26</v>
          </cell>
          <cell r="P36">
            <v>959000</v>
          </cell>
          <cell r="Q36">
            <v>0.59699999999999998</v>
          </cell>
          <cell r="R36">
            <v>0.27</v>
          </cell>
          <cell r="S36">
            <v>0</v>
          </cell>
          <cell r="T36">
            <v>282128.21000000002</v>
          </cell>
          <cell r="U36">
            <v>117553.42083333335</v>
          </cell>
        </row>
        <row r="37">
          <cell r="A37" t="str">
            <v>09</v>
          </cell>
          <cell r="B37" t="str">
            <v>SERIE</v>
          </cell>
          <cell r="C37" t="str">
            <v>DAWSON CREEK</v>
          </cell>
          <cell r="D37">
            <v>3.1</v>
          </cell>
          <cell r="E37">
            <v>24148</v>
          </cell>
          <cell r="J37">
            <v>3.1</v>
          </cell>
          <cell r="M37" t="str">
            <v>00:09</v>
          </cell>
          <cell r="N37" t="str">
            <v>01:07</v>
          </cell>
          <cell r="O37" t="str">
            <v>G29</v>
          </cell>
          <cell r="P37">
            <v>1242000</v>
          </cell>
          <cell r="Q37">
            <v>0.59699999999999998</v>
          </cell>
          <cell r="R37">
            <v>0.27</v>
          </cell>
          <cell r="S37">
            <v>0</v>
          </cell>
          <cell r="T37">
            <v>365383.98000000004</v>
          </cell>
          <cell r="U37">
            <v>117865.8</v>
          </cell>
        </row>
        <row r="38">
          <cell r="A38" t="str">
            <v>09</v>
          </cell>
          <cell r="B38" t="str">
            <v>MISCELANEO</v>
          </cell>
          <cell r="C38" t="str">
            <v>HOLA ANDREA</v>
          </cell>
          <cell r="D38">
            <v>2.2999999999999998</v>
          </cell>
          <cell r="E38">
            <v>18107</v>
          </cell>
          <cell r="F38">
            <v>1.4</v>
          </cell>
          <cell r="G38">
            <v>2</v>
          </cell>
          <cell r="H38">
            <v>3.4</v>
          </cell>
          <cell r="I38">
            <v>2.6</v>
          </cell>
          <cell r="J38">
            <v>2.1</v>
          </cell>
          <cell r="M38" t="str">
            <v>15:43</v>
          </cell>
          <cell r="N38" t="str">
            <v>17:19</v>
          </cell>
          <cell r="O38" t="str">
            <v>G26</v>
          </cell>
          <cell r="P38">
            <v>959000</v>
          </cell>
          <cell r="Q38">
            <v>0.59699999999999998</v>
          </cell>
          <cell r="R38">
            <v>0.27</v>
          </cell>
          <cell r="S38">
            <v>0</v>
          </cell>
          <cell r="T38">
            <v>282128.21000000002</v>
          </cell>
          <cell r="U38">
            <v>122664.4391304348</v>
          </cell>
        </row>
        <row r="39">
          <cell r="A39" t="str">
            <v>09</v>
          </cell>
          <cell r="B39" t="str">
            <v>REPORTAJE</v>
          </cell>
          <cell r="C39" t="str">
            <v>CARA Y SELLO</v>
          </cell>
          <cell r="D39">
            <v>6</v>
          </cell>
          <cell r="E39">
            <v>47633</v>
          </cell>
          <cell r="H39">
            <v>6</v>
          </cell>
          <cell r="M39" t="str">
            <v>21:59</v>
          </cell>
          <cell r="N39" t="str">
            <v>23:30</v>
          </cell>
          <cell r="O39" t="str">
            <v>G38</v>
          </cell>
          <cell r="P39">
            <v>2699000</v>
          </cell>
          <cell r="Q39">
            <v>0.59699999999999998</v>
          </cell>
          <cell r="R39">
            <v>0.27</v>
          </cell>
          <cell r="S39">
            <v>0</v>
          </cell>
          <cell r="T39">
            <v>794018.80999999994</v>
          </cell>
          <cell r="U39">
            <v>132336.46833333332</v>
          </cell>
        </row>
        <row r="40">
          <cell r="A40" t="str">
            <v>09</v>
          </cell>
          <cell r="B40" t="str">
            <v>NOTICIERO</v>
          </cell>
          <cell r="C40" t="str">
            <v>MEGANOTICIAS</v>
          </cell>
          <cell r="D40">
            <v>3.3</v>
          </cell>
          <cell r="E40">
            <v>25775</v>
          </cell>
          <cell r="F40">
            <v>2.7</v>
          </cell>
          <cell r="G40">
            <v>3.7</v>
          </cell>
          <cell r="H40">
            <v>3.8</v>
          </cell>
          <cell r="I40">
            <v>3.3</v>
          </cell>
          <cell r="J40">
            <v>2.9</v>
          </cell>
          <cell r="M40" t="str">
            <v>20:55</v>
          </cell>
          <cell r="N40" t="str">
            <v>21:57</v>
          </cell>
          <cell r="O40" t="str">
            <v>G33</v>
          </cell>
          <cell r="P40">
            <v>1754000</v>
          </cell>
          <cell r="Q40">
            <v>0.59699999999999998</v>
          </cell>
          <cell r="R40">
            <v>0.27</v>
          </cell>
          <cell r="S40">
            <v>0</v>
          </cell>
          <cell r="T40">
            <v>516009.26</v>
          </cell>
          <cell r="U40">
            <v>156366.44242424244</v>
          </cell>
        </row>
        <row r="41">
          <cell r="A41" t="str">
            <v>09</v>
          </cell>
          <cell r="B41" t="str">
            <v>HUMOR</v>
          </cell>
          <cell r="C41" t="str">
            <v>JAPPENING CON JA</v>
          </cell>
          <cell r="D41">
            <v>3.7</v>
          </cell>
          <cell r="E41">
            <v>29260</v>
          </cell>
          <cell r="G41">
            <v>3.7</v>
          </cell>
          <cell r="M41" t="str">
            <v>22:02</v>
          </cell>
          <cell r="N41" t="str">
            <v>23:31</v>
          </cell>
          <cell r="O41" t="str">
            <v>G36</v>
          </cell>
          <cell r="P41">
            <v>2272000</v>
          </cell>
          <cell r="Q41">
            <v>0.59699999999999998</v>
          </cell>
          <cell r="R41">
            <v>0.27</v>
          </cell>
          <cell r="S41">
            <v>0</v>
          </cell>
          <cell r="T41">
            <v>668399.67999999993</v>
          </cell>
          <cell r="U41">
            <v>180648.56216216212</v>
          </cell>
        </row>
        <row r="42">
          <cell r="A42" t="str">
            <v>09</v>
          </cell>
          <cell r="B42" t="str">
            <v>TELENOVELA</v>
          </cell>
          <cell r="C42" t="str">
            <v>ROSALINDA</v>
          </cell>
          <cell r="D42">
            <v>0.9</v>
          </cell>
          <cell r="E42">
            <v>7163</v>
          </cell>
          <cell r="F42">
            <v>0.6</v>
          </cell>
          <cell r="G42">
            <v>0.6</v>
          </cell>
          <cell r="H42">
            <v>0.7</v>
          </cell>
          <cell r="I42">
            <v>0.3</v>
          </cell>
          <cell r="J42">
            <v>2.2999999999999998</v>
          </cell>
          <cell r="M42" t="str">
            <v>12:34</v>
          </cell>
          <cell r="N42" t="str">
            <v>13:29</v>
          </cell>
          <cell r="O42" t="str">
            <v>G20</v>
          </cell>
          <cell r="P42">
            <v>572000</v>
          </cell>
          <cell r="Q42">
            <v>0.59699999999999998</v>
          </cell>
          <cell r="R42">
            <v>0.27</v>
          </cell>
          <cell r="S42">
            <v>0</v>
          </cell>
          <cell r="T42">
            <v>168276.68</v>
          </cell>
          <cell r="U42">
            <v>186974.08888888889</v>
          </cell>
        </row>
        <row r="43">
          <cell r="A43" t="str">
            <v>09</v>
          </cell>
          <cell r="B43" t="str">
            <v>ENTREVISTA</v>
          </cell>
          <cell r="C43" t="str">
            <v>HUMANAMENTE HABLANDO</v>
          </cell>
          <cell r="D43">
            <v>4.9000000000000004</v>
          </cell>
          <cell r="E43">
            <v>38810</v>
          </cell>
          <cell r="I43">
            <v>4.9000000000000004</v>
          </cell>
          <cell r="M43" t="str">
            <v>23:22</v>
          </cell>
          <cell r="N43" t="str">
            <v>00:05</v>
          </cell>
          <cell r="O43" t="str">
            <v>G41</v>
          </cell>
          <cell r="P43">
            <v>3495000</v>
          </cell>
          <cell r="Q43">
            <v>0.59699999999999998</v>
          </cell>
          <cell r="R43">
            <v>0.27</v>
          </cell>
          <cell r="S43">
            <v>0</v>
          </cell>
          <cell r="T43">
            <v>1028194.0499999999</v>
          </cell>
          <cell r="U43">
            <v>209835.52040816323</v>
          </cell>
        </row>
        <row r="44">
          <cell r="A44" t="str">
            <v>09</v>
          </cell>
          <cell r="B44" t="str">
            <v>INFORMATIVO</v>
          </cell>
          <cell r="C44" t="str">
            <v>AQUI EN VIVO</v>
          </cell>
          <cell r="D44">
            <v>4.4000000000000004</v>
          </cell>
          <cell r="E44">
            <v>34331</v>
          </cell>
          <cell r="I44">
            <v>4.4000000000000004</v>
          </cell>
          <cell r="M44" t="str">
            <v>22:02</v>
          </cell>
          <cell r="N44" t="str">
            <v>23:21</v>
          </cell>
          <cell r="O44" t="str">
            <v>G41</v>
          </cell>
          <cell r="P44">
            <v>3495000</v>
          </cell>
          <cell r="Q44">
            <v>0.59699999999999998</v>
          </cell>
          <cell r="R44">
            <v>0.27</v>
          </cell>
          <cell r="S44">
            <v>0</v>
          </cell>
          <cell r="T44">
            <v>1028194.0499999999</v>
          </cell>
          <cell r="U44">
            <v>233680.46590909088</v>
          </cell>
        </row>
        <row r="45">
          <cell r="A45" t="str">
            <v>09</v>
          </cell>
          <cell r="B45" t="str">
            <v>CONVERSACION</v>
          </cell>
          <cell r="C45" t="str">
            <v>COMBINADO NACIONAL</v>
          </cell>
          <cell r="D45">
            <v>1.2</v>
          </cell>
          <cell r="E45">
            <v>9249</v>
          </cell>
          <cell r="F45">
            <v>1.1000000000000001</v>
          </cell>
          <cell r="G45">
            <v>1.5</v>
          </cell>
          <cell r="H45">
            <v>1</v>
          </cell>
          <cell r="I45">
            <v>1.5</v>
          </cell>
          <cell r="J45">
            <v>0.8</v>
          </cell>
          <cell r="M45" t="str">
            <v>19:57</v>
          </cell>
          <cell r="N45" t="str">
            <v>20:58</v>
          </cell>
          <cell r="O45" t="str">
            <v>G26</v>
          </cell>
          <cell r="P45">
            <v>959000</v>
          </cell>
          <cell r="Q45">
            <v>0.59699999999999998</v>
          </cell>
          <cell r="R45">
            <v>0.27</v>
          </cell>
          <cell r="S45">
            <v>0</v>
          </cell>
          <cell r="T45">
            <v>282128.21000000002</v>
          </cell>
          <cell r="U45">
            <v>235106.8416666667</v>
          </cell>
        </row>
        <row r="46">
          <cell r="A46" t="str">
            <v>09</v>
          </cell>
          <cell r="B46" t="str">
            <v>TELENOVELA</v>
          </cell>
          <cell r="C46" t="str">
            <v>CARITA DE ANGEL</v>
          </cell>
          <cell r="D46">
            <v>1.8</v>
          </cell>
          <cell r="E46">
            <v>13826</v>
          </cell>
          <cell r="F46">
            <v>1</v>
          </cell>
          <cell r="G46">
            <v>1.4</v>
          </cell>
          <cell r="H46">
            <v>1.6</v>
          </cell>
          <cell r="I46">
            <v>2.6</v>
          </cell>
          <cell r="J46">
            <v>2.2000000000000002</v>
          </cell>
          <cell r="M46" t="str">
            <v>19:14</v>
          </cell>
          <cell r="N46" t="str">
            <v>19:58</v>
          </cell>
          <cell r="O46" t="str">
            <v>G31</v>
          </cell>
          <cell r="P46">
            <v>1476000</v>
          </cell>
          <cell r="Q46">
            <v>0.59699999999999998</v>
          </cell>
          <cell r="R46">
            <v>0.27</v>
          </cell>
          <cell r="S46">
            <v>0</v>
          </cell>
          <cell r="T46">
            <v>434224.44</v>
          </cell>
          <cell r="U46">
            <v>241235.8</v>
          </cell>
        </row>
        <row r="47">
          <cell r="A47" t="str">
            <v>09</v>
          </cell>
          <cell r="B47" t="str">
            <v>CONVERSACION</v>
          </cell>
          <cell r="C47" t="str">
            <v>MORANDE CON COMPANIA (R)</v>
          </cell>
          <cell r="D47">
            <v>3.4</v>
          </cell>
          <cell r="E47">
            <v>26894</v>
          </cell>
          <cell r="F47">
            <v>2.2999999999999998</v>
          </cell>
          <cell r="G47">
            <v>2.4</v>
          </cell>
          <cell r="H47">
            <v>4.4000000000000004</v>
          </cell>
          <cell r="I47">
            <v>3.2</v>
          </cell>
          <cell r="J47">
            <v>4.8</v>
          </cell>
          <cell r="M47" t="str">
            <v>21:59</v>
          </cell>
          <cell r="N47" t="str">
            <v>02:01</v>
          </cell>
          <cell r="O47" t="str">
            <v>G39</v>
          </cell>
          <cell r="P47">
            <v>2941000</v>
          </cell>
          <cell r="Q47">
            <v>0.59699999999999998</v>
          </cell>
          <cell r="R47">
            <v>0.27</v>
          </cell>
          <cell r="S47">
            <v>0</v>
          </cell>
          <cell r="T47">
            <v>865212.78999999992</v>
          </cell>
          <cell r="U47">
            <v>254474.34999999998</v>
          </cell>
        </row>
        <row r="48">
          <cell r="A48" t="str">
            <v>11</v>
          </cell>
          <cell r="B48" t="str">
            <v>PELICULA</v>
          </cell>
          <cell r="C48" t="str">
            <v>CINE DE TRASNOCHE</v>
          </cell>
          <cell r="D48">
            <v>1.1000000000000001</v>
          </cell>
          <cell r="E48">
            <v>8451</v>
          </cell>
          <cell r="F48">
            <v>0.8</v>
          </cell>
          <cell r="G48">
            <v>0</v>
          </cell>
          <cell r="H48">
            <v>1</v>
          </cell>
          <cell r="I48">
            <v>1.2</v>
          </cell>
          <cell r="J48">
            <v>0.9</v>
          </cell>
          <cell r="K48">
            <v>2.2000000000000002</v>
          </cell>
          <cell r="L48">
            <v>1.4</v>
          </cell>
          <cell r="M48" t="str">
            <v>01:00</v>
          </cell>
          <cell r="N48" t="str">
            <v>04:16</v>
          </cell>
          <cell r="O48">
            <v>1</v>
          </cell>
          <cell r="P48">
            <v>96000</v>
          </cell>
          <cell r="T48">
            <v>96000</v>
          </cell>
          <cell r="U48">
            <v>87272.727272727265</v>
          </cell>
        </row>
        <row r="49">
          <cell r="A49" t="str">
            <v>11</v>
          </cell>
          <cell r="B49" t="str">
            <v>NOTICIERO</v>
          </cell>
          <cell r="C49" t="str">
            <v>CHV NOTICIAS TARDE</v>
          </cell>
          <cell r="D49">
            <v>2.2000000000000002</v>
          </cell>
          <cell r="E49">
            <v>17737</v>
          </cell>
          <cell r="F49">
            <v>1.6</v>
          </cell>
          <cell r="G49">
            <v>2.4</v>
          </cell>
          <cell r="H49">
            <v>2.2000000000000002</v>
          </cell>
          <cell r="I49">
            <v>2.6</v>
          </cell>
          <cell r="J49">
            <v>2.4</v>
          </cell>
          <cell r="M49" t="str">
            <v>13:30</v>
          </cell>
          <cell r="N49" t="str">
            <v>14:02</v>
          </cell>
          <cell r="O49">
            <v>4</v>
          </cell>
          <cell r="P49">
            <v>288000</v>
          </cell>
          <cell r="T49">
            <v>288000</v>
          </cell>
          <cell r="U49">
            <v>130909.0909090909</v>
          </cell>
        </row>
        <row r="50">
          <cell r="A50" t="str">
            <v>11</v>
          </cell>
          <cell r="B50" t="str">
            <v>MISCELANEO</v>
          </cell>
          <cell r="C50" t="str">
            <v>EL TERMOMETRO</v>
          </cell>
          <cell r="D50">
            <v>1.8</v>
          </cell>
          <cell r="E50">
            <v>14278</v>
          </cell>
          <cell r="F50">
            <v>1.3</v>
          </cell>
          <cell r="G50">
            <v>1.8</v>
          </cell>
          <cell r="H50">
            <v>1.9</v>
          </cell>
          <cell r="I50">
            <v>1.5</v>
          </cell>
          <cell r="J50">
            <v>2.5</v>
          </cell>
          <cell r="M50" t="str">
            <v>19:54</v>
          </cell>
          <cell r="N50" t="str">
            <v>20:59</v>
          </cell>
          <cell r="O50">
            <v>4</v>
          </cell>
          <cell r="P50">
            <v>288000</v>
          </cell>
          <cell r="T50">
            <v>288000</v>
          </cell>
          <cell r="U50">
            <v>160000</v>
          </cell>
        </row>
        <row r="51">
          <cell r="A51" t="str">
            <v>11</v>
          </cell>
          <cell r="B51" t="str">
            <v>ENTREVISTA</v>
          </cell>
          <cell r="C51" t="str">
            <v>CHILE A MEDIAS</v>
          </cell>
          <cell r="D51">
            <v>3.9</v>
          </cell>
          <cell r="E51">
            <v>30606</v>
          </cell>
          <cell r="J51">
            <v>3.9</v>
          </cell>
          <cell r="M51" t="str">
            <v>22:05</v>
          </cell>
          <cell r="N51" t="str">
            <v>23:09</v>
          </cell>
          <cell r="O51">
            <v>8</v>
          </cell>
          <cell r="P51">
            <v>660000</v>
          </cell>
          <cell r="T51">
            <v>660000</v>
          </cell>
          <cell r="U51">
            <v>169230.76923076925</v>
          </cell>
        </row>
        <row r="52">
          <cell r="A52" t="str">
            <v>11</v>
          </cell>
          <cell r="B52" t="str">
            <v>PELICULA</v>
          </cell>
          <cell r="C52" t="str">
            <v>PREMIUM</v>
          </cell>
          <cell r="D52">
            <v>6</v>
          </cell>
          <cell r="E52">
            <v>47264</v>
          </cell>
          <cell r="G52">
            <v>6</v>
          </cell>
          <cell r="M52" t="str">
            <v>23:07</v>
          </cell>
          <cell r="N52" t="str">
            <v>01:00</v>
          </cell>
          <cell r="O52">
            <v>11</v>
          </cell>
          <cell r="P52">
            <v>1122000</v>
          </cell>
          <cell r="T52">
            <v>1122000</v>
          </cell>
          <cell r="U52">
            <v>187000</v>
          </cell>
        </row>
        <row r="53">
          <cell r="A53" t="str">
            <v>11</v>
          </cell>
          <cell r="B53" t="str">
            <v>MISCELANEO</v>
          </cell>
          <cell r="C53" t="str">
            <v>SALVESE QUIEN PUEDA</v>
          </cell>
          <cell r="D53">
            <v>1.9</v>
          </cell>
          <cell r="E53">
            <v>14749</v>
          </cell>
          <cell r="F53">
            <v>1.8</v>
          </cell>
          <cell r="G53">
            <v>1.6</v>
          </cell>
          <cell r="H53">
            <v>2</v>
          </cell>
          <cell r="I53">
            <v>1.5</v>
          </cell>
          <cell r="J53">
            <v>2.6</v>
          </cell>
          <cell r="M53" t="str">
            <v>14:00</v>
          </cell>
          <cell r="N53" t="str">
            <v>15:05</v>
          </cell>
          <cell r="O53">
            <v>5</v>
          </cell>
          <cell r="P53">
            <v>360000</v>
          </cell>
          <cell r="T53">
            <v>360000</v>
          </cell>
          <cell r="U53">
            <v>189473.68421052632</v>
          </cell>
        </row>
        <row r="54">
          <cell r="A54" t="str">
            <v>11</v>
          </cell>
          <cell r="B54" t="str">
            <v>VARIEDAD</v>
          </cell>
          <cell r="C54" t="str">
            <v>DE TODO UN POCO</v>
          </cell>
          <cell r="D54">
            <v>1.2</v>
          </cell>
          <cell r="E54">
            <v>9744</v>
          </cell>
          <cell r="F54">
            <v>1.6</v>
          </cell>
          <cell r="G54">
            <v>0.7</v>
          </cell>
          <cell r="H54">
            <v>1.9</v>
          </cell>
          <cell r="I54">
            <v>0.8</v>
          </cell>
          <cell r="J54">
            <v>1.2</v>
          </cell>
          <cell r="M54" t="str">
            <v>00:43</v>
          </cell>
          <cell r="N54" t="str">
            <v>02:45</v>
          </cell>
          <cell r="O54">
            <v>3</v>
          </cell>
          <cell r="P54">
            <v>240000</v>
          </cell>
          <cell r="T54">
            <v>240000</v>
          </cell>
          <cell r="U54">
            <v>200000</v>
          </cell>
        </row>
        <row r="55">
          <cell r="A55" t="str">
            <v>11</v>
          </cell>
          <cell r="B55" t="str">
            <v>CONVERSACION</v>
          </cell>
          <cell r="C55" t="str">
            <v>CALOR HUMANO</v>
          </cell>
          <cell r="D55">
            <v>6.1</v>
          </cell>
          <cell r="E55">
            <v>48129</v>
          </cell>
          <cell r="H55">
            <v>6.1</v>
          </cell>
          <cell r="M55" t="str">
            <v>22:05</v>
          </cell>
          <cell r="N55" t="str">
            <v>00:36</v>
          </cell>
          <cell r="O55">
            <v>12</v>
          </cell>
          <cell r="P55">
            <v>1344000</v>
          </cell>
          <cell r="T55">
            <v>1344000</v>
          </cell>
          <cell r="U55">
            <v>220327.86885245904</v>
          </cell>
        </row>
        <row r="56">
          <cell r="A56" t="str">
            <v>11</v>
          </cell>
          <cell r="B56" t="str">
            <v>VARIEDAD</v>
          </cell>
          <cell r="C56" t="str">
            <v>ASI DE SIMPLE</v>
          </cell>
          <cell r="D56">
            <v>0.8</v>
          </cell>
          <cell r="E56">
            <v>6313</v>
          </cell>
          <cell r="F56">
            <v>0.6</v>
          </cell>
          <cell r="G56">
            <v>0.5</v>
          </cell>
          <cell r="H56">
            <v>1</v>
          </cell>
          <cell r="I56">
            <v>1</v>
          </cell>
          <cell r="J56">
            <v>0.8</v>
          </cell>
          <cell r="M56" t="str">
            <v>11:25</v>
          </cell>
          <cell r="N56" t="str">
            <v>13:31</v>
          </cell>
          <cell r="O56">
            <v>2</v>
          </cell>
          <cell r="P56">
            <v>192000</v>
          </cell>
          <cell r="T56">
            <v>192000</v>
          </cell>
          <cell r="U56">
            <v>240000</v>
          </cell>
        </row>
        <row r="57">
          <cell r="A57" t="str">
            <v>11</v>
          </cell>
          <cell r="B57" t="str">
            <v>INFORMATIVO</v>
          </cell>
          <cell r="C57" t="str">
            <v>EDICION IMPACTO</v>
          </cell>
          <cell r="D57">
            <v>3.9</v>
          </cell>
          <cell r="E57">
            <v>30840</v>
          </cell>
          <cell r="J57">
            <v>3.9</v>
          </cell>
          <cell r="M57" t="str">
            <v>23:10</v>
          </cell>
          <cell r="N57" t="str">
            <v>00:15</v>
          </cell>
          <cell r="O57">
            <v>11</v>
          </cell>
          <cell r="P57">
            <v>1122000</v>
          </cell>
          <cell r="T57">
            <v>1122000</v>
          </cell>
          <cell r="U57">
            <v>287692.30769230769</v>
          </cell>
        </row>
        <row r="58">
          <cell r="A58" t="str">
            <v>11</v>
          </cell>
          <cell r="B58" t="str">
            <v>NOTICIERO</v>
          </cell>
          <cell r="C58" t="str">
            <v>CHV NOTICIAS CENTRAL</v>
          </cell>
          <cell r="D58">
            <v>3.6</v>
          </cell>
          <cell r="E58">
            <v>28338</v>
          </cell>
          <cell r="F58">
            <v>2.6</v>
          </cell>
          <cell r="G58">
            <v>5.4</v>
          </cell>
          <cell r="H58">
            <v>4.3</v>
          </cell>
          <cell r="I58">
            <v>3.2</v>
          </cell>
          <cell r="J58">
            <v>4.0999999999999996</v>
          </cell>
          <cell r="K58">
            <v>2.5</v>
          </cell>
          <cell r="L58">
            <v>3</v>
          </cell>
          <cell r="M58" t="str">
            <v>20:59</v>
          </cell>
          <cell r="N58" t="str">
            <v>22:02</v>
          </cell>
          <cell r="O58">
            <v>11</v>
          </cell>
          <cell r="P58">
            <v>1122000</v>
          </cell>
          <cell r="T58">
            <v>1122000</v>
          </cell>
          <cell r="U58">
            <v>311666.66666666669</v>
          </cell>
        </row>
        <row r="59">
          <cell r="A59" t="str">
            <v>11</v>
          </cell>
          <cell r="B59" t="str">
            <v>REPORTAJE</v>
          </cell>
          <cell r="C59" t="str">
            <v>EVIDENCIA OVNI</v>
          </cell>
          <cell r="D59">
            <v>3</v>
          </cell>
          <cell r="E59">
            <v>23564</v>
          </cell>
          <cell r="G59">
            <v>3</v>
          </cell>
          <cell r="M59" t="str">
            <v>22:06</v>
          </cell>
          <cell r="N59" t="str">
            <v>23:06</v>
          </cell>
          <cell r="O59">
            <v>10</v>
          </cell>
          <cell r="P59">
            <v>936000</v>
          </cell>
          <cell r="T59">
            <v>936000</v>
          </cell>
          <cell r="U59">
            <v>312000</v>
          </cell>
        </row>
        <row r="60">
          <cell r="A60" t="str">
            <v>11</v>
          </cell>
          <cell r="B60" t="str">
            <v>NOTICIERO</v>
          </cell>
          <cell r="C60" t="str">
            <v>CHV NOTICIAS NOCHE</v>
          </cell>
          <cell r="D60">
            <v>2.5</v>
          </cell>
          <cell r="E60">
            <v>19861</v>
          </cell>
          <cell r="F60">
            <v>1.8</v>
          </cell>
          <cell r="G60">
            <v>2.2000000000000002</v>
          </cell>
          <cell r="H60">
            <v>2</v>
          </cell>
          <cell r="I60">
            <v>2.2000000000000002</v>
          </cell>
          <cell r="J60">
            <v>2.2999999999999998</v>
          </cell>
          <cell r="K60">
            <v>3.1</v>
          </cell>
          <cell r="L60">
            <v>4.0999999999999996</v>
          </cell>
          <cell r="M60" t="str">
            <v>00:03</v>
          </cell>
          <cell r="N60" t="str">
            <v>01:40</v>
          </cell>
          <cell r="O60">
            <v>10</v>
          </cell>
          <cell r="P60">
            <v>936000</v>
          </cell>
          <cell r="T60">
            <v>936000</v>
          </cell>
          <cell r="U60">
            <v>374400</v>
          </cell>
        </row>
        <row r="61">
          <cell r="A61" t="str">
            <v>11</v>
          </cell>
          <cell r="B61" t="str">
            <v>PELICULA</v>
          </cell>
          <cell r="C61" t="str">
            <v>GRAN PREMIER</v>
          </cell>
          <cell r="D61">
            <v>1.4</v>
          </cell>
          <cell r="E61">
            <v>10811</v>
          </cell>
          <cell r="I61">
            <v>1.4</v>
          </cell>
          <cell r="M61" t="str">
            <v>22:05</v>
          </cell>
          <cell r="N61" t="str">
            <v>00:03</v>
          </cell>
          <cell r="O61">
            <v>9</v>
          </cell>
          <cell r="P61">
            <v>780000</v>
          </cell>
          <cell r="T61">
            <v>780000</v>
          </cell>
          <cell r="U61">
            <v>557142.85714285716</v>
          </cell>
        </row>
        <row r="62">
          <cell r="A62" t="str">
            <v>13</v>
          </cell>
          <cell r="B62" t="str">
            <v>SERIE</v>
          </cell>
          <cell r="C62" t="str">
            <v>LA REPORTERA DEL CRIMEN</v>
          </cell>
          <cell r="D62">
            <v>3.1</v>
          </cell>
          <cell r="E62">
            <v>24352</v>
          </cell>
          <cell r="G62">
            <v>3.5</v>
          </cell>
          <cell r="H62">
            <v>3.3</v>
          </cell>
          <cell r="I62">
            <v>3.4</v>
          </cell>
          <cell r="J62">
            <v>2.2000000000000002</v>
          </cell>
          <cell r="M62" t="str">
            <v>17:14</v>
          </cell>
          <cell r="N62" t="str">
            <v>18:22</v>
          </cell>
          <cell r="O62" t="str">
            <v>D</v>
          </cell>
          <cell r="P62">
            <v>296700</v>
          </cell>
          <cell r="Q62">
            <v>0.5</v>
          </cell>
          <cell r="T62">
            <v>148350</v>
          </cell>
          <cell r="U62">
            <v>47854.838709677417</v>
          </cell>
        </row>
        <row r="63">
          <cell r="A63" t="str">
            <v>13</v>
          </cell>
          <cell r="B63" t="str">
            <v>TELENOVELA</v>
          </cell>
          <cell r="C63" t="str">
            <v>LA GATA</v>
          </cell>
          <cell r="D63">
            <v>2.8</v>
          </cell>
          <cell r="E63">
            <v>21867</v>
          </cell>
          <cell r="F63">
            <v>2.5</v>
          </cell>
          <cell r="G63">
            <v>2.9</v>
          </cell>
          <cell r="H63">
            <v>3.6</v>
          </cell>
          <cell r="I63">
            <v>2.2999999999999998</v>
          </cell>
          <cell r="J63">
            <v>2.5</v>
          </cell>
          <cell r="M63" t="str">
            <v>13:01</v>
          </cell>
          <cell r="N63" t="str">
            <v>13:55</v>
          </cell>
          <cell r="O63" t="str">
            <v>D</v>
          </cell>
          <cell r="P63">
            <v>296700</v>
          </cell>
          <cell r="Q63">
            <v>0.5</v>
          </cell>
          <cell r="T63">
            <v>148350</v>
          </cell>
          <cell r="U63">
            <v>52982.142857142862</v>
          </cell>
        </row>
        <row r="64">
          <cell r="A64" t="str">
            <v>13</v>
          </cell>
          <cell r="B64" t="str">
            <v>TELENOVELA</v>
          </cell>
          <cell r="C64" t="str">
            <v>LAZOS DE FAMILIA</v>
          </cell>
          <cell r="D64">
            <v>8.6</v>
          </cell>
          <cell r="E64">
            <v>67612</v>
          </cell>
          <cell r="F64">
            <v>9.1999999999999993</v>
          </cell>
          <cell r="G64">
            <v>9</v>
          </cell>
          <cell r="H64">
            <v>8.8000000000000007</v>
          </cell>
          <cell r="I64">
            <v>8.5</v>
          </cell>
          <cell r="J64">
            <v>7.3</v>
          </cell>
          <cell r="M64" t="str">
            <v>14:32</v>
          </cell>
          <cell r="N64" t="str">
            <v>15:36</v>
          </cell>
          <cell r="O64" t="str">
            <v>H</v>
          </cell>
          <cell r="P64">
            <v>1097100</v>
          </cell>
          <cell r="Q64">
            <v>0.5</v>
          </cell>
          <cell r="T64">
            <v>548550</v>
          </cell>
          <cell r="U64">
            <v>63784.883720930236</v>
          </cell>
        </row>
        <row r="65">
          <cell r="A65" t="str">
            <v>13</v>
          </cell>
          <cell r="B65" t="str">
            <v>NOTICIERO</v>
          </cell>
          <cell r="C65" t="str">
            <v>TELETARDE</v>
          </cell>
          <cell r="D65">
            <v>6</v>
          </cell>
          <cell r="E65">
            <v>47312</v>
          </cell>
          <cell r="F65">
            <v>6.2</v>
          </cell>
          <cell r="G65">
            <v>6.5</v>
          </cell>
          <cell r="H65">
            <v>7.8</v>
          </cell>
          <cell r="I65">
            <v>5.2</v>
          </cell>
          <cell r="J65">
            <v>6.3</v>
          </cell>
          <cell r="K65">
            <v>3.9</v>
          </cell>
          <cell r="M65" t="str">
            <v>13:59</v>
          </cell>
          <cell r="N65" t="str">
            <v>14:36</v>
          </cell>
          <cell r="O65" t="str">
            <v>G</v>
          </cell>
          <cell r="P65">
            <v>841800</v>
          </cell>
          <cell r="Q65">
            <v>0.5</v>
          </cell>
          <cell r="T65">
            <v>420900</v>
          </cell>
          <cell r="U65">
            <v>70150</v>
          </cell>
        </row>
        <row r="66">
          <cell r="A66" t="str">
            <v>13</v>
          </cell>
          <cell r="B66" t="str">
            <v>TELENOVELA</v>
          </cell>
          <cell r="C66" t="str">
            <v>PIEL CANELA (R)</v>
          </cell>
          <cell r="D66">
            <v>4.4000000000000004</v>
          </cell>
          <cell r="E66">
            <v>34722</v>
          </cell>
          <cell r="F66">
            <v>14.4</v>
          </cell>
          <cell r="G66">
            <v>3.5</v>
          </cell>
          <cell r="H66">
            <v>1.5</v>
          </cell>
          <cell r="I66">
            <v>0.4</v>
          </cell>
          <cell r="J66">
            <v>2.2000000000000002</v>
          </cell>
          <cell r="M66" t="str">
            <v>22:16</v>
          </cell>
          <cell r="N66" t="str">
            <v>02:12</v>
          </cell>
          <cell r="O66" t="str">
            <v>F</v>
          </cell>
          <cell r="P66">
            <v>641700</v>
          </cell>
          <cell r="Q66">
            <v>0.5</v>
          </cell>
          <cell r="T66">
            <v>320850</v>
          </cell>
          <cell r="U66">
            <v>72920.454545454544</v>
          </cell>
        </row>
        <row r="67">
          <cell r="A67" t="str">
            <v>13</v>
          </cell>
          <cell r="B67" t="str">
            <v>HUMOR</v>
          </cell>
          <cell r="C67" t="str">
            <v>A LA SUERTE DE LA OLLA</v>
          </cell>
          <cell r="D67">
            <v>7.4</v>
          </cell>
          <cell r="E67">
            <v>58243</v>
          </cell>
          <cell r="H67">
            <v>7.4</v>
          </cell>
          <cell r="M67" t="str">
            <v>23:17</v>
          </cell>
          <cell r="N67" t="str">
            <v>00:02</v>
          </cell>
          <cell r="O67" t="str">
            <v>H</v>
          </cell>
          <cell r="P67">
            <v>1097100</v>
          </cell>
          <cell r="Q67">
            <v>0.5</v>
          </cell>
          <cell r="T67">
            <v>548550</v>
          </cell>
          <cell r="U67">
            <v>74128.378378378373</v>
          </cell>
        </row>
        <row r="68">
          <cell r="A68" t="str">
            <v>13</v>
          </cell>
          <cell r="B68" t="str">
            <v>TELENOVELA</v>
          </cell>
          <cell r="C68" t="str">
            <v>TIERRA NUESTRA</v>
          </cell>
          <cell r="D68">
            <v>12.4</v>
          </cell>
          <cell r="E68">
            <v>97834</v>
          </cell>
          <cell r="G68">
            <v>11.9</v>
          </cell>
          <cell r="H68">
            <v>12.4</v>
          </cell>
          <cell r="I68">
            <v>11.8</v>
          </cell>
          <cell r="J68">
            <v>13.5</v>
          </cell>
          <cell r="M68" t="str">
            <v>18:44</v>
          </cell>
          <cell r="N68" t="str">
            <v>19:47</v>
          </cell>
          <cell r="O68" t="str">
            <v>K</v>
          </cell>
          <cell r="P68">
            <v>2090700</v>
          </cell>
          <cell r="Q68">
            <v>0.5</v>
          </cell>
          <cell r="T68">
            <v>1045350</v>
          </cell>
          <cell r="U68">
            <v>84302.419354838712</v>
          </cell>
        </row>
        <row r="69">
          <cell r="A69" t="str">
            <v>13</v>
          </cell>
          <cell r="B69" t="str">
            <v>CONVERSACION</v>
          </cell>
          <cell r="C69" t="str">
            <v>TENDENCIAS Y COYUNTURAS</v>
          </cell>
          <cell r="D69">
            <v>3.2</v>
          </cell>
          <cell r="E69">
            <v>25036</v>
          </cell>
          <cell r="I69">
            <v>3.2</v>
          </cell>
          <cell r="M69" t="str">
            <v>23:46</v>
          </cell>
          <cell r="N69" t="str">
            <v>00:35</v>
          </cell>
          <cell r="O69" t="str">
            <v>F</v>
          </cell>
          <cell r="P69">
            <v>641700</v>
          </cell>
          <cell r="Q69">
            <v>0.5</v>
          </cell>
          <cell r="T69">
            <v>320850</v>
          </cell>
          <cell r="U69">
            <v>100265.625</v>
          </cell>
        </row>
        <row r="70">
          <cell r="A70" t="str">
            <v>13</v>
          </cell>
          <cell r="B70" t="str">
            <v>REPORTAJE</v>
          </cell>
          <cell r="C70" t="str">
            <v>CONTACTO</v>
          </cell>
          <cell r="D70">
            <v>17.7</v>
          </cell>
          <cell r="E70">
            <v>139354</v>
          </cell>
          <cell r="G70">
            <v>17.7</v>
          </cell>
          <cell r="M70" t="str">
            <v>22:02</v>
          </cell>
          <cell r="N70" t="str">
            <v>23:52</v>
          </cell>
          <cell r="O70" t="str">
            <v>O</v>
          </cell>
          <cell r="P70">
            <v>3805350</v>
          </cell>
          <cell r="Q70">
            <v>0.5</v>
          </cell>
          <cell r="T70">
            <v>1902675</v>
          </cell>
          <cell r="U70">
            <v>107495.76271186442</v>
          </cell>
        </row>
        <row r="71">
          <cell r="A71" t="str">
            <v>13</v>
          </cell>
          <cell r="B71" t="str">
            <v>MISCELANEO</v>
          </cell>
          <cell r="C71" t="str">
            <v>LA MANANA DEL TRECE</v>
          </cell>
          <cell r="D71">
            <v>3.9</v>
          </cell>
          <cell r="E71">
            <v>30953</v>
          </cell>
          <cell r="F71">
            <v>3.8</v>
          </cell>
          <cell r="G71">
            <v>3.5</v>
          </cell>
          <cell r="H71">
            <v>4.4000000000000004</v>
          </cell>
          <cell r="I71">
            <v>4.5999999999999996</v>
          </cell>
          <cell r="J71">
            <v>3.4</v>
          </cell>
          <cell r="M71" t="str">
            <v>08:00</v>
          </cell>
          <cell r="N71" t="str">
            <v>12:35</v>
          </cell>
          <cell r="O71" t="str">
            <v>G</v>
          </cell>
          <cell r="P71">
            <v>841800</v>
          </cell>
          <cell r="Q71">
            <v>0.5</v>
          </cell>
          <cell r="T71">
            <v>420900</v>
          </cell>
          <cell r="U71">
            <v>107923.07692307692</v>
          </cell>
        </row>
        <row r="72">
          <cell r="A72" t="str">
            <v>13</v>
          </cell>
          <cell r="B72" t="str">
            <v>NOTICIERO</v>
          </cell>
          <cell r="C72" t="str">
            <v>TELETRECE A.M.</v>
          </cell>
          <cell r="D72">
            <v>3.6</v>
          </cell>
          <cell r="E72">
            <v>28715</v>
          </cell>
          <cell r="F72">
            <v>2.7</v>
          </cell>
          <cell r="G72">
            <v>3.8</v>
          </cell>
          <cell r="H72">
            <v>3.4</v>
          </cell>
          <cell r="I72">
            <v>4.7</v>
          </cell>
          <cell r="J72">
            <v>3.5</v>
          </cell>
          <cell r="M72" t="str">
            <v>06:59</v>
          </cell>
          <cell r="N72" t="str">
            <v>08:00</v>
          </cell>
          <cell r="O72" t="str">
            <v>G</v>
          </cell>
          <cell r="P72">
            <v>841800</v>
          </cell>
          <cell r="Q72">
            <v>0.5</v>
          </cell>
          <cell r="T72">
            <v>420900</v>
          </cell>
          <cell r="U72">
            <v>116916.66666666666</v>
          </cell>
        </row>
        <row r="73">
          <cell r="A73" t="str">
            <v>13</v>
          </cell>
          <cell r="B73" t="str">
            <v>CONCURSO</v>
          </cell>
          <cell r="C73" t="str">
            <v>QUIEN QUIERE SER MILLONARIO</v>
          </cell>
          <cell r="D73">
            <v>17.100000000000001</v>
          </cell>
          <cell r="E73">
            <v>135140</v>
          </cell>
          <cell r="H73">
            <v>17.100000000000001</v>
          </cell>
          <cell r="M73" t="str">
            <v>22:01</v>
          </cell>
          <cell r="N73" t="str">
            <v>23:16</v>
          </cell>
          <cell r="O73" t="str">
            <v>Q</v>
          </cell>
          <cell r="P73">
            <v>4598850</v>
          </cell>
          <cell r="Q73">
            <v>0.5</v>
          </cell>
          <cell r="T73">
            <v>2299425</v>
          </cell>
          <cell r="U73">
            <v>134469.29824561402</v>
          </cell>
        </row>
        <row r="74">
          <cell r="A74" t="str">
            <v>13</v>
          </cell>
          <cell r="B74" t="str">
            <v>NOTICIERO</v>
          </cell>
          <cell r="C74" t="str">
            <v>TELETRECE</v>
          </cell>
          <cell r="D74">
            <v>11.6</v>
          </cell>
          <cell r="E74">
            <v>91163</v>
          </cell>
          <cell r="F74">
            <v>12.6</v>
          </cell>
          <cell r="G74">
            <v>10.9</v>
          </cell>
          <cell r="H74">
            <v>9.6999999999999993</v>
          </cell>
          <cell r="I74">
            <v>10.3</v>
          </cell>
          <cell r="J74">
            <v>9.1999999999999993</v>
          </cell>
          <cell r="K74">
            <v>10.6</v>
          </cell>
          <cell r="L74">
            <v>17.8</v>
          </cell>
          <cell r="M74" t="str">
            <v>20:59</v>
          </cell>
          <cell r="N74" t="str">
            <v>21:55</v>
          </cell>
          <cell r="O74" t="str">
            <v>N</v>
          </cell>
          <cell r="P74">
            <v>3253350</v>
          </cell>
          <cell r="Q74">
            <v>0.5</v>
          </cell>
          <cell r="T74">
            <v>1626675</v>
          </cell>
          <cell r="U74">
            <v>140230.60344827586</v>
          </cell>
        </row>
        <row r="75">
          <cell r="A75" t="str">
            <v>13</v>
          </cell>
          <cell r="B75" t="str">
            <v>NOTICIERO</v>
          </cell>
          <cell r="C75" t="str">
            <v>TELENOCHE</v>
          </cell>
          <cell r="D75">
            <v>4.4000000000000004</v>
          </cell>
          <cell r="E75">
            <v>34452</v>
          </cell>
          <cell r="F75">
            <v>6</v>
          </cell>
          <cell r="G75">
            <v>5.2</v>
          </cell>
          <cell r="H75">
            <v>3.3</v>
          </cell>
          <cell r="I75">
            <v>1.9</v>
          </cell>
          <cell r="J75">
            <v>5.4</v>
          </cell>
          <cell r="M75" t="str">
            <v>23:53</v>
          </cell>
          <cell r="N75" t="str">
            <v>01:21</v>
          </cell>
          <cell r="O75" t="str">
            <v>I</v>
          </cell>
          <cell r="P75">
            <v>1328350</v>
          </cell>
          <cell r="Q75">
            <v>0.5</v>
          </cell>
          <cell r="T75">
            <v>664175</v>
          </cell>
          <cell r="U75">
            <v>150948.86363636362</v>
          </cell>
        </row>
        <row r="76">
          <cell r="A76" t="str">
            <v>13</v>
          </cell>
          <cell r="B76" t="str">
            <v>TELENOVELA</v>
          </cell>
          <cell r="C76" t="str">
            <v>CERRO ALEGRE</v>
          </cell>
          <cell r="D76">
            <v>3.6</v>
          </cell>
          <cell r="E76">
            <v>28596</v>
          </cell>
          <cell r="F76">
            <v>2.8</v>
          </cell>
          <cell r="G76">
            <v>4.3</v>
          </cell>
          <cell r="H76">
            <v>4.7</v>
          </cell>
          <cell r="I76">
            <v>3.5</v>
          </cell>
          <cell r="J76">
            <v>2.8</v>
          </cell>
          <cell r="M76" t="str">
            <v>15:34</v>
          </cell>
          <cell r="N76" t="str">
            <v>17:19</v>
          </cell>
          <cell r="O76" t="str">
            <v>H</v>
          </cell>
          <cell r="P76">
            <v>1097100</v>
          </cell>
          <cell r="Q76">
            <v>0.5</v>
          </cell>
          <cell r="T76">
            <v>548550</v>
          </cell>
          <cell r="U76">
            <v>152375</v>
          </cell>
        </row>
        <row r="77">
          <cell r="A77" t="str">
            <v>13</v>
          </cell>
          <cell r="B77" t="str">
            <v>CONCURSO</v>
          </cell>
          <cell r="C77" t="str">
            <v>SI SE LA PUEDE, GANA</v>
          </cell>
          <cell r="D77">
            <v>13.3</v>
          </cell>
          <cell r="E77">
            <v>104984</v>
          </cell>
          <cell r="J77">
            <v>13.3</v>
          </cell>
          <cell r="M77" t="str">
            <v>22:02</v>
          </cell>
          <cell r="N77" t="str">
            <v>00:05</v>
          </cell>
          <cell r="O77" t="str">
            <v>P</v>
          </cell>
          <cell r="P77">
            <v>4184850</v>
          </cell>
          <cell r="Q77">
            <v>0.5</v>
          </cell>
          <cell r="T77">
            <v>2092425</v>
          </cell>
          <cell r="U77">
            <v>157325.18796992479</v>
          </cell>
        </row>
        <row r="78">
          <cell r="A78" t="str">
            <v>13</v>
          </cell>
          <cell r="B78" t="str">
            <v>TELENOVELA</v>
          </cell>
          <cell r="C78" t="str">
            <v>PIEL CANELA</v>
          </cell>
          <cell r="D78">
            <v>8.1999999999999993</v>
          </cell>
          <cell r="E78">
            <v>64519</v>
          </cell>
          <cell r="F78">
            <v>9.3000000000000007</v>
          </cell>
          <cell r="G78">
            <v>9.1999999999999993</v>
          </cell>
          <cell r="H78">
            <v>7.8</v>
          </cell>
          <cell r="I78">
            <v>7.1</v>
          </cell>
          <cell r="J78">
            <v>7.5</v>
          </cell>
          <cell r="M78" t="str">
            <v>19:17</v>
          </cell>
          <cell r="N78" t="str">
            <v>20:59</v>
          </cell>
          <cell r="O78" t="str">
            <v>M</v>
          </cell>
          <cell r="P78">
            <v>2994600</v>
          </cell>
          <cell r="Q78">
            <v>0.5</v>
          </cell>
          <cell r="T78">
            <v>1497300</v>
          </cell>
          <cell r="U78">
            <v>182597.56097560978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Totals"/>
      <sheetName val="Auxiliar"/>
      <sheetName val="Tapa"/>
      <sheetName val="VIA PUBLICA"/>
      <sheetName val="#G.O."/>
      <sheetName val="Tarifario"/>
      <sheetName val="Sheet1"/>
      <sheetName val="NokiaBackToSchool"/>
      <sheetName val="Rating"/>
      <sheetName val="VIA_PUBLICA"/>
      <sheetName val="#G_O_"/>
      <sheetName val="VIA_PUBLICA1"/>
      <sheetName val="#G_O_1"/>
      <sheetName val="VIA_PUBLICA2"/>
      <sheetName val="#G_O_2"/>
      <sheetName val="negociaciones1"/>
      <sheetName val="analisis"/>
      <sheetName val="VIA_PUBLICA3"/>
      <sheetName val="#G_O_3"/>
      <sheetName val="VIA_PUBLICA5"/>
      <sheetName val="#G_O_5"/>
      <sheetName val="VIA_PUBLICA4"/>
      <sheetName val="#G_O_4"/>
      <sheetName val="VIA_PUBLICA7"/>
      <sheetName val="#G_O_7"/>
      <sheetName val="VIA_PUBLICA6"/>
      <sheetName val="#G_O_6"/>
      <sheetName val="VIA_PUBLICA8"/>
      <sheetName val="#G_O_8"/>
      <sheetName val="VIA_PUBLICA9"/>
      <sheetName val="#G_O_9"/>
      <sheetName val="Hoja1"/>
      <sheetName val="Tarifa Preferencial"/>
      <sheetName val="ENERO 2008"/>
      <sheetName val="Tarifas Enero 2009"/>
      <sheetName val="tablas final 2°sem 2008"/>
      <sheetName val="Regiones Noviembre 2002"/>
      <sheetName val="DataInternet"/>
      <sheetName val="tablas final 2°sem"/>
      <sheetName val="Promedio"/>
      <sheetName val="AUT-HOG"/>
      <sheetName val="base"/>
      <sheetName val="aca-"/>
      <sheetName val="VIA_PUBLICA10"/>
      <sheetName val="#G_O_10"/>
      <sheetName val="Tarifa_Preferencial"/>
      <sheetName val="ENERO_2008"/>
      <sheetName val="Tarifas_Enero_2009"/>
      <sheetName val="tablas_final_2°sem_2008"/>
      <sheetName val="Regiones_Noviembre_2002"/>
      <sheetName val="tablas_final_2°sem"/>
      <sheetName val="RFO Uruguay 2002"/>
      <sheetName val="Module1"/>
      <sheetName val="P_Diarios Santiago"/>
      <sheetName val="ppto 01"/>
      <sheetName val="Tarifa Preferencial (4)"/>
      <sheetName val="listes"/>
      <sheetName val="Datos"/>
      <sheetName val="datos universos"/>
      <sheetName val="rating "/>
      <sheetName val="VIA_PUBLICA11"/>
      <sheetName val="#G_O_11"/>
      <sheetName val="Tarifa_Preferencial1"/>
      <sheetName val="ENERO_20081"/>
      <sheetName val="Tarifas_Enero_20091"/>
      <sheetName val="tablas_final_2°sem_20081"/>
      <sheetName val="Regiones_Noviembre_20021"/>
      <sheetName val="tablas_final_2°sem1"/>
      <sheetName val="RFO_Uruguay_2002"/>
      <sheetName val="P_Diarios_Santiago"/>
      <sheetName val="VIA_PUBLICA12"/>
      <sheetName val="#G_O_12"/>
      <sheetName val="Tarifa_Preferencial2"/>
      <sheetName val="ENERO_20082"/>
      <sheetName val="Tarifas_Enero_20092"/>
      <sheetName val="tablas_final_2°sem_20082"/>
      <sheetName val="Regiones_Noviembre_20022"/>
      <sheetName val="tablas_final_2°sem2"/>
      <sheetName val="RFO_Uruguay_20021"/>
      <sheetName val="P_Diarios_Santiago1"/>
      <sheetName val="ppto_01"/>
      <sheetName val="Tarifa_Preferencial_(4)"/>
      <sheetName val="datos_universos"/>
      <sheetName val="VIA_PUBLICA13"/>
      <sheetName val="#G_O_13"/>
      <sheetName val="Tarifa_Preferencial3"/>
      <sheetName val="ENERO_20083"/>
      <sheetName val="Tarifas_Enero_20093"/>
      <sheetName val="tablas_final_2°sem_20083"/>
      <sheetName val="Regiones_Noviembre_20023"/>
      <sheetName val="tablas_final_2°sem3"/>
      <sheetName val="RFO_Uruguay_20022"/>
      <sheetName val="P_Diarios_Santiago2"/>
      <sheetName val="ppto_011"/>
      <sheetName val="Tarifa_Preferencial_(4)1"/>
      <sheetName val="datos_universos1"/>
      <sheetName val="hmamb"/>
      <sheetName val="ACCESO"/>
      <sheetName val="ANDEN"/>
      <sheetName val="ANTEPECHO"/>
      <sheetName val="BARANDAL"/>
      <sheetName val="COLUMNA"/>
      <sheetName val="ESTACION"/>
      <sheetName val="MATRIZ"/>
      <sheetName val="PERALTE"/>
      <sheetName val="RELOJ"/>
      <sheetName val="TOLVA"/>
      <sheetName val="TRABE"/>
      <sheetName val="rating_"/>
    </sheetNames>
    <sheetDataSet>
      <sheetData sheetId="0" refreshError="1"/>
      <sheetData sheetId="1">
        <row r="5">
          <cell r="B5" t="str">
            <v>IMprove</v>
          </cell>
        </row>
      </sheetData>
      <sheetData sheetId="2" refreshError="1">
        <row r="5">
          <cell r="B5" t="str">
            <v>IMprove</v>
          </cell>
          <cell r="I5" t="str">
            <v>IMprove</v>
          </cell>
          <cell r="J5" t="str">
            <v>IMprove</v>
          </cell>
          <cell r="K5" t="str">
            <v>IMprove</v>
          </cell>
          <cell r="L5" t="str">
            <v>IMprove</v>
          </cell>
          <cell r="M5" t="str">
            <v>IMprove</v>
          </cell>
          <cell r="N5" t="str">
            <v>IMprove</v>
          </cell>
          <cell r="O5" t="str">
            <v>IMprove</v>
          </cell>
        </row>
        <row r="6">
          <cell r="I6">
            <v>245</v>
          </cell>
          <cell r="J6">
            <v>600</v>
          </cell>
          <cell r="K6">
            <v>579</v>
          </cell>
          <cell r="L6">
            <v>778</v>
          </cell>
          <cell r="M6">
            <v>705</v>
          </cell>
          <cell r="N6">
            <v>1413</v>
          </cell>
          <cell r="O6">
            <v>0</v>
          </cell>
        </row>
        <row r="7">
          <cell r="I7">
            <v>135</v>
          </cell>
          <cell r="J7">
            <v>340</v>
          </cell>
          <cell r="K7">
            <v>462</v>
          </cell>
          <cell r="L7">
            <v>758</v>
          </cell>
          <cell r="M7">
            <v>780</v>
          </cell>
          <cell r="N7">
            <v>979</v>
          </cell>
          <cell r="O7">
            <v>0</v>
          </cell>
        </row>
        <row r="8">
          <cell r="I8">
            <v>200</v>
          </cell>
          <cell r="J8">
            <v>306</v>
          </cell>
          <cell r="K8">
            <v>333</v>
          </cell>
          <cell r="L8">
            <v>486</v>
          </cell>
          <cell r="M8">
            <v>680</v>
          </cell>
          <cell r="N8">
            <v>800</v>
          </cell>
          <cell r="O8">
            <v>0</v>
          </cell>
        </row>
        <row r="9">
          <cell r="I9">
            <v>190</v>
          </cell>
          <cell r="J9">
            <v>450</v>
          </cell>
          <cell r="K9">
            <v>677</v>
          </cell>
          <cell r="L9">
            <v>957</v>
          </cell>
          <cell r="M9">
            <v>1088</v>
          </cell>
          <cell r="N9">
            <v>1164</v>
          </cell>
          <cell r="O9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B5" t="str">
            <v>Vuelos</v>
          </cell>
        </row>
      </sheetData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"/>
      <sheetName val="Hoja 1"/>
      <sheetName val="semtip"/>
      <sheetName val="Pauta 1"/>
      <sheetName val="#G.O."/>
      <sheetName val="Base"/>
      <sheetName val="Auxiliar"/>
      <sheetName val="Analisis"/>
      <sheetName val="PLAN"/>
      <sheetName val="Module1"/>
      <sheetName val="Hoja_1"/>
      <sheetName val="Pauta_1"/>
      <sheetName val="Raking Oasis"/>
      <sheetName val="Ranking Oxigeno"/>
      <sheetName val="Ranking Radios Lima"/>
      <sheetName val="Ranking Studio92"/>
      <sheetName val="Hoja_11"/>
      <sheetName val="Pauta_11"/>
      <sheetName val="#G_O_"/>
      <sheetName val="Raking_Oasis"/>
      <sheetName val="Ranking_Oxigeno"/>
      <sheetName val="Ranking_Radios_Lima"/>
      <sheetName val="Ranking_Studio92"/>
      <sheetName val="RkTv"/>
      <sheetName val="RANK1"/>
      <sheetName val="Tarifas"/>
      <sheetName val="Rank TV Target"/>
      <sheetName val="negociaciones1"/>
      <sheetName val="#G_O_1"/>
      <sheetName val="Hoja_12"/>
      <sheetName val="Pauta_12"/>
      <sheetName val="#G_O_2"/>
      <sheetName val="Tarifa Preferencial"/>
      <sheetName val="Hoja_13"/>
      <sheetName val="Pauta_13"/>
      <sheetName val="Tarifa_Preferencial"/>
      <sheetName val="#G_O_3"/>
      <sheetName val="Hoja_15"/>
      <sheetName val="Pauta_15"/>
      <sheetName val="#G_O_5"/>
      <sheetName val="Tarifa_Preferencial2"/>
      <sheetName val="Hoja_14"/>
      <sheetName val="Pauta_14"/>
      <sheetName val="#G_O_4"/>
      <sheetName val="Tarifa_Preferencial1"/>
      <sheetName val="JORGE"/>
      <sheetName val="Horas"/>
      <sheetName val="ranking (2)"/>
      <sheetName val="Notas"/>
      <sheetName val="Internos"/>
      <sheetName val="Internet "/>
      <sheetName val="ESPN Interactive"/>
      <sheetName val="TV Superwiken"/>
      <sheetName val="TV_Superwiken"/>
      <sheetName val="Matriz"/>
      <sheetName val="Raking_Oasis2"/>
      <sheetName val="Ranking_Oxigeno2"/>
      <sheetName val="Ranking_Radios_Lima2"/>
      <sheetName val="Ranking_Studio922"/>
      <sheetName val="Rank_TV_Target1"/>
      <sheetName val="Raking_Oasis1"/>
      <sheetName val="Ranking_Oxigeno1"/>
      <sheetName val="Ranking_Radios_Lima1"/>
      <sheetName val="Ranking_Studio921"/>
      <sheetName val="Rank_TV_Target"/>
      <sheetName val="Hoja_16"/>
      <sheetName val="Pauta_16"/>
      <sheetName val="#G_O_6"/>
      <sheetName val="Tarifa_Preferencial3"/>
      <sheetName val="ranking_(2)1"/>
      <sheetName val="Internet_1"/>
      <sheetName val="ranking_(2)"/>
      <sheetName val="Internet_"/>
      <sheetName val="DAYPART MIX"/>
      <sheetName val="maz1con"/>
      <sheetName val="maz1gye"/>
      <sheetName val="maz1uio"/>
      <sheetName val="TV_Superwiken1"/>
      <sheetName val="TV Superwiken.xls"/>
      <sheetName val="CONSUMIBLES"/>
      <sheetName val="Raking_Oasis3"/>
      <sheetName val="Ranking_Oxigeno3"/>
      <sheetName val="Ranking_Radios_Lima3"/>
      <sheetName val="Ranking_Studio923"/>
      <sheetName val="Rank_TV_Target2"/>
      <sheetName val="Tarifa Preferencial (4)"/>
      <sheetName val="ranking_(2)2"/>
      <sheetName val="Internet_2"/>
      <sheetName val="ESPN_Interactive"/>
      <sheetName val="Filtros"/>
      <sheetName val="Materiales"/>
      <sheetName val="Curvas"/>
      <sheetName val="CHANNEL"/>
    </sheetNames>
    <sheetDataSet>
      <sheetData sheetId="0">
        <row r="1">
          <cell r="A1" t="str">
            <v>Can</v>
          </cell>
          <cell r="B1" t="str">
            <v>Genero</v>
          </cell>
          <cell r="C1" t="str">
            <v>Programa</v>
          </cell>
          <cell r="D1" t="str">
            <v>Rat</v>
          </cell>
          <cell r="E1" t="str">
            <v>Personas</v>
          </cell>
          <cell r="F1" t="str">
            <v>Lun</v>
          </cell>
          <cell r="G1" t="str">
            <v>Mar</v>
          </cell>
          <cell r="H1" t="str">
            <v>Mie</v>
          </cell>
          <cell r="I1" t="str">
            <v>Jue</v>
          </cell>
          <cell r="J1" t="str">
            <v>Vie</v>
          </cell>
          <cell r="K1" t="str">
            <v>Sab</v>
          </cell>
          <cell r="L1" t="str">
            <v>Dom</v>
          </cell>
          <cell r="M1" t="str">
            <v>HoraI</v>
          </cell>
          <cell r="N1" t="str">
            <v>HoraF</v>
          </cell>
          <cell r="O1" t="str">
            <v>Costo</v>
          </cell>
          <cell r="P1" t="str">
            <v>CtoPto</v>
          </cell>
          <cell r="Q1" t="str">
            <v>TPE</v>
          </cell>
        </row>
        <row r="2">
          <cell r="A2" t="str">
            <v>07</v>
          </cell>
          <cell r="B2" t="str">
            <v>PELICULA</v>
          </cell>
          <cell r="C2" t="str">
            <v>BEST SELLER</v>
          </cell>
          <cell r="D2">
            <v>12.6</v>
          </cell>
          <cell r="E2">
            <v>361357</v>
          </cell>
          <cell r="F2">
            <v>12.6</v>
          </cell>
          <cell r="M2" t="str">
            <v>22:02</v>
          </cell>
          <cell r="N2" t="str">
            <v>00:29</v>
          </cell>
          <cell r="O2">
            <v>0</v>
          </cell>
          <cell r="P2">
            <v>0</v>
          </cell>
          <cell r="Q2">
            <v>1</v>
          </cell>
        </row>
        <row r="3">
          <cell r="A3" t="str">
            <v>07</v>
          </cell>
          <cell r="B3" t="str">
            <v>P_ESPECIAL</v>
          </cell>
          <cell r="C3" t="str">
            <v>HISTORIA DE LA NOTICIA</v>
          </cell>
          <cell r="D3">
            <v>8.3000000000000007</v>
          </cell>
          <cell r="E3">
            <v>237484</v>
          </cell>
          <cell r="G3">
            <v>8.3000000000000007</v>
          </cell>
          <cell r="M3" t="str">
            <v>22:00</v>
          </cell>
          <cell r="N3" t="str">
            <v>23:08</v>
          </cell>
          <cell r="O3">
            <v>0</v>
          </cell>
          <cell r="P3">
            <v>0</v>
          </cell>
          <cell r="Q3">
            <v>1</v>
          </cell>
        </row>
        <row r="4">
          <cell r="A4" t="str">
            <v>07</v>
          </cell>
          <cell r="B4" t="str">
            <v>INFORMATIVO</v>
          </cell>
          <cell r="C4" t="str">
            <v>RED NACIONAL</v>
          </cell>
          <cell r="D4">
            <v>7.5</v>
          </cell>
          <cell r="E4">
            <v>214235</v>
          </cell>
          <cell r="H4">
            <v>7.5</v>
          </cell>
          <cell r="M4" t="str">
            <v>21:00</v>
          </cell>
          <cell r="N4" t="str">
            <v>21:09</v>
          </cell>
          <cell r="O4">
            <v>0</v>
          </cell>
          <cell r="P4">
            <v>0</v>
          </cell>
          <cell r="Q4">
            <v>1</v>
          </cell>
        </row>
        <row r="5">
          <cell r="A5" t="str">
            <v>07</v>
          </cell>
          <cell r="B5" t="str">
            <v>TELENOVELA</v>
          </cell>
          <cell r="C5" t="str">
            <v>SANTO LADRON</v>
          </cell>
          <cell r="D5">
            <v>7.3</v>
          </cell>
          <cell r="E5">
            <v>208602</v>
          </cell>
          <cell r="F5">
            <v>7.8</v>
          </cell>
          <cell r="G5">
            <v>8</v>
          </cell>
          <cell r="H5">
            <v>7.5</v>
          </cell>
          <cell r="I5">
            <v>7</v>
          </cell>
          <cell r="J5">
            <v>6</v>
          </cell>
          <cell r="M5" t="str">
            <v>19:56</v>
          </cell>
          <cell r="N5" t="str">
            <v>20:59</v>
          </cell>
          <cell r="O5">
            <v>0</v>
          </cell>
          <cell r="P5">
            <v>0</v>
          </cell>
          <cell r="Q5">
            <v>5</v>
          </cell>
        </row>
        <row r="6">
          <cell r="A6" t="str">
            <v>07</v>
          </cell>
          <cell r="B6" t="str">
            <v>NOTICIERO</v>
          </cell>
          <cell r="C6" t="str">
            <v>24 HORAS</v>
          </cell>
          <cell r="D6">
            <v>7.1</v>
          </cell>
          <cell r="E6">
            <v>203675</v>
          </cell>
          <cell r="F6">
            <v>8.1999999999999993</v>
          </cell>
          <cell r="G6">
            <v>9.5</v>
          </cell>
          <cell r="H6">
            <v>7.8</v>
          </cell>
          <cell r="I6">
            <v>7.6</v>
          </cell>
          <cell r="J6">
            <v>6.9</v>
          </cell>
          <cell r="K6">
            <v>4.5999999999999996</v>
          </cell>
          <cell r="L6">
            <v>5</v>
          </cell>
          <cell r="M6" t="str">
            <v>20:59</v>
          </cell>
          <cell r="N6" t="str">
            <v>22:03</v>
          </cell>
          <cell r="O6">
            <v>0</v>
          </cell>
          <cell r="P6">
            <v>0</v>
          </cell>
          <cell r="Q6">
            <v>7</v>
          </cell>
        </row>
        <row r="7">
          <cell r="A7" t="str">
            <v>07</v>
          </cell>
          <cell r="B7" t="str">
            <v>FUTBOL</v>
          </cell>
          <cell r="C7" t="str">
            <v>COPA ENTEL</v>
          </cell>
          <cell r="D7">
            <v>7</v>
          </cell>
          <cell r="E7">
            <v>199567</v>
          </cell>
          <cell r="K7">
            <v>7</v>
          </cell>
          <cell r="M7" t="str">
            <v>22:00</v>
          </cell>
          <cell r="N7" t="str">
            <v>00:10</v>
          </cell>
          <cell r="O7">
            <v>0</v>
          </cell>
          <cell r="P7">
            <v>0</v>
          </cell>
          <cell r="Q7">
            <v>1</v>
          </cell>
        </row>
        <row r="8">
          <cell r="A8" t="str">
            <v>07</v>
          </cell>
          <cell r="B8" t="str">
            <v>MISCELANEO</v>
          </cell>
          <cell r="C8" t="str">
            <v>CORAZON PARTIO</v>
          </cell>
          <cell r="D8">
            <v>6.7</v>
          </cell>
          <cell r="E8">
            <v>193759</v>
          </cell>
          <cell r="L8">
            <v>6.7</v>
          </cell>
          <cell r="M8" t="str">
            <v>22:04</v>
          </cell>
          <cell r="N8" t="str">
            <v>00:44</v>
          </cell>
          <cell r="O8">
            <v>0</v>
          </cell>
          <cell r="P8">
            <v>0</v>
          </cell>
          <cell r="Q8">
            <v>1</v>
          </cell>
        </row>
        <row r="9">
          <cell r="A9" t="str">
            <v>07</v>
          </cell>
          <cell r="B9" t="str">
            <v>INFORMATIVO</v>
          </cell>
          <cell r="C9" t="str">
            <v>TV TIEMPO</v>
          </cell>
          <cell r="D9">
            <v>6.7</v>
          </cell>
          <cell r="E9">
            <v>191116</v>
          </cell>
          <cell r="F9">
            <v>9</v>
          </cell>
          <cell r="G9">
            <v>9.1</v>
          </cell>
          <cell r="H9">
            <v>6.6</v>
          </cell>
          <cell r="I9">
            <v>7.3</v>
          </cell>
          <cell r="J9">
            <v>5.3</v>
          </cell>
          <cell r="K9">
            <v>5</v>
          </cell>
          <cell r="L9">
            <v>4.3</v>
          </cell>
          <cell r="M9" t="str">
            <v>21:56</v>
          </cell>
          <cell r="N9" t="str">
            <v>22:08</v>
          </cell>
          <cell r="O9">
            <v>0</v>
          </cell>
          <cell r="P9">
            <v>0</v>
          </cell>
          <cell r="Q9">
            <v>7</v>
          </cell>
        </row>
        <row r="10">
          <cell r="A10" t="str">
            <v>07</v>
          </cell>
          <cell r="B10" t="str">
            <v>REPORTAJE</v>
          </cell>
          <cell r="C10" t="str">
            <v>INFORME ESPECIAL</v>
          </cell>
          <cell r="D10">
            <v>5.3</v>
          </cell>
          <cell r="E10">
            <v>152648</v>
          </cell>
          <cell r="H10">
            <v>5.3</v>
          </cell>
          <cell r="M10" t="str">
            <v>22:04</v>
          </cell>
          <cell r="N10" t="str">
            <v>23:28</v>
          </cell>
          <cell r="O10">
            <v>0</v>
          </cell>
          <cell r="P10">
            <v>0</v>
          </cell>
          <cell r="Q10">
            <v>1</v>
          </cell>
        </row>
        <row r="11">
          <cell r="A11" t="str">
            <v>07</v>
          </cell>
          <cell r="B11" t="str">
            <v>MISCELANEO</v>
          </cell>
          <cell r="C11" t="str">
            <v>BUENOS DIAS A TODOS (A)</v>
          </cell>
          <cell r="D11">
            <v>4.9000000000000004</v>
          </cell>
          <cell r="E11">
            <v>139322</v>
          </cell>
          <cell r="F11">
            <v>4.5999999999999996</v>
          </cell>
          <cell r="G11">
            <v>6.5</v>
          </cell>
          <cell r="H11">
            <v>4.9000000000000004</v>
          </cell>
          <cell r="I11">
            <v>4.0999999999999996</v>
          </cell>
          <cell r="J11">
            <v>4.2</v>
          </cell>
          <cell r="M11" t="str">
            <v>08:01</v>
          </cell>
          <cell r="N11" t="str">
            <v>08:59</v>
          </cell>
          <cell r="O11">
            <v>0</v>
          </cell>
          <cell r="P11">
            <v>0</v>
          </cell>
          <cell r="Q11">
            <v>5</v>
          </cell>
        </row>
        <row r="12">
          <cell r="A12" t="str">
            <v>07</v>
          </cell>
          <cell r="B12" t="str">
            <v>REPORTAJE</v>
          </cell>
          <cell r="C12" t="str">
            <v>EL MIRADOR</v>
          </cell>
          <cell r="D12">
            <v>4.8</v>
          </cell>
          <cell r="E12">
            <v>139116</v>
          </cell>
          <cell r="I12">
            <v>4.8</v>
          </cell>
          <cell r="M12" t="str">
            <v>22:10</v>
          </cell>
          <cell r="N12" t="str">
            <v>23:32</v>
          </cell>
          <cell r="O12">
            <v>0</v>
          </cell>
          <cell r="P12">
            <v>0</v>
          </cell>
          <cell r="Q12">
            <v>1</v>
          </cell>
        </row>
        <row r="13">
          <cell r="A13" t="str">
            <v>07</v>
          </cell>
          <cell r="B13" t="str">
            <v>MISCELANEO</v>
          </cell>
          <cell r="C13" t="str">
            <v>BUENOS DIAS A TODOS (B)</v>
          </cell>
          <cell r="D13">
            <v>4.4000000000000004</v>
          </cell>
          <cell r="E13">
            <v>126886</v>
          </cell>
          <cell r="F13">
            <v>5.0999999999999996</v>
          </cell>
          <cell r="G13">
            <v>5.6</v>
          </cell>
          <cell r="H13">
            <v>4.8</v>
          </cell>
          <cell r="I13">
            <v>2.7</v>
          </cell>
          <cell r="J13">
            <v>3.9</v>
          </cell>
          <cell r="M13" t="str">
            <v>09:00</v>
          </cell>
          <cell r="N13" t="str">
            <v>09:59</v>
          </cell>
          <cell r="O13">
            <v>0</v>
          </cell>
          <cell r="P13">
            <v>0</v>
          </cell>
          <cell r="Q13">
            <v>5</v>
          </cell>
        </row>
        <row r="14">
          <cell r="A14" t="str">
            <v>07</v>
          </cell>
          <cell r="B14" t="str">
            <v>MISCELANEO</v>
          </cell>
          <cell r="C14" t="str">
            <v>BUENOS DIAS A TODOS (C)</v>
          </cell>
          <cell r="D14">
            <v>3.9</v>
          </cell>
          <cell r="E14">
            <v>111651</v>
          </cell>
          <cell r="F14">
            <v>4.4000000000000004</v>
          </cell>
          <cell r="G14">
            <v>5.5</v>
          </cell>
          <cell r="H14">
            <v>3.2</v>
          </cell>
          <cell r="I14">
            <v>2.7</v>
          </cell>
          <cell r="J14">
            <v>3.7</v>
          </cell>
          <cell r="M14" t="str">
            <v>10:00</v>
          </cell>
          <cell r="N14" t="str">
            <v>10:59</v>
          </cell>
          <cell r="O14">
            <v>0</v>
          </cell>
          <cell r="P14">
            <v>0</v>
          </cell>
          <cell r="Q14">
            <v>5</v>
          </cell>
        </row>
        <row r="15">
          <cell r="A15" t="str">
            <v>07</v>
          </cell>
          <cell r="B15" t="str">
            <v>SERIE</v>
          </cell>
          <cell r="C15" t="str">
            <v>LOS ARCHIVOS SECRETOS X</v>
          </cell>
          <cell r="D15">
            <v>3.7</v>
          </cell>
          <cell r="E15">
            <v>107651</v>
          </cell>
          <cell r="I15">
            <v>3.7</v>
          </cell>
          <cell r="M15" t="str">
            <v>23:33</v>
          </cell>
          <cell r="N15" t="str">
            <v>00:30</v>
          </cell>
          <cell r="O15">
            <v>0</v>
          </cell>
          <cell r="P15">
            <v>0</v>
          </cell>
          <cell r="Q15">
            <v>1</v>
          </cell>
        </row>
        <row r="16">
          <cell r="A16" t="str">
            <v>07</v>
          </cell>
          <cell r="B16" t="str">
            <v>NOTICIERO</v>
          </cell>
          <cell r="C16" t="str">
            <v>EDICION MATINAL 24 HORAS</v>
          </cell>
          <cell r="D16">
            <v>3.5</v>
          </cell>
          <cell r="E16">
            <v>101061</v>
          </cell>
          <cell r="F16">
            <v>3.7</v>
          </cell>
          <cell r="G16">
            <v>4.3</v>
          </cell>
          <cell r="H16">
            <v>3.2</v>
          </cell>
          <cell r="I16">
            <v>3.1</v>
          </cell>
          <cell r="J16">
            <v>3.3</v>
          </cell>
          <cell r="M16" t="str">
            <v>06:59</v>
          </cell>
          <cell r="N16" t="str">
            <v>08:01</v>
          </cell>
          <cell r="O16">
            <v>0</v>
          </cell>
          <cell r="P16">
            <v>0</v>
          </cell>
          <cell r="Q16">
            <v>5</v>
          </cell>
        </row>
        <row r="17">
          <cell r="A17" t="str">
            <v>07</v>
          </cell>
          <cell r="B17" t="str">
            <v>FUTBOL</v>
          </cell>
          <cell r="C17" t="str">
            <v>ELIMINATORIA KOREA-JAPON 2002</v>
          </cell>
          <cell r="D17">
            <v>3.4</v>
          </cell>
          <cell r="E17">
            <v>97990</v>
          </cell>
          <cell r="L17">
            <v>3.4</v>
          </cell>
          <cell r="M17" t="str">
            <v>18:40</v>
          </cell>
          <cell r="N17" t="str">
            <v>21:00</v>
          </cell>
          <cell r="O17">
            <v>0</v>
          </cell>
          <cell r="P17">
            <v>0</v>
          </cell>
          <cell r="Q17">
            <v>1</v>
          </cell>
        </row>
        <row r="18">
          <cell r="A18" t="str">
            <v>07</v>
          </cell>
          <cell r="B18" t="str">
            <v>SERIE</v>
          </cell>
          <cell r="C18" t="str">
            <v>ZONA CANDENTE</v>
          </cell>
          <cell r="D18">
            <v>3.2</v>
          </cell>
          <cell r="E18">
            <v>92754</v>
          </cell>
          <cell r="H18">
            <v>3.2</v>
          </cell>
          <cell r="M18" t="str">
            <v>23:29</v>
          </cell>
          <cell r="N18" t="str">
            <v>00:21</v>
          </cell>
          <cell r="O18">
            <v>0</v>
          </cell>
          <cell r="P18">
            <v>0</v>
          </cell>
          <cell r="Q18">
            <v>1</v>
          </cell>
        </row>
        <row r="19">
          <cell r="A19" t="str">
            <v>07</v>
          </cell>
          <cell r="B19" t="str">
            <v>MISCELANEO</v>
          </cell>
          <cell r="C19" t="str">
            <v>BUENOS DIAS A TODOS (D)</v>
          </cell>
          <cell r="D19">
            <v>3.1</v>
          </cell>
          <cell r="E19">
            <v>88039</v>
          </cell>
          <cell r="F19">
            <v>3.7</v>
          </cell>
          <cell r="G19">
            <v>4.2</v>
          </cell>
          <cell r="H19">
            <v>2.2999999999999998</v>
          </cell>
          <cell r="I19">
            <v>2.7</v>
          </cell>
          <cell r="J19">
            <v>2.4</v>
          </cell>
          <cell r="M19" t="str">
            <v>11:00</v>
          </cell>
          <cell r="N19" t="str">
            <v>12:00</v>
          </cell>
          <cell r="O19">
            <v>0</v>
          </cell>
          <cell r="P19">
            <v>0</v>
          </cell>
          <cell r="Q19">
            <v>5</v>
          </cell>
        </row>
        <row r="20">
          <cell r="A20" t="str">
            <v>07</v>
          </cell>
          <cell r="B20" t="str">
            <v>CULTURAL</v>
          </cell>
          <cell r="C20" t="str">
            <v>VIDA SILVESTRE</v>
          </cell>
          <cell r="D20">
            <v>3.1</v>
          </cell>
          <cell r="E20">
            <v>87829</v>
          </cell>
          <cell r="L20">
            <v>3.1</v>
          </cell>
          <cell r="M20" t="str">
            <v>15:38</v>
          </cell>
          <cell r="N20" t="str">
            <v>16:36</v>
          </cell>
          <cell r="O20">
            <v>0</v>
          </cell>
          <cell r="P20">
            <v>0</v>
          </cell>
          <cell r="Q20">
            <v>1</v>
          </cell>
        </row>
        <row r="21">
          <cell r="A21" t="str">
            <v>07</v>
          </cell>
          <cell r="B21" t="str">
            <v>CULTURAL</v>
          </cell>
          <cell r="C21" t="str">
            <v>TIERRA ADENTRO</v>
          </cell>
          <cell r="D21">
            <v>3</v>
          </cell>
          <cell r="E21">
            <v>85395</v>
          </cell>
          <cell r="L21">
            <v>3</v>
          </cell>
          <cell r="M21" t="str">
            <v>14:33</v>
          </cell>
          <cell r="N21" t="str">
            <v>15:37</v>
          </cell>
          <cell r="O21">
            <v>0</v>
          </cell>
          <cell r="P21">
            <v>0</v>
          </cell>
          <cell r="Q21">
            <v>1</v>
          </cell>
        </row>
        <row r="22">
          <cell r="A22" t="str">
            <v>07</v>
          </cell>
          <cell r="B22" t="str">
            <v>INFORMATIVO</v>
          </cell>
          <cell r="C22" t="str">
            <v>MEDIA NOCHE</v>
          </cell>
          <cell r="D22">
            <v>2.9</v>
          </cell>
          <cell r="E22">
            <v>83062</v>
          </cell>
          <cell r="F22">
            <v>4.4000000000000004</v>
          </cell>
          <cell r="G22">
            <v>1.3</v>
          </cell>
          <cell r="H22">
            <v>2.2999999999999998</v>
          </cell>
          <cell r="I22">
            <v>3.1</v>
          </cell>
          <cell r="J22">
            <v>3.3</v>
          </cell>
          <cell r="M22" t="str">
            <v>00:10</v>
          </cell>
          <cell r="N22" t="str">
            <v>01:28</v>
          </cell>
          <cell r="O22">
            <v>0</v>
          </cell>
          <cell r="P22">
            <v>0</v>
          </cell>
          <cell r="Q22">
            <v>5</v>
          </cell>
        </row>
        <row r="23">
          <cell r="A23" t="str">
            <v>07</v>
          </cell>
          <cell r="B23" t="str">
            <v>INFORMATIVO</v>
          </cell>
          <cell r="C23" t="str">
            <v>24 HORAS INFORMA</v>
          </cell>
          <cell r="D23">
            <v>2.9</v>
          </cell>
          <cell r="E23">
            <v>82347</v>
          </cell>
          <cell r="F23">
            <v>3.3</v>
          </cell>
          <cell r="G23">
            <v>3.7</v>
          </cell>
          <cell r="H23">
            <v>2.2000000000000002</v>
          </cell>
          <cell r="I23">
            <v>2.4</v>
          </cell>
          <cell r="J23">
            <v>2.7</v>
          </cell>
          <cell r="M23" t="str">
            <v>12:00</v>
          </cell>
          <cell r="N23" t="str">
            <v>12:10</v>
          </cell>
          <cell r="O23">
            <v>0</v>
          </cell>
          <cell r="P23">
            <v>0</v>
          </cell>
          <cell r="Q23">
            <v>5</v>
          </cell>
        </row>
        <row r="24">
          <cell r="A24" t="str">
            <v>07</v>
          </cell>
          <cell r="B24" t="str">
            <v>MISCELANEO</v>
          </cell>
          <cell r="C24" t="str">
            <v>PASE LO QUE PASE</v>
          </cell>
          <cell r="D24">
            <v>2.9</v>
          </cell>
          <cell r="E24">
            <v>84532</v>
          </cell>
          <cell r="F24">
            <v>3.2</v>
          </cell>
          <cell r="G24">
            <v>2.9</v>
          </cell>
          <cell r="H24">
            <v>3.2</v>
          </cell>
          <cell r="I24">
            <v>2.2999999999999998</v>
          </cell>
          <cell r="J24">
            <v>3.1</v>
          </cell>
          <cell r="M24" t="str">
            <v>18:29</v>
          </cell>
          <cell r="N24" t="str">
            <v>19:59</v>
          </cell>
          <cell r="O24">
            <v>0</v>
          </cell>
          <cell r="P24">
            <v>0</v>
          </cell>
          <cell r="Q24">
            <v>5</v>
          </cell>
        </row>
        <row r="25">
          <cell r="A25" t="str">
            <v>07</v>
          </cell>
          <cell r="B25" t="str">
            <v>REPORTAJE</v>
          </cell>
          <cell r="C25" t="str">
            <v>OVNI</v>
          </cell>
          <cell r="D25">
            <v>2.8</v>
          </cell>
          <cell r="E25">
            <v>80805</v>
          </cell>
          <cell r="J25">
            <v>2.8</v>
          </cell>
          <cell r="M25" t="str">
            <v>22:07</v>
          </cell>
          <cell r="N25" t="str">
            <v>23:17</v>
          </cell>
          <cell r="O25">
            <v>0</v>
          </cell>
          <cell r="P25">
            <v>0</v>
          </cell>
          <cell r="Q25">
            <v>1</v>
          </cell>
        </row>
        <row r="26">
          <cell r="A26" t="str">
            <v>07</v>
          </cell>
          <cell r="B26" t="str">
            <v>REPORTAJE</v>
          </cell>
          <cell r="C26" t="str">
            <v>CINE VIDEO</v>
          </cell>
          <cell r="D26">
            <v>2.7</v>
          </cell>
          <cell r="E26">
            <v>78835</v>
          </cell>
          <cell r="G26">
            <v>2.7</v>
          </cell>
          <cell r="M26" t="str">
            <v>23:09</v>
          </cell>
          <cell r="N26" t="str">
            <v>00:10</v>
          </cell>
          <cell r="O26">
            <v>0</v>
          </cell>
          <cell r="P26">
            <v>0</v>
          </cell>
          <cell r="Q26">
            <v>1</v>
          </cell>
        </row>
        <row r="27">
          <cell r="A27" t="str">
            <v>07</v>
          </cell>
          <cell r="B27" t="str">
            <v>MISCELANEO</v>
          </cell>
          <cell r="C27" t="str">
            <v>DIA A DIA</v>
          </cell>
          <cell r="D27">
            <v>2.7</v>
          </cell>
          <cell r="E27">
            <v>77106</v>
          </cell>
          <cell r="F27">
            <v>3.2</v>
          </cell>
          <cell r="G27">
            <v>3.5</v>
          </cell>
          <cell r="H27">
            <v>2</v>
          </cell>
          <cell r="I27">
            <v>2.5</v>
          </cell>
          <cell r="J27">
            <v>2.2000000000000002</v>
          </cell>
          <cell r="M27" t="str">
            <v>12:08</v>
          </cell>
          <cell r="N27" t="str">
            <v>12:57</v>
          </cell>
          <cell r="O27">
            <v>0</v>
          </cell>
          <cell r="P27">
            <v>0</v>
          </cell>
          <cell r="Q27">
            <v>5</v>
          </cell>
        </row>
        <row r="28">
          <cell r="A28" t="str">
            <v>07</v>
          </cell>
          <cell r="B28" t="str">
            <v>NOTICIERO</v>
          </cell>
          <cell r="C28" t="str">
            <v>SEGUNDA EDICION DE 24 HORAS</v>
          </cell>
          <cell r="D28">
            <v>2.5</v>
          </cell>
          <cell r="E28">
            <v>72119</v>
          </cell>
          <cell r="F28">
            <v>2.9</v>
          </cell>
          <cell r="G28">
            <v>3.6</v>
          </cell>
          <cell r="H28">
            <v>2.1</v>
          </cell>
          <cell r="I28">
            <v>3.2</v>
          </cell>
          <cell r="J28">
            <v>2.2999999999999998</v>
          </cell>
          <cell r="K28">
            <v>1.4</v>
          </cell>
          <cell r="L28">
            <v>2</v>
          </cell>
          <cell r="M28" t="str">
            <v>13:29</v>
          </cell>
          <cell r="N28" t="str">
            <v>14:32</v>
          </cell>
          <cell r="O28">
            <v>0</v>
          </cell>
          <cell r="P28">
            <v>0</v>
          </cell>
          <cell r="Q28">
            <v>7</v>
          </cell>
        </row>
        <row r="29">
          <cell r="A29" t="str">
            <v>07</v>
          </cell>
          <cell r="B29" t="str">
            <v>ENTREVISTA</v>
          </cell>
          <cell r="C29" t="str">
            <v>LA ENTREVISTA DEL DOMINGO</v>
          </cell>
          <cell r="D29">
            <v>2.5</v>
          </cell>
          <cell r="E29">
            <v>71348</v>
          </cell>
          <cell r="L29">
            <v>2.5</v>
          </cell>
          <cell r="M29" t="str">
            <v>21:28</v>
          </cell>
          <cell r="N29" t="str">
            <v>21:53</v>
          </cell>
          <cell r="O29">
            <v>0</v>
          </cell>
          <cell r="P29">
            <v>0</v>
          </cell>
          <cell r="Q29">
            <v>1</v>
          </cell>
        </row>
        <row r="30">
          <cell r="A30" t="str">
            <v>07</v>
          </cell>
          <cell r="B30" t="str">
            <v>SERIE</v>
          </cell>
          <cell r="C30" t="str">
            <v>LA FEMME NIKKITA</v>
          </cell>
          <cell r="D30">
            <v>2.4</v>
          </cell>
          <cell r="E30">
            <v>67953</v>
          </cell>
          <cell r="J30">
            <v>2.4</v>
          </cell>
          <cell r="M30" t="str">
            <v>23:18</v>
          </cell>
          <cell r="N30" t="str">
            <v>00:09</v>
          </cell>
          <cell r="O30">
            <v>0</v>
          </cell>
          <cell r="P30">
            <v>0</v>
          </cell>
          <cell r="Q30">
            <v>1</v>
          </cell>
        </row>
        <row r="31">
          <cell r="A31" t="str">
            <v>07</v>
          </cell>
          <cell r="B31" t="str">
            <v>DEPORTIVO</v>
          </cell>
          <cell r="C31" t="str">
            <v>ZOOM DEPORTIVO</v>
          </cell>
          <cell r="D31">
            <v>2.4</v>
          </cell>
          <cell r="E31">
            <v>69252</v>
          </cell>
          <cell r="L31">
            <v>2.4</v>
          </cell>
          <cell r="M31" t="str">
            <v>00:45</v>
          </cell>
          <cell r="N31" t="str">
            <v>02:08</v>
          </cell>
          <cell r="O31">
            <v>0</v>
          </cell>
          <cell r="P31">
            <v>0</v>
          </cell>
          <cell r="Q31">
            <v>1</v>
          </cell>
        </row>
        <row r="32">
          <cell r="A32" t="str">
            <v>07</v>
          </cell>
          <cell r="B32" t="str">
            <v>CULTURAL</v>
          </cell>
          <cell r="C32" t="str">
            <v>GRANDES DOCUMENTOS DEL SIGLO X</v>
          </cell>
          <cell r="D32">
            <v>2.4</v>
          </cell>
          <cell r="E32">
            <v>69819</v>
          </cell>
          <cell r="L32">
            <v>2.4</v>
          </cell>
          <cell r="M32" t="str">
            <v>16:37</v>
          </cell>
          <cell r="N32" t="str">
            <v>17:29</v>
          </cell>
          <cell r="O32">
            <v>0</v>
          </cell>
          <cell r="P32">
            <v>0</v>
          </cell>
          <cell r="Q32">
            <v>1</v>
          </cell>
        </row>
        <row r="33">
          <cell r="A33" t="str">
            <v>07</v>
          </cell>
          <cell r="B33" t="str">
            <v>TELENOVELA</v>
          </cell>
          <cell r="C33" t="str">
            <v>SANTO LADRON (RESUMEN)</v>
          </cell>
          <cell r="D33">
            <v>2.4</v>
          </cell>
          <cell r="E33">
            <v>70158</v>
          </cell>
          <cell r="L33">
            <v>2.4</v>
          </cell>
          <cell r="M33" t="str">
            <v>17:30</v>
          </cell>
          <cell r="N33" t="str">
            <v>18:39</v>
          </cell>
          <cell r="O33">
            <v>0</v>
          </cell>
          <cell r="P33">
            <v>0</v>
          </cell>
          <cell r="Q33">
            <v>1</v>
          </cell>
        </row>
        <row r="34">
          <cell r="A34" t="str">
            <v>07</v>
          </cell>
          <cell r="B34" t="str">
            <v>COMEDIA</v>
          </cell>
          <cell r="C34" t="str">
            <v>LOS VENEGAS</v>
          </cell>
          <cell r="D34">
            <v>2.2000000000000002</v>
          </cell>
          <cell r="E34">
            <v>63348</v>
          </cell>
          <cell r="F34">
            <v>2.2999999999999998</v>
          </cell>
          <cell r="G34">
            <v>3</v>
          </cell>
          <cell r="H34">
            <v>1.6</v>
          </cell>
          <cell r="I34">
            <v>2.4</v>
          </cell>
          <cell r="J34">
            <v>1.7</v>
          </cell>
          <cell r="M34" t="str">
            <v>12:48</v>
          </cell>
          <cell r="N34" t="str">
            <v>13:29</v>
          </cell>
          <cell r="O34">
            <v>0</v>
          </cell>
          <cell r="P34">
            <v>0</v>
          </cell>
          <cell r="Q34">
            <v>5</v>
          </cell>
        </row>
        <row r="35">
          <cell r="A35" t="str">
            <v>07</v>
          </cell>
          <cell r="B35" t="str">
            <v>NOTICIERO</v>
          </cell>
          <cell r="C35" t="str">
            <v>EDICION VESPERTINA DE 24 HORAS</v>
          </cell>
          <cell r="D35">
            <v>2</v>
          </cell>
          <cell r="E35">
            <v>56197</v>
          </cell>
          <cell r="F35">
            <v>2.2000000000000002</v>
          </cell>
          <cell r="G35">
            <v>1.5</v>
          </cell>
          <cell r="H35">
            <v>2.8</v>
          </cell>
          <cell r="I35">
            <v>2.1</v>
          </cell>
          <cell r="J35">
            <v>1.2</v>
          </cell>
          <cell r="M35" t="str">
            <v>17:59</v>
          </cell>
          <cell r="N35" t="str">
            <v>18:32</v>
          </cell>
          <cell r="O35">
            <v>0</v>
          </cell>
          <cell r="P35">
            <v>0</v>
          </cell>
          <cell r="Q35">
            <v>5</v>
          </cell>
        </row>
        <row r="36">
          <cell r="A36" t="str">
            <v>07</v>
          </cell>
          <cell r="B36" t="str">
            <v>PELICULA</v>
          </cell>
          <cell r="C36" t="str">
            <v>CINE FAMILIAR</v>
          </cell>
          <cell r="D36">
            <v>1.8</v>
          </cell>
          <cell r="E36">
            <v>52615</v>
          </cell>
          <cell r="K36">
            <v>1.8</v>
          </cell>
          <cell r="M36" t="str">
            <v>19:24</v>
          </cell>
          <cell r="N36" t="str">
            <v>20:59</v>
          </cell>
          <cell r="O36">
            <v>0</v>
          </cell>
          <cell r="P36">
            <v>0</v>
          </cell>
          <cell r="Q36">
            <v>1</v>
          </cell>
        </row>
        <row r="37">
          <cell r="A37" t="str">
            <v>07</v>
          </cell>
          <cell r="B37" t="str">
            <v>SERIE</v>
          </cell>
          <cell r="C37" t="str">
            <v>AMIGOS</v>
          </cell>
          <cell r="D37">
            <v>1.7</v>
          </cell>
          <cell r="E37">
            <v>48326</v>
          </cell>
          <cell r="F37">
            <v>1.8</v>
          </cell>
          <cell r="G37">
            <v>0.8</v>
          </cell>
          <cell r="H37">
            <v>2.1</v>
          </cell>
          <cell r="I37">
            <v>2.4</v>
          </cell>
          <cell r="J37">
            <v>1.4</v>
          </cell>
          <cell r="K37">
            <v>1.7</v>
          </cell>
          <cell r="M37" t="str">
            <v>17:32</v>
          </cell>
          <cell r="N37" t="str">
            <v>19:23</v>
          </cell>
          <cell r="O37">
            <v>0</v>
          </cell>
          <cell r="P37">
            <v>0</v>
          </cell>
          <cell r="Q37">
            <v>6</v>
          </cell>
        </row>
        <row r="38">
          <cell r="A38" t="str">
            <v>07</v>
          </cell>
          <cell r="B38" t="str">
            <v>PELICULA</v>
          </cell>
          <cell r="C38" t="str">
            <v>CINE NOCTURNO</v>
          </cell>
          <cell r="D38">
            <v>1.7</v>
          </cell>
          <cell r="E38">
            <v>50001</v>
          </cell>
          <cell r="F38">
            <v>2.6</v>
          </cell>
          <cell r="G38">
            <v>1.2</v>
          </cell>
          <cell r="H38">
            <v>1.4</v>
          </cell>
          <cell r="I38">
            <v>1.2</v>
          </cell>
          <cell r="J38">
            <v>1.9</v>
          </cell>
          <cell r="K38">
            <v>2.2000000000000002</v>
          </cell>
          <cell r="M38" t="str">
            <v>00:11</v>
          </cell>
          <cell r="N38" t="str">
            <v>03:08</v>
          </cell>
          <cell r="O38">
            <v>0</v>
          </cell>
          <cell r="P38">
            <v>0</v>
          </cell>
          <cell r="Q38">
            <v>6</v>
          </cell>
        </row>
        <row r="39">
          <cell r="A39" t="str">
            <v>07</v>
          </cell>
          <cell r="B39" t="str">
            <v>TELENOVELA</v>
          </cell>
          <cell r="C39" t="str">
            <v>LA CAPONERA</v>
          </cell>
          <cell r="D39">
            <v>1.7</v>
          </cell>
          <cell r="E39">
            <v>49697</v>
          </cell>
          <cell r="F39">
            <v>1.8</v>
          </cell>
          <cell r="G39">
            <v>1.8</v>
          </cell>
          <cell r="H39">
            <v>1.8</v>
          </cell>
          <cell r="I39">
            <v>1.6</v>
          </cell>
          <cell r="J39">
            <v>1.6</v>
          </cell>
          <cell r="M39" t="str">
            <v>15:13</v>
          </cell>
          <cell r="N39" t="str">
            <v>16:16</v>
          </cell>
          <cell r="O39">
            <v>0</v>
          </cell>
          <cell r="P39">
            <v>0</v>
          </cell>
          <cell r="Q39">
            <v>5</v>
          </cell>
        </row>
        <row r="40">
          <cell r="A40" t="str">
            <v>07</v>
          </cell>
          <cell r="B40" t="str">
            <v>TELENOVELA</v>
          </cell>
          <cell r="C40" t="str">
            <v>PUEBLO CHICO,INFIERNO GRANDE</v>
          </cell>
          <cell r="D40">
            <v>1.6</v>
          </cell>
          <cell r="E40">
            <v>46082</v>
          </cell>
          <cell r="F40">
            <v>1.7</v>
          </cell>
          <cell r="G40">
            <v>2.2999999999999998</v>
          </cell>
          <cell r="H40">
            <v>1</v>
          </cell>
          <cell r="I40">
            <v>1.5</v>
          </cell>
          <cell r="J40">
            <v>1.5</v>
          </cell>
          <cell r="M40" t="str">
            <v>14:00</v>
          </cell>
          <cell r="N40" t="str">
            <v>15:25</v>
          </cell>
          <cell r="O40">
            <v>0</v>
          </cell>
          <cell r="P40">
            <v>0</v>
          </cell>
          <cell r="Q40">
            <v>5</v>
          </cell>
        </row>
        <row r="41">
          <cell r="A41" t="str">
            <v>07</v>
          </cell>
          <cell r="B41" t="str">
            <v>SERIE</v>
          </cell>
          <cell r="C41" t="str">
            <v>BUFFY LA CAZA VAMPIROS</v>
          </cell>
          <cell r="D41">
            <v>1.4</v>
          </cell>
          <cell r="E41">
            <v>41443</v>
          </cell>
          <cell r="F41">
            <v>1.6</v>
          </cell>
          <cell r="G41">
            <v>1.3</v>
          </cell>
          <cell r="H41">
            <v>0.8</v>
          </cell>
          <cell r="I41">
            <v>1.8</v>
          </cell>
          <cell r="J41">
            <v>1.6</v>
          </cell>
          <cell r="M41" t="str">
            <v>16:14</v>
          </cell>
          <cell r="N41" t="str">
            <v>17:08</v>
          </cell>
          <cell r="O41">
            <v>0</v>
          </cell>
          <cell r="P41">
            <v>0</v>
          </cell>
          <cell r="Q41">
            <v>5</v>
          </cell>
        </row>
        <row r="42">
          <cell r="A42" t="str">
            <v>07</v>
          </cell>
          <cell r="B42" t="str">
            <v>D_ANIMADOS</v>
          </cell>
          <cell r="C42" t="str">
            <v>PORKY</v>
          </cell>
          <cell r="D42">
            <v>1.2</v>
          </cell>
          <cell r="E42">
            <v>35008</v>
          </cell>
          <cell r="K42">
            <v>0.9</v>
          </cell>
          <cell r="L42">
            <v>1.5</v>
          </cell>
          <cell r="M42" t="str">
            <v>10:09</v>
          </cell>
          <cell r="N42" t="str">
            <v>10:41</v>
          </cell>
          <cell r="O42">
            <v>0</v>
          </cell>
          <cell r="P42">
            <v>0</v>
          </cell>
          <cell r="Q42">
            <v>2</v>
          </cell>
        </row>
        <row r="43">
          <cell r="A43" t="str">
            <v>07</v>
          </cell>
          <cell r="B43" t="str">
            <v>D_ANIMADOS</v>
          </cell>
          <cell r="C43" t="str">
            <v>LOCADEMIA DE POLICIA</v>
          </cell>
          <cell r="D43">
            <v>1.1000000000000001</v>
          </cell>
          <cell r="E43">
            <v>30459</v>
          </cell>
          <cell r="K43">
            <v>1.1000000000000001</v>
          </cell>
          <cell r="M43" t="str">
            <v>18:00</v>
          </cell>
          <cell r="N43" t="str">
            <v>18:46</v>
          </cell>
          <cell r="O43">
            <v>0</v>
          </cell>
          <cell r="P43">
            <v>0</v>
          </cell>
          <cell r="Q43">
            <v>1</v>
          </cell>
        </row>
        <row r="44">
          <cell r="A44" t="str">
            <v>07</v>
          </cell>
          <cell r="B44" t="str">
            <v>SERIE</v>
          </cell>
          <cell r="C44" t="str">
            <v>DE REPENTE SUSAN</v>
          </cell>
          <cell r="D44">
            <v>1.1000000000000001</v>
          </cell>
          <cell r="E44">
            <v>30968</v>
          </cell>
          <cell r="F44">
            <v>1.2</v>
          </cell>
          <cell r="G44">
            <v>0.7</v>
          </cell>
          <cell r="H44">
            <v>0.7</v>
          </cell>
          <cell r="I44">
            <v>1.7</v>
          </cell>
          <cell r="J44">
            <v>1.1000000000000001</v>
          </cell>
          <cell r="M44" t="str">
            <v>17:05</v>
          </cell>
          <cell r="N44" t="str">
            <v>17:35</v>
          </cell>
          <cell r="O44">
            <v>0</v>
          </cell>
          <cell r="P44">
            <v>0</v>
          </cell>
          <cell r="Q44">
            <v>5</v>
          </cell>
        </row>
        <row r="45">
          <cell r="A45" t="str">
            <v>07</v>
          </cell>
          <cell r="B45" t="str">
            <v>VIDEO CLIP</v>
          </cell>
          <cell r="C45" t="str">
            <v>DESPERTANDO CON TVN</v>
          </cell>
          <cell r="D45">
            <v>0.9</v>
          </cell>
          <cell r="E45">
            <v>26784</v>
          </cell>
          <cell r="F45">
            <v>0.9</v>
          </cell>
          <cell r="G45">
            <v>1.1000000000000001</v>
          </cell>
          <cell r="H45">
            <v>1.1000000000000001</v>
          </cell>
          <cell r="I45">
            <v>0.7</v>
          </cell>
          <cell r="J45">
            <v>0.8</v>
          </cell>
          <cell r="M45" t="str">
            <v>06:22</v>
          </cell>
          <cell r="N45" t="str">
            <v>06:59</v>
          </cell>
          <cell r="O45">
            <v>0</v>
          </cell>
          <cell r="P45">
            <v>0</v>
          </cell>
          <cell r="Q45">
            <v>5</v>
          </cell>
        </row>
        <row r="46">
          <cell r="A46" t="str">
            <v>07</v>
          </cell>
          <cell r="B46" t="str">
            <v>D_ANIMADOS</v>
          </cell>
          <cell r="C46" t="str">
            <v>EL MUNDO FANT.DE RICHARD SCARY</v>
          </cell>
          <cell r="D46">
            <v>0.9</v>
          </cell>
          <cell r="E46">
            <v>26581</v>
          </cell>
          <cell r="K46">
            <v>0.8</v>
          </cell>
          <cell r="L46">
            <v>1</v>
          </cell>
          <cell r="M46" t="str">
            <v>10:35</v>
          </cell>
          <cell r="N46" t="str">
            <v>11:17</v>
          </cell>
          <cell r="O46">
            <v>0</v>
          </cell>
          <cell r="P46">
            <v>0</v>
          </cell>
          <cell r="Q46">
            <v>2</v>
          </cell>
        </row>
        <row r="47">
          <cell r="A47" t="str">
            <v>07</v>
          </cell>
          <cell r="B47" t="str">
            <v>DEPORTIVO</v>
          </cell>
          <cell r="C47" t="str">
            <v>DEPORTE 2000</v>
          </cell>
          <cell r="D47">
            <v>0.9</v>
          </cell>
          <cell r="E47">
            <v>25100</v>
          </cell>
          <cell r="K47">
            <v>0.9</v>
          </cell>
          <cell r="M47" t="str">
            <v>14:32</v>
          </cell>
          <cell r="N47" t="str">
            <v>15:18</v>
          </cell>
          <cell r="O47">
            <v>0</v>
          </cell>
          <cell r="P47">
            <v>0</v>
          </cell>
          <cell r="Q47">
            <v>1</v>
          </cell>
        </row>
        <row r="48">
          <cell r="A48" t="str">
            <v>07</v>
          </cell>
          <cell r="B48" t="str">
            <v>INFANTIL</v>
          </cell>
          <cell r="C48" t="str">
            <v>ESTACION BUENA ONDA</v>
          </cell>
          <cell r="D48">
            <v>0.8</v>
          </cell>
          <cell r="E48">
            <v>22788</v>
          </cell>
          <cell r="K48">
            <v>0.7</v>
          </cell>
          <cell r="L48">
            <v>0.9</v>
          </cell>
          <cell r="M48" t="str">
            <v>10:02</v>
          </cell>
          <cell r="N48" t="str">
            <v>13:59</v>
          </cell>
          <cell r="O48">
            <v>0</v>
          </cell>
          <cell r="P48">
            <v>0</v>
          </cell>
          <cell r="Q48">
            <v>16</v>
          </cell>
        </row>
        <row r="49">
          <cell r="A49" t="str">
            <v>07</v>
          </cell>
          <cell r="B49" t="str">
            <v>D_ANIMADOS</v>
          </cell>
          <cell r="C49" t="str">
            <v>EL CORRECAMINOS</v>
          </cell>
          <cell r="D49">
            <v>0.7</v>
          </cell>
          <cell r="E49">
            <v>21514</v>
          </cell>
          <cell r="K49">
            <v>0.6</v>
          </cell>
          <cell r="L49">
            <v>0.9</v>
          </cell>
          <cell r="M49" t="str">
            <v>13:21</v>
          </cell>
          <cell r="N49" t="str">
            <v>13:46</v>
          </cell>
          <cell r="O49">
            <v>0</v>
          </cell>
          <cell r="P49">
            <v>0</v>
          </cell>
          <cell r="Q49">
            <v>2</v>
          </cell>
        </row>
        <row r="50">
          <cell r="A50" t="str">
            <v>07</v>
          </cell>
          <cell r="B50" t="str">
            <v>CULTURAL</v>
          </cell>
          <cell r="C50" t="str">
            <v>BEETLEBORGS</v>
          </cell>
          <cell r="D50">
            <v>0.6</v>
          </cell>
          <cell r="E50">
            <v>17231</v>
          </cell>
          <cell r="K50">
            <v>0.3</v>
          </cell>
          <cell r="L50">
            <v>0.9</v>
          </cell>
          <cell r="M50" t="str">
            <v>11:08</v>
          </cell>
          <cell r="N50" t="str">
            <v>11:49</v>
          </cell>
          <cell r="O50">
            <v>0</v>
          </cell>
          <cell r="P50">
            <v>0</v>
          </cell>
          <cell r="Q50">
            <v>2</v>
          </cell>
        </row>
        <row r="51">
          <cell r="A51" t="str">
            <v>07</v>
          </cell>
          <cell r="B51" t="str">
            <v>EDUCATIVO</v>
          </cell>
          <cell r="C51" t="str">
            <v>SHOW DE EMPRENDEDORES</v>
          </cell>
          <cell r="D51">
            <v>0.6</v>
          </cell>
          <cell r="E51">
            <v>17103</v>
          </cell>
          <cell r="K51">
            <v>0.6</v>
          </cell>
          <cell r="M51" t="str">
            <v>15:19</v>
          </cell>
          <cell r="N51" t="str">
            <v>16:11</v>
          </cell>
          <cell r="O51">
            <v>0</v>
          </cell>
          <cell r="P51">
            <v>0</v>
          </cell>
          <cell r="Q51">
            <v>1</v>
          </cell>
        </row>
        <row r="52">
          <cell r="A52" t="str">
            <v>07</v>
          </cell>
          <cell r="B52" t="str">
            <v>D_ANIMADOS</v>
          </cell>
          <cell r="C52" t="str">
            <v>MERRIE MELODIES</v>
          </cell>
          <cell r="D52">
            <v>0.6</v>
          </cell>
          <cell r="E52">
            <v>16640</v>
          </cell>
          <cell r="K52">
            <v>0.6</v>
          </cell>
          <cell r="L52">
            <v>0.6</v>
          </cell>
          <cell r="M52" t="str">
            <v>09:37</v>
          </cell>
          <cell r="N52" t="str">
            <v>10:01</v>
          </cell>
          <cell r="O52">
            <v>0</v>
          </cell>
          <cell r="P52">
            <v>0</v>
          </cell>
          <cell r="Q52">
            <v>2</v>
          </cell>
        </row>
        <row r="53">
          <cell r="A53" t="str">
            <v>07</v>
          </cell>
          <cell r="B53" t="str">
            <v>SERIE</v>
          </cell>
          <cell r="C53" t="str">
            <v>LA LEY Y EL ORDEN</v>
          </cell>
          <cell r="D53">
            <v>0.5</v>
          </cell>
          <cell r="E53">
            <v>13571</v>
          </cell>
          <cell r="K53">
            <v>0.5</v>
          </cell>
          <cell r="M53" t="str">
            <v>17:08</v>
          </cell>
          <cell r="N53" t="str">
            <v>17:59</v>
          </cell>
          <cell r="O53">
            <v>0</v>
          </cell>
          <cell r="P53">
            <v>0</v>
          </cell>
          <cell r="Q53">
            <v>1</v>
          </cell>
        </row>
        <row r="54">
          <cell r="A54" t="str">
            <v>07</v>
          </cell>
          <cell r="B54" t="str">
            <v>RELIGIOSO</v>
          </cell>
          <cell r="C54" t="str">
            <v>SANTA MISA</v>
          </cell>
          <cell r="D54">
            <v>0.5</v>
          </cell>
          <cell r="E54">
            <v>14127</v>
          </cell>
          <cell r="L54">
            <v>0.5</v>
          </cell>
          <cell r="M54" t="str">
            <v>08:46</v>
          </cell>
          <cell r="N54" t="str">
            <v>09:37</v>
          </cell>
          <cell r="O54">
            <v>0</v>
          </cell>
          <cell r="P54">
            <v>0</v>
          </cell>
          <cell r="Q54">
            <v>1</v>
          </cell>
        </row>
        <row r="55">
          <cell r="A55" t="str">
            <v>07</v>
          </cell>
          <cell r="B55" t="str">
            <v>SERIE</v>
          </cell>
          <cell r="C55" t="str">
            <v>TOCADO POR UN ANGEL</v>
          </cell>
          <cell r="D55">
            <v>0.5</v>
          </cell>
          <cell r="E55">
            <v>15636</v>
          </cell>
          <cell r="K55">
            <v>0.5</v>
          </cell>
          <cell r="M55" t="str">
            <v>16:12</v>
          </cell>
          <cell r="N55" t="str">
            <v>17:07</v>
          </cell>
          <cell r="O55">
            <v>0</v>
          </cell>
          <cell r="P55">
            <v>0</v>
          </cell>
          <cell r="Q55">
            <v>1</v>
          </cell>
        </row>
        <row r="56">
          <cell r="A56" t="str">
            <v>07</v>
          </cell>
          <cell r="B56" t="str">
            <v>D_ANIMADOS</v>
          </cell>
          <cell r="C56" t="str">
            <v>SUPERMAN</v>
          </cell>
          <cell r="D56">
            <v>0.5</v>
          </cell>
          <cell r="E56">
            <v>15757</v>
          </cell>
          <cell r="K56">
            <v>0.7</v>
          </cell>
          <cell r="L56">
            <v>0.4</v>
          </cell>
          <cell r="M56" t="str">
            <v>11:43</v>
          </cell>
          <cell r="N56" t="str">
            <v>12:12</v>
          </cell>
          <cell r="O56">
            <v>0</v>
          </cell>
          <cell r="P56">
            <v>0</v>
          </cell>
          <cell r="Q56">
            <v>2</v>
          </cell>
        </row>
        <row r="57">
          <cell r="A57" t="str">
            <v>07</v>
          </cell>
          <cell r="B57" t="str">
            <v>D_ANIMADOS</v>
          </cell>
          <cell r="C57" t="str">
            <v>BUGS BUNNY</v>
          </cell>
          <cell r="D57">
            <v>0.4</v>
          </cell>
          <cell r="E57">
            <v>11813</v>
          </cell>
          <cell r="L57">
            <v>0.4</v>
          </cell>
          <cell r="M57" t="str">
            <v>12:20</v>
          </cell>
          <cell r="N57" t="str">
            <v>12:36</v>
          </cell>
          <cell r="O57">
            <v>0</v>
          </cell>
          <cell r="P57">
            <v>0</v>
          </cell>
          <cell r="Q57">
            <v>1</v>
          </cell>
        </row>
        <row r="58">
          <cell r="A58" t="str">
            <v>07</v>
          </cell>
          <cell r="B58" t="str">
            <v>RELIGIOSO</v>
          </cell>
          <cell r="C58" t="str">
            <v>PUERTAS ABIERTAS</v>
          </cell>
          <cell r="D58">
            <v>0.3</v>
          </cell>
          <cell r="E58">
            <v>8961</v>
          </cell>
          <cell r="K58">
            <v>0.3</v>
          </cell>
          <cell r="M58" t="str">
            <v>08:43</v>
          </cell>
          <cell r="N58" t="str">
            <v>09:35</v>
          </cell>
          <cell r="O58">
            <v>0</v>
          </cell>
          <cell r="P58">
            <v>0</v>
          </cell>
          <cell r="Q58">
            <v>1</v>
          </cell>
        </row>
        <row r="59">
          <cell r="A59" t="str">
            <v>07</v>
          </cell>
          <cell r="B59" t="str">
            <v>SERIE</v>
          </cell>
          <cell r="C59" t="str">
            <v>WISHBONE</v>
          </cell>
          <cell r="D59">
            <v>0.3</v>
          </cell>
          <cell r="E59">
            <v>9445</v>
          </cell>
          <cell r="K59">
            <v>0.3</v>
          </cell>
          <cell r="L59">
            <v>0.3</v>
          </cell>
          <cell r="M59" t="str">
            <v>12:50</v>
          </cell>
          <cell r="N59" t="str">
            <v>13:22</v>
          </cell>
          <cell r="O59">
            <v>0</v>
          </cell>
          <cell r="P59">
            <v>0</v>
          </cell>
          <cell r="Q59">
            <v>2</v>
          </cell>
        </row>
        <row r="60">
          <cell r="A60" t="str">
            <v>07</v>
          </cell>
          <cell r="B60" t="str">
            <v>D_ANIMADOS</v>
          </cell>
          <cell r="C60" t="str">
            <v>LOONEY TUNES</v>
          </cell>
          <cell r="D60">
            <v>0.2</v>
          </cell>
          <cell r="E60">
            <v>6012</v>
          </cell>
          <cell r="K60">
            <v>0.2</v>
          </cell>
          <cell r="M60" t="str">
            <v>12:19</v>
          </cell>
          <cell r="N60" t="str">
            <v>12:43</v>
          </cell>
          <cell r="O60">
            <v>0</v>
          </cell>
          <cell r="P60">
            <v>0</v>
          </cell>
          <cell r="Q60">
            <v>1</v>
          </cell>
        </row>
        <row r="61">
          <cell r="A61" t="str">
            <v>09</v>
          </cell>
          <cell r="B61" t="str">
            <v>INFORMATIVO</v>
          </cell>
          <cell r="C61" t="str">
            <v>AQUI EN VIVO</v>
          </cell>
          <cell r="D61">
            <v>9.9</v>
          </cell>
          <cell r="E61">
            <v>282866</v>
          </cell>
          <cell r="I61">
            <v>9.9</v>
          </cell>
          <cell r="M61" t="str">
            <v>22:09</v>
          </cell>
          <cell r="N61" t="str">
            <v>23:44</v>
          </cell>
          <cell r="O61">
            <v>0</v>
          </cell>
          <cell r="P61">
            <v>0</v>
          </cell>
          <cell r="Q61">
            <v>1</v>
          </cell>
        </row>
        <row r="62">
          <cell r="A62" t="str">
            <v>09</v>
          </cell>
          <cell r="B62" t="str">
            <v>HUMOR</v>
          </cell>
          <cell r="C62" t="str">
            <v>JAPPENING 2000</v>
          </cell>
          <cell r="D62">
            <v>7.7</v>
          </cell>
          <cell r="E62">
            <v>222094</v>
          </cell>
          <cell r="G62">
            <v>7.7</v>
          </cell>
          <cell r="M62" t="str">
            <v>22:06</v>
          </cell>
          <cell r="N62" t="str">
            <v>23:39</v>
          </cell>
          <cell r="O62">
            <v>0</v>
          </cell>
          <cell r="P62">
            <v>0</v>
          </cell>
          <cell r="Q62">
            <v>1</v>
          </cell>
        </row>
        <row r="63">
          <cell r="A63" t="str">
            <v>09</v>
          </cell>
          <cell r="B63" t="str">
            <v>CONCURSO</v>
          </cell>
          <cell r="C63" t="str">
            <v>VIDEOS Y PENITENCIA</v>
          </cell>
          <cell r="D63">
            <v>7.1</v>
          </cell>
          <cell r="E63">
            <v>203951</v>
          </cell>
          <cell r="H63">
            <v>7.1</v>
          </cell>
          <cell r="M63" t="str">
            <v>22:09</v>
          </cell>
          <cell r="N63" t="str">
            <v>00:16</v>
          </cell>
          <cell r="O63">
            <v>0</v>
          </cell>
          <cell r="P63">
            <v>0</v>
          </cell>
          <cell r="Q63">
            <v>1</v>
          </cell>
        </row>
        <row r="64">
          <cell r="A64" t="str">
            <v>09</v>
          </cell>
          <cell r="B64" t="str">
            <v>TELENOVELA</v>
          </cell>
          <cell r="C64" t="str">
            <v>LA CASA EN LA PLAYA</v>
          </cell>
          <cell r="D64">
            <v>4.5999999999999996</v>
          </cell>
          <cell r="E64">
            <v>131745</v>
          </cell>
          <cell r="F64">
            <v>4.9000000000000004</v>
          </cell>
          <cell r="G64">
            <v>5</v>
          </cell>
          <cell r="H64">
            <v>4</v>
          </cell>
          <cell r="I64">
            <v>3.5</v>
          </cell>
          <cell r="J64">
            <v>5.6</v>
          </cell>
          <cell r="M64" t="str">
            <v>13:57</v>
          </cell>
          <cell r="N64" t="str">
            <v>14:56</v>
          </cell>
          <cell r="O64">
            <v>0</v>
          </cell>
          <cell r="P64">
            <v>0</v>
          </cell>
          <cell r="Q64">
            <v>5</v>
          </cell>
        </row>
        <row r="65">
          <cell r="A65" t="str">
            <v>09</v>
          </cell>
          <cell r="B65" t="str">
            <v>TELENOVELA</v>
          </cell>
          <cell r="C65" t="str">
            <v>SIEMPRE TE AMARE</v>
          </cell>
          <cell r="D65">
            <v>4.5</v>
          </cell>
          <cell r="E65">
            <v>129070</v>
          </cell>
          <cell r="F65">
            <v>4.9000000000000004</v>
          </cell>
          <cell r="G65">
            <v>4.9000000000000004</v>
          </cell>
          <cell r="H65">
            <v>4.0999999999999996</v>
          </cell>
          <cell r="I65">
            <v>3.7</v>
          </cell>
          <cell r="J65">
            <v>4.9000000000000004</v>
          </cell>
          <cell r="M65" t="str">
            <v>14:53</v>
          </cell>
          <cell r="N65" t="str">
            <v>15:44</v>
          </cell>
          <cell r="O65">
            <v>0</v>
          </cell>
          <cell r="P65">
            <v>0</v>
          </cell>
          <cell r="Q65">
            <v>5</v>
          </cell>
        </row>
        <row r="66">
          <cell r="A66" t="str">
            <v>09</v>
          </cell>
          <cell r="B66" t="str">
            <v>ENTREVISTA</v>
          </cell>
          <cell r="C66" t="str">
            <v>HUMANAMENTE HABLANDO</v>
          </cell>
          <cell r="D66">
            <v>4.4000000000000004</v>
          </cell>
          <cell r="E66">
            <v>126747</v>
          </cell>
          <cell r="I66">
            <v>4.4000000000000004</v>
          </cell>
          <cell r="M66" t="str">
            <v>23:45</v>
          </cell>
          <cell r="N66" t="str">
            <v>00:40</v>
          </cell>
          <cell r="O66">
            <v>0</v>
          </cell>
          <cell r="P66">
            <v>0</v>
          </cell>
          <cell r="Q66">
            <v>1</v>
          </cell>
        </row>
        <row r="67">
          <cell r="A67" t="str">
            <v>09</v>
          </cell>
          <cell r="B67" t="str">
            <v>PELICULA</v>
          </cell>
          <cell r="C67" t="str">
            <v>CINEMANIA</v>
          </cell>
          <cell r="D67">
            <v>4.3</v>
          </cell>
          <cell r="E67">
            <v>122915</v>
          </cell>
          <cell r="K67">
            <v>4.3</v>
          </cell>
          <cell r="M67" t="str">
            <v>22:03</v>
          </cell>
          <cell r="N67" t="str">
            <v>23:45</v>
          </cell>
          <cell r="O67">
            <v>0</v>
          </cell>
          <cell r="P67">
            <v>0</v>
          </cell>
          <cell r="Q67">
            <v>1</v>
          </cell>
        </row>
        <row r="68">
          <cell r="A68" t="str">
            <v>09</v>
          </cell>
          <cell r="B68" t="str">
            <v>SE_INFANTIL</v>
          </cell>
          <cell r="C68" t="str">
            <v>EL CHAVO DEL OCHO</v>
          </cell>
          <cell r="D68">
            <v>3.9</v>
          </cell>
          <cell r="E68">
            <v>110550</v>
          </cell>
          <cell r="F68">
            <v>5.5</v>
          </cell>
          <cell r="G68">
            <v>4.2</v>
          </cell>
          <cell r="H68">
            <v>3.7</v>
          </cell>
          <cell r="I68">
            <v>3.3</v>
          </cell>
          <cell r="J68">
            <v>2.5</v>
          </cell>
          <cell r="M68" t="str">
            <v>19:13</v>
          </cell>
          <cell r="N68" t="str">
            <v>20:00</v>
          </cell>
          <cell r="O68">
            <v>0</v>
          </cell>
          <cell r="P68">
            <v>0</v>
          </cell>
          <cell r="Q68">
            <v>5</v>
          </cell>
        </row>
        <row r="69">
          <cell r="A69" t="str">
            <v>09</v>
          </cell>
          <cell r="B69" t="str">
            <v>INFORMATIVO</v>
          </cell>
          <cell r="C69" t="str">
            <v>EL TIEMPO</v>
          </cell>
          <cell r="D69">
            <v>3.3</v>
          </cell>
          <cell r="E69">
            <v>96150</v>
          </cell>
          <cell r="F69">
            <v>4.4000000000000004</v>
          </cell>
          <cell r="G69">
            <v>4.4000000000000004</v>
          </cell>
          <cell r="H69">
            <v>4</v>
          </cell>
          <cell r="I69">
            <v>3.1</v>
          </cell>
          <cell r="J69">
            <v>2.5</v>
          </cell>
          <cell r="K69">
            <v>1.8</v>
          </cell>
          <cell r="L69">
            <v>3.2</v>
          </cell>
          <cell r="M69" t="str">
            <v>21:56</v>
          </cell>
          <cell r="N69" t="str">
            <v>22:08</v>
          </cell>
          <cell r="O69">
            <v>0</v>
          </cell>
          <cell r="P69">
            <v>0</v>
          </cell>
          <cell r="Q69">
            <v>7</v>
          </cell>
        </row>
        <row r="70">
          <cell r="A70" t="str">
            <v>09</v>
          </cell>
          <cell r="B70" t="str">
            <v>NOTICIERO</v>
          </cell>
          <cell r="C70" t="str">
            <v>MEGANOTICIAS EDICION TARDE</v>
          </cell>
          <cell r="D70">
            <v>3.3</v>
          </cell>
          <cell r="E70">
            <v>95348</v>
          </cell>
          <cell r="F70">
            <v>4.5999999999999996</v>
          </cell>
          <cell r="G70">
            <v>2.6</v>
          </cell>
          <cell r="H70">
            <v>3.9</v>
          </cell>
          <cell r="I70">
            <v>2.6</v>
          </cell>
          <cell r="J70">
            <v>2.9</v>
          </cell>
          <cell r="M70" t="str">
            <v>13:27</v>
          </cell>
          <cell r="N70" t="str">
            <v>14:02</v>
          </cell>
          <cell r="O70">
            <v>0</v>
          </cell>
          <cell r="P70">
            <v>0</v>
          </cell>
          <cell r="Q70">
            <v>5</v>
          </cell>
        </row>
        <row r="71">
          <cell r="A71" t="str">
            <v>09</v>
          </cell>
          <cell r="B71" t="str">
            <v>TELENOVELA</v>
          </cell>
          <cell r="C71" t="str">
            <v>MARIA ISABEL</v>
          </cell>
          <cell r="D71">
            <v>3.2</v>
          </cell>
          <cell r="E71">
            <v>90580</v>
          </cell>
          <cell r="F71">
            <v>3.7</v>
          </cell>
          <cell r="G71">
            <v>3.2</v>
          </cell>
          <cell r="H71">
            <v>4</v>
          </cell>
          <cell r="I71">
            <v>2.5</v>
          </cell>
          <cell r="J71">
            <v>2.4</v>
          </cell>
          <cell r="M71" t="str">
            <v>12:38</v>
          </cell>
          <cell r="N71" t="str">
            <v>13:29</v>
          </cell>
          <cell r="O71">
            <v>0</v>
          </cell>
          <cell r="P71">
            <v>0</v>
          </cell>
          <cell r="Q71">
            <v>5</v>
          </cell>
        </row>
        <row r="72">
          <cell r="A72" t="str">
            <v>09</v>
          </cell>
          <cell r="B72" t="str">
            <v>MISCELANEO</v>
          </cell>
          <cell r="C72" t="str">
            <v>BUENAS TARDES ELI</v>
          </cell>
          <cell r="D72">
            <v>3.1</v>
          </cell>
          <cell r="E72">
            <v>89375</v>
          </cell>
          <cell r="F72">
            <v>4</v>
          </cell>
          <cell r="G72">
            <v>3.2</v>
          </cell>
          <cell r="H72">
            <v>3</v>
          </cell>
          <cell r="I72">
            <v>3.1</v>
          </cell>
          <cell r="J72">
            <v>2.2999999999999998</v>
          </cell>
          <cell r="M72" t="str">
            <v>15:43</v>
          </cell>
          <cell r="N72" t="str">
            <v>17:36</v>
          </cell>
          <cell r="O72">
            <v>0</v>
          </cell>
          <cell r="P72">
            <v>0</v>
          </cell>
          <cell r="Q72">
            <v>5</v>
          </cell>
        </row>
        <row r="73">
          <cell r="A73" t="str">
            <v>09</v>
          </cell>
          <cell r="B73" t="str">
            <v>PELICULA</v>
          </cell>
          <cell r="C73" t="str">
            <v>HECHOS DE LA VIDA REAL</v>
          </cell>
          <cell r="D73">
            <v>3</v>
          </cell>
          <cell r="E73">
            <v>87276</v>
          </cell>
          <cell r="F73">
            <v>3</v>
          </cell>
          <cell r="M73" t="str">
            <v>22:04</v>
          </cell>
          <cell r="N73" t="str">
            <v>23:54</v>
          </cell>
          <cell r="O73">
            <v>0</v>
          </cell>
          <cell r="P73">
            <v>0</v>
          </cell>
          <cell r="Q73">
            <v>1</v>
          </cell>
        </row>
        <row r="74">
          <cell r="A74" t="str">
            <v>09</v>
          </cell>
          <cell r="B74" t="str">
            <v>CONVERSACION</v>
          </cell>
          <cell r="C74" t="str">
            <v>SABADO POR LA NOCHE</v>
          </cell>
          <cell r="D74">
            <v>3</v>
          </cell>
          <cell r="E74">
            <v>85196</v>
          </cell>
          <cell r="K74">
            <v>3</v>
          </cell>
          <cell r="M74" t="str">
            <v>23:46</v>
          </cell>
          <cell r="N74" t="str">
            <v>00:55</v>
          </cell>
          <cell r="O74">
            <v>0</v>
          </cell>
          <cell r="P74">
            <v>0</v>
          </cell>
          <cell r="Q74">
            <v>1</v>
          </cell>
        </row>
        <row r="75">
          <cell r="A75" t="str">
            <v>09</v>
          </cell>
          <cell r="B75" t="str">
            <v>NOTICIERO</v>
          </cell>
          <cell r="C75" t="str">
            <v>MEGANOTICIAS</v>
          </cell>
          <cell r="D75">
            <v>2.9</v>
          </cell>
          <cell r="E75">
            <v>83035</v>
          </cell>
          <cell r="F75">
            <v>3.9</v>
          </cell>
          <cell r="G75">
            <v>2.7</v>
          </cell>
          <cell r="H75">
            <v>3.1</v>
          </cell>
          <cell r="I75">
            <v>2.2999999999999998</v>
          </cell>
          <cell r="J75">
            <v>2.5</v>
          </cell>
          <cell r="M75" t="str">
            <v>21:00</v>
          </cell>
          <cell r="N75" t="str">
            <v>22:02</v>
          </cell>
          <cell r="O75">
            <v>0</v>
          </cell>
          <cell r="P75">
            <v>0</v>
          </cell>
          <cell r="Q75">
            <v>5</v>
          </cell>
        </row>
        <row r="76">
          <cell r="A76" t="str">
            <v>09</v>
          </cell>
          <cell r="B76" t="str">
            <v>NOTICIERO</v>
          </cell>
          <cell r="C76" t="str">
            <v>MEGANOTICIAS SINTESIS DOMINGO</v>
          </cell>
          <cell r="D76">
            <v>2.8</v>
          </cell>
          <cell r="E76">
            <v>79743</v>
          </cell>
          <cell r="L76">
            <v>2.8</v>
          </cell>
          <cell r="M76" t="str">
            <v>21:01</v>
          </cell>
          <cell r="N76" t="str">
            <v>21:55</v>
          </cell>
          <cell r="O76">
            <v>0</v>
          </cell>
          <cell r="P76">
            <v>0</v>
          </cell>
          <cell r="Q76">
            <v>1</v>
          </cell>
        </row>
        <row r="77">
          <cell r="A77" t="str">
            <v>09</v>
          </cell>
          <cell r="B77" t="str">
            <v>NOTICIERO</v>
          </cell>
          <cell r="C77" t="str">
            <v>CERO HORAS</v>
          </cell>
          <cell r="D77">
            <v>2.7</v>
          </cell>
          <cell r="E77">
            <v>77863</v>
          </cell>
          <cell r="F77">
            <v>2.2999999999999998</v>
          </cell>
          <cell r="G77">
            <v>2.7</v>
          </cell>
          <cell r="H77">
            <v>4.4000000000000004</v>
          </cell>
          <cell r="I77">
            <v>2.5</v>
          </cell>
          <cell r="J77">
            <v>1.6</v>
          </cell>
          <cell r="M77" t="str">
            <v>23:58</v>
          </cell>
          <cell r="N77" t="str">
            <v>00:52</v>
          </cell>
          <cell r="O77">
            <v>0</v>
          </cell>
          <cell r="P77">
            <v>0</v>
          </cell>
          <cell r="Q77">
            <v>5</v>
          </cell>
        </row>
        <row r="78">
          <cell r="A78" t="str">
            <v>09</v>
          </cell>
          <cell r="B78" t="str">
            <v>SERIE</v>
          </cell>
          <cell r="C78" t="str">
            <v>DAWSON CREEK</v>
          </cell>
          <cell r="D78">
            <v>2.6</v>
          </cell>
          <cell r="E78">
            <v>74100</v>
          </cell>
          <cell r="J78">
            <v>2.6</v>
          </cell>
          <cell r="M78" t="str">
            <v>23:50</v>
          </cell>
          <cell r="N78" t="str">
            <v>00:50</v>
          </cell>
          <cell r="O78">
            <v>0</v>
          </cell>
          <cell r="P78">
            <v>0</v>
          </cell>
          <cell r="Q78">
            <v>1</v>
          </cell>
        </row>
        <row r="79">
          <cell r="A79" t="str">
            <v>09</v>
          </cell>
          <cell r="B79" t="str">
            <v>SERIE</v>
          </cell>
          <cell r="C79" t="str">
            <v>L.A. HEAT</v>
          </cell>
          <cell r="D79">
            <v>2.5</v>
          </cell>
          <cell r="E79">
            <v>72625</v>
          </cell>
          <cell r="F79">
            <v>2.1</v>
          </cell>
          <cell r="G79">
            <v>2.5</v>
          </cell>
          <cell r="H79">
            <v>3.7</v>
          </cell>
          <cell r="I79">
            <v>2.6</v>
          </cell>
          <cell r="L79">
            <v>1.7</v>
          </cell>
          <cell r="M79" t="str">
            <v>23:40</v>
          </cell>
          <cell r="N79" t="str">
            <v>02:04</v>
          </cell>
          <cell r="O79">
            <v>0</v>
          </cell>
          <cell r="P79">
            <v>0</v>
          </cell>
          <cell r="Q79">
            <v>5</v>
          </cell>
        </row>
        <row r="80">
          <cell r="A80" t="str">
            <v>09</v>
          </cell>
          <cell r="B80" t="str">
            <v>D_ANIMADOS</v>
          </cell>
          <cell r="C80" t="str">
            <v>DRAGON BALL Z</v>
          </cell>
          <cell r="D80">
            <v>2.5</v>
          </cell>
          <cell r="E80">
            <v>71045</v>
          </cell>
          <cell r="F80">
            <v>2.9</v>
          </cell>
          <cell r="G80">
            <v>3.4</v>
          </cell>
          <cell r="H80">
            <v>2.4</v>
          </cell>
          <cell r="I80">
            <v>2.2000000000000002</v>
          </cell>
          <cell r="J80">
            <v>1.5</v>
          </cell>
          <cell r="M80" t="str">
            <v>18:40</v>
          </cell>
          <cell r="N80" t="str">
            <v>19:29</v>
          </cell>
          <cell r="O80">
            <v>0</v>
          </cell>
          <cell r="P80">
            <v>0</v>
          </cell>
          <cell r="Q80">
            <v>5</v>
          </cell>
        </row>
        <row r="81">
          <cell r="A81" t="str">
            <v>09</v>
          </cell>
          <cell r="B81" t="str">
            <v>FUTBOL</v>
          </cell>
          <cell r="C81" t="str">
            <v>ELIMINATORIA KOREA-JAPON 2002</v>
          </cell>
          <cell r="D81">
            <v>2.2000000000000002</v>
          </cell>
          <cell r="E81">
            <v>62637</v>
          </cell>
          <cell r="L81">
            <v>2.2000000000000002</v>
          </cell>
          <cell r="M81" t="str">
            <v>18:40</v>
          </cell>
          <cell r="N81" t="str">
            <v>21:00</v>
          </cell>
          <cell r="O81">
            <v>0</v>
          </cell>
          <cell r="P81">
            <v>0</v>
          </cell>
          <cell r="Q81">
            <v>1</v>
          </cell>
        </row>
        <row r="82">
          <cell r="A82" t="str">
            <v>09</v>
          </cell>
          <cell r="B82" t="str">
            <v>PELICULA</v>
          </cell>
          <cell r="C82" t="str">
            <v>LA SUPER PELICULA</v>
          </cell>
          <cell r="D82">
            <v>2.2000000000000002</v>
          </cell>
          <cell r="E82">
            <v>64243</v>
          </cell>
          <cell r="J82">
            <v>2.2000000000000002</v>
          </cell>
          <cell r="M82" t="str">
            <v>22:07</v>
          </cell>
          <cell r="N82" t="str">
            <v>23:49</v>
          </cell>
          <cell r="O82">
            <v>0</v>
          </cell>
          <cell r="P82">
            <v>0</v>
          </cell>
          <cell r="Q82">
            <v>1</v>
          </cell>
        </row>
        <row r="83">
          <cell r="A83" t="str">
            <v>09</v>
          </cell>
          <cell r="B83" t="str">
            <v>HUMOR</v>
          </cell>
          <cell r="C83" t="str">
            <v>CHILE TU DAY</v>
          </cell>
          <cell r="D83">
            <v>2.2000000000000002</v>
          </cell>
          <cell r="E83">
            <v>61876</v>
          </cell>
          <cell r="L83">
            <v>2.2000000000000002</v>
          </cell>
          <cell r="M83" t="str">
            <v>22:02</v>
          </cell>
          <cell r="N83" t="str">
            <v>01:13</v>
          </cell>
          <cell r="O83">
            <v>0</v>
          </cell>
          <cell r="P83">
            <v>0</v>
          </cell>
          <cell r="Q83">
            <v>1</v>
          </cell>
        </row>
        <row r="84">
          <cell r="A84" t="str">
            <v>09</v>
          </cell>
          <cell r="B84" t="str">
            <v>PELICULA</v>
          </cell>
          <cell r="C84" t="str">
            <v>CINE NOCTURNO</v>
          </cell>
          <cell r="D84">
            <v>1.9</v>
          </cell>
          <cell r="E84">
            <v>53977</v>
          </cell>
          <cell r="K84">
            <v>1.9</v>
          </cell>
          <cell r="M84" t="str">
            <v>01:25</v>
          </cell>
          <cell r="N84" t="str">
            <v>03:04</v>
          </cell>
          <cell r="O84">
            <v>0</v>
          </cell>
          <cell r="P84">
            <v>0</v>
          </cell>
          <cell r="Q84">
            <v>1</v>
          </cell>
        </row>
        <row r="85">
          <cell r="A85" t="str">
            <v>09</v>
          </cell>
          <cell r="B85" t="str">
            <v>TELENOVELA</v>
          </cell>
          <cell r="C85" t="str">
            <v>A TODO DAR</v>
          </cell>
          <cell r="D85">
            <v>1.8</v>
          </cell>
          <cell r="E85">
            <v>52752</v>
          </cell>
          <cell r="F85">
            <v>2.6</v>
          </cell>
          <cell r="G85">
            <v>1.8</v>
          </cell>
          <cell r="H85">
            <v>1.6</v>
          </cell>
          <cell r="I85">
            <v>1.8</v>
          </cell>
          <cell r="J85">
            <v>1.4</v>
          </cell>
          <cell r="M85" t="str">
            <v>19:41</v>
          </cell>
          <cell r="N85" t="str">
            <v>20:59</v>
          </cell>
          <cell r="O85">
            <v>0</v>
          </cell>
          <cell r="P85">
            <v>0</v>
          </cell>
          <cell r="Q85">
            <v>5</v>
          </cell>
        </row>
        <row r="86">
          <cell r="A86" t="str">
            <v>09</v>
          </cell>
          <cell r="B86" t="str">
            <v>SERIE</v>
          </cell>
          <cell r="C86" t="str">
            <v>LOS POWER RANGERS</v>
          </cell>
          <cell r="D86">
            <v>1.8</v>
          </cell>
          <cell r="E86">
            <v>52417</v>
          </cell>
          <cell r="F86">
            <v>1.4</v>
          </cell>
          <cell r="G86">
            <v>2.2000000000000002</v>
          </cell>
          <cell r="M86" t="str">
            <v>17:52</v>
          </cell>
          <cell r="N86" t="str">
            <v>18:20</v>
          </cell>
          <cell r="O86">
            <v>0</v>
          </cell>
          <cell r="P86">
            <v>0</v>
          </cell>
          <cell r="Q86">
            <v>2</v>
          </cell>
        </row>
        <row r="87">
          <cell r="A87" t="str">
            <v>09</v>
          </cell>
          <cell r="B87" t="str">
            <v>NOTICIERO</v>
          </cell>
          <cell r="C87" t="str">
            <v>MEGANOTICIAS SINTESIS SABADO</v>
          </cell>
          <cell r="D87">
            <v>1.7</v>
          </cell>
          <cell r="E87">
            <v>49488</v>
          </cell>
          <cell r="K87">
            <v>1.7</v>
          </cell>
          <cell r="M87" t="str">
            <v>20:58</v>
          </cell>
          <cell r="N87" t="str">
            <v>21:56</v>
          </cell>
          <cell r="O87">
            <v>0</v>
          </cell>
          <cell r="P87">
            <v>0</v>
          </cell>
          <cell r="Q87">
            <v>1</v>
          </cell>
        </row>
        <row r="88">
          <cell r="A88" t="str">
            <v>09</v>
          </cell>
          <cell r="B88" t="str">
            <v>SERIE</v>
          </cell>
          <cell r="C88" t="str">
            <v>PACIFIC BLUE</v>
          </cell>
          <cell r="D88">
            <v>1.7</v>
          </cell>
          <cell r="E88">
            <v>48098</v>
          </cell>
          <cell r="L88">
            <v>1.7</v>
          </cell>
          <cell r="M88" t="str">
            <v>17:43</v>
          </cell>
          <cell r="N88" t="str">
            <v>18:39</v>
          </cell>
          <cell r="O88">
            <v>0</v>
          </cell>
          <cell r="P88">
            <v>0</v>
          </cell>
          <cell r="Q88">
            <v>1</v>
          </cell>
        </row>
        <row r="89">
          <cell r="A89" t="str">
            <v>09</v>
          </cell>
          <cell r="B89" t="str">
            <v>PELICULA</v>
          </cell>
          <cell r="C89" t="str">
            <v>CANTINFLAS</v>
          </cell>
          <cell r="D89">
            <v>1.6</v>
          </cell>
          <cell r="E89">
            <v>46488</v>
          </cell>
          <cell r="K89">
            <v>1.6</v>
          </cell>
          <cell r="M89" t="str">
            <v>15:38</v>
          </cell>
          <cell r="N89" t="str">
            <v>17:14</v>
          </cell>
          <cell r="O89">
            <v>0</v>
          </cell>
          <cell r="P89">
            <v>0</v>
          </cell>
          <cell r="Q89">
            <v>1</v>
          </cell>
        </row>
        <row r="90">
          <cell r="A90" t="str">
            <v>09</v>
          </cell>
          <cell r="B90" t="str">
            <v>SERIE</v>
          </cell>
          <cell r="C90" t="str">
            <v>ROBOCOP</v>
          </cell>
          <cell r="D90">
            <v>1.6</v>
          </cell>
          <cell r="E90">
            <v>46228</v>
          </cell>
          <cell r="L90">
            <v>1.6</v>
          </cell>
          <cell r="M90" t="str">
            <v>16:52</v>
          </cell>
          <cell r="N90" t="str">
            <v>17:42</v>
          </cell>
          <cell r="O90">
            <v>0</v>
          </cell>
          <cell r="P90">
            <v>0</v>
          </cell>
          <cell r="Q90">
            <v>1</v>
          </cell>
        </row>
        <row r="91">
          <cell r="A91" t="str">
            <v>09</v>
          </cell>
          <cell r="B91" t="str">
            <v>JUVENIL</v>
          </cell>
          <cell r="C91" t="str">
            <v>MEKANO</v>
          </cell>
          <cell r="D91">
            <v>1.5</v>
          </cell>
          <cell r="E91">
            <v>43539</v>
          </cell>
          <cell r="K91">
            <v>1.4</v>
          </cell>
          <cell r="L91">
            <v>1.6</v>
          </cell>
          <cell r="M91" t="str">
            <v>13:59</v>
          </cell>
          <cell r="N91" t="str">
            <v>16:24</v>
          </cell>
          <cell r="O91">
            <v>0</v>
          </cell>
          <cell r="P91">
            <v>0</v>
          </cell>
          <cell r="Q91">
            <v>2</v>
          </cell>
        </row>
        <row r="92">
          <cell r="A92" t="str">
            <v>09</v>
          </cell>
          <cell r="B92" t="str">
            <v>SERIE</v>
          </cell>
          <cell r="C92" t="str">
            <v>ESCALOFRIOS</v>
          </cell>
          <cell r="D92">
            <v>1.4</v>
          </cell>
          <cell r="E92">
            <v>40529</v>
          </cell>
          <cell r="F92">
            <v>1.9</v>
          </cell>
          <cell r="G92">
            <v>1.2</v>
          </cell>
          <cell r="H92">
            <v>1.6</v>
          </cell>
          <cell r="I92">
            <v>1.4</v>
          </cell>
          <cell r="J92">
            <v>1</v>
          </cell>
          <cell r="M92" t="str">
            <v>18:05</v>
          </cell>
          <cell r="N92" t="str">
            <v>18:56</v>
          </cell>
          <cell r="O92">
            <v>0</v>
          </cell>
          <cell r="P92">
            <v>0</v>
          </cell>
          <cell r="Q92">
            <v>5</v>
          </cell>
        </row>
        <row r="93">
          <cell r="A93" t="str">
            <v>09</v>
          </cell>
          <cell r="B93" t="str">
            <v>D_ANIMADOS</v>
          </cell>
          <cell r="C93" t="str">
            <v>DRAGON BALL</v>
          </cell>
          <cell r="D93">
            <v>1.4</v>
          </cell>
          <cell r="E93">
            <v>40497</v>
          </cell>
          <cell r="F93">
            <v>1.5</v>
          </cell>
          <cell r="G93">
            <v>1.4</v>
          </cell>
          <cell r="M93" t="str">
            <v>12:09</v>
          </cell>
          <cell r="N93" t="str">
            <v>12:38</v>
          </cell>
          <cell r="O93">
            <v>0</v>
          </cell>
          <cell r="P93">
            <v>0</v>
          </cell>
          <cell r="Q93">
            <v>2</v>
          </cell>
        </row>
        <row r="94">
          <cell r="A94" t="str">
            <v>09</v>
          </cell>
          <cell r="B94" t="str">
            <v>D_ANIMADOS</v>
          </cell>
          <cell r="C94" t="str">
            <v>NICKELODEON</v>
          </cell>
          <cell r="D94">
            <v>1.4</v>
          </cell>
          <cell r="E94">
            <v>39550</v>
          </cell>
          <cell r="H94">
            <v>2.5</v>
          </cell>
          <cell r="I94">
            <v>1.1000000000000001</v>
          </cell>
          <cell r="J94">
            <v>0.6</v>
          </cell>
          <cell r="M94" t="str">
            <v>12:13</v>
          </cell>
          <cell r="N94" t="str">
            <v>12:39</v>
          </cell>
          <cell r="O94">
            <v>0</v>
          </cell>
          <cell r="P94">
            <v>0</v>
          </cell>
          <cell r="Q94">
            <v>3</v>
          </cell>
        </row>
        <row r="95">
          <cell r="A95" t="str">
            <v>09</v>
          </cell>
          <cell r="B95" t="str">
            <v>INFORMATIVO</v>
          </cell>
          <cell r="C95" t="str">
            <v>RED NACIONAL</v>
          </cell>
          <cell r="D95">
            <v>1.4</v>
          </cell>
          <cell r="E95">
            <v>39383</v>
          </cell>
          <cell r="H95">
            <v>1.4</v>
          </cell>
          <cell r="M95" t="str">
            <v>21:00</v>
          </cell>
          <cell r="N95" t="str">
            <v>21:09</v>
          </cell>
          <cell r="O95">
            <v>0</v>
          </cell>
          <cell r="P95">
            <v>0</v>
          </cell>
          <cell r="Q95">
            <v>1</v>
          </cell>
        </row>
        <row r="96">
          <cell r="A96" t="str">
            <v>09</v>
          </cell>
          <cell r="B96" t="str">
            <v>INFANTIL</v>
          </cell>
          <cell r="C96" t="str">
            <v>ZOOLO TV</v>
          </cell>
          <cell r="D96">
            <v>1.4</v>
          </cell>
          <cell r="E96">
            <v>39191</v>
          </cell>
          <cell r="F96">
            <v>1.4</v>
          </cell>
          <cell r="G96">
            <v>1.6</v>
          </cell>
          <cell r="H96">
            <v>1.9</v>
          </cell>
          <cell r="I96">
            <v>1.6</v>
          </cell>
          <cell r="J96">
            <v>1.3</v>
          </cell>
          <cell r="K96">
            <v>0.4</v>
          </cell>
          <cell r="M96" t="str">
            <v>10:05</v>
          </cell>
          <cell r="N96" t="str">
            <v>19:17</v>
          </cell>
          <cell r="O96">
            <v>0</v>
          </cell>
          <cell r="P96">
            <v>0</v>
          </cell>
          <cell r="Q96">
            <v>23</v>
          </cell>
        </row>
        <row r="97">
          <cell r="A97" t="str">
            <v>09</v>
          </cell>
          <cell r="B97" t="str">
            <v>SERIE</v>
          </cell>
          <cell r="C97" t="str">
            <v>MAGNUM</v>
          </cell>
          <cell r="D97">
            <v>1.2</v>
          </cell>
          <cell r="E97">
            <v>33249</v>
          </cell>
          <cell r="J97">
            <v>1.9</v>
          </cell>
          <cell r="K97">
            <v>0.4</v>
          </cell>
          <cell r="M97" t="str">
            <v>18:13</v>
          </cell>
          <cell r="N97" t="str">
            <v>01:42</v>
          </cell>
          <cell r="O97">
            <v>0</v>
          </cell>
          <cell r="P97">
            <v>0</v>
          </cell>
          <cell r="Q97">
            <v>2</v>
          </cell>
        </row>
        <row r="98">
          <cell r="A98" t="str">
            <v>09</v>
          </cell>
          <cell r="B98" t="str">
            <v>D_ANIMADOS</v>
          </cell>
          <cell r="C98" t="str">
            <v>MONSTER RANCHER</v>
          </cell>
          <cell r="D98">
            <v>1.1000000000000001</v>
          </cell>
          <cell r="E98">
            <v>30826</v>
          </cell>
          <cell r="H98">
            <v>1.4</v>
          </cell>
          <cell r="I98">
            <v>1.1000000000000001</v>
          </cell>
          <cell r="J98">
            <v>0.7</v>
          </cell>
          <cell r="M98" t="str">
            <v>17:33</v>
          </cell>
          <cell r="N98" t="str">
            <v>18:05</v>
          </cell>
          <cell r="O98">
            <v>0</v>
          </cell>
          <cell r="P98">
            <v>0</v>
          </cell>
          <cell r="Q98">
            <v>3</v>
          </cell>
        </row>
        <row r="99">
          <cell r="A99" t="str">
            <v>09</v>
          </cell>
          <cell r="B99" t="str">
            <v>SERIE</v>
          </cell>
          <cell r="C99" t="str">
            <v>LOS MAGNIFICOS</v>
          </cell>
          <cell r="D99">
            <v>1.1000000000000001</v>
          </cell>
          <cell r="E99">
            <v>30274</v>
          </cell>
          <cell r="K99">
            <v>1.1000000000000001</v>
          </cell>
          <cell r="M99" t="str">
            <v>20:03</v>
          </cell>
          <cell r="N99" t="str">
            <v>20:57</v>
          </cell>
          <cell r="O99">
            <v>0</v>
          </cell>
          <cell r="P99">
            <v>0</v>
          </cell>
          <cell r="Q99">
            <v>1</v>
          </cell>
        </row>
        <row r="100">
          <cell r="A100" t="str">
            <v>09</v>
          </cell>
          <cell r="B100" t="str">
            <v>EV_DEPORTIVO</v>
          </cell>
          <cell r="C100" t="str">
            <v>FORMULA UNO</v>
          </cell>
          <cell r="D100">
            <v>1.1000000000000001</v>
          </cell>
          <cell r="E100">
            <v>30786</v>
          </cell>
          <cell r="L100">
            <v>1.1000000000000001</v>
          </cell>
          <cell r="M100" t="str">
            <v>09:24</v>
          </cell>
          <cell r="N100" t="str">
            <v>11:08</v>
          </cell>
          <cell r="O100">
            <v>0</v>
          </cell>
          <cell r="P100">
            <v>0</v>
          </cell>
          <cell r="Q100">
            <v>1</v>
          </cell>
        </row>
        <row r="101">
          <cell r="A101" t="str">
            <v>09</v>
          </cell>
          <cell r="B101" t="str">
            <v>D_ANIMADOS</v>
          </cell>
          <cell r="C101" t="str">
            <v>ARNOLD</v>
          </cell>
          <cell r="D101">
            <v>1.1000000000000001</v>
          </cell>
          <cell r="E101">
            <v>30980</v>
          </cell>
          <cell r="F101">
            <v>1.2</v>
          </cell>
          <cell r="G101">
            <v>1.8</v>
          </cell>
          <cell r="H101">
            <v>1.2</v>
          </cell>
          <cell r="I101">
            <v>0.7</v>
          </cell>
          <cell r="J101">
            <v>0.5</v>
          </cell>
          <cell r="M101" t="str">
            <v>11:45</v>
          </cell>
          <cell r="N101" t="str">
            <v>17:53</v>
          </cell>
          <cell r="O101">
            <v>0</v>
          </cell>
          <cell r="P101">
            <v>0</v>
          </cell>
          <cell r="Q101">
            <v>5</v>
          </cell>
        </row>
        <row r="102">
          <cell r="A102" t="str">
            <v>09</v>
          </cell>
          <cell r="B102" t="str">
            <v>MUSICAL</v>
          </cell>
          <cell r="C102" t="str">
            <v>PEPSI CHART</v>
          </cell>
          <cell r="D102">
            <v>1.1000000000000001</v>
          </cell>
          <cell r="E102">
            <v>32961</v>
          </cell>
          <cell r="K102">
            <v>1.1000000000000001</v>
          </cell>
          <cell r="M102" t="str">
            <v>00:56</v>
          </cell>
          <cell r="N102" t="str">
            <v>01:24</v>
          </cell>
          <cell r="O102">
            <v>0</v>
          </cell>
          <cell r="P102">
            <v>0</v>
          </cell>
          <cell r="Q102">
            <v>1</v>
          </cell>
        </row>
        <row r="103">
          <cell r="A103" t="str">
            <v>09</v>
          </cell>
          <cell r="B103" t="str">
            <v>SERIE</v>
          </cell>
          <cell r="C103" t="str">
            <v>TARZAN</v>
          </cell>
          <cell r="D103">
            <v>1</v>
          </cell>
          <cell r="E103">
            <v>29461</v>
          </cell>
          <cell r="L103">
            <v>1</v>
          </cell>
          <cell r="M103" t="str">
            <v>16:25</v>
          </cell>
          <cell r="N103" t="str">
            <v>16:51</v>
          </cell>
          <cell r="O103">
            <v>0</v>
          </cell>
          <cell r="P103">
            <v>0</v>
          </cell>
          <cell r="Q103">
            <v>1</v>
          </cell>
        </row>
        <row r="104">
          <cell r="A104" t="str">
            <v>09</v>
          </cell>
          <cell r="B104" t="str">
            <v>SERIE</v>
          </cell>
          <cell r="C104" t="str">
            <v>LOBO DEL AIRE</v>
          </cell>
          <cell r="D104">
            <v>1</v>
          </cell>
          <cell r="E104">
            <v>27711</v>
          </cell>
          <cell r="K104">
            <v>1</v>
          </cell>
          <cell r="M104" t="str">
            <v>17:15</v>
          </cell>
          <cell r="N104" t="str">
            <v>18:12</v>
          </cell>
          <cell r="O104">
            <v>0</v>
          </cell>
          <cell r="P104">
            <v>0</v>
          </cell>
          <cell r="Q104">
            <v>1</v>
          </cell>
        </row>
        <row r="105">
          <cell r="A105" t="str">
            <v>09</v>
          </cell>
          <cell r="B105" t="str">
            <v>SERIE</v>
          </cell>
          <cell r="C105" t="str">
            <v>MIAMI VICE</v>
          </cell>
          <cell r="D105">
            <v>0.8</v>
          </cell>
          <cell r="E105">
            <v>24023</v>
          </cell>
          <cell r="K105">
            <v>0.8</v>
          </cell>
          <cell r="M105" t="str">
            <v>19:09</v>
          </cell>
          <cell r="N105" t="str">
            <v>20:02</v>
          </cell>
          <cell r="O105">
            <v>0</v>
          </cell>
          <cell r="P105">
            <v>0</v>
          </cell>
          <cell r="Q105">
            <v>1</v>
          </cell>
        </row>
        <row r="106">
          <cell r="A106" t="str">
            <v>09</v>
          </cell>
          <cell r="B106" t="str">
            <v>D_ANIMADOS</v>
          </cell>
          <cell r="C106" t="str">
            <v>LOS PICAPIEDRAS</v>
          </cell>
          <cell r="D106">
            <v>0.7</v>
          </cell>
          <cell r="E106">
            <v>21413</v>
          </cell>
          <cell r="F106">
            <v>0.8</v>
          </cell>
          <cell r="G106">
            <v>0.5</v>
          </cell>
          <cell r="H106">
            <v>1</v>
          </cell>
          <cell r="I106">
            <v>0.8</v>
          </cell>
          <cell r="J106">
            <v>0.3</v>
          </cell>
          <cell r="K106">
            <v>0.9</v>
          </cell>
          <cell r="L106">
            <v>0.9</v>
          </cell>
          <cell r="M106" t="str">
            <v>10:48</v>
          </cell>
          <cell r="N106" t="str">
            <v>12:30</v>
          </cell>
          <cell r="O106">
            <v>0</v>
          </cell>
          <cell r="P106">
            <v>0</v>
          </cell>
          <cell r="Q106">
            <v>7</v>
          </cell>
        </row>
        <row r="107">
          <cell r="A107" t="str">
            <v>09</v>
          </cell>
          <cell r="B107" t="str">
            <v>D_ANIMADOS</v>
          </cell>
          <cell r="C107" t="str">
            <v>DR. SLUMP</v>
          </cell>
          <cell r="D107">
            <v>0.7</v>
          </cell>
          <cell r="E107">
            <v>20682</v>
          </cell>
          <cell r="F107">
            <v>1.1000000000000001</v>
          </cell>
          <cell r="G107">
            <v>1.1000000000000001</v>
          </cell>
          <cell r="H107">
            <v>0.9</v>
          </cell>
          <cell r="I107">
            <v>0.6</v>
          </cell>
          <cell r="J107">
            <v>0.3</v>
          </cell>
          <cell r="K107">
            <v>0.4</v>
          </cell>
          <cell r="M107" t="str">
            <v>11:15</v>
          </cell>
          <cell r="N107" t="str">
            <v>12:24</v>
          </cell>
          <cell r="O107">
            <v>0</v>
          </cell>
          <cell r="P107">
            <v>0</v>
          </cell>
          <cell r="Q107">
            <v>6</v>
          </cell>
        </row>
        <row r="108">
          <cell r="A108" t="str">
            <v>09</v>
          </cell>
          <cell r="B108" t="str">
            <v>DEPORTIVO</v>
          </cell>
          <cell r="C108" t="str">
            <v>4X4 AVENTURA</v>
          </cell>
          <cell r="D108">
            <v>0.6</v>
          </cell>
          <cell r="E108">
            <v>17622</v>
          </cell>
          <cell r="L108">
            <v>0.6</v>
          </cell>
          <cell r="M108" t="str">
            <v>13:47</v>
          </cell>
          <cell r="N108" t="str">
            <v>14:14</v>
          </cell>
          <cell r="O108">
            <v>0</v>
          </cell>
          <cell r="P108">
            <v>0</v>
          </cell>
          <cell r="Q108">
            <v>1</v>
          </cell>
        </row>
        <row r="109">
          <cell r="A109" t="str">
            <v>09</v>
          </cell>
          <cell r="B109" t="str">
            <v>D_ANIMADOS</v>
          </cell>
          <cell r="C109" t="str">
            <v>DRAGON BALL Z (RESUMEN)</v>
          </cell>
          <cell r="D109">
            <v>0.6</v>
          </cell>
          <cell r="E109">
            <v>16906</v>
          </cell>
          <cell r="K109">
            <v>0.7</v>
          </cell>
          <cell r="L109">
            <v>0.5</v>
          </cell>
          <cell r="M109" t="str">
            <v>12:46</v>
          </cell>
          <cell r="N109" t="str">
            <v>13:46</v>
          </cell>
          <cell r="O109">
            <v>0</v>
          </cell>
          <cell r="P109">
            <v>0</v>
          </cell>
          <cell r="Q109">
            <v>2</v>
          </cell>
        </row>
        <row r="110">
          <cell r="A110" t="str">
            <v>09</v>
          </cell>
          <cell r="B110" t="str">
            <v>D_ANIMADOS</v>
          </cell>
          <cell r="C110" t="str">
            <v>CAT DOG</v>
          </cell>
          <cell r="D110">
            <v>0.5</v>
          </cell>
          <cell r="E110">
            <v>14841</v>
          </cell>
          <cell r="L110">
            <v>0.5</v>
          </cell>
          <cell r="M110" t="str">
            <v>12:31</v>
          </cell>
          <cell r="N110" t="str">
            <v>12:59</v>
          </cell>
          <cell r="O110">
            <v>0</v>
          </cell>
          <cell r="P110">
            <v>0</v>
          </cell>
          <cell r="Q110">
            <v>1</v>
          </cell>
        </row>
        <row r="111">
          <cell r="A111" t="str">
            <v>09</v>
          </cell>
          <cell r="B111" t="str">
            <v>D_ANIMADOS</v>
          </cell>
          <cell r="C111" t="str">
            <v>LOS PEQUENOS PICAPIEDRAS</v>
          </cell>
          <cell r="D111">
            <v>0.5</v>
          </cell>
          <cell r="E111">
            <v>14795</v>
          </cell>
          <cell r="K111">
            <v>0.5</v>
          </cell>
          <cell r="L111">
            <v>0.5</v>
          </cell>
          <cell r="M111" t="str">
            <v>10:14</v>
          </cell>
          <cell r="N111" t="str">
            <v>11:36</v>
          </cell>
          <cell r="O111">
            <v>0</v>
          </cell>
          <cell r="P111">
            <v>0</v>
          </cell>
          <cell r="Q111">
            <v>2</v>
          </cell>
        </row>
        <row r="112">
          <cell r="A112" t="str">
            <v>09</v>
          </cell>
          <cell r="B112" t="str">
            <v>D_ANIMADOS</v>
          </cell>
          <cell r="C112" t="str">
            <v>MAX STEEL</v>
          </cell>
          <cell r="D112">
            <v>0.5</v>
          </cell>
          <cell r="E112">
            <v>13296</v>
          </cell>
          <cell r="K112">
            <v>0.5</v>
          </cell>
          <cell r="M112" t="str">
            <v>13:33</v>
          </cell>
          <cell r="N112" t="str">
            <v>13:58</v>
          </cell>
          <cell r="O112">
            <v>0</v>
          </cell>
          <cell r="P112">
            <v>0</v>
          </cell>
          <cell r="Q112">
            <v>1</v>
          </cell>
        </row>
        <row r="113">
          <cell r="A113" t="str">
            <v>09</v>
          </cell>
          <cell r="B113" t="str">
            <v>D_ANIMADOS</v>
          </cell>
          <cell r="C113" t="str">
            <v>TICK,LA GARRAPATA</v>
          </cell>
          <cell r="D113">
            <v>0.4</v>
          </cell>
          <cell r="E113">
            <v>11437</v>
          </cell>
          <cell r="L113">
            <v>0.4</v>
          </cell>
          <cell r="M113" t="str">
            <v>11:37</v>
          </cell>
          <cell r="N113" t="str">
            <v>12:02</v>
          </cell>
          <cell r="O113">
            <v>0</v>
          </cell>
          <cell r="P113">
            <v>0</v>
          </cell>
          <cell r="Q113">
            <v>1</v>
          </cell>
        </row>
        <row r="114">
          <cell r="A114" t="str">
            <v>09</v>
          </cell>
          <cell r="B114" t="str">
            <v>INFORMATIVO</v>
          </cell>
          <cell r="C114" t="str">
            <v>INFOMERCIALES</v>
          </cell>
          <cell r="D114">
            <v>0.4</v>
          </cell>
          <cell r="E114">
            <v>11509</v>
          </cell>
          <cell r="F114">
            <v>0.4</v>
          </cell>
          <cell r="G114">
            <v>0.2</v>
          </cell>
          <cell r="H114">
            <v>0.5</v>
          </cell>
          <cell r="I114">
            <v>0.7</v>
          </cell>
          <cell r="J114">
            <v>0.2</v>
          </cell>
          <cell r="K114">
            <v>0.4</v>
          </cell>
          <cell r="L114">
            <v>0.3</v>
          </cell>
          <cell r="M114" t="str">
            <v>07:55</v>
          </cell>
          <cell r="N114" t="str">
            <v>04:05</v>
          </cell>
          <cell r="O114">
            <v>0</v>
          </cell>
          <cell r="P114">
            <v>0</v>
          </cell>
          <cell r="Q114">
            <v>14</v>
          </cell>
        </row>
        <row r="115">
          <cell r="A115" t="str">
            <v>09</v>
          </cell>
          <cell r="B115" t="str">
            <v>INFANTIL</v>
          </cell>
          <cell r="C115" t="str">
            <v>PLAZA SESAMO</v>
          </cell>
          <cell r="D115">
            <v>0.4</v>
          </cell>
          <cell r="E115">
            <v>10071</v>
          </cell>
          <cell r="F115">
            <v>0.4</v>
          </cell>
          <cell r="G115">
            <v>0.1</v>
          </cell>
          <cell r="H115">
            <v>0.5</v>
          </cell>
          <cell r="I115">
            <v>0.4</v>
          </cell>
          <cell r="J115">
            <v>0.3</v>
          </cell>
          <cell r="M115" t="str">
            <v>10:18</v>
          </cell>
          <cell r="N115" t="str">
            <v>11:12</v>
          </cell>
          <cell r="O115">
            <v>0</v>
          </cell>
          <cell r="P115">
            <v>0</v>
          </cell>
          <cell r="Q115">
            <v>5</v>
          </cell>
        </row>
        <row r="116">
          <cell r="A116" t="str">
            <v>09</v>
          </cell>
          <cell r="B116" t="str">
            <v>D_ANIMADOS</v>
          </cell>
          <cell r="C116" t="str">
            <v>LOS CAZAFANTASMAS</v>
          </cell>
          <cell r="D116">
            <v>0.3</v>
          </cell>
          <cell r="E116">
            <v>8459</v>
          </cell>
          <cell r="F116">
            <v>0.4</v>
          </cell>
          <cell r="G116">
            <v>0</v>
          </cell>
          <cell r="H116">
            <v>0.6</v>
          </cell>
          <cell r="I116">
            <v>0</v>
          </cell>
          <cell r="J116">
            <v>0.5</v>
          </cell>
          <cell r="M116" t="str">
            <v>09:51</v>
          </cell>
          <cell r="N116" t="str">
            <v>10:44</v>
          </cell>
          <cell r="O116">
            <v>0</v>
          </cell>
          <cell r="P116">
            <v>0</v>
          </cell>
          <cell r="Q116">
            <v>5</v>
          </cell>
        </row>
        <row r="117">
          <cell r="A117" t="str">
            <v>11</v>
          </cell>
          <cell r="B117" t="str">
            <v>PELICULA</v>
          </cell>
          <cell r="C117" t="str">
            <v>PREMIUM</v>
          </cell>
          <cell r="D117">
            <v>9.9</v>
          </cell>
          <cell r="E117">
            <v>284141</v>
          </cell>
          <cell r="G117">
            <v>9.9</v>
          </cell>
          <cell r="M117" t="str">
            <v>23:11</v>
          </cell>
          <cell r="N117" t="str">
            <v>00:56</v>
          </cell>
          <cell r="O117">
            <v>0</v>
          </cell>
          <cell r="P117">
            <v>0</v>
          </cell>
          <cell r="Q117">
            <v>1</v>
          </cell>
        </row>
        <row r="118">
          <cell r="A118" t="str">
            <v>11</v>
          </cell>
          <cell r="B118" t="str">
            <v>CONVERSACION</v>
          </cell>
          <cell r="C118" t="str">
            <v>CALOR HUMANO</v>
          </cell>
          <cell r="D118">
            <v>4.5999999999999996</v>
          </cell>
          <cell r="E118">
            <v>133479</v>
          </cell>
          <cell r="H118">
            <v>4.5999999999999996</v>
          </cell>
          <cell r="M118" t="str">
            <v>22:06</v>
          </cell>
          <cell r="N118" t="str">
            <v>00:29</v>
          </cell>
          <cell r="O118">
            <v>0</v>
          </cell>
          <cell r="P118">
            <v>0</v>
          </cell>
          <cell r="Q118">
            <v>1</v>
          </cell>
        </row>
        <row r="119">
          <cell r="A119" t="str">
            <v>11</v>
          </cell>
          <cell r="B119" t="str">
            <v>PELICULA</v>
          </cell>
          <cell r="C119" t="str">
            <v>GRAN PREMIER</v>
          </cell>
          <cell r="D119">
            <v>3.5</v>
          </cell>
          <cell r="E119">
            <v>101431</v>
          </cell>
          <cell r="I119">
            <v>3.5</v>
          </cell>
          <cell r="M119" t="str">
            <v>22:06</v>
          </cell>
          <cell r="N119" t="str">
            <v>00:12</v>
          </cell>
          <cell r="O119">
            <v>0</v>
          </cell>
          <cell r="P119">
            <v>0</v>
          </cell>
          <cell r="Q119">
            <v>1</v>
          </cell>
        </row>
        <row r="120">
          <cell r="A120" t="str">
            <v>11</v>
          </cell>
          <cell r="B120" t="str">
            <v>PELICULA</v>
          </cell>
          <cell r="C120" t="str">
            <v>DOMINGO DE PELICULA</v>
          </cell>
          <cell r="D120">
            <v>3.3</v>
          </cell>
          <cell r="E120">
            <v>94167</v>
          </cell>
          <cell r="L120">
            <v>3.3</v>
          </cell>
          <cell r="M120" t="str">
            <v>22:07</v>
          </cell>
          <cell r="N120" t="str">
            <v>00:06</v>
          </cell>
          <cell r="O120">
            <v>0</v>
          </cell>
          <cell r="P120">
            <v>0</v>
          </cell>
          <cell r="Q120">
            <v>1</v>
          </cell>
        </row>
        <row r="121">
          <cell r="A121" t="str">
            <v>11</v>
          </cell>
          <cell r="B121" t="str">
            <v>PELICULA</v>
          </cell>
          <cell r="C121" t="str">
            <v>CINE AVENTURA</v>
          </cell>
          <cell r="D121">
            <v>3</v>
          </cell>
          <cell r="E121">
            <v>86141</v>
          </cell>
          <cell r="K121">
            <v>3</v>
          </cell>
          <cell r="M121" t="str">
            <v>15:09</v>
          </cell>
          <cell r="N121" t="str">
            <v>17:27</v>
          </cell>
          <cell r="O121">
            <v>0</v>
          </cell>
          <cell r="P121">
            <v>0</v>
          </cell>
          <cell r="Q121">
            <v>1</v>
          </cell>
        </row>
        <row r="122">
          <cell r="A122" t="str">
            <v>11</v>
          </cell>
          <cell r="B122" t="str">
            <v>PELICULA</v>
          </cell>
          <cell r="C122" t="str">
            <v>CINE COMO EN EL CINE</v>
          </cell>
          <cell r="D122">
            <v>2.9</v>
          </cell>
          <cell r="E122">
            <v>83336</v>
          </cell>
          <cell r="L122">
            <v>2.9</v>
          </cell>
          <cell r="M122" t="str">
            <v>19:06</v>
          </cell>
          <cell r="N122" t="str">
            <v>20:59</v>
          </cell>
          <cell r="O122">
            <v>0</v>
          </cell>
          <cell r="P122">
            <v>0</v>
          </cell>
          <cell r="Q122">
            <v>1</v>
          </cell>
        </row>
        <row r="123">
          <cell r="A123" t="str">
            <v>11</v>
          </cell>
          <cell r="B123" t="str">
            <v>JUVENIL</v>
          </cell>
          <cell r="C123" t="str">
            <v>LUNATICOS</v>
          </cell>
          <cell r="D123">
            <v>2.9</v>
          </cell>
          <cell r="E123">
            <v>81980</v>
          </cell>
          <cell r="K123">
            <v>2.9</v>
          </cell>
          <cell r="M123" t="str">
            <v>00:57</v>
          </cell>
          <cell r="N123" t="str">
            <v>03:02</v>
          </cell>
          <cell r="O123">
            <v>0</v>
          </cell>
          <cell r="P123">
            <v>0</v>
          </cell>
          <cell r="Q123">
            <v>1</v>
          </cell>
        </row>
        <row r="124">
          <cell r="A124" t="str">
            <v>11</v>
          </cell>
          <cell r="B124" t="str">
            <v>HUMOR</v>
          </cell>
          <cell r="C124" t="str">
            <v>TV CONDORO NIGHTS</v>
          </cell>
          <cell r="D124">
            <v>2.7</v>
          </cell>
          <cell r="E124">
            <v>78522</v>
          </cell>
          <cell r="F124">
            <v>2.7</v>
          </cell>
          <cell r="M124" t="str">
            <v>23:27</v>
          </cell>
          <cell r="N124" t="str">
            <v>00:26</v>
          </cell>
          <cell r="O124">
            <v>0</v>
          </cell>
          <cell r="P124">
            <v>0</v>
          </cell>
          <cell r="Q124">
            <v>1</v>
          </cell>
        </row>
        <row r="125">
          <cell r="A125" t="str">
            <v>11</v>
          </cell>
          <cell r="B125" t="str">
            <v>DEPORTIVO</v>
          </cell>
          <cell r="C125" t="str">
            <v>FUERA DE JUEGO</v>
          </cell>
          <cell r="D125">
            <v>2.7</v>
          </cell>
          <cell r="E125">
            <v>77063</v>
          </cell>
          <cell r="F125">
            <v>2.7</v>
          </cell>
          <cell r="M125" t="str">
            <v>22:07</v>
          </cell>
          <cell r="N125" t="str">
            <v>23:26</v>
          </cell>
          <cell r="O125">
            <v>0</v>
          </cell>
          <cell r="P125">
            <v>0</v>
          </cell>
          <cell r="Q125">
            <v>1</v>
          </cell>
        </row>
        <row r="126">
          <cell r="A126" t="str">
            <v>11</v>
          </cell>
          <cell r="B126" t="str">
            <v>NOTICIERO</v>
          </cell>
          <cell r="C126" t="str">
            <v>CHV NOTICIAS CENTRAL</v>
          </cell>
          <cell r="D126">
            <v>2.6</v>
          </cell>
          <cell r="E126">
            <v>74890</v>
          </cell>
          <cell r="F126">
            <v>3.2</v>
          </cell>
          <cell r="G126">
            <v>3.2</v>
          </cell>
          <cell r="H126">
            <v>2.2999999999999998</v>
          </cell>
          <cell r="I126">
            <v>1.5</v>
          </cell>
          <cell r="J126">
            <v>1.5</v>
          </cell>
          <cell r="K126">
            <v>3.2</v>
          </cell>
          <cell r="L126">
            <v>3.4</v>
          </cell>
          <cell r="M126" t="str">
            <v>20:59</v>
          </cell>
          <cell r="N126" t="str">
            <v>22:05</v>
          </cell>
          <cell r="O126">
            <v>0</v>
          </cell>
          <cell r="P126">
            <v>0</v>
          </cell>
          <cell r="Q126">
            <v>7</v>
          </cell>
        </row>
        <row r="127">
          <cell r="A127" t="str">
            <v>11</v>
          </cell>
          <cell r="B127" t="str">
            <v>NOTICIERO</v>
          </cell>
          <cell r="C127" t="str">
            <v>CHV NOTICIAS NOCHE</v>
          </cell>
          <cell r="D127">
            <v>2.5</v>
          </cell>
          <cell r="E127">
            <v>71705</v>
          </cell>
          <cell r="F127">
            <v>1.2</v>
          </cell>
          <cell r="G127">
            <v>4.4000000000000004</v>
          </cell>
          <cell r="H127">
            <v>2.4</v>
          </cell>
          <cell r="I127">
            <v>3.2</v>
          </cell>
          <cell r="J127">
            <v>1.7</v>
          </cell>
          <cell r="K127">
            <v>2.6</v>
          </cell>
          <cell r="L127">
            <v>2</v>
          </cell>
          <cell r="M127" t="str">
            <v>00:07</v>
          </cell>
          <cell r="N127" t="str">
            <v>01:30</v>
          </cell>
          <cell r="O127">
            <v>0</v>
          </cell>
          <cell r="P127">
            <v>0</v>
          </cell>
          <cell r="Q127">
            <v>7</v>
          </cell>
        </row>
        <row r="128">
          <cell r="A128" t="str">
            <v>11</v>
          </cell>
          <cell r="B128" t="str">
            <v>INFORMATIVO</v>
          </cell>
          <cell r="C128" t="str">
            <v>EL TIEMPO EN CHV (C)</v>
          </cell>
          <cell r="D128">
            <v>2.2999999999999998</v>
          </cell>
          <cell r="E128">
            <v>65207</v>
          </cell>
          <cell r="F128">
            <v>1.7</v>
          </cell>
          <cell r="G128">
            <v>2.8</v>
          </cell>
          <cell r="H128">
            <v>1.5</v>
          </cell>
          <cell r="I128">
            <v>1.2</v>
          </cell>
          <cell r="J128">
            <v>2.2000000000000002</v>
          </cell>
          <cell r="K128">
            <v>4.2</v>
          </cell>
          <cell r="L128">
            <v>2.4</v>
          </cell>
          <cell r="M128" t="str">
            <v>22:02</v>
          </cell>
          <cell r="N128" t="str">
            <v>22:08</v>
          </cell>
          <cell r="O128">
            <v>0</v>
          </cell>
          <cell r="P128">
            <v>0</v>
          </cell>
          <cell r="Q128">
            <v>7</v>
          </cell>
        </row>
        <row r="129">
          <cell r="A129" t="str">
            <v>11</v>
          </cell>
          <cell r="B129" t="str">
            <v>MISCELANEO</v>
          </cell>
          <cell r="C129" t="str">
            <v>DR. SPOT</v>
          </cell>
          <cell r="D129">
            <v>2.2000000000000002</v>
          </cell>
          <cell r="E129">
            <v>62564</v>
          </cell>
          <cell r="G129">
            <v>2.2000000000000002</v>
          </cell>
          <cell r="M129" t="str">
            <v>22:07</v>
          </cell>
          <cell r="N129" t="str">
            <v>23:10</v>
          </cell>
          <cell r="O129">
            <v>0</v>
          </cell>
          <cell r="P129">
            <v>0</v>
          </cell>
          <cell r="Q129">
            <v>1</v>
          </cell>
        </row>
        <row r="130">
          <cell r="A130" t="str">
            <v>11</v>
          </cell>
          <cell r="B130" t="str">
            <v>CONVERSACION</v>
          </cell>
          <cell r="C130" t="str">
            <v>AMIGAS Y AMIGOS</v>
          </cell>
          <cell r="D130">
            <v>1.9</v>
          </cell>
          <cell r="E130">
            <v>54857</v>
          </cell>
          <cell r="K130">
            <v>1.9</v>
          </cell>
          <cell r="M130" t="str">
            <v>22:05</v>
          </cell>
          <cell r="N130" t="str">
            <v>00:21</v>
          </cell>
          <cell r="O130">
            <v>0</v>
          </cell>
          <cell r="P130">
            <v>0</v>
          </cell>
          <cell r="Q130">
            <v>1</v>
          </cell>
        </row>
        <row r="131">
          <cell r="A131" t="str">
            <v>11</v>
          </cell>
          <cell r="B131" t="str">
            <v>CONVERSACION</v>
          </cell>
          <cell r="C131" t="str">
            <v>TOLERANCIA CERO</v>
          </cell>
          <cell r="D131">
            <v>1.9</v>
          </cell>
          <cell r="E131">
            <v>53587</v>
          </cell>
          <cell r="L131">
            <v>1.9</v>
          </cell>
          <cell r="M131" t="str">
            <v>10:09</v>
          </cell>
          <cell r="N131" t="str">
            <v>11:24</v>
          </cell>
          <cell r="O131">
            <v>0</v>
          </cell>
          <cell r="P131">
            <v>0</v>
          </cell>
          <cell r="Q131">
            <v>1</v>
          </cell>
        </row>
        <row r="132">
          <cell r="A132" t="str">
            <v>11</v>
          </cell>
          <cell r="B132" t="str">
            <v>INFORMATIVO</v>
          </cell>
          <cell r="C132" t="str">
            <v>EL TIEMPO EN CHV (N)</v>
          </cell>
          <cell r="D132">
            <v>1.9</v>
          </cell>
          <cell r="E132">
            <v>55874</v>
          </cell>
          <cell r="F132">
            <v>1.3</v>
          </cell>
          <cell r="G132">
            <v>3.6</v>
          </cell>
          <cell r="H132">
            <v>1.8</v>
          </cell>
          <cell r="I132">
            <v>2</v>
          </cell>
          <cell r="J132">
            <v>1.2</v>
          </cell>
          <cell r="K132">
            <v>1.7</v>
          </cell>
          <cell r="L132">
            <v>2.1</v>
          </cell>
          <cell r="M132" t="str">
            <v>00:43</v>
          </cell>
          <cell r="N132" t="str">
            <v>01:32</v>
          </cell>
          <cell r="O132">
            <v>0</v>
          </cell>
          <cell r="P132">
            <v>0</v>
          </cell>
          <cell r="Q132">
            <v>7</v>
          </cell>
        </row>
        <row r="133">
          <cell r="A133" t="str">
            <v>11</v>
          </cell>
          <cell r="B133" t="str">
            <v>REALITY SHOW</v>
          </cell>
          <cell r="C133" t="str">
            <v>JUSTICIA PARA TODOS</v>
          </cell>
          <cell r="D133">
            <v>1.8</v>
          </cell>
          <cell r="E133">
            <v>52357</v>
          </cell>
          <cell r="F133">
            <v>2.6</v>
          </cell>
          <cell r="G133">
            <v>1.7</v>
          </cell>
          <cell r="H133">
            <v>1.8</v>
          </cell>
          <cell r="I133">
            <v>1.6</v>
          </cell>
          <cell r="J133">
            <v>1.4</v>
          </cell>
          <cell r="M133" t="str">
            <v>13:56</v>
          </cell>
          <cell r="N133" t="str">
            <v>14:30</v>
          </cell>
          <cell r="O133">
            <v>0</v>
          </cell>
          <cell r="P133">
            <v>0</v>
          </cell>
          <cell r="Q133">
            <v>5</v>
          </cell>
        </row>
        <row r="134">
          <cell r="A134" t="str">
            <v>11</v>
          </cell>
          <cell r="B134" t="str">
            <v>MISCELANEO</v>
          </cell>
          <cell r="C134" t="str">
            <v>EL FUTURO DE CHILE</v>
          </cell>
          <cell r="D134">
            <v>1.7</v>
          </cell>
          <cell r="E134">
            <v>48520</v>
          </cell>
          <cell r="J134">
            <v>1.7</v>
          </cell>
          <cell r="M134" t="str">
            <v>22:09</v>
          </cell>
          <cell r="N134" t="str">
            <v>23:21</v>
          </cell>
          <cell r="O134">
            <v>0</v>
          </cell>
          <cell r="P134">
            <v>0</v>
          </cell>
          <cell r="Q134">
            <v>1</v>
          </cell>
        </row>
        <row r="135">
          <cell r="A135" t="str">
            <v>11</v>
          </cell>
          <cell r="B135" t="str">
            <v>S_JUVENIL</v>
          </cell>
          <cell r="C135" t="str">
            <v>CUPIDO</v>
          </cell>
          <cell r="D135">
            <v>1.7</v>
          </cell>
          <cell r="E135">
            <v>49153</v>
          </cell>
          <cell r="L135">
            <v>1.7</v>
          </cell>
          <cell r="M135" t="str">
            <v>18:04</v>
          </cell>
          <cell r="N135" t="str">
            <v>19:05</v>
          </cell>
          <cell r="O135">
            <v>0</v>
          </cell>
          <cell r="P135">
            <v>0</v>
          </cell>
          <cell r="Q135">
            <v>1</v>
          </cell>
        </row>
        <row r="136">
          <cell r="A136" t="str">
            <v>11</v>
          </cell>
          <cell r="B136" t="str">
            <v>INFORMATIVO</v>
          </cell>
          <cell r="C136" t="str">
            <v>RED NACIONAL</v>
          </cell>
          <cell r="D136">
            <v>1.7</v>
          </cell>
          <cell r="E136">
            <v>49215</v>
          </cell>
          <cell r="H136">
            <v>1.7</v>
          </cell>
          <cell r="M136" t="str">
            <v>21:00</v>
          </cell>
          <cell r="N136" t="str">
            <v>21:09</v>
          </cell>
          <cell r="O136">
            <v>0</v>
          </cell>
          <cell r="P136">
            <v>0</v>
          </cell>
          <cell r="Q136">
            <v>1</v>
          </cell>
        </row>
        <row r="137">
          <cell r="A137" t="str">
            <v>11</v>
          </cell>
          <cell r="B137" t="str">
            <v>D_ANIMADOS</v>
          </cell>
          <cell r="C137" t="str">
            <v>POKEMON II</v>
          </cell>
          <cell r="D137">
            <v>1.7</v>
          </cell>
          <cell r="E137">
            <v>49044</v>
          </cell>
          <cell r="F137">
            <v>1.7</v>
          </cell>
          <cell r="G137">
            <v>2.1</v>
          </cell>
          <cell r="H137">
            <v>1.7</v>
          </cell>
          <cell r="I137">
            <v>1.4</v>
          </cell>
          <cell r="J137">
            <v>1.1000000000000001</v>
          </cell>
          <cell r="K137">
            <v>2.1</v>
          </cell>
          <cell r="M137" t="str">
            <v>17:27</v>
          </cell>
          <cell r="N137" t="str">
            <v>18:46</v>
          </cell>
          <cell r="O137">
            <v>0</v>
          </cell>
          <cell r="P137">
            <v>0</v>
          </cell>
          <cell r="Q137">
            <v>6</v>
          </cell>
        </row>
        <row r="138">
          <cell r="A138" t="str">
            <v>11</v>
          </cell>
          <cell r="B138" t="str">
            <v>SERIE</v>
          </cell>
          <cell r="C138" t="str">
            <v>MAGIA, MISTERIOS Y MILAGROS</v>
          </cell>
          <cell r="D138">
            <v>1.7</v>
          </cell>
          <cell r="E138">
            <v>48869</v>
          </cell>
          <cell r="L138">
            <v>1.7</v>
          </cell>
          <cell r="M138" t="str">
            <v>11:25</v>
          </cell>
          <cell r="N138" t="str">
            <v>12:18</v>
          </cell>
          <cell r="O138">
            <v>0</v>
          </cell>
          <cell r="P138">
            <v>0</v>
          </cell>
          <cell r="Q138">
            <v>1</v>
          </cell>
        </row>
        <row r="139">
          <cell r="A139" t="str">
            <v>11</v>
          </cell>
          <cell r="B139" t="str">
            <v>TELENOVELA</v>
          </cell>
          <cell r="C139" t="str">
            <v>MARIU</v>
          </cell>
          <cell r="D139">
            <v>1.6</v>
          </cell>
          <cell r="E139">
            <v>45603</v>
          </cell>
          <cell r="F139">
            <v>1.4</v>
          </cell>
          <cell r="G139">
            <v>1.7</v>
          </cell>
          <cell r="H139">
            <v>1.7</v>
          </cell>
          <cell r="I139">
            <v>0.9</v>
          </cell>
          <cell r="J139">
            <v>2.2000000000000002</v>
          </cell>
          <cell r="M139" t="str">
            <v>15:13</v>
          </cell>
          <cell r="N139" t="str">
            <v>16:08</v>
          </cell>
          <cell r="O139">
            <v>0</v>
          </cell>
          <cell r="P139">
            <v>0</v>
          </cell>
          <cell r="Q139">
            <v>5</v>
          </cell>
        </row>
        <row r="140">
          <cell r="A140" t="str">
            <v>11</v>
          </cell>
          <cell r="B140" t="str">
            <v>S_JUVENIL</v>
          </cell>
          <cell r="C140" t="str">
            <v>EL COMISARIO REX</v>
          </cell>
          <cell r="D140">
            <v>1.6</v>
          </cell>
          <cell r="E140">
            <v>46138</v>
          </cell>
          <cell r="L140">
            <v>1.6</v>
          </cell>
          <cell r="M140" t="str">
            <v>17:01</v>
          </cell>
          <cell r="N140" t="str">
            <v>18:03</v>
          </cell>
          <cell r="O140">
            <v>0</v>
          </cell>
          <cell r="P140">
            <v>0</v>
          </cell>
          <cell r="Q140">
            <v>1</v>
          </cell>
        </row>
        <row r="141">
          <cell r="A141" t="str">
            <v>11</v>
          </cell>
          <cell r="B141" t="str">
            <v>MISCELANEO</v>
          </cell>
          <cell r="C141" t="str">
            <v>PRIMER PLANO</v>
          </cell>
          <cell r="D141">
            <v>1.5</v>
          </cell>
          <cell r="E141">
            <v>43826</v>
          </cell>
          <cell r="L141">
            <v>1.5</v>
          </cell>
          <cell r="M141" t="str">
            <v>12:19</v>
          </cell>
          <cell r="N141" t="str">
            <v>13:23</v>
          </cell>
          <cell r="O141">
            <v>0</v>
          </cell>
          <cell r="P141">
            <v>0</v>
          </cell>
          <cell r="Q141">
            <v>1</v>
          </cell>
        </row>
        <row r="142">
          <cell r="A142" t="str">
            <v>11</v>
          </cell>
          <cell r="B142" t="str">
            <v>MISCELANEO</v>
          </cell>
          <cell r="C142" t="str">
            <v>BOHEMIA</v>
          </cell>
          <cell r="D142">
            <v>1.5</v>
          </cell>
          <cell r="E142">
            <v>41719</v>
          </cell>
          <cell r="F142">
            <v>1.2</v>
          </cell>
          <cell r="G142">
            <v>2.4</v>
          </cell>
          <cell r="H142">
            <v>1.1000000000000001</v>
          </cell>
          <cell r="I142">
            <v>1.5</v>
          </cell>
          <cell r="J142">
            <v>1.1000000000000001</v>
          </cell>
          <cell r="M142" t="str">
            <v>00:50</v>
          </cell>
          <cell r="N142" t="str">
            <v>02:26</v>
          </cell>
          <cell r="O142">
            <v>0</v>
          </cell>
          <cell r="P142">
            <v>0</v>
          </cell>
          <cell r="Q142">
            <v>5</v>
          </cell>
        </row>
        <row r="143">
          <cell r="A143" t="str">
            <v>11</v>
          </cell>
          <cell r="B143" t="str">
            <v>INFORMATIVO</v>
          </cell>
          <cell r="C143" t="str">
            <v>EDICION IMPACTO</v>
          </cell>
          <cell r="D143">
            <v>1.5</v>
          </cell>
          <cell r="E143">
            <v>44165</v>
          </cell>
          <cell r="F143">
            <v>2.5</v>
          </cell>
          <cell r="G143">
            <v>1.3</v>
          </cell>
          <cell r="H143">
            <v>2</v>
          </cell>
          <cell r="I143">
            <v>1</v>
          </cell>
          <cell r="J143">
            <v>1</v>
          </cell>
          <cell r="M143" t="str">
            <v>13:02</v>
          </cell>
          <cell r="N143" t="str">
            <v>13:29</v>
          </cell>
          <cell r="O143">
            <v>0</v>
          </cell>
          <cell r="P143">
            <v>0</v>
          </cell>
          <cell r="Q143">
            <v>5</v>
          </cell>
        </row>
        <row r="144">
          <cell r="A144" t="str">
            <v>11</v>
          </cell>
          <cell r="B144" t="str">
            <v>SE_INFANTIL</v>
          </cell>
          <cell r="C144" t="str">
            <v>MI BELLA GENIO</v>
          </cell>
          <cell r="D144">
            <v>1.4</v>
          </cell>
          <cell r="E144">
            <v>39114</v>
          </cell>
          <cell r="K144">
            <v>1.3</v>
          </cell>
          <cell r="L144">
            <v>1.4</v>
          </cell>
          <cell r="M144" t="str">
            <v>14:00</v>
          </cell>
          <cell r="N144" t="str">
            <v>14:34</v>
          </cell>
          <cell r="O144">
            <v>0</v>
          </cell>
          <cell r="P144">
            <v>0</v>
          </cell>
          <cell r="Q144">
            <v>2</v>
          </cell>
        </row>
        <row r="145">
          <cell r="A145" t="str">
            <v>11</v>
          </cell>
          <cell r="B145" t="str">
            <v>TELENOVELA</v>
          </cell>
          <cell r="C145" t="str">
            <v>LOS BUSCAS</v>
          </cell>
          <cell r="D145">
            <v>1.4</v>
          </cell>
          <cell r="E145">
            <v>41157</v>
          </cell>
          <cell r="F145">
            <v>1.3</v>
          </cell>
          <cell r="G145">
            <v>1.2</v>
          </cell>
          <cell r="H145">
            <v>1.8</v>
          </cell>
          <cell r="I145">
            <v>1</v>
          </cell>
          <cell r="J145">
            <v>1.8</v>
          </cell>
          <cell r="M145" t="str">
            <v>14:22</v>
          </cell>
          <cell r="N145" t="str">
            <v>15:21</v>
          </cell>
          <cell r="O145">
            <v>0</v>
          </cell>
          <cell r="P145">
            <v>0</v>
          </cell>
          <cell r="Q145">
            <v>5</v>
          </cell>
        </row>
        <row r="146">
          <cell r="A146" t="str">
            <v>11</v>
          </cell>
          <cell r="B146" t="str">
            <v>VARIEDAD</v>
          </cell>
          <cell r="C146" t="str">
            <v>DE TODO UN POCO</v>
          </cell>
          <cell r="D146">
            <v>1.4</v>
          </cell>
          <cell r="E146">
            <v>39241</v>
          </cell>
          <cell r="F146">
            <v>1.4</v>
          </cell>
          <cell r="G146">
            <v>1.3</v>
          </cell>
          <cell r="H146">
            <v>1.6</v>
          </cell>
          <cell r="I146">
            <v>2</v>
          </cell>
          <cell r="J146">
            <v>0.6</v>
          </cell>
          <cell r="M146" t="str">
            <v>19:27</v>
          </cell>
          <cell r="N146" t="str">
            <v>20:00</v>
          </cell>
          <cell r="O146">
            <v>0</v>
          </cell>
          <cell r="P146">
            <v>0</v>
          </cell>
          <cell r="Q146">
            <v>5</v>
          </cell>
        </row>
        <row r="147">
          <cell r="A147" t="str">
            <v>11</v>
          </cell>
          <cell r="B147" t="str">
            <v>D_ANIMADOS</v>
          </cell>
          <cell r="C147" t="str">
            <v>DIGIMON</v>
          </cell>
          <cell r="D147">
            <v>1.4</v>
          </cell>
          <cell r="E147">
            <v>39345</v>
          </cell>
          <cell r="F147">
            <v>1.1000000000000001</v>
          </cell>
          <cell r="G147">
            <v>1.5</v>
          </cell>
          <cell r="H147">
            <v>1.4</v>
          </cell>
          <cell r="I147">
            <v>1.2</v>
          </cell>
          <cell r="J147">
            <v>1.7</v>
          </cell>
          <cell r="M147" t="str">
            <v>17:02</v>
          </cell>
          <cell r="N147" t="str">
            <v>17:32</v>
          </cell>
          <cell r="O147">
            <v>0</v>
          </cell>
          <cell r="P147">
            <v>0</v>
          </cell>
          <cell r="Q147">
            <v>5</v>
          </cell>
        </row>
        <row r="148">
          <cell r="A148" t="str">
            <v>11</v>
          </cell>
          <cell r="B148" t="str">
            <v>NOTICIERO</v>
          </cell>
          <cell r="C148" t="str">
            <v>CHV NOTICIAS TARDE</v>
          </cell>
          <cell r="D148">
            <v>1.4</v>
          </cell>
          <cell r="E148">
            <v>41321</v>
          </cell>
          <cell r="F148">
            <v>2.6</v>
          </cell>
          <cell r="G148">
            <v>1.5</v>
          </cell>
          <cell r="H148">
            <v>1.5</v>
          </cell>
          <cell r="I148">
            <v>0.7</v>
          </cell>
          <cell r="J148">
            <v>0.8</v>
          </cell>
          <cell r="M148" t="str">
            <v>13:29</v>
          </cell>
          <cell r="N148" t="str">
            <v>14:03</v>
          </cell>
          <cell r="O148">
            <v>0</v>
          </cell>
          <cell r="P148">
            <v>0</v>
          </cell>
          <cell r="Q148">
            <v>5</v>
          </cell>
        </row>
        <row r="149">
          <cell r="A149" t="str">
            <v>11</v>
          </cell>
          <cell r="B149" t="str">
            <v>PELICULA</v>
          </cell>
          <cell r="C149" t="str">
            <v>CINE DE TRASNOCHE</v>
          </cell>
          <cell r="D149">
            <v>1.3</v>
          </cell>
          <cell r="E149">
            <v>38013</v>
          </cell>
          <cell r="F149">
            <v>0.8</v>
          </cell>
          <cell r="G149">
            <v>0.5</v>
          </cell>
          <cell r="H149">
            <v>0.8</v>
          </cell>
          <cell r="I149">
            <v>1.4</v>
          </cell>
          <cell r="J149">
            <v>1.1000000000000001</v>
          </cell>
          <cell r="K149">
            <v>2.1</v>
          </cell>
          <cell r="L149">
            <v>2.6</v>
          </cell>
          <cell r="M149" t="str">
            <v>00:45</v>
          </cell>
          <cell r="N149" t="str">
            <v>04:31</v>
          </cell>
          <cell r="O149">
            <v>0</v>
          </cell>
          <cell r="P149">
            <v>0</v>
          </cell>
          <cell r="Q149">
            <v>7</v>
          </cell>
        </row>
        <row r="150">
          <cell r="A150" t="str">
            <v>11</v>
          </cell>
          <cell r="B150" t="str">
            <v>CONVERSACION</v>
          </cell>
          <cell r="C150" t="str">
            <v>EL SHOW DE JAIME BAYLY</v>
          </cell>
          <cell r="D150">
            <v>1.3</v>
          </cell>
          <cell r="E150">
            <v>37221</v>
          </cell>
          <cell r="J150">
            <v>1.3</v>
          </cell>
          <cell r="M150" t="str">
            <v>23:22</v>
          </cell>
          <cell r="N150" t="str">
            <v>00:35</v>
          </cell>
          <cell r="O150">
            <v>0</v>
          </cell>
          <cell r="P150">
            <v>0</v>
          </cell>
          <cell r="Q150">
            <v>1</v>
          </cell>
        </row>
        <row r="151">
          <cell r="A151" t="str">
            <v>11</v>
          </cell>
          <cell r="B151" t="str">
            <v>HUMOR</v>
          </cell>
          <cell r="C151" t="str">
            <v>BIENVENIDOS</v>
          </cell>
          <cell r="D151">
            <v>1.3</v>
          </cell>
          <cell r="E151">
            <v>36421</v>
          </cell>
          <cell r="K151">
            <v>1.3</v>
          </cell>
          <cell r="L151">
            <v>1.2</v>
          </cell>
          <cell r="M151" t="str">
            <v>14:24</v>
          </cell>
          <cell r="N151" t="str">
            <v>15:08</v>
          </cell>
          <cell r="O151">
            <v>0</v>
          </cell>
          <cell r="P151">
            <v>0</v>
          </cell>
          <cell r="Q151">
            <v>2</v>
          </cell>
        </row>
        <row r="152">
          <cell r="A152" t="str">
            <v>11</v>
          </cell>
          <cell r="B152" t="str">
            <v>NOTICIERO</v>
          </cell>
          <cell r="C152" t="str">
            <v>NOTICIAS 7:25</v>
          </cell>
          <cell r="D152">
            <v>1.2</v>
          </cell>
          <cell r="E152">
            <v>34476</v>
          </cell>
          <cell r="F152">
            <v>0.9</v>
          </cell>
          <cell r="G152">
            <v>1.5</v>
          </cell>
          <cell r="H152">
            <v>1.4</v>
          </cell>
          <cell r="I152">
            <v>1.5</v>
          </cell>
          <cell r="J152">
            <v>0.7</v>
          </cell>
          <cell r="M152" t="str">
            <v>19:22</v>
          </cell>
          <cell r="N152" t="str">
            <v>19:30</v>
          </cell>
          <cell r="O152">
            <v>0</v>
          </cell>
          <cell r="P152">
            <v>0</v>
          </cell>
          <cell r="Q152">
            <v>5</v>
          </cell>
        </row>
        <row r="153">
          <cell r="A153" t="str">
            <v>11</v>
          </cell>
          <cell r="B153" t="str">
            <v>PELICULA</v>
          </cell>
          <cell r="C153" t="str">
            <v>CINE DE SABADO</v>
          </cell>
          <cell r="D153">
            <v>1.2</v>
          </cell>
          <cell r="E153">
            <v>35770</v>
          </cell>
          <cell r="K153">
            <v>1.2</v>
          </cell>
          <cell r="M153" t="str">
            <v>18:47</v>
          </cell>
          <cell r="N153" t="str">
            <v>20:58</v>
          </cell>
          <cell r="O153">
            <v>0</v>
          </cell>
          <cell r="P153">
            <v>0</v>
          </cell>
          <cell r="Q153">
            <v>1</v>
          </cell>
        </row>
        <row r="154">
          <cell r="A154" t="str">
            <v>11</v>
          </cell>
          <cell r="B154" t="str">
            <v>INFANTIL</v>
          </cell>
          <cell r="C154" t="str">
            <v>EL CLUB DE LOS TIGRITOS</v>
          </cell>
          <cell r="D154">
            <v>1.1000000000000001</v>
          </cell>
          <cell r="E154">
            <v>32202</v>
          </cell>
          <cell r="F154">
            <v>1.1000000000000001</v>
          </cell>
          <cell r="G154">
            <v>1</v>
          </cell>
          <cell r="H154">
            <v>1.2</v>
          </cell>
          <cell r="I154">
            <v>1</v>
          </cell>
          <cell r="J154">
            <v>1.2</v>
          </cell>
          <cell r="M154" t="str">
            <v>16:04</v>
          </cell>
          <cell r="N154" t="str">
            <v>17:05</v>
          </cell>
          <cell r="O154">
            <v>0</v>
          </cell>
          <cell r="P154">
            <v>0</v>
          </cell>
          <cell r="Q154">
            <v>5</v>
          </cell>
        </row>
        <row r="155">
          <cell r="A155" t="str">
            <v>11</v>
          </cell>
          <cell r="B155" t="str">
            <v>COMEDIA</v>
          </cell>
          <cell r="C155" t="str">
            <v>LA HECHIZADA</v>
          </cell>
          <cell r="D155">
            <v>1.1000000000000001</v>
          </cell>
          <cell r="E155">
            <v>32461</v>
          </cell>
          <cell r="K155">
            <v>1</v>
          </cell>
          <cell r="L155">
            <v>1.2</v>
          </cell>
          <cell r="M155" t="str">
            <v>13:24</v>
          </cell>
          <cell r="N155" t="str">
            <v>14:07</v>
          </cell>
          <cell r="O155">
            <v>0</v>
          </cell>
          <cell r="P155">
            <v>0</v>
          </cell>
          <cell r="Q155">
            <v>2</v>
          </cell>
        </row>
        <row r="156">
          <cell r="A156" t="str">
            <v>11</v>
          </cell>
          <cell r="B156" t="str">
            <v>JUVENIL</v>
          </cell>
          <cell r="C156" t="str">
            <v>EXTRA JOVENES</v>
          </cell>
          <cell r="D156">
            <v>1.1000000000000001</v>
          </cell>
          <cell r="E156">
            <v>31623</v>
          </cell>
          <cell r="F156">
            <v>1.6</v>
          </cell>
          <cell r="G156">
            <v>1.1000000000000001</v>
          </cell>
          <cell r="H156">
            <v>0.9</v>
          </cell>
          <cell r="I156">
            <v>1.3</v>
          </cell>
          <cell r="J156">
            <v>0.7</v>
          </cell>
          <cell r="M156" t="str">
            <v>17:57</v>
          </cell>
          <cell r="N156" t="str">
            <v>19:25</v>
          </cell>
          <cell r="O156">
            <v>0</v>
          </cell>
          <cell r="P156">
            <v>0</v>
          </cell>
          <cell r="Q156">
            <v>5</v>
          </cell>
        </row>
        <row r="157">
          <cell r="A157" t="str">
            <v>11</v>
          </cell>
          <cell r="B157" t="str">
            <v>D_ANIMADOS</v>
          </cell>
          <cell r="C157" t="str">
            <v>THE BABY HUEY SHOW</v>
          </cell>
          <cell r="D157">
            <v>1</v>
          </cell>
          <cell r="E157">
            <v>27544</v>
          </cell>
          <cell r="K157">
            <v>1</v>
          </cell>
          <cell r="M157" t="str">
            <v>11:37</v>
          </cell>
          <cell r="N157" t="str">
            <v>12:05</v>
          </cell>
          <cell r="O157">
            <v>0</v>
          </cell>
          <cell r="P157">
            <v>0</v>
          </cell>
          <cell r="Q157">
            <v>1</v>
          </cell>
        </row>
        <row r="158">
          <cell r="A158" t="str">
            <v>11</v>
          </cell>
          <cell r="B158" t="str">
            <v>D_ANIMADOS</v>
          </cell>
          <cell r="C158" t="str">
            <v>DRAGON TALES</v>
          </cell>
          <cell r="D158">
            <v>0.9</v>
          </cell>
          <cell r="E158">
            <v>25837</v>
          </cell>
          <cell r="F158">
            <v>1.1000000000000001</v>
          </cell>
          <cell r="G158">
            <v>1.1000000000000001</v>
          </cell>
          <cell r="H158">
            <v>0.8</v>
          </cell>
          <cell r="I158">
            <v>0.7</v>
          </cell>
          <cell r="J158">
            <v>0.8</v>
          </cell>
          <cell r="M158" t="str">
            <v>10:22</v>
          </cell>
          <cell r="N158" t="str">
            <v>10:58</v>
          </cell>
          <cell r="O158">
            <v>0</v>
          </cell>
          <cell r="P158">
            <v>0</v>
          </cell>
          <cell r="Q158">
            <v>5</v>
          </cell>
        </row>
        <row r="159">
          <cell r="A159" t="str">
            <v>11</v>
          </cell>
          <cell r="B159" t="str">
            <v>D_ANIMADOS</v>
          </cell>
          <cell r="C159" t="str">
            <v>LAS TRES MELLIZAS</v>
          </cell>
          <cell r="D159">
            <v>0.9</v>
          </cell>
          <cell r="E159">
            <v>25768</v>
          </cell>
          <cell r="K159">
            <v>0.9</v>
          </cell>
          <cell r="M159" t="str">
            <v>12:06</v>
          </cell>
          <cell r="N159" t="str">
            <v>12:40</v>
          </cell>
          <cell r="O159">
            <v>0</v>
          </cell>
          <cell r="P159">
            <v>0</v>
          </cell>
          <cell r="Q159">
            <v>1</v>
          </cell>
        </row>
        <row r="160">
          <cell r="A160" t="str">
            <v>11</v>
          </cell>
          <cell r="B160" t="str">
            <v>VARIEDAD</v>
          </cell>
          <cell r="C160" t="str">
            <v>ASI DE SIMPLE</v>
          </cell>
          <cell r="D160">
            <v>0.9</v>
          </cell>
          <cell r="E160">
            <v>25153</v>
          </cell>
          <cell r="F160">
            <v>1.1000000000000001</v>
          </cell>
          <cell r="G160">
            <v>1</v>
          </cell>
          <cell r="H160">
            <v>0.5</v>
          </cell>
          <cell r="I160">
            <v>0.8</v>
          </cell>
          <cell r="J160">
            <v>1</v>
          </cell>
          <cell r="M160" t="str">
            <v>11:24</v>
          </cell>
          <cell r="N160" t="str">
            <v>13:03</v>
          </cell>
          <cell r="O160">
            <v>0</v>
          </cell>
          <cell r="P160">
            <v>0</v>
          </cell>
          <cell r="Q160">
            <v>5</v>
          </cell>
        </row>
        <row r="161">
          <cell r="A161" t="str">
            <v>11</v>
          </cell>
          <cell r="B161" t="str">
            <v>D_ANIMADOS</v>
          </cell>
          <cell r="C161" t="str">
            <v>POKEMON</v>
          </cell>
          <cell r="D161">
            <v>0.9</v>
          </cell>
          <cell r="E161">
            <v>24943</v>
          </cell>
          <cell r="F161">
            <v>1.1000000000000001</v>
          </cell>
          <cell r="G161">
            <v>1.3</v>
          </cell>
          <cell r="H161">
            <v>0.8</v>
          </cell>
          <cell r="I161">
            <v>0.5</v>
          </cell>
          <cell r="J161">
            <v>0.7</v>
          </cell>
          <cell r="M161" t="str">
            <v>10:55</v>
          </cell>
          <cell r="N161" t="str">
            <v>11:27</v>
          </cell>
          <cell r="O161">
            <v>0</v>
          </cell>
          <cell r="P161">
            <v>0</v>
          </cell>
          <cell r="Q161">
            <v>5</v>
          </cell>
        </row>
        <row r="162">
          <cell r="A162" t="str">
            <v>11</v>
          </cell>
          <cell r="B162" t="str">
            <v>D_ANIMADOS</v>
          </cell>
          <cell r="C162" t="str">
            <v>EL CLUB DEL CLAN</v>
          </cell>
          <cell r="D162">
            <v>0.9</v>
          </cell>
          <cell r="E162">
            <v>24925</v>
          </cell>
          <cell r="F162">
            <v>0.9</v>
          </cell>
          <cell r="G162">
            <v>0.7</v>
          </cell>
          <cell r="H162">
            <v>0.6</v>
          </cell>
          <cell r="I162">
            <v>1</v>
          </cell>
          <cell r="J162">
            <v>1.1000000000000001</v>
          </cell>
          <cell r="M162" t="str">
            <v>08:28</v>
          </cell>
          <cell r="N162" t="str">
            <v>10:02</v>
          </cell>
          <cell r="O162">
            <v>0</v>
          </cell>
          <cell r="P162">
            <v>0</v>
          </cell>
          <cell r="Q162">
            <v>5</v>
          </cell>
        </row>
        <row r="163">
          <cell r="A163" t="str">
            <v>11</v>
          </cell>
          <cell r="B163" t="str">
            <v>D_ANIMADOS</v>
          </cell>
          <cell r="C163" t="str">
            <v>EXTREME DINOSAURIOS</v>
          </cell>
          <cell r="D163">
            <v>0.9</v>
          </cell>
          <cell r="E163">
            <v>24581</v>
          </cell>
          <cell r="F163">
            <v>1.3</v>
          </cell>
          <cell r="G163">
            <v>0.5</v>
          </cell>
          <cell r="H163">
            <v>0.7</v>
          </cell>
          <cell r="I163">
            <v>1</v>
          </cell>
          <cell r="J163">
            <v>0.8</v>
          </cell>
          <cell r="M163" t="str">
            <v>09:56</v>
          </cell>
          <cell r="N163" t="str">
            <v>10:26</v>
          </cell>
          <cell r="O163">
            <v>0</v>
          </cell>
          <cell r="P163">
            <v>0</v>
          </cell>
          <cell r="Q163">
            <v>5</v>
          </cell>
        </row>
        <row r="164">
          <cell r="A164" t="str">
            <v>11</v>
          </cell>
          <cell r="B164" t="str">
            <v>CONCURSO</v>
          </cell>
          <cell r="C164" t="str">
            <v>ESTE DOMINGO ME LO SACO</v>
          </cell>
          <cell r="D164">
            <v>0.8</v>
          </cell>
          <cell r="E164">
            <v>23433</v>
          </cell>
          <cell r="L164">
            <v>0.8</v>
          </cell>
          <cell r="M164" t="str">
            <v>15:05</v>
          </cell>
          <cell r="N164" t="str">
            <v>16:07</v>
          </cell>
          <cell r="O164">
            <v>0</v>
          </cell>
          <cell r="P164">
            <v>0</v>
          </cell>
          <cell r="Q164">
            <v>1</v>
          </cell>
        </row>
        <row r="165">
          <cell r="A165" t="str">
            <v>11</v>
          </cell>
          <cell r="B165" t="str">
            <v>D_ANIMADOS</v>
          </cell>
          <cell r="C165" t="str">
            <v>LOS MAR MASTER</v>
          </cell>
          <cell r="D165">
            <v>0.7</v>
          </cell>
          <cell r="E165">
            <v>20659</v>
          </cell>
          <cell r="L165">
            <v>0.7</v>
          </cell>
          <cell r="M165" t="str">
            <v>16:08</v>
          </cell>
          <cell r="N165" t="str">
            <v>17:00</v>
          </cell>
          <cell r="O165">
            <v>0</v>
          </cell>
          <cell r="P165">
            <v>0</v>
          </cell>
          <cell r="Q165">
            <v>1</v>
          </cell>
        </row>
        <row r="166">
          <cell r="A166" t="str">
            <v>11</v>
          </cell>
          <cell r="B166" t="str">
            <v>D_ANIMADOS</v>
          </cell>
          <cell r="C166" t="str">
            <v>SAILOR MOON</v>
          </cell>
          <cell r="D166">
            <v>0.7</v>
          </cell>
          <cell r="E166">
            <v>20357</v>
          </cell>
          <cell r="K166">
            <v>0.7</v>
          </cell>
          <cell r="M166" t="str">
            <v>12:41</v>
          </cell>
          <cell r="N166" t="str">
            <v>13:08</v>
          </cell>
          <cell r="O166">
            <v>0</v>
          </cell>
          <cell r="P166">
            <v>0</v>
          </cell>
          <cell r="Q166">
            <v>1</v>
          </cell>
        </row>
        <row r="167">
          <cell r="A167" t="str">
            <v>11</v>
          </cell>
          <cell r="B167" t="str">
            <v>MISCELANEO</v>
          </cell>
          <cell r="C167" t="str">
            <v>AL 100 %</v>
          </cell>
          <cell r="D167">
            <v>0.7</v>
          </cell>
          <cell r="E167">
            <v>18884</v>
          </cell>
          <cell r="L167">
            <v>0.7</v>
          </cell>
          <cell r="M167" t="str">
            <v>09:40</v>
          </cell>
          <cell r="N167" t="str">
            <v>10:08</v>
          </cell>
          <cell r="O167">
            <v>0</v>
          </cell>
          <cell r="P167">
            <v>0</v>
          </cell>
          <cell r="Q167">
            <v>1</v>
          </cell>
        </row>
        <row r="168">
          <cell r="A168" t="str">
            <v>11</v>
          </cell>
          <cell r="B168" t="str">
            <v>MISCELANEO</v>
          </cell>
          <cell r="C168" t="str">
            <v>CRONICAS DE LO PARANORMAL</v>
          </cell>
          <cell r="D168">
            <v>0.6</v>
          </cell>
          <cell r="E168">
            <v>15913</v>
          </cell>
          <cell r="F168">
            <v>0.6</v>
          </cell>
          <cell r="G168">
            <v>0.7</v>
          </cell>
          <cell r="H168">
            <v>0.8</v>
          </cell>
          <cell r="I168">
            <v>0.4</v>
          </cell>
          <cell r="J168">
            <v>0.2</v>
          </cell>
          <cell r="M168" t="str">
            <v>20:31</v>
          </cell>
          <cell r="N168" t="str">
            <v>20:59</v>
          </cell>
          <cell r="O168">
            <v>0</v>
          </cell>
          <cell r="P168">
            <v>0</v>
          </cell>
          <cell r="Q168">
            <v>5</v>
          </cell>
        </row>
        <row r="169">
          <cell r="A169" t="str">
            <v>11</v>
          </cell>
          <cell r="B169" t="str">
            <v>TELENOVELA</v>
          </cell>
          <cell r="C169" t="str">
            <v>BUENOS VECINOS</v>
          </cell>
          <cell r="D169">
            <v>0.6</v>
          </cell>
          <cell r="E169">
            <v>18616</v>
          </cell>
          <cell r="F169">
            <v>0.7</v>
          </cell>
          <cell r="G169">
            <v>1</v>
          </cell>
          <cell r="H169">
            <v>0.7</v>
          </cell>
          <cell r="I169">
            <v>0.6</v>
          </cell>
          <cell r="J169">
            <v>0.3</v>
          </cell>
          <cell r="M169" t="str">
            <v>19:57</v>
          </cell>
          <cell r="N169" t="str">
            <v>20:32</v>
          </cell>
          <cell r="O169">
            <v>0</v>
          </cell>
          <cell r="P169">
            <v>0</v>
          </cell>
          <cell r="Q169">
            <v>5</v>
          </cell>
        </row>
        <row r="170">
          <cell r="A170" t="str">
            <v>11</v>
          </cell>
          <cell r="B170" t="str">
            <v>D_ANIMADOS</v>
          </cell>
          <cell r="C170" t="str">
            <v>MI PEQUENO PONY</v>
          </cell>
          <cell r="D170">
            <v>0.6</v>
          </cell>
          <cell r="E170">
            <v>15887</v>
          </cell>
          <cell r="K170">
            <v>0.6</v>
          </cell>
          <cell r="M170" t="str">
            <v>11:10</v>
          </cell>
          <cell r="N170" t="str">
            <v>11:36</v>
          </cell>
          <cell r="O170">
            <v>0</v>
          </cell>
          <cell r="P170">
            <v>0</v>
          </cell>
          <cell r="Q170">
            <v>1</v>
          </cell>
        </row>
        <row r="171">
          <cell r="A171" t="str">
            <v>11</v>
          </cell>
          <cell r="B171" t="str">
            <v>INFORMATIVO</v>
          </cell>
          <cell r="C171" t="str">
            <v>VIVIENDA CONSTRUCCION DECORACI</v>
          </cell>
          <cell r="D171">
            <v>0.5</v>
          </cell>
          <cell r="E171">
            <v>13748</v>
          </cell>
          <cell r="K171">
            <v>0.4</v>
          </cell>
          <cell r="L171">
            <v>0.5</v>
          </cell>
          <cell r="M171" t="str">
            <v>08:46</v>
          </cell>
          <cell r="N171" t="str">
            <v>09:53</v>
          </cell>
          <cell r="O171">
            <v>0</v>
          </cell>
          <cell r="P171">
            <v>0</v>
          </cell>
          <cell r="Q171">
            <v>2</v>
          </cell>
        </row>
        <row r="172">
          <cell r="A172" t="str">
            <v>11</v>
          </cell>
          <cell r="B172" t="str">
            <v>PELICULA</v>
          </cell>
          <cell r="C172" t="str">
            <v>ABBOTT Y COSTELLO</v>
          </cell>
          <cell r="D172">
            <v>0.5</v>
          </cell>
          <cell r="E172">
            <v>13035</v>
          </cell>
          <cell r="K172">
            <v>0.5</v>
          </cell>
          <cell r="M172" t="str">
            <v>10:43</v>
          </cell>
          <cell r="N172" t="str">
            <v>11:09</v>
          </cell>
          <cell r="O172">
            <v>0</v>
          </cell>
          <cell r="P172">
            <v>0</v>
          </cell>
          <cell r="Q172">
            <v>1</v>
          </cell>
        </row>
        <row r="173">
          <cell r="A173" t="str">
            <v>11</v>
          </cell>
          <cell r="B173" t="str">
            <v>D_ANIMADOS</v>
          </cell>
          <cell r="C173" t="str">
            <v>LOS CENTURIONES</v>
          </cell>
          <cell r="D173">
            <v>0.5</v>
          </cell>
          <cell r="E173">
            <v>13516</v>
          </cell>
          <cell r="K173">
            <v>0.5</v>
          </cell>
          <cell r="M173" t="str">
            <v>09:54</v>
          </cell>
          <cell r="N173" t="str">
            <v>10:18</v>
          </cell>
          <cell r="O173">
            <v>0</v>
          </cell>
          <cell r="P173">
            <v>0</v>
          </cell>
          <cell r="Q173">
            <v>1</v>
          </cell>
        </row>
        <row r="174">
          <cell r="A174" t="str">
            <v>11</v>
          </cell>
          <cell r="B174" t="str">
            <v>D_ANIMADOS</v>
          </cell>
          <cell r="C174" t="str">
            <v>SLAM DUNK</v>
          </cell>
          <cell r="D174">
            <v>0.5</v>
          </cell>
          <cell r="E174">
            <v>15732</v>
          </cell>
          <cell r="K174">
            <v>0.5</v>
          </cell>
          <cell r="M174" t="str">
            <v>13:09</v>
          </cell>
          <cell r="N174" t="str">
            <v>13:33</v>
          </cell>
          <cell r="O174">
            <v>0</v>
          </cell>
          <cell r="P174">
            <v>0</v>
          </cell>
          <cell r="Q174">
            <v>1</v>
          </cell>
        </row>
        <row r="175">
          <cell r="A175" t="str">
            <v>11</v>
          </cell>
          <cell r="B175" t="str">
            <v>INFORMATIVO</v>
          </cell>
          <cell r="C175" t="str">
            <v>INFOMERCIALES</v>
          </cell>
          <cell r="D175">
            <v>0.5</v>
          </cell>
          <cell r="E175">
            <v>13802</v>
          </cell>
          <cell r="F175">
            <v>0.3</v>
          </cell>
          <cell r="G175">
            <v>0.2</v>
          </cell>
          <cell r="H175">
            <v>0.3</v>
          </cell>
          <cell r="I175">
            <v>0.7</v>
          </cell>
          <cell r="J175">
            <v>0.5</v>
          </cell>
          <cell r="K175">
            <v>0.7</v>
          </cell>
          <cell r="L175">
            <v>0.6</v>
          </cell>
          <cell r="M175" t="str">
            <v>07:14</v>
          </cell>
          <cell r="N175" t="str">
            <v>05:33</v>
          </cell>
          <cell r="O175">
            <v>0</v>
          </cell>
          <cell r="P175">
            <v>0</v>
          </cell>
          <cell r="Q175">
            <v>14</v>
          </cell>
        </row>
        <row r="176">
          <cell r="A176" t="str">
            <v>11</v>
          </cell>
          <cell r="B176" t="str">
            <v>MUSICAL</v>
          </cell>
          <cell r="C176" t="str">
            <v>PUMA TV</v>
          </cell>
          <cell r="D176">
            <v>0.4</v>
          </cell>
          <cell r="E176">
            <v>12055</v>
          </cell>
          <cell r="F176">
            <v>0.1</v>
          </cell>
          <cell r="G176">
            <v>0.5</v>
          </cell>
          <cell r="H176">
            <v>0.5</v>
          </cell>
          <cell r="I176">
            <v>0.6</v>
          </cell>
          <cell r="J176">
            <v>0.4</v>
          </cell>
          <cell r="K176">
            <v>0.4</v>
          </cell>
          <cell r="L176">
            <v>0.4</v>
          </cell>
          <cell r="M176" t="str">
            <v>06:00</v>
          </cell>
          <cell r="N176" t="str">
            <v>05:59</v>
          </cell>
          <cell r="O176">
            <v>0</v>
          </cell>
          <cell r="P176">
            <v>0</v>
          </cell>
          <cell r="Q176">
            <v>15</v>
          </cell>
        </row>
        <row r="177">
          <cell r="A177" t="str">
            <v>11</v>
          </cell>
          <cell r="B177" t="str">
            <v>D_ANIMADOS</v>
          </cell>
          <cell r="C177" t="str">
            <v>SKY DANCERS</v>
          </cell>
          <cell r="D177">
            <v>0.4</v>
          </cell>
          <cell r="E177">
            <v>11979</v>
          </cell>
          <cell r="K177">
            <v>0.4</v>
          </cell>
          <cell r="M177" t="str">
            <v>10:19</v>
          </cell>
          <cell r="N177" t="str">
            <v>10:42</v>
          </cell>
          <cell r="O177">
            <v>0</v>
          </cell>
          <cell r="P177">
            <v>0</v>
          </cell>
          <cell r="Q177">
            <v>1</v>
          </cell>
        </row>
        <row r="178">
          <cell r="A178" t="str">
            <v>13</v>
          </cell>
          <cell r="B178" t="str">
            <v>TELENOVELA</v>
          </cell>
          <cell r="C178" t="str">
            <v>YO SOY BETTY,LA FEA</v>
          </cell>
          <cell r="D178">
            <v>10.9</v>
          </cell>
          <cell r="E178">
            <v>312906</v>
          </cell>
          <cell r="F178">
            <v>11.1</v>
          </cell>
          <cell r="G178">
            <v>12</v>
          </cell>
          <cell r="H178">
            <v>10.7</v>
          </cell>
          <cell r="I178">
            <v>11.8</v>
          </cell>
          <cell r="J178">
            <v>8.9</v>
          </cell>
          <cell r="M178" t="str">
            <v>20:04</v>
          </cell>
          <cell r="N178" t="str">
            <v>20:59</v>
          </cell>
          <cell r="O178">
            <v>0</v>
          </cell>
          <cell r="P178">
            <v>0</v>
          </cell>
          <cell r="Q178">
            <v>5</v>
          </cell>
        </row>
        <row r="179">
          <cell r="A179" t="str">
            <v>13</v>
          </cell>
          <cell r="B179" t="str">
            <v>CONCURSO</v>
          </cell>
          <cell r="C179" t="str">
            <v>SI SE LA PUEDE, GANA</v>
          </cell>
          <cell r="D179">
            <v>10.5</v>
          </cell>
          <cell r="E179">
            <v>300971</v>
          </cell>
          <cell r="J179">
            <v>10.5</v>
          </cell>
          <cell r="M179" t="str">
            <v>22:02</v>
          </cell>
          <cell r="N179" t="str">
            <v>00:00</v>
          </cell>
          <cell r="O179">
            <v>0</v>
          </cell>
          <cell r="P179">
            <v>0</v>
          </cell>
          <cell r="Q179">
            <v>1</v>
          </cell>
        </row>
        <row r="180">
          <cell r="A180" t="str">
            <v>13</v>
          </cell>
          <cell r="B180" t="str">
            <v>MISCELANEO</v>
          </cell>
          <cell r="C180" t="str">
            <v>NACE UNA ESTRELLA</v>
          </cell>
          <cell r="D180">
            <v>8.1999999999999993</v>
          </cell>
          <cell r="E180">
            <v>235267</v>
          </cell>
          <cell r="L180">
            <v>8.1999999999999993</v>
          </cell>
          <cell r="M180" t="str">
            <v>22:02</v>
          </cell>
          <cell r="N180" t="str">
            <v>00:21</v>
          </cell>
          <cell r="O180">
            <v>0</v>
          </cell>
          <cell r="P180">
            <v>0</v>
          </cell>
          <cell r="Q180">
            <v>1</v>
          </cell>
        </row>
        <row r="181">
          <cell r="A181" t="str">
            <v>13</v>
          </cell>
          <cell r="B181" t="str">
            <v>REALITY SHOW</v>
          </cell>
          <cell r="C181" t="str">
            <v>CRIMEN Y MISTERIO</v>
          </cell>
          <cell r="D181">
            <v>7.4</v>
          </cell>
          <cell r="E181">
            <v>213776</v>
          </cell>
          <cell r="H181">
            <v>7.4</v>
          </cell>
          <cell r="M181" t="str">
            <v>22:01</v>
          </cell>
          <cell r="N181" t="str">
            <v>23:02</v>
          </cell>
          <cell r="O181">
            <v>0</v>
          </cell>
          <cell r="P181">
            <v>0</v>
          </cell>
          <cell r="Q181">
            <v>1</v>
          </cell>
        </row>
        <row r="182">
          <cell r="A182" t="str">
            <v>13</v>
          </cell>
          <cell r="B182" t="str">
            <v>INFORMATIVO</v>
          </cell>
          <cell r="C182" t="str">
            <v>RED NACIONAL</v>
          </cell>
          <cell r="D182">
            <v>7.4</v>
          </cell>
          <cell r="E182">
            <v>213314</v>
          </cell>
          <cell r="H182">
            <v>7.4</v>
          </cell>
          <cell r="M182" t="str">
            <v>21:00</v>
          </cell>
          <cell r="N182" t="str">
            <v>21:09</v>
          </cell>
          <cell r="O182">
            <v>0</v>
          </cell>
          <cell r="P182">
            <v>0</v>
          </cell>
          <cell r="Q182">
            <v>1</v>
          </cell>
        </row>
        <row r="183">
          <cell r="A183" t="str">
            <v>13</v>
          </cell>
          <cell r="B183" t="str">
            <v>MUSICAL</v>
          </cell>
          <cell r="C183" t="str">
            <v>VINA CANCION CHILENA</v>
          </cell>
          <cell r="D183">
            <v>7.1</v>
          </cell>
          <cell r="E183">
            <v>204923</v>
          </cell>
          <cell r="F183">
            <v>7.1</v>
          </cell>
          <cell r="M183" t="str">
            <v>21:58</v>
          </cell>
          <cell r="N183" t="str">
            <v>23:50</v>
          </cell>
          <cell r="O183">
            <v>0</v>
          </cell>
          <cell r="P183">
            <v>0</v>
          </cell>
          <cell r="Q183">
            <v>1</v>
          </cell>
        </row>
        <row r="184">
          <cell r="A184" t="str">
            <v>13</v>
          </cell>
          <cell r="B184" t="str">
            <v>REPORTAJE</v>
          </cell>
          <cell r="C184" t="str">
            <v>CONTACTO</v>
          </cell>
          <cell r="D184">
            <v>6.9</v>
          </cell>
          <cell r="E184">
            <v>197538</v>
          </cell>
          <cell r="G184">
            <v>6.9</v>
          </cell>
          <cell r="M184" t="str">
            <v>21:59</v>
          </cell>
          <cell r="N184" t="str">
            <v>23:33</v>
          </cell>
          <cell r="O184">
            <v>0</v>
          </cell>
          <cell r="P184">
            <v>0</v>
          </cell>
          <cell r="Q184">
            <v>1</v>
          </cell>
        </row>
        <row r="185">
          <cell r="A185" t="str">
            <v>13</v>
          </cell>
          <cell r="B185" t="str">
            <v>NOTICIERO</v>
          </cell>
          <cell r="C185" t="str">
            <v>TELETRECE</v>
          </cell>
          <cell r="D185">
            <v>6.8</v>
          </cell>
          <cell r="E185">
            <v>195357</v>
          </cell>
          <cell r="F185">
            <v>7.9</v>
          </cell>
          <cell r="G185">
            <v>9.1</v>
          </cell>
          <cell r="H185">
            <v>5.2</v>
          </cell>
          <cell r="I185">
            <v>8.4</v>
          </cell>
          <cell r="J185">
            <v>6.2</v>
          </cell>
          <cell r="K185">
            <v>4.5</v>
          </cell>
          <cell r="L185">
            <v>6.3</v>
          </cell>
          <cell r="M185" t="str">
            <v>21:00</v>
          </cell>
          <cell r="N185" t="str">
            <v>21:57</v>
          </cell>
          <cell r="O185">
            <v>0</v>
          </cell>
          <cell r="P185">
            <v>0</v>
          </cell>
          <cell r="Q185">
            <v>7</v>
          </cell>
        </row>
        <row r="186">
          <cell r="A186" t="str">
            <v>13</v>
          </cell>
          <cell r="B186" t="str">
            <v>INFORMATIVO</v>
          </cell>
          <cell r="C186" t="str">
            <v>EL TIEMPO</v>
          </cell>
          <cell r="D186">
            <v>5.6</v>
          </cell>
          <cell r="E186">
            <v>161117</v>
          </cell>
          <cell r="F186">
            <v>4.9000000000000004</v>
          </cell>
          <cell r="G186">
            <v>8.6999999999999993</v>
          </cell>
          <cell r="H186">
            <v>5.2</v>
          </cell>
          <cell r="I186">
            <v>6.6</v>
          </cell>
          <cell r="J186">
            <v>5</v>
          </cell>
          <cell r="K186">
            <v>3.5</v>
          </cell>
          <cell r="L186">
            <v>5.4</v>
          </cell>
          <cell r="M186" t="str">
            <v>21:54</v>
          </cell>
          <cell r="N186" t="str">
            <v>22:01</v>
          </cell>
          <cell r="O186">
            <v>0</v>
          </cell>
          <cell r="P186">
            <v>0</v>
          </cell>
          <cell r="Q186">
            <v>7</v>
          </cell>
        </row>
        <row r="187">
          <cell r="A187" t="str">
            <v>13</v>
          </cell>
          <cell r="B187" t="str">
            <v>REPORTAJE</v>
          </cell>
          <cell r="C187" t="str">
            <v>DIAGNOSTICO</v>
          </cell>
          <cell r="D187">
            <v>4.9000000000000004</v>
          </cell>
          <cell r="E187">
            <v>140660</v>
          </cell>
          <cell r="I187">
            <v>4.9000000000000004</v>
          </cell>
          <cell r="M187" t="str">
            <v>22:00</v>
          </cell>
          <cell r="N187" t="str">
            <v>23:14</v>
          </cell>
          <cell r="O187">
            <v>0</v>
          </cell>
          <cell r="P187">
            <v>0</v>
          </cell>
          <cell r="Q187">
            <v>1</v>
          </cell>
        </row>
        <row r="188">
          <cell r="A188" t="str">
            <v>13</v>
          </cell>
          <cell r="B188" t="str">
            <v>DEPORTIVO</v>
          </cell>
          <cell r="C188" t="str">
            <v>VIVA LA ROJA</v>
          </cell>
          <cell r="D188">
            <v>4.5999999999999996</v>
          </cell>
          <cell r="E188">
            <v>132536</v>
          </cell>
          <cell r="L188">
            <v>4.5999999999999996</v>
          </cell>
          <cell r="M188" t="str">
            <v>18:05</v>
          </cell>
          <cell r="N188" t="str">
            <v>18:40</v>
          </cell>
          <cell r="O188">
            <v>0</v>
          </cell>
          <cell r="P188">
            <v>0</v>
          </cell>
          <cell r="Q188">
            <v>1</v>
          </cell>
        </row>
        <row r="189">
          <cell r="A189" t="str">
            <v>13</v>
          </cell>
          <cell r="B189" t="str">
            <v>TELENOVELA</v>
          </cell>
          <cell r="C189" t="str">
            <v>MARPARAISO</v>
          </cell>
          <cell r="D189">
            <v>4.5</v>
          </cell>
          <cell r="E189">
            <v>130395</v>
          </cell>
          <cell r="F189">
            <v>4.8</v>
          </cell>
          <cell r="G189">
            <v>5.0999999999999996</v>
          </cell>
          <cell r="H189">
            <v>4.3</v>
          </cell>
          <cell r="I189">
            <v>5.0999999999999996</v>
          </cell>
          <cell r="J189">
            <v>3.4</v>
          </cell>
          <cell r="M189" t="str">
            <v>18:58</v>
          </cell>
          <cell r="N189" t="str">
            <v>20:07</v>
          </cell>
          <cell r="O189">
            <v>0</v>
          </cell>
          <cell r="P189">
            <v>0</v>
          </cell>
          <cell r="Q189">
            <v>5</v>
          </cell>
        </row>
        <row r="190">
          <cell r="A190" t="str">
            <v>13</v>
          </cell>
          <cell r="B190" t="str">
            <v>FUTBOL</v>
          </cell>
          <cell r="C190" t="str">
            <v>ELIMINATORIA KOREA-JAPON 2002</v>
          </cell>
          <cell r="D190">
            <v>4.0999999999999996</v>
          </cell>
          <cell r="E190">
            <v>117715</v>
          </cell>
          <cell r="L190">
            <v>4.0999999999999996</v>
          </cell>
          <cell r="M190" t="str">
            <v>18:41</v>
          </cell>
          <cell r="N190" t="str">
            <v>21:00</v>
          </cell>
          <cell r="O190">
            <v>0</v>
          </cell>
          <cell r="P190">
            <v>0</v>
          </cell>
          <cell r="Q190">
            <v>1</v>
          </cell>
        </row>
        <row r="191">
          <cell r="A191" t="str">
            <v>13</v>
          </cell>
          <cell r="B191" t="str">
            <v>TELENOVELA</v>
          </cell>
          <cell r="C191" t="str">
            <v>YO SOY BETTY,LA FEA (RESUMEN)</v>
          </cell>
          <cell r="D191">
            <v>4</v>
          </cell>
          <cell r="E191">
            <v>116161</v>
          </cell>
          <cell r="L191">
            <v>4</v>
          </cell>
          <cell r="M191" t="str">
            <v>16:55</v>
          </cell>
          <cell r="N191" t="str">
            <v>18:03</v>
          </cell>
          <cell r="O191">
            <v>0</v>
          </cell>
          <cell r="P191">
            <v>0</v>
          </cell>
          <cell r="Q191">
            <v>1</v>
          </cell>
        </row>
        <row r="192">
          <cell r="A192" t="str">
            <v>13</v>
          </cell>
          <cell r="B192" t="str">
            <v>VARIEDAD</v>
          </cell>
          <cell r="C192" t="str">
            <v>SABADO GIGANTE INTERNACIONAL</v>
          </cell>
          <cell r="D192">
            <v>3.7</v>
          </cell>
          <cell r="E192">
            <v>105780</v>
          </cell>
          <cell r="K192">
            <v>3.7</v>
          </cell>
          <cell r="M192" t="str">
            <v>18:17</v>
          </cell>
          <cell r="N192" t="str">
            <v>20:59</v>
          </cell>
          <cell r="O192">
            <v>0</v>
          </cell>
          <cell r="P192">
            <v>0</v>
          </cell>
          <cell r="Q192">
            <v>1</v>
          </cell>
        </row>
        <row r="193">
          <cell r="A193" t="str">
            <v>13</v>
          </cell>
          <cell r="B193" t="str">
            <v>DEPORTIVO</v>
          </cell>
          <cell r="C193" t="str">
            <v>FUTGOL</v>
          </cell>
          <cell r="D193">
            <v>3.6</v>
          </cell>
          <cell r="E193">
            <v>102421</v>
          </cell>
          <cell r="L193">
            <v>3.6</v>
          </cell>
          <cell r="M193" t="str">
            <v>00:22</v>
          </cell>
          <cell r="N193" t="str">
            <v>01:34</v>
          </cell>
          <cell r="O193">
            <v>0</v>
          </cell>
          <cell r="P193">
            <v>0</v>
          </cell>
          <cell r="Q193">
            <v>1</v>
          </cell>
        </row>
        <row r="194">
          <cell r="A194" t="str">
            <v>13</v>
          </cell>
          <cell r="B194" t="str">
            <v>NOTICIERO</v>
          </cell>
          <cell r="C194" t="str">
            <v>TELENOCHE</v>
          </cell>
          <cell r="D194">
            <v>3.4</v>
          </cell>
          <cell r="E194">
            <v>98539</v>
          </cell>
          <cell r="F194">
            <v>3</v>
          </cell>
          <cell r="G194">
            <v>3.3</v>
          </cell>
          <cell r="H194">
            <v>2.7</v>
          </cell>
          <cell r="I194">
            <v>2.4</v>
          </cell>
          <cell r="J194">
            <v>5.8</v>
          </cell>
          <cell r="M194" t="str">
            <v>23:34</v>
          </cell>
          <cell r="N194" t="str">
            <v>00:48</v>
          </cell>
          <cell r="O194">
            <v>0</v>
          </cell>
          <cell r="P194">
            <v>0</v>
          </cell>
          <cell r="Q194">
            <v>5</v>
          </cell>
        </row>
        <row r="195">
          <cell r="A195" t="str">
            <v>13</v>
          </cell>
          <cell r="B195" t="str">
            <v>CONVERSACION</v>
          </cell>
          <cell r="C195" t="str">
            <v>EL TRICICLO</v>
          </cell>
          <cell r="D195">
            <v>3.4</v>
          </cell>
          <cell r="E195">
            <v>97575</v>
          </cell>
          <cell r="K195">
            <v>3.4</v>
          </cell>
          <cell r="M195" t="str">
            <v>22:00</v>
          </cell>
          <cell r="N195" t="str">
            <v>23:35</v>
          </cell>
          <cell r="O195">
            <v>0</v>
          </cell>
          <cell r="P195">
            <v>0</v>
          </cell>
          <cell r="Q195">
            <v>1</v>
          </cell>
        </row>
        <row r="196">
          <cell r="A196" t="str">
            <v>13</v>
          </cell>
          <cell r="B196" t="str">
            <v>NOTICIERO</v>
          </cell>
          <cell r="C196" t="str">
            <v>TELETRECE A.M.</v>
          </cell>
          <cell r="D196">
            <v>3.4</v>
          </cell>
          <cell r="E196">
            <v>96456</v>
          </cell>
          <cell r="F196">
            <v>3</v>
          </cell>
          <cell r="G196">
            <v>3.8</v>
          </cell>
          <cell r="H196">
            <v>3.3</v>
          </cell>
          <cell r="I196">
            <v>3.5</v>
          </cell>
          <cell r="J196">
            <v>3.2</v>
          </cell>
          <cell r="M196" t="str">
            <v>06:59</v>
          </cell>
          <cell r="N196" t="str">
            <v>08:01</v>
          </cell>
          <cell r="O196">
            <v>0</v>
          </cell>
          <cell r="P196">
            <v>0</v>
          </cell>
          <cell r="Q196">
            <v>5</v>
          </cell>
        </row>
        <row r="197">
          <cell r="A197" t="str">
            <v>13</v>
          </cell>
          <cell r="B197" t="str">
            <v>TELENOVELA</v>
          </cell>
          <cell r="C197" t="str">
            <v>FUERZA DEL DESEO</v>
          </cell>
          <cell r="D197">
            <v>2.9</v>
          </cell>
          <cell r="E197">
            <v>84595</v>
          </cell>
          <cell r="F197">
            <v>3.6</v>
          </cell>
          <cell r="G197">
            <v>3.1</v>
          </cell>
          <cell r="H197">
            <v>3</v>
          </cell>
          <cell r="I197">
            <v>2.6</v>
          </cell>
          <cell r="J197">
            <v>2.5</v>
          </cell>
          <cell r="M197" t="str">
            <v>14:04</v>
          </cell>
          <cell r="N197" t="str">
            <v>15:19</v>
          </cell>
          <cell r="O197">
            <v>0</v>
          </cell>
          <cell r="P197">
            <v>0</v>
          </cell>
          <cell r="Q197">
            <v>5</v>
          </cell>
        </row>
        <row r="198">
          <cell r="A198" t="str">
            <v>13</v>
          </cell>
          <cell r="B198" t="str">
            <v>PELICULA</v>
          </cell>
          <cell r="C198" t="str">
            <v>CINE EN SU CASA</v>
          </cell>
          <cell r="D198">
            <v>2.9</v>
          </cell>
          <cell r="E198">
            <v>83737</v>
          </cell>
          <cell r="F198">
            <v>3.4</v>
          </cell>
          <cell r="G198">
            <v>4.2</v>
          </cell>
          <cell r="H198">
            <v>2.9</v>
          </cell>
          <cell r="I198">
            <v>1.8</v>
          </cell>
          <cell r="J198">
            <v>2.2999999999999998</v>
          </cell>
          <cell r="M198" t="str">
            <v>17:00</v>
          </cell>
          <cell r="N198" t="str">
            <v>19:03</v>
          </cell>
          <cell r="O198">
            <v>0</v>
          </cell>
          <cell r="P198">
            <v>0</v>
          </cell>
          <cell r="Q198">
            <v>5</v>
          </cell>
        </row>
        <row r="199">
          <cell r="A199" t="str">
            <v>13</v>
          </cell>
          <cell r="B199" t="str">
            <v>PELICULA</v>
          </cell>
          <cell r="C199" t="str">
            <v>CINE DE MEDIANOCHE</v>
          </cell>
          <cell r="D199">
            <v>2.8</v>
          </cell>
          <cell r="E199">
            <v>81492</v>
          </cell>
          <cell r="K199">
            <v>2.8</v>
          </cell>
          <cell r="M199" t="str">
            <v>23:38</v>
          </cell>
          <cell r="N199" t="str">
            <v>02:05</v>
          </cell>
          <cell r="O199">
            <v>0</v>
          </cell>
          <cell r="P199">
            <v>0</v>
          </cell>
          <cell r="Q199">
            <v>1</v>
          </cell>
        </row>
        <row r="200">
          <cell r="A200" t="str">
            <v>13</v>
          </cell>
          <cell r="B200" t="str">
            <v>SERIE</v>
          </cell>
          <cell r="C200" t="str">
            <v>POLICIA DE NUEVA YORK</v>
          </cell>
          <cell r="D200">
            <v>2.8</v>
          </cell>
          <cell r="E200">
            <v>81493</v>
          </cell>
          <cell r="I200">
            <v>2.8</v>
          </cell>
          <cell r="M200" t="str">
            <v>23:15</v>
          </cell>
          <cell r="N200" t="str">
            <v>00:01</v>
          </cell>
          <cell r="O200">
            <v>0</v>
          </cell>
          <cell r="P200">
            <v>0</v>
          </cell>
          <cell r="Q200">
            <v>1</v>
          </cell>
        </row>
        <row r="201">
          <cell r="A201" t="str">
            <v>13</v>
          </cell>
          <cell r="B201" t="str">
            <v>SERIE</v>
          </cell>
          <cell r="C201" t="str">
            <v>ALLY MC BEAL</v>
          </cell>
          <cell r="D201">
            <v>2.5</v>
          </cell>
          <cell r="E201">
            <v>72441</v>
          </cell>
          <cell r="H201">
            <v>2.5</v>
          </cell>
          <cell r="M201" t="str">
            <v>23:03</v>
          </cell>
          <cell r="N201" t="str">
            <v>23:49</v>
          </cell>
          <cell r="O201">
            <v>0</v>
          </cell>
          <cell r="P201">
            <v>0</v>
          </cell>
          <cell r="Q201">
            <v>1</v>
          </cell>
        </row>
        <row r="202">
          <cell r="A202" t="str">
            <v>13</v>
          </cell>
          <cell r="B202" t="str">
            <v>MISCELANEO</v>
          </cell>
          <cell r="C202" t="str">
            <v>ESTA DE MODA</v>
          </cell>
          <cell r="D202">
            <v>2.4</v>
          </cell>
          <cell r="E202">
            <v>70219</v>
          </cell>
          <cell r="F202">
            <v>2.7</v>
          </cell>
          <cell r="G202">
            <v>2.5</v>
          </cell>
          <cell r="H202">
            <v>2.1</v>
          </cell>
          <cell r="I202">
            <v>2.8</v>
          </cell>
          <cell r="J202">
            <v>2.2999999999999998</v>
          </cell>
          <cell r="M202" t="str">
            <v>15:12</v>
          </cell>
          <cell r="N202" t="str">
            <v>15:22</v>
          </cell>
          <cell r="O202">
            <v>0</v>
          </cell>
          <cell r="P202">
            <v>0</v>
          </cell>
          <cell r="Q202">
            <v>5</v>
          </cell>
        </row>
        <row r="203">
          <cell r="A203" t="str">
            <v>13</v>
          </cell>
          <cell r="B203" t="str">
            <v>MISCELANEO</v>
          </cell>
          <cell r="C203" t="str">
            <v>LA MANANA DEL TRECE</v>
          </cell>
          <cell r="D203">
            <v>2.2999999999999998</v>
          </cell>
          <cell r="E203">
            <v>64711</v>
          </cell>
          <cell r="F203">
            <v>1.8</v>
          </cell>
          <cell r="G203">
            <v>1.5</v>
          </cell>
          <cell r="H203">
            <v>2.7</v>
          </cell>
          <cell r="I203">
            <v>2.8</v>
          </cell>
          <cell r="J203">
            <v>2.4</v>
          </cell>
          <cell r="M203" t="str">
            <v>08:00</v>
          </cell>
          <cell r="N203" t="str">
            <v>12:42</v>
          </cell>
          <cell r="O203">
            <v>0</v>
          </cell>
          <cell r="P203">
            <v>0</v>
          </cell>
          <cell r="Q203">
            <v>5</v>
          </cell>
        </row>
        <row r="204">
          <cell r="A204" t="str">
            <v>13</v>
          </cell>
          <cell r="B204" t="str">
            <v>EV_DEPORTIVO</v>
          </cell>
          <cell r="C204" t="str">
            <v>TORNEO DE HONG KONG</v>
          </cell>
          <cell r="D204">
            <v>2.2000000000000002</v>
          </cell>
          <cell r="E204">
            <v>64351</v>
          </cell>
          <cell r="G204">
            <v>1.6</v>
          </cell>
          <cell r="I204">
            <v>2.9</v>
          </cell>
          <cell r="M204" t="str">
            <v>08:01</v>
          </cell>
          <cell r="N204" t="str">
            <v>03:56</v>
          </cell>
          <cell r="O204">
            <v>0</v>
          </cell>
          <cell r="P204">
            <v>0</v>
          </cell>
          <cell r="Q204">
            <v>3</v>
          </cell>
        </row>
        <row r="205">
          <cell r="A205" t="str">
            <v>13</v>
          </cell>
          <cell r="B205" t="str">
            <v>VARIEDAD</v>
          </cell>
          <cell r="C205" t="str">
            <v>FIESTA GIGANTE</v>
          </cell>
          <cell r="D205">
            <v>2.2000000000000002</v>
          </cell>
          <cell r="E205">
            <v>62613</v>
          </cell>
          <cell r="K205">
            <v>2.2000000000000002</v>
          </cell>
          <cell r="M205" t="str">
            <v>17:21</v>
          </cell>
          <cell r="N205" t="str">
            <v>18:15</v>
          </cell>
          <cell r="O205">
            <v>0</v>
          </cell>
          <cell r="P205">
            <v>0</v>
          </cell>
          <cell r="Q205">
            <v>1</v>
          </cell>
        </row>
        <row r="206">
          <cell r="A206" t="str">
            <v>13</v>
          </cell>
          <cell r="B206" t="str">
            <v>PELICULA</v>
          </cell>
          <cell r="C206" t="str">
            <v>CINE DE ULTIMA FUNCION</v>
          </cell>
          <cell r="D206">
            <v>2.1</v>
          </cell>
          <cell r="E206">
            <v>61318</v>
          </cell>
          <cell r="F206">
            <v>2</v>
          </cell>
          <cell r="G206">
            <v>2.7</v>
          </cell>
          <cell r="H206">
            <v>1.8</v>
          </cell>
          <cell r="I206">
            <v>1.1000000000000001</v>
          </cell>
          <cell r="J206">
            <v>3.1</v>
          </cell>
          <cell r="M206" t="str">
            <v>00:26</v>
          </cell>
          <cell r="N206" t="str">
            <v>02:26</v>
          </cell>
          <cell r="O206">
            <v>0</v>
          </cell>
          <cell r="P206">
            <v>0</v>
          </cell>
          <cell r="Q206">
            <v>5</v>
          </cell>
        </row>
        <row r="207">
          <cell r="A207" t="str">
            <v>13</v>
          </cell>
          <cell r="B207" t="str">
            <v>SERIE</v>
          </cell>
          <cell r="C207" t="str">
            <v>Y FUERON INFELICES PARA SIEMPR</v>
          </cell>
          <cell r="D207">
            <v>2</v>
          </cell>
          <cell r="E207">
            <v>56966</v>
          </cell>
          <cell r="G207">
            <v>2</v>
          </cell>
          <cell r="M207" t="str">
            <v>01:21</v>
          </cell>
          <cell r="N207" t="str">
            <v>01:44</v>
          </cell>
          <cell r="O207">
            <v>0</v>
          </cell>
          <cell r="P207">
            <v>0</v>
          </cell>
          <cell r="Q207">
            <v>1</v>
          </cell>
        </row>
        <row r="208">
          <cell r="A208" t="str">
            <v>13</v>
          </cell>
          <cell r="B208" t="str">
            <v>INFANTIL</v>
          </cell>
          <cell r="C208" t="str">
            <v>EL MUNDO DEL PROFESOR ROSSA</v>
          </cell>
          <cell r="D208">
            <v>1.9</v>
          </cell>
          <cell r="E208">
            <v>53392</v>
          </cell>
          <cell r="K208">
            <v>1.9</v>
          </cell>
          <cell r="M208" t="str">
            <v>15:01</v>
          </cell>
          <cell r="N208" t="str">
            <v>16:19</v>
          </cell>
          <cell r="O208">
            <v>0</v>
          </cell>
          <cell r="P208">
            <v>0</v>
          </cell>
          <cell r="Q208">
            <v>1</v>
          </cell>
        </row>
        <row r="209">
          <cell r="A209" t="str">
            <v>13</v>
          </cell>
          <cell r="B209" t="str">
            <v>NOTICIERO</v>
          </cell>
          <cell r="C209" t="str">
            <v>TELETARDE</v>
          </cell>
          <cell r="D209">
            <v>1.8</v>
          </cell>
          <cell r="E209">
            <v>53061</v>
          </cell>
          <cell r="F209">
            <v>2.4</v>
          </cell>
          <cell r="G209">
            <v>1.4</v>
          </cell>
          <cell r="H209">
            <v>2</v>
          </cell>
          <cell r="I209">
            <v>2.2999999999999998</v>
          </cell>
          <cell r="J209">
            <v>1.8</v>
          </cell>
          <cell r="K209">
            <v>2</v>
          </cell>
          <cell r="L209">
            <v>1.2</v>
          </cell>
          <cell r="M209" t="str">
            <v>13:29</v>
          </cell>
          <cell r="N209" t="str">
            <v>14:31</v>
          </cell>
          <cell r="O209">
            <v>0</v>
          </cell>
          <cell r="P209">
            <v>0</v>
          </cell>
          <cell r="Q209">
            <v>7</v>
          </cell>
        </row>
        <row r="210">
          <cell r="A210" t="str">
            <v>13</v>
          </cell>
          <cell r="B210" t="str">
            <v>INFANTIL</v>
          </cell>
          <cell r="C210" t="str">
            <v>CACHUREOS</v>
          </cell>
          <cell r="D210">
            <v>1.7</v>
          </cell>
          <cell r="E210">
            <v>48127</v>
          </cell>
          <cell r="L210">
            <v>1.7</v>
          </cell>
          <cell r="M210" t="str">
            <v>10:27</v>
          </cell>
          <cell r="N210" t="str">
            <v>11:55</v>
          </cell>
          <cell r="O210">
            <v>0</v>
          </cell>
          <cell r="P210">
            <v>0</v>
          </cell>
          <cell r="Q210">
            <v>1</v>
          </cell>
        </row>
        <row r="211">
          <cell r="A211" t="str">
            <v>13</v>
          </cell>
          <cell r="B211" t="str">
            <v>D_ANIMADOS</v>
          </cell>
          <cell r="C211" t="str">
            <v>GARFIELD</v>
          </cell>
          <cell r="D211">
            <v>1.6</v>
          </cell>
          <cell r="E211">
            <v>46924</v>
          </cell>
          <cell r="K211">
            <v>1.6</v>
          </cell>
          <cell r="M211" t="str">
            <v>14:33</v>
          </cell>
          <cell r="N211" t="str">
            <v>14:58</v>
          </cell>
          <cell r="O211">
            <v>0</v>
          </cell>
          <cell r="P211">
            <v>0</v>
          </cell>
          <cell r="Q211">
            <v>1</v>
          </cell>
        </row>
        <row r="212">
          <cell r="A212" t="str">
            <v>13</v>
          </cell>
          <cell r="B212" t="str">
            <v>EDUCATIVO</v>
          </cell>
          <cell r="C212" t="str">
            <v>HAGALO USTED MISMO</v>
          </cell>
          <cell r="D212">
            <v>1.6</v>
          </cell>
          <cell r="E212">
            <v>44757</v>
          </cell>
          <cell r="K212">
            <v>1.6</v>
          </cell>
          <cell r="M212" t="str">
            <v>09:45</v>
          </cell>
          <cell r="N212" t="str">
            <v>09:59</v>
          </cell>
          <cell r="O212">
            <v>0</v>
          </cell>
          <cell r="P212">
            <v>0</v>
          </cell>
          <cell r="Q212">
            <v>1</v>
          </cell>
        </row>
        <row r="213">
          <cell r="A213" t="str">
            <v>13</v>
          </cell>
          <cell r="B213" t="str">
            <v>D_ANIMADOS</v>
          </cell>
          <cell r="C213" t="str">
            <v>ROBIN HOOD</v>
          </cell>
          <cell r="D213">
            <v>1.6</v>
          </cell>
          <cell r="E213">
            <v>47084</v>
          </cell>
          <cell r="L213">
            <v>1.6</v>
          </cell>
          <cell r="M213" t="str">
            <v>16:02</v>
          </cell>
          <cell r="N213" t="str">
            <v>16:52</v>
          </cell>
          <cell r="O213">
            <v>0</v>
          </cell>
          <cell r="P213">
            <v>0</v>
          </cell>
          <cell r="Q213">
            <v>1</v>
          </cell>
        </row>
        <row r="214">
          <cell r="A214" t="str">
            <v>13</v>
          </cell>
          <cell r="B214" t="str">
            <v>SERIE</v>
          </cell>
          <cell r="C214" t="str">
            <v>TAL PARA CUAL</v>
          </cell>
          <cell r="D214">
            <v>1.6</v>
          </cell>
          <cell r="E214">
            <v>47102</v>
          </cell>
          <cell r="K214">
            <v>1.6</v>
          </cell>
          <cell r="M214" t="str">
            <v>16:56</v>
          </cell>
          <cell r="N214" t="str">
            <v>17:18</v>
          </cell>
          <cell r="O214">
            <v>0</v>
          </cell>
          <cell r="P214">
            <v>0</v>
          </cell>
          <cell r="Q214">
            <v>1</v>
          </cell>
        </row>
        <row r="215">
          <cell r="A215" t="str">
            <v>13</v>
          </cell>
          <cell r="B215" t="str">
            <v>TELENOVELA</v>
          </cell>
          <cell r="C215" t="str">
            <v>FACIL DE AMAR</v>
          </cell>
          <cell r="D215">
            <v>1.5</v>
          </cell>
          <cell r="E215">
            <v>43887</v>
          </cell>
          <cell r="F215">
            <v>1.1000000000000001</v>
          </cell>
          <cell r="G215">
            <v>0.7</v>
          </cell>
          <cell r="H215">
            <v>2.4</v>
          </cell>
          <cell r="I215">
            <v>2.2000000000000002</v>
          </cell>
          <cell r="J215">
            <v>1.2</v>
          </cell>
          <cell r="M215" t="str">
            <v>12:32</v>
          </cell>
          <cell r="N215" t="str">
            <v>13:30</v>
          </cell>
          <cell r="O215">
            <v>0</v>
          </cell>
          <cell r="P215">
            <v>0</v>
          </cell>
          <cell r="Q215">
            <v>5</v>
          </cell>
        </row>
        <row r="216">
          <cell r="A216" t="str">
            <v>13</v>
          </cell>
          <cell r="B216" t="str">
            <v>SERIE</v>
          </cell>
          <cell r="C216" t="str">
            <v>LA REPORTERA DEL CRIMEN</v>
          </cell>
          <cell r="D216">
            <v>1.4</v>
          </cell>
          <cell r="E216">
            <v>41492</v>
          </cell>
          <cell r="K216">
            <v>1.4</v>
          </cell>
          <cell r="M216" t="str">
            <v>08:52</v>
          </cell>
          <cell r="N216" t="str">
            <v>09:43</v>
          </cell>
          <cell r="O216">
            <v>0</v>
          </cell>
          <cell r="P216">
            <v>0</v>
          </cell>
          <cell r="Q216">
            <v>1</v>
          </cell>
        </row>
        <row r="217">
          <cell r="A217" t="str">
            <v>13</v>
          </cell>
          <cell r="B217" t="str">
            <v>VIDEO CLIP</v>
          </cell>
          <cell r="C217" t="str">
            <v>MADRUGANDO EN EL TRECE</v>
          </cell>
          <cell r="D217">
            <v>1.4</v>
          </cell>
          <cell r="E217">
            <v>40367</v>
          </cell>
          <cell r="F217">
            <v>0.7</v>
          </cell>
          <cell r="G217">
            <v>1.7</v>
          </cell>
          <cell r="H217">
            <v>1.5</v>
          </cell>
          <cell r="I217">
            <v>1.3</v>
          </cell>
          <cell r="J217">
            <v>1.8</v>
          </cell>
          <cell r="M217" t="str">
            <v>06:14</v>
          </cell>
          <cell r="N217" t="str">
            <v>07:00</v>
          </cell>
          <cell r="O217">
            <v>0</v>
          </cell>
          <cell r="P217">
            <v>0</v>
          </cell>
          <cell r="Q217">
            <v>5</v>
          </cell>
        </row>
        <row r="218">
          <cell r="A218" t="str">
            <v>13</v>
          </cell>
          <cell r="B218" t="str">
            <v>EV_DEPORTIVO</v>
          </cell>
          <cell r="C218" t="str">
            <v>ECUESTRE CONTINETAL 2000</v>
          </cell>
          <cell r="D218">
            <v>1.4</v>
          </cell>
          <cell r="E218">
            <v>40149</v>
          </cell>
          <cell r="L218">
            <v>1.4</v>
          </cell>
          <cell r="M218" t="str">
            <v>14:31</v>
          </cell>
          <cell r="N218" t="str">
            <v>16:01</v>
          </cell>
          <cell r="O218">
            <v>0</v>
          </cell>
          <cell r="P218">
            <v>0</v>
          </cell>
          <cell r="Q218">
            <v>1</v>
          </cell>
        </row>
        <row r="219">
          <cell r="A219" t="str">
            <v>13</v>
          </cell>
          <cell r="B219" t="str">
            <v>TELENOVELA</v>
          </cell>
          <cell r="C219" t="str">
            <v>VIDAS PRESTADAS</v>
          </cell>
          <cell r="D219">
            <v>1.3</v>
          </cell>
          <cell r="E219">
            <v>38606</v>
          </cell>
          <cell r="F219">
            <v>1.6</v>
          </cell>
          <cell r="G219">
            <v>1.6</v>
          </cell>
          <cell r="H219">
            <v>1.2</v>
          </cell>
          <cell r="I219">
            <v>1.4</v>
          </cell>
          <cell r="J219">
            <v>1</v>
          </cell>
          <cell r="M219" t="str">
            <v>15:14</v>
          </cell>
          <cell r="N219" t="str">
            <v>16:10</v>
          </cell>
          <cell r="O219">
            <v>0</v>
          </cell>
          <cell r="P219">
            <v>0</v>
          </cell>
          <cell r="Q219">
            <v>5</v>
          </cell>
        </row>
        <row r="220">
          <cell r="A220" t="str">
            <v>13</v>
          </cell>
          <cell r="B220" t="str">
            <v>SERIE</v>
          </cell>
          <cell r="C220" t="str">
            <v>APRENDIENDO A VIVIR</v>
          </cell>
          <cell r="D220">
            <v>1.2</v>
          </cell>
          <cell r="E220">
            <v>35043</v>
          </cell>
          <cell r="F220">
            <v>1.1000000000000001</v>
          </cell>
          <cell r="G220">
            <v>1.3</v>
          </cell>
          <cell r="H220">
            <v>1.1000000000000001</v>
          </cell>
          <cell r="I220">
            <v>1.5</v>
          </cell>
          <cell r="J220">
            <v>1.1000000000000001</v>
          </cell>
          <cell r="M220" t="str">
            <v>16:32</v>
          </cell>
          <cell r="N220" t="str">
            <v>17:23</v>
          </cell>
          <cell r="O220">
            <v>0</v>
          </cell>
          <cell r="P220">
            <v>0</v>
          </cell>
          <cell r="Q220">
            <v>5</v>
          </cell>
        </row>
        <row r="221">
          <cell r="A221" t="str">
            <v>13</v>
          </cell>
          <cell r="B221" t="str">
            <v>D_ANIMADOS</v>
          </cell>
          <cell r="C221" t="str">
            <v>TOM Y JERRY</v>
          </cell>
          <cell r="D221">
            <v>1.2</v>
          </cell>
          <cell r="E221">
            <v>34956</v>
          </cell>
          <cell r="K221">
            <v>1.2</v>
          </cell>
          <cell r="M221" t="str">
            <v>16:20</v>
          </cell>
          <cell r="N221" t="str">
            <v>16:54</v>
          </cell>
          <cell r="O221">
            <v>0</v>
          </cell>
          <cell r="P221">
            <v>0</v>
          </cell>
          <cell r="Q221">
            <v>1</v>
          </cell>
        </row>
        <row r="222">
          <cell r="A222" t="str">
            <v>13</v>
          </cell>
          <cell r="B222" t="str">
            <v>CULTURAL</v>
          </cell>
          <cell r="C222" t="str">
            <v>DISCOVERY</v>
          </cell>
          <cell r="D222">
            <v>1.1000000000000001</v>
          </cell>
          <cell r="E222">
            <v>32877</v>
          </cell>
          <cell r="K222">
            <v>1.1000000000000001</v>
          </cell>
          <cell r="M222" t="str">
            <v>13:04</v>
          </cell>
          <cell r="N222" t="str">
            <v>13:58</v>
          </cell>
          <cell r="O222">
            <v>0</v>
          </cell>
          <cell r="P222">
            <v>0</v>
          </cell>
          <cell r="Q222">
            <v>1</v>
          </cell>
        </row>
        <row r="223">
          <cell r="A223" t="str">
            <v>13</v>
          </cell>
          <cell r="B223" t="str">
            <v>SERIE</v>
          </cell>
          <cell r="C223" t="str">
            <v>LIBRE COMO EL VIENTO</v>
          </cell>
          <cell r="D223">
            <v>1</v>
          </cell>
          <cell r="E223">
            <v>29891</v>
          </cell>
          <cell r="F223">
            <v>1.2</v>
          </cell>
          <cell r="G223">
            <v>1.1000000000000001</v>
          </cell>
          <cell r="H223">
            <v>1</v>
          </cell>
          <cell r="I223">
            <v>1.3</v>
          </cell>
          <cell r="J223">
            <v>0.7</v>
          </cell>
          <cell r="M223" t="str">
            <v>15:59</v>
          </cell>
          <cell r="N223" t="str">
            <v>16:59</v>
          </cell>
          <cell r="O223">
            <v>0</v>
          </cell>
          <cell r="P223">
            <v>0</v>
          </cell>
          <cell r="Q223">
            <v>5</v>
          </cell>
        </row>
        <row r="224">
          <cell r="A224" t="str">
            <v>13</v>
          </cell>
          <cell r="B224" t="str">
            <v>EDUCATIVO</v>
          </cell>
          <cell r="C224" t="str">
            <v>CLUB EMPRESA</v>
          </cell>
          <cell r="D224">
            <v>0.7</v>
          </cell>
          <cell r="E224">
            <v>18698</v>
          </cell>
          <cell r="L224">
            <v>0.7</v>
          </cell>
          <cell r="M224" t="str">
            <v>11:57</v>
          </cell>
          <cell r="N224" t="str">
            <v>13:00</v>
          </cell>
          <cell r="O224">
            <v>0</v>
          </cell>
          <cell r="P224">
            <v>0</v>
          </cell>
          <cell r="Q224">
            <v>1</v>
          </cell>
        </row>
        <row r="225">
          <cell r="A225" t="str">
            <v>13</v>
          </cell>
          <cell r="B225" t="str">
            <v>D_ANIMADOS</v>
          </cell>
          <cell r="C225" t="str">
            <v>LA MASCARA</v>
          </cell>
          <cell r="D225">
            <v>0.6</v>
          </cell>
          <cell r="E225">
            <v>18565</v>
          </cell>
          <cell r="L225">
            <v>0.6</v>
          </cell>
          <cell r="M225" t="str">
            <v>10:02</v>
          </cell>
          <cell r="N225" t="str">
            <v>10:26</v>
          </cell>
          <cell r="O225">
            <v>0</v>
          </cell>
          <cell r="P225">
            <v>0</v>
          </cell>
          <cell r="Q225">
            <v>1</v>
          </cell>
        </row>
        <row r="226">
          <cell r="A226" t="str">
            <v>13</v>
          </cell>
          <cell r="B226" t="str">
            <v>REPORTAJE</v>
          </cell>
          <cell r="C226" t="str">
            <v>MAKE OFF FORREST GUMP</v>
          </cell>
          <cell r="D226">
            <v>0.6</v>
          </cell>
          <cell r="E226">
            <v>18476</v>
          </cell>
          <cell r="K226">
            <v>0.6</v>
          </cell>
          <cell r="M226" t="str">
            <v>11:07</v>
          </cell>
          <cell r="N226" t="str">
            <v>11:45</v>
          </cell>
          <cell r="O226">
            <v>0</v>
          </cell>
          <cell r="P226">
            <v>0</v>
          </cell>
          <cell r="Q226">
            <v>1</v>
          </cell>
        </row>
        <row r="227">
          <cell r="A227" t="str">
            <v>13</v>
          </cell>
          <cell r="B227" t="str">
            <v>CULTURAL</v>
          </cell>
          <cell r="C227" t="str">
            <v>NATIONAL GEOGRAPHIC</v>
          </cell>
          <cell r="D227">
            <v>0.6</v>
          </cell>
          <cell r="E227">
            <v>18339</v>
          </cell>
          <cell r="L227">
            <v>0.6</v>
          </cell>
          <cell r="M227" t="str">
            <v>13:03</v>
          </cell>
          <cell r="N227" t="str">
            <v>13:58</v>
          </cell>
          <cell r="O227">
            <v>0</v>
          </cell>
          <cell r="P227">
            <v>0</v>
          </cell>
          <cell r="Q227">
            <v>1</v>
          </cell>
        </row>
        <row r="228">
          <cell r="A228" t="str">
            <v>13</v>
          </cell>
          <cell r="B228" t="str">
            <v>DEPORTIVO</v>
          </cell>
          <cell r="C228" t="str">
            <v>CABALGATA DEPORTIVA GILLETTE</v>
          </cell>
          <cell r="D228">
            <v>0.6</v>
          </cell>
          <cell r="E228">
            <v>16919</v>
          </cell>
          <cell r="K228">
            <v>0.6</v>
          </cell>
          <cell r="M228" t="str">
            <v>11:46</v>
          </cell>
          <cell r="N228" t="str">
            <v>12:12</v>
          </cell>
          <cell r="O228">
            <v>0</v>
          </cell>
          <cell r="P228">
            <v>0</v>
          </cell>
          <cell r="Q228">
            <v>1</v>
          </cell>
        </row>
        <row r="229">
          <cell r="A229" t="str">
            <v>13</v>
          </cell>
          <cell r="B229" t="str">
            <v>SERIE</v>
          </cell>
          <cell r="C229" t="str">
            <v>GUERRERO DEL TIEMPO</v>
          </cell>
          <cell r="D229">
            <v>0.5</v>
          </cell>
          <cell r="E229">
            <v>15699</v>
          </cell>
          <cell r="K229">
            <v>0.5</v>
          </cell>
          <cell r="M229" t="str">
            <v>12:14</v>
          </cell>
          <cell r="N229" t="str">
            <v>13:01</v>
          </cell>
          <cell r="O229">
            <v>0</v>
          </cell>
          <cell r="P229">
            <v>0</v>
          </cell>
          <cell r="Q229">
            <v>1</v>
          </cell>
        </row>
        <row r="230">
          <cell r="A230" t="str">
            <v>13</v>
          </cell>
          <cell r="B230" t="str">
            <v>RELIGIOSO</v>
          </cell>
          <cell r="C230" t="str">
            <v>SANTA MISA</v>
          </cell>
          <cell r="D230">
            <v>0.5</v>
          </cell>
          <cell r="E230">
            <v>14683</v>
          </cell>
          <cell r="L230">
            <v>0.5</v>
          </cell>
          <cell r="M230" t="str">
            <v>08:41</v>
          </cell>
          <cell r="N230" t="str">
            <v>09:35</v>
          </cell>
          <cell r="O230">
            <v>0</v>
          </cell>
          <cell r="P230">
            <v>0</v>
          </cell>
          <cell r="Q230">
            <v>1</v>
          </cell>
        </row>
        <row r="231">
          <cell r="A231" t="str">
            <v>13</v>
          </cell>
          <cell r="B231" t="str">
            <v>EDUCATIVO</v>
          </cell>
          <cell r="C231" t="str">
            <v>TELEDUC</v>
          </cell>
          <cell r="D231">
            <v>0.5</v>
          </cell>
          <cell r="E231">
            <v>14291</v>
          </cell>
          <cell r="F231">
            <v>0.1</v>
          </cell>
          <cell r="G231">
            <v>0.3</v>
          </cell>
          <cell r="H231">
            <v>0.4</v>
          </cell>
          <cell r="I231">
            <v>0.2</v>
          </cell>
          <cell r="J231">
            <v>0.2</v>
          </cell>
          <cell r="K231">
            <v>1.1000000000000001</v>
          </cell>
          <cell r="L231">
            <v>1.3</v>
          </cell>
          <cell r="M231" t="str">
            <v>06:00</v>
          </cell>
          <cell r="N231" t="str">
            <v>05:59</v>
          </cell>
          <cell r="O231">
            <v>0</v>
          </cell>
          <cell r="P231">
            <v>0</v>
          </cell>
          <cell r="Q231">
            <v>8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resumen campaña"/>
      <sheetName val="Emol120x125"/>
      <sheetName val="Terra125x125mouseover"/>
      <sheetName val="LaTercera-Intersitial"/>
      <sheetName val="Cooperativa"/>
      <sheetName val="Emol-Intersitial"/>
      <sheetName val="Emol-LayerFuera"/>
      <sheetName val="Emol-210x200mouseover"/>
      <sheetName val="Terra125x125"/>
      <sheetName val="Terra-Intersitial"/>
      <sheetName val="LaTercera-PagePeel"/>
      <sheetName val="LaTercera-690X90"/>
      <sheetName val="Estrategia-Intersitial"/>
      <sheetName val="Fotolog"/>
      <sheetName val="Facebook"/>
      <sheetName val="Fayerwayer"/>
      <sheetName val="Youtube"/>
      <sheetName val="la cuarta"/>
      <sheetName val="Rk"/>
      <sheetName val="Hoja1"/>
      <sheetName val="JORGE"/>
      <sheetName val="resumen_campaña"/>
      <sheetName val="la_cuarta"/>
      <sheetName val="resumen_campaña1"/>
      <sheetName val="la_cuarta1"/>
      <sheetName val="resumen_campaña2"/>
      <sheetName val="la_cuarta2"/>
      <sheetName val="resumen_campaña3"/>
      <sheetName val="la_cuarta3"/>
      <sheetName val="resumen_campaña5"/>
      <sheetName val="la_cuarta5"/>
      <sheetName val="resumen_campaña4"/>
      <sheetName val="la_cuarta4"/>
      <sheetName val="resumen_campaña7"/>
      <sheetName val="la_cuarta7"/>
      <sheetName val="resumen_campaña6"/>
      <sheetName val="la_cuarta6"/>
      <sheetName val="resumen_campaña8"/>
      <sheetName val="la_cuarta8"/>
      <sheetName val="resumen_campaña9"/>
      <sheetName val="la_cuarta9"/>
      <sheetName val="channe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datos 2009"/>
      <sheetName val="Cargas 09"/>
      <sheetName val="Competencia"/>
      <sheetName val="Prime"/>
      <sheetName val="Off"/>
      <sheetName val="Sin Anestesia"/>
      <sheetName val="Varios"/>
      <sheetName val="Marea"/>
      <sheetName val="Dcto Ago"/>
      <sheetName val="AquaTV"/>
      <sheetName val="Tarifas"/>
      <sheetName val="Fact"/>
      <sheetName val="Actuales"/>
      <sheetName val="Antiguos"/>
      <sheetName val="Sección Especial"/>
      <sheetName val="2da Pantalla"/>
      <sheetName val="I Grps"/>
      <sheetName val="Planilla_datos_2009"/>
      <sheetName val="Cargas_09"/>
      <sheetName val="Sin_Anestesia"/>
      <sheetName val="Dcto_Ago"/>
      <sheetName val="Sección_Especial"/>
      <sheetName val="2da_Pantalla"/>
      <sheetName val="I_Grps"/>
    </sheetNames>
    <sheetDataSet>
      <sheetData sheetId="0">
        <row r="16">
          <cell r="A16" t="str">
            <v>Fiebre de Baile</v>
          </cell>
        </row>
        <row r="43">
          <cell r="A43" t="str">
            <v>El Zorro</v>
          </cell>
        </row>
      </sheetData>
      <sheetData sheetId="1"/>
      <sheetData sheetId="2"/>
      <sheetData sheetId="3">
        <row r="613">
          <cell r="I613">
            <v>19.26605504587156</v>
          </cell>
        </row>
        <row r="2596">
          <cell r="E2596" t="str">
            <v xml:space="preserve">Dda Total </v>
          </cell>
          <cell r="F2596" t="str">
            <v>Dda sin Auspicio</v>
          </cell>
          <cell r="G2596" t="str">
            <v>Ing. Total x Cap</v>
          </cell>
          <cell r="H2596" t="str">
            <v xml:space="preserve">Ing.x Cap Sin Ausp </v>
          </cell>
          <cell r="I2596" t="str">
            <v>Composición Segundajes</v>
          </cell>
          <cell r="L2596" t="str">
            <v>Composición Ingreso</v>
          </cell>
          <cell r="O2596" t="str">
            <v>Precio 30"</v>
          </cell>
          <cell r="R2596" t="str">
            <v>Rating</v>
          </cell>
          <cell r="S2596" t="str">
            <v>CxP Promedio</v>
          </cell>
        </row>
        <row r="2597">
          <cell r="B2597" t="str">
            <v>Fechas</v>
          </cell>
          <cell r="C2597" t="str">
            <v xml:space="preserve">Clasif. </v>
          </cell>
          <cell r="D2597" t="str">
            <v>VPS</v>
          </cell>
          <cell r="I2597" t="str">
            <v>T-D</v>
          </cell>
          <cell r="J2597" t="str">
            <v>CxP</v>
          </cell>
          <cell r="K2597" t="str">
            <v>Fijo</v>
          </cell>
          <cell r="L2597" t="str">
            <v>T-D</v>
          </cell>
          <cell r="M2597" t="str">
            <v>CxP</v>
          </cell>
          <cell r="N2597" t="str">
            <v>Fijo</v>
          </cell>
          <cell r="O2597" t="str">
            <v>T-D</v>
          </cell>
          <cell r="P2597" t="str">
            <v>CxP</v>
          </cell>
          <cell r="Q2597" t="str">
            <v>Fijo</v>
          </cell>
          <cell r="R2597" t="str">
            <v>Tanda</v>
          </cell>
          <cell r="S2597" t="str">
            <v>T-D</v>
          </cell>
          <cell r="T2597" t="str">
            <v>CxP</v>
          </cell>
          <cell r="U2597" t="str">
            <v>Fijo</v>
          </cell>
        </row>
        <row r="2598">
          <cell r="B2598" t="str">
            <v>5 de noviembre 09</v>
          </cell>
          <cell r="C2598" t="str">
            <v>V 50</v>
          </cell>
          <cell r="E2598">
            <v>1.9212962962962962E-3</v>
          </cell>
          <cell r="F2598">
            <v>6.018518518518519E-4</v>
          </cell>
          <cell r="G2598">
            <v>7.0224525947775005</v>
          </cell>
          <cell r="H2598">
            <v>1.9224519947774998</v>
          </cell>
          <cell r="I2598">
            <v>0</v>
          </cell>
          <cell r="J2598">
            <v>93.650793650793645</v>
          </cell>
          <cell r="K2598">
            <v>6.3492063492063489</v>
          </cell>
          <cell r="L2598">
            <v>0</v>
          </cell>
          <cell r="M2598">
            <v>73.393634853327043</v>
          </cell>
          <cell r="N2598">
            <v>26.606365146672967</v>
          </cell>
          <cell r="O2598">
            <v>0</v>
          </cell>
          <cell r="P2598">
            <v>100.06996477871304</v>
          </cell>
          <cell r="Q2598">
            <v>601.75834999999995</v>
          </cell>
          <cell r="R2598">
            <v>2.1</v>
          </cell>
          <cell r="S2598">
            <v>0</v>
          </cell>
          <cell r="T2598">
            <v>47.652364180339539</v>
          </cell>
          <cell r="U2598">
            <v>286.55159523809522</v>
          </cell>
        </row>
        <row r="2599">
          <cell r="B2599" t="str">
            <v>Fechas</v>
          </cell>
          <cell r="C2599" t="str">
            <v xml:space="preserve">Clasif. </v>
          </cell>
          <cell r="D2599" t="str">
            <v>VPS</v>
          </cell>
          <cell r="F2599" t="str">
            <v>planilla precios</v>
          </cell>
          <cell r="I2599" t="str">
            <v>T-D</v>
          </cell>
          <cell r="J2599" t="str">
            <v>CxP</v>
          </cell>
          <cell r="K2599" t="str">
            <v>Fijo</v>
          </cell>
          <cell r="L2599" t="str">
            <v>T-D</v>
          </cell>
          <cell r="M2599" t="str">
            <v>CxP</v>
          </cell>
          <cell r="N2599" t="str">
            <v>Fijo</v>
          </cell>
          <cell r="O2599" t="str">
            <v>T-D</v>
          </cell>
          <cell r="P2599" t="str">
            <v>CxP</v>
          </cell>
          <cell r="Q2599" t="str">
            <v>Fijo</v>
          </cell>
          <cell r="R2599" t="str">
            <v>Tanda</v>
          </cell>
          <cell r="S2599" t="str">
            <v>T-D</v>
          </cell>
          <cell r="T2599" t="str">
            <v>CxP</v>
          </cell>
          <cell r="U2599" t="str">
            <v>Fijo</v>
          </cell>
        </row>
        <row r="2600">
          <cell r="B2600" t="str">
            <v>5 de noviembre 09</v>
          </cell>
          <cell r="C2600" t="str">
            <v>V 50</v>
          </cell>
          <cell r="E2600">
            <v>1.9212962962962962E-3</v>
          </cell>
          <cell r="F2600">
            <v>6.018518518518519E-4</v>
          </cell>
          <cell r="G2600">
            <v>7.0224525947775005</v>
          </cell>
          <cell r="H2600">
            <v>1.9224519947774998</v>
          </cell>
          <cell r="I2600">
            <v>0</v>
          </cell>
          <cell r="J2600">
            <v>93.650793650793645</v>
          </cell>
          <cell r="K2600">
            <v>6.3492063492063489</v>
          </cell>
          <cell r="L2600">
            <v>0</v>
          </cell>
          <cell r="M2600">
            <v>73.393634853327043</v>
          </cell>
          <cell r="N2600">
            <v>26.606365146672967</v>
          </cell>
          <cell r="O2600">
            <v>0</v>
          </cell>
          <cell r="P2600">
            <v>100.06996477871304</v>
          </cell>
          <cell r="Q2600">
            <v>601.75834999999995</v>
          </cell>
          <cell r="R2600">
            <v>2.1</v>
          </cell>
          <cell r="S2600">
            <v>0</v>
          </cell>
          <cell r="T2600">
            <v>47.652364180339539</v>
          </cell>
          <cell r="U2600">
            <v>286.55159523809522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6">
          <cell r="A16" t="str">
            <v>Fiebre de Baile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datos 2009"/>
      <sheetName val="Competencia"/>
      <sheetName val="Cargas 09"/>
      <sheetName val="Prime"/>
      <sheetName val="Off"/>
      <sheetName val="Marea"/>
      <sheetName val="Dcto Junio"/>
      <sheetName val="Tarifas"/>
      <sheetName val="Varios"/>
      <sheetName val="Fact"/>
      <sheetName val="Actuales"/>
      <sheetName val="Antiguos"/>
      <sheetName val="Sección Especial"/>
      <sheetName val="2da Pantalla"/>
      <sheetName val="I Grps"/>
      <sheetName val="Planilla_datos_2009"/>
      <sheetName val="Cargas_09"/>
      <sheetName val="Dcto_Junio"/>
      <sheetName val="Sección_Especial"/>
      <sheetName val="2da_Pantalla"/>
      <sheetName val="I_Grps"/>
      <sheetName val="TABLA 1º SEM 2011"/>
    </sheetNames>
    <sheetDataSet>
      <sheetData sheetId="0">
        <row r="43">
          <cell r="A43" t="str">
            <v>El Zorro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3">
          <cell r="A43" t="str">
            <v>El Zorro</v>
          </cell>
        </row>
      </sheetData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"/>
      <sheetName val="Rating1"/>
      <sheetName val="COL"/>
      <sheetName val="Cuantificador_RM"/>
      <sheetName val="Cuantificador_TP"/>
      <sheetName val="Tarifa_PLUS"/>
      <sheetName val="Tarifa_Preferencial"/>
      <sheetName val="Cuantificador_RM2"/>
      <sheetName val="Cuantificador_TP2"/>
      <sheetName val="Tarifa_PLUS2"/>
      <sheetName val="Tarifa_Preferencial2"/>
      <sheetName val="Cuantificador_RM1"/>
      <sheetName val="Cuantificador_TP1"/>
      <sheetName val="Tarifa_PLUS1"/>
      <sheetName val="Tarifa_Preferencial1"/>
      <sheetName val="Cuantificador_RM3"/>
      <sheetName val="Cuantificador_TP3"/>
      <sheetName val="Tarifa_PLUS3"/>
      <sheetName val="Tarifa_Preferencial3"/>
      <sheetName val="Hoja1"/>
      <sheetName val="Cuantificador_RM4"/>
      <sheetName val="Cuantificador_TP4"/>
      <sheetName val="Tarifa_PLUS4"/>
      <sheetName val="Tarifa_Preferencial4"/>
      <sheetName val="Cuantificador_RM5"/>
      <sheetName val="Cuantificador_TP5"/>
      <sheetName val="Tarifa_PLUS5"/>
      <sheetName val="Tarifa_Preferencial5"/>
      <sheetName val="Cuantificador_RM6"/>
      <sheetName val="Cuantificador_TP6"/>
      <sheetName val="Tarifa_PLUS6"/>
      <sheetName val="Tarifa_Preferencial6"/>
      <sheetName val="Cuantificador_RM8"/>
      <sheetName val="Cuantificador_TP8"/>
      <sheetName val="Tarifa_PLUS8"/>
      <sheetName val="Tarifa_Preferencial8"/>
      <sheetName val="Cuantificador_RM7"/>
      <sheetName val="Cuantificador_TP7"/>
      <sheetName val="Tarifa_PLUS7"/>
      <sheetName val="Tarifa_Preferencial7"/>
      <sheetName val="Cuantificador_RM9"/>
      <sheetName val="Cuantificador_TP9"/>
      <sheetName val="Tarifa_PLUS9"/>
      <sheetName val="Tarifa_Preferencial9"/>
      <sheetName val="Cuantificador_RM10"/>
      <sheetName val="Cuantificador_TP10"/>
      <sheetName val="Tarifa_PLUS10"/>
      <sheetName val="Tarifa_Preferencial10"/>
    </sheetNames>
    <sheetDataSet>
      <sheetData sheetId="0">
        <row r="4">
          <cell r="C4" t="str">
            <v>Zona</v>
          </cell>
        </row>
      </sheetData>
      <sheetData sheetId="1"/>
      <sheetData sheetId="2">
        <row r="4">
          <cell r="C4" t="str">
            <v>Zona</v>
          </cell>
        </row>
      </sheetData>
      <sheetData sheetId="3"/>
      <sheetData sheetId="4">
        <row r="7">
          <cell r="A7" t="str">
            <v>Valor por segundaje</v>
          </cell>
        </row>
        <row r="8">
          <cell r="A8" t="str">
            <v>24 HORAS LU-VI PLUS</v>
          </cell>
          <cell r="B8">
            <v>0</v>
          </cell>
          <cell r="C8">
            <v>12000</v>
          </cell>
          <cell r="D8">
            <v>26000</v>
          </cell>
          <cell r="E8">
            <v>29000</v>
          </cell>
          <cell r="F8">
            <v>34000</v>
          </cell>
          <cell r="G8">
            <v>38000</v>
          </cell>
          <cell r="H8">
            <v>40000</v>
          </cell>
          <cell r="I8">
            <v>46000</v>
          </cell>
          <cell r="J8">
            <v>54000</v>
          </cell>
          <cell r="K8">
            <v>60000</v>
          </cell>
          <cell r="L8">
            <v>70000</v>
          </cell>
          <cell r="M8">
            <v>80000</v>
          </cell>
          <cell r="N8">
            <v>92000</v>
          </cell>
          <cell r="O8">
            <v>99000</v>
          </cell>
        </row>
        <row r="9">
          <cell r="A9" t="str">
            <v>24 Horas Sábado Plus</v>
          </cell>
          <cell r="B9">
            <v>0</v>
          </cell>
          <cell r="C9">
            <v>13000</v>
          </cell>
          <cell r="D9">
            <v>25000</v>
          </cell>
          <cell r="E9">
            <v>29000</v>
          </cell>
          <cell r="F9">
            <v>35000</v>
          </cell>
          <cell r="G9">
            <v>37000</v>
          </cell>
          <cell r="H9">
            <v>40000</v>
          </cell>
          <cell r="I9">
            <v>47000</v>
          </cell>
          <cell r="J9">
            <v>53000</v>
          </cell>
          <cell r="K9">
            <v>60000</v>
          </cell>
          <cell r="L9">
            <v>70000</v>
          </cell>
          <cell r="M9">
            <v>81000</v>
          </cell>
          <cell r="N9">
            <v>92000</v>
          </cell>
          <cell r="O9">
            <v>100000</v>
          </cell>
        </row>
        <row r="10">
          <cell r="A10" t="str">
            <v>24 Horas Domingo Plus</v>
          </cell>
          <cell r="B10">
            <v>0</v>
          </cell>
          <cell r="C10">
            <v>13000</v>
          </cell>
          <cell r="D10">
            <v>25000</v>
          </cell>
          <cell r="E10">
            <v>29000</v>
          </cell>
          <cell r="F10">
            <v>35000</v>
          </cell>
          <cell r="G10">
            <v>37000</v>
          </cell>
          <cell r="H10">
            <v>40000</v>
          </cell>
          <cell r="I10">
            <v>47000</v>
          </cell>
          <cell r="J10">
            <v>53000</v>
          </cell>
          <cell r="K10">
            <v>60000</v>
          </cell>
          <cell r="L10">
            <v>70000</v>
          </cell>
          <cell r="M10">
            <v>81000</v>
          </cell>
          <cell r="N10">
            <v>92000</v>
          </cell>
          <cell r="O10">
            <v>100000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DOMINGO DE GOLES PLUS</v>
          </cell>
          <cell r="B12">
            <v>0</v>
          </cell>
          <cell r="C12">
            <v>16000</v>
          </cell>
          <cell r="D12">
            <v>32000</v>
          </cell>
          <cell r="E12">
            <v>36000</v>
          </cell>
          <cell r="F12">
            <v>43000</v>
          </cell>
          <cell r="G12">
            <v>47000</v>
          </cell>
          <cell r="H12">
            <v>50000</v>
          </cell>
          <cell r="I12">
            <v>58000</v>
          </cell>
          <cell r="J12">
            <v>67000</v>
          </cell>
          <cell r="K12">
            <v>75000</v>
          </cell>
          <cell r="L12">
            <v>88000</v>
          </cell>
          <cell r="M12">
            <v>101000</v>
          </cell>
          <cell r="N12">
            <v>115000</v>
          </cell>
          <cell r="O12">
            <v>125000</v>
          </cell>
        </row>
        <row r="13">
          <cell r="A13" t="str">
            <v>TU MAÑANA A PLUS</v>
          </cell>
          <cell r="B13">
            <v>0</v>
          </cell>
          <cell r="C13">
            <v>7000</v>
          </cell>
          <cell r="D13">
            <v>13000</v>
          </cell>
          <cell r="E13">
            <v>14000</v>
          </cell>
          <cell r="F13">
            <v>17000</v>
          </cell>
          <cell r="G13">
            <v>19000</v>
          </cell>
          <cell r="H13">
            <v>20000</v>
          </cell>
          <cell r="I13">
            <v>23000</v>
          </cell>
          <cell r="J13">
            <v>27000</v>
          </cell>
          <cell r="K13">
            <v>30000</v>
          </cell>
          <cell r="L13">
            <v>35000</v>
          </cell>
          <cell r="M13">
            <v>41000</v>
          </cell>
          <cell r="N13">
            <v>46000</v>
          </cell>
          <cell r="O13">
            <v>50000</v>
          </cell>
        </row>
        <row r="14">
          <cell r="A14" t="str">
            <v>TU MAÑANA B PLUS</v>
          </cell>
          <cell r="B14">
            <v>0</v>
          </cell>
          <cell r="C14">
            <v>6000</v>
          </cell>
          <cell r="D14">
            <v>13000</v>
          </cell>
          <cell r="E14">
            <v>14000</v>
          </cell>
          <cell r="F14">
            <v>17000</v>
          </cell>
          <cell r="G14">
            <v>19000</v>
          </cell>
          <cell r="H14">
            <v>20000</v>
          </cell>
          <cell r="I14">
            <v>23000</v>
          </cell>
          <cell r="J14">
            <v>27000</v>
          </cell>
          <cell r="K14">
            <v>30000</v>
          </cell>
          <cell r="L14">
            <v>35000</v>
          </cell>
          <cell r="M14">
            <v>40000</v>
          </cell>
          <cell r="N14">
            <v>46000</v>
          </cell>
          <cell r="O14">
            <v>50000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24 Horas al día Plus</v>
          </cell>
          <cell r="B16">
            <v>0</v>
          </cell>
          <cell r="C16">
            <v>9000</v>
          </cell>
          <cell r="D16">
            <v>19000</v>
          </cell>
          <cell r="E16">
            <v>22000</v>
          </cell>
          <cell r="F16">
            <v>26000</v>
          </cell>
          <cell r="G16">
            <v>28000</v>
          </cell>
          <cell r="H16">
            <v>30000</v>
          </cell>
          <cell r="I16">
            <v>35000</v>
          </cell>
          <cell r="J16">
            <v>40000</v>
          </cell>
          <cell r="K16">
            <v>45000</v>
          </cell>
          <cell r="L16">
            <v>52000</v>
          </cell>
          <cell r="M16">
            <v>60000</v>
          </cell>
          <cell r="N16">
            <v>69000</v>
          </cell>
          <cell r="O16">
            <v>75000</v>
          </cell>
        </row>
        <row r="17">
          <cell r="A17" t="str">
            <v>24 horas Día Sá Plus</v>
          </cell>
          <cell r="B17">
            <v>0</v>
          </cell>
          <cell r="C17">
            <v>9000</v>
          </cell>
          <cell r="D17">
            <v>19000</v>
          </cell>
          <cell r="E17">
            <v>22000</v>
          </cell>
          <cell r="F17">
            <v>26000</v>
          </cell>
          <cell r="G17">
            <v>28000</v>
          </cell>
          <cell r="H17">
            <v>30000</v>
          </cell>
          <cell r="I17">
            <v>35000</v>
          </cell>
          <cell r="J17">
            <v>40000</v>
          </cell>
          <cell r="K17">
            <v>45000</v>
          </cell>
          <cell r="L17">
            <v>52000</v>
          </cell>
          <cell r="M17">
            <v>60000</v>
          </cell>
          <cell r="N17">
            <v>69000</v>
          </cell>
          <cell r="O17">
            <v>74000</v>
          </cell>
        </row>
        <row r="18">
          <cell r="A18" t="str">
            <v>24 horas Día Do Plus</v>
          </cell>
          <cell r="B18">
            <v>0</v>
          </cell>
          <cell r="C18">
            <v>9000</v>
          </cell>
          <cell r="D18">
            <v>19000</v>
          </cell>
          <cell r="E18">
            <v>22000</v>
          </cell>
          <cell r="F18">
            <v>26000</v>
          </cell>
          <cell r="G18">
            <v>28000</v>
          </cell>
          <cell r="H18">
            <v>30000</v>
          </cell>
          <cell r="I18">
            <v>35000</v>
          </cell>
          <cell r="J18">
            <v>40000</v>
          </cell>
          <cell r="K18">
            <v>45000</v>
          </cell>
          <cell r="L18">
            <v>52000</v>
          </cell>
          <cell r="M18">
            <v>60000</v>
          </cell>
          <cell r="N18">
            <v>69000</v>
          </cell>
          <cell r="O18">
            <v>74000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</sheetData>
      <sheetData sheetId="5"/>
      <sheetData sheetId="6">
        <row r="20">
          <cell r="B20" t="str">
            <v>5:50</v>
          </cell>
        </row>
      </sheetData>
      <sheetData sheetId="7">
        <row r="3">
          <cell r="H3" t="str">
            <v>24 HORASLJSD</v>
          </cell>
        </row>
      </sheetData>
      <sheetData sheetId="8">
        <row r="5">
          <cell r="C5">
            <v>5</v>
          </cell>
        </row>
      </sheetData>
      <sheetData sheetId="9"/>
      <sheetData sheetId="10"/>
      <sheetData sheetId="11">
        <row r="7">
          <cell r="A7" t="str">
            <v>Valor por segundaje</v>
          </cell>
        </row>
      </sheetData>
      <sheetData sheetId="12"/>
      <sheetData sheetId="13"/>
      <sheetData sheetId="14"/>
      <sheetData sheetId="15">
        <row r="7">
          <cell r="A7" t="str">
            <v>Valor por segundaje</v>
          </cell>
        </row>
      </sheetData>
      <sheetData sheetId="16"/>
      <sheetData sheetId="17"/>
      <sheetData sheetId="18"/>
      <sheetData sheetId="19">
        <row r="7">
          <cell r="A7" t="str">
            <v>Valor por segundaje</v>
          </cell>
        </row>
      </sheetData>
      <sheetData sheetId="20"/>
      <sheetData sheetId="21"/>
      <sheetData sheetId="22"/>
      <sheetData sheetId="23">
        <row r="7">
          <cell r="A7" t="str">
            <v>Valor por segundaje</v>
          </cell>
        </row>
      </sheetData>
      <sheetData sheetId="24"/>
      <sheetData sheetId="25" refreshError="1"/>
      <sheetData sheetId="26"/>
      <sheetData sheetId="27"/>
      <sheetData sheetId="28">
        <row r="7">
          <cell r="A7" t="str">
            <v>Valor por segundaje</v>
          </cell>
        </row>
      </sheetData>
      <sheetData sheetId="29"/>
      <sheetData sheetId="30"/>
      <sheetData sheetId="31"/>
      <sheetData sheetId="32">
        <row r="7">
          <cell r="A7" t="str">
            <v>Valor por segundaje</v>
          </cell>
        </row>
      </sheetData>
      <sheetData sheetId="33"/>
      <sheetData sheetId="34"/>
      <sheetData sheetId="35"/>
      <sheetData sheetId="36">
        <row r="7">
          <cell r="A7" t="str">
            <v>Valor por segundaje</v>
          </cell>
        </row>
      </sheetData>
      <sheetData sheetId="37"/>
      <sheetData sheetId="38"/>
      <sheetData sheetId="39"/>
      <sheetData sheetId="40">
        <row r="7">
          <cell r="A7" t="str">
            <v>Valor por segundaje</v>
          </cell>
        </row>
      </sheetData>
      <sheetData sheetId="41"/>
      <sheetData sheetId="42"/>
      <sheetData sheetId="43"/>
      <sheetData sheetId="44">
        <row r="7">
          <cell r="A7" t="str">
            <v>Valor por segundaje</v>
          </cell>
        </row>
      </sheetData>
      <sheetData sheetId="45"/>
      <sheetData sheetId="46"/>
      <sheetData sheetId="47"/>
      <sheetData sheetId="48">
        <row r="7">
          <cell r="A7" t="str">
            <v>Valor por segundaje</v>
          </cell>
        </row>
      </sheetData>
      <sheetData sheetId="49"/>
      <sheetData sheetId="50"/>
      <sheetData sheetId="51"/>
      <sheetData sheetId="52">
        <row r="7">
          <cell r="A7" t="str">
            <v>Valor por segundaje</v>
          </cell>
        </row>
      </sheetData>
      <sheetData sheetId="5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S"/>
      <sheetName val="PROGRAMAS"/>
    </sheetNames>
    <sheetDataSet>
      <sheetData sheetId="0"/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S"/>
      <sheetName val="PROGRAMAS"/>
    </sheetNames>
    <sheetDataSet>
      <sheetData sheetId="0"/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S"/>
      <sheetName val="PROGRAMAS"/>
      <sheetName val="E"/>
    </sheetNames>
    <sheetDataSet>
      <sheetData sheetId="0"/>
      <sheetData sheetId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dio"/>
      <sheetName val="Prensa"/>
      <sheetName val="Menciones"/>
      <sheetName val="Pauta"/>
      <sheetName val="Sumario"/>
      <sheetName val="an-r"/>
      <sheetName val="GRP CCAA"/>
      <sheetName val="Lists"/>
      <sheetName val="GRP_CCAA"/>
      <sheetName val="Sheet1"/>
      <sheetName val="GRP_CCAA1"/>
      <sheetName val="Flow"/>
      <sheetName val="Rates30&quot;"/>
      <sheetName val="Position &quot;Key&quot;"/>
      <sheetName val="Country Code"/>
      <sheetName val="Master"/>
      <sheetName val="SIX FLAGS2.xls"/>
      <sheetName val="SIX FLAGS2"/>
      <sheetName val="Data List"/>
      <sheetName val="Rkg Radios"/>
      <sheetName val="Afi Rad"/>
      <sheetName val="TVE20&quot;"/>
    </sheetNames>
    <sheetDataSet>
      <sheetData sheetId="0"/>
      <sheetData sheetId="1"/>
      <sheetData sheetId="2"/>
      <sheetData sheetId="3" refreshError="1">
        <row r="11">
          <cell r="B11">
            <v>3</v>
          </cell>
          <cell r="C11" t="str">
            <v>Julio</v>
          </cell>
          <cell r="D11">
            <v>4</v>
          </cell>
          <cell r="F11">
            <v>5</v>
          </cell>
          <cell r="H11">
            <v>6</v>
          </cell>
          <cell r="J11">
            <v>7</v>
          </cell>
          <cell r="L11">
            <v>8</v>
          </cell>
          <cell r="N11">
            <v>9</v>
          </cell>
        </row>
        <row r="12">
          <cell r="K12" t="str">
            <v>Reforma (Mar-Sáb)</v>
          </cell>
        </row>
        <row r="18">
          <cell r="B18">
            <v>10</v>
          </cell>
          <cell r="D18">
            <v>11</v>
          </cell>
          <cell r="F18">
            <v>12</v>
          </cell>
          <cell r="H18">
            <v>13</v>
          </cell>
          <cell r="J18">
            <v>14</v>
          </cell>
          <cell r="L18">
            <v>15</v>
          </cell>
          <cell r="N18">
            <v>16</v>
          </cell>
        </row>
        <row r="19">
          <cell r="M19" t="str">
            <v>Reforma (Mar-Sáb)</v>
          </cell>
        </row>
        <row r="25">
          <cell r="B25">
            <v>17</v>
          </cell>
          <cell r="D25">
            <v>18</v>
          </cell>
          <cell r="F25">
            <v>19</v>
          </cell>
          <cell r="H25">
            <v>20</v>
          </cell>
          <cell r="J25">
            <v>21</v>
          </cell>
          <cell r="L25">
            <v>22</v>
          </cell>
          <cell r="N25">
            <v>23</v>
          </cell>
        </row>
        <row r="26">
          <cell r="I26" t="str">
            <v>Reforma (Mar-Sáb)</v>
          </cell>
        </row>
        <row r="32">
          <cell r="B32">
            <v>24</v>
          </cell>
          <cell r="D32">
            <v>25</v>
          </cell>
          <cell r="F32">
            <v>26</v>
          </cell>
          <cell r="H32">
            <v>27</v>
          </cell>
          <cell r="J32">
            <v>28</v>
          </cell>
          <cell r="L32">
            <v>29</v>
          </cell>
          <cell r="N32">
            <v>30</v>
          </cell>
        </row>
        <row r="33">
          <cell r="K33" t="str">
            <v>Reforma (Mar-Sáb)</v>
          </cell>
        </row>
        <row r="39">
          <cell r="B39">
            <v>31</v>
          </cell>
          <cell r="D39">
            <v>32</v>
          </cell>
          <cell r="F39">
            <v>33</v>
          </cell>
          <cell r="H39">
            <v>34</v>
          </cell>
          <cell r="J39">
            <v>35</v>
          </cell>
          <cell r="L39">
            <v>36</v>
          </cell>
          <cell r="N39">
            <v>37</v>
          </cell>
        </row>
        <row r="40">
          <cell r="M40" t="str">
            <v>Reforma (Mar-Sáb)</v>
          </cell>
        </row>
        <row r="46">
          <cell r="B46">
            <v>38</v>
          </cell>
          <cell r="D46">
            <v>1</v>
          </cell>
          <cell r="E46" t="str">
            <v>Agosto</v>
          </cell>
          <cell r="F46">
            <v>2</v>
          </cell>
          <cell r="H46">
            <v>3</v>
          </cell>
          <cell r="J46">
            <v>4</v>
          </cell>
          <cell r="L46">
            <v>5</v>
          </cell>
          <cell r="N46">
            <v>6</v>
          </cell>
        </row>
        <row r="47">
          <cell r="I47" t="str">
            <v>Reforma (Mar-Sáb)</v>
          </cell>
        </row>
      </sheetData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codigos"/>
      <sheetName val="2015 Netas"/>
      <sheetName val="Niveles"/>
      <sheetName val="Niveles (2)"/>
      <sheetName val="x - aBRIL"/>
      <sheetName val="Pauta"/>
      <sheetName val="Rating1"/>
      <sheetName val="COL"/>
      <sheetName val="Hoja1"/>
      <sheetName val="Hoja2"/>
      <sheetName val="Cuantificador_RM"/>
      <sheetName val="Cuantificador_TP"/>
      <sheetName val="2015_Netas"/>
      <sheetName val="Niveles_(2)"/>
      <sheetName val="x_-_aBRIL"/>
      <sheetName val="an-r"/>
      <sheetName val="ventas"/>
      <sheetName val="RATGA"/>
      <sheetName val="Cuantificador_RM1"/>
      <sheetName val="Cuantificador_TP1"/>
      <sheetName val="2015_Netas1"/>
      <sheetName val="Niveles_(2)1"/>
      <sheetName val="x_-_aBRIL1"/>
    </sheetNames>
    <sheetDataSet>
      <sheetData sheetId="0">
        <row r="4">
          <cell r="C4" t="str">
            <v>Zona</v>
          </cell>
        </row>
      </sheetData>
      <sheetData sheetId="1"/>
      <sheetData sheetId="2">
        <row r="4">
          <cell r="C4" t="str">
            <v>Zona</v>
          </cell>
        </row>
      </sheetData>
      <sheetData sheetId="3"/>
      <sheetData sheetId="4"/>
      <sheetData sheetId="5">
        <row r="4">
          <cell r="G4" t="str">
            <v>BLOQUES</v>
          </cell>
        </row>
      </sheetData>
      <sheetData sheetId="6"/>
      <sheetData sheetId="7"/>
      <sheetData sheetId="8"/>
      <sheetData sheetId="9"/>
      <sheetData sheetId="10">
        <row r="3">
          <cell r="H3" t="str">
            <v>0,243055555555556LMWJD</v>
          </cell>
        </row>
        <row r="5">
          <cell r="J5" t="str">
            <v>24 HORAS AL DIALMWJV</v>
          </cell>
          <cell r="K5">
            <v>1.782</v>
          </cell>
        </row>
        <row r="6">
          <cell r="J6" t="str">
            <v>24 HORAS AL DIAL</v>
          </cell>
          <cell r="K6">
            <v>2.31</v>
          </cell>
        </row>
        <row r="7">
          <cell r="J7" t="str">
            <v>24 HORAS AL DIAM</v>
          </cell>
          <cell r="K7">
            <v>1.37</v>
          </cell>
        </row>
        <row r="8">
          <cell r="J8" t="str">
            <v>24 HORAS AL DIAW</v>
          </cell>
          <cell r="K8">
            <v>1.41</v>
          </cell>
        </row>
        <row r="9">
          <cell r="J9" t="str">
            <v>24 HORAS AL DIAJ</v>
          </cell>
          <cell r="K9">
            <v>1.74</v>
          </cell>
        </row>
        <row r="10">
          <cell r="J10" t="str">
            <v>24 HORAS AL DIAV</v>
          </cell>
          <cell r="K10">
            <v>2.08</v>
          </cell>
        </row>
        <row r="12">
          <cell r="J12" t="str">
            <v>24 HORAS CENTRALMWJV</v>
          </cell>
          <cell r="K12">
            <v>3.5100000000000002</v>
          </cell>
        </row>
        <row r="13">
          <cell r="J13" t="str">
            <v>24 HORAS CENTRALLJV</v>
          </cell>
          <cell r="K13">
            <v>3.5266666666666668</v>
          </cell>
        </row>
        <row r="14">
          <cell r="J14" t="str">
            <v>24 HORAS CENTRALL</v>
          </cell>
          <cell r="K14">
            <v>3.4</v>
          </cell>
        </row>
        <row r="15">
          <cell r="J15" t="str">
            <v>24 HORAS CENTRALM</v>
          </cell>
          <cell r="K15">
            <v>3.38</v>
          </cell>
        </row>
        <row r="16">
          <cell r="J16" t="str">
            <v>24 HORAS CENTRALW</v>
          </cell>
          <cell r="K16">
            <v>3.59</v>
          </cell>
        </row>
        <row r="17">
          <cell r="J17" t="str">
            <v>24 HORAS CENTRALJ</v>
          </cell>
          <cell r="K17">
            <v>3.49</v>
          </cell>
        </row>
        <row r="18">
          <cell r="J18" t="str">
            <v>24 HORAS CENTRALV</v>
          </cell>
          <cell r="K18">
            <v>3.69</v>
          </cell>
        </row>
        <row r="19">
          <cell r="J19" t="str">
            <v>24 HORAS CENTRALMW</v>
          </cell>
          <cell r="K19">
            <v>3.4849999999999999</v>
          </cell>
        </row>
        <row r="21">
          <cell r="J21" t="str">
            <v>DOCTOR HOUSE L-V</v>
          </cell>
          <cell r="K21">
            <v>1.5639999999999998</v>
          </cell>
        </row>
        <row r="22">
          <cell r="J22" t="str">
            <v>DOCTOR HOUSE (R)M</v>
          </cell>
          <cell r="K22">
            <v>1.94</v>
          </cell>
        </row>
        <row r="23">
          <cell r="J23" t="str">
            <v>DOCTOR HOUSE (R)J</v>
          </cell>
          <cell r="K23">
            <v>1.94</v>
          </cell>
        </row>
        <row r="24">
          <cell r="J24" t="str">
            <v>DOCTOR HOUSE (R)W</v>
          </cell>
          <cell r="K24">
            <v>1.61</v>
          </cell>
        </row>
        <row r="25">
          <cell r="J25" t="str">
            <v>DOCTOR HOUSE (R)L</v>
          </cell>
          <cell r="K25">
            <v>1.44</v>
          </cell>
        </row>
        <row r="26">
          <cell r="J26" t="str">
            <v>DOCTOR HOUSE (R)V</v>
          </cell>
          <cell r="K26">
            <v>0.89</v>
          </cell>
        </row>
        <row r="28">
          <cell r="J28" t="str">
            <v>MOISES LOS 10 MANDAMIENTOSLMWJ</v>
          </cell>
          <cell r="K28">
            <v>6.0550000000000006</v>
          </cell>
        </row>
        <row r="29">
          <cell r="J29" t="str">
            <v>MOISES LOS 10 MANDAMIENTOSL</v>
          </cell>
          <cell r="K29">
            <v>6.79</v>
          </cell>
        </row>
        <row r="30">
          <cell r="J30" t="str">
            <v>MOISES LOS 10 MANDAMIENTOSM</v>
          </cell>
          <cell r="K30">
            <v>5.92</v>
          </cell>
        </row>
        <row r="31">
          <cell r="J31" t="str">
            <v>MOISES LOS 10 MANDAMIENTOSW</v>
          </cell>
          <cell r="K31">
            <v>5.64</v>
          </cell>
        </row>
        <row r="32">
          <cell r="J32" t="str">
            <v>MOISES LOS 10 MANDAMIENTOSJ</v>
          </cell>
          <cell r="K32">
            <v>5.87</v>
          </cell>
        </row>
      </sheetData>
      <sheetData sheetId="11">
        <row r="5">
          <cell r="C5">
            <v>5</v>
          </cell>
        </row>
      </sheetData>
      <sheetData sheetId="12">
        <row r="13">
          <cell r="D13" t="str">
            <v>SEG</v>
          </cell>
        </row>
      </sheetData>
      <sheetData sheetId="13"/>
      <sheetData sheetId="14"/>
      <sheetData sheetId="15">
        <row r="4">
          <cell r="G4" t="str">
            <v>BLOQUES</v>
          </cell>
        </row>
      </sheetData>
      <sheetData sheetId="16">
        <row r="4">
          <cell r="G4" t="str">
            <v>BLOQUES</v>
          </cell>
        </row>
      </sheetData>
      <sheetData sheetId="17">
        <row r="4">
          <cell r="G4" t="str">
            <v>BLOQUES</v>
          </cell>
        </row>
      </sheetData>
      <sheetData sheetId="18"/>
      <sheetData sheetId="19" refreshError="1"/>
      <sheetData sheetId="20" refreshError="1"/>
      <sheetData sheetId="21" refreshError="1"/>
      <sheetData sheetId="22"/>
      <sheetData sheetId="23"/>
      <sheetData sheetId="24">
        <row r="4">
          <cell r="G4" t="str">
            <v>BLOQUES</v>
          </cell>
        </row>
      </sheetData>
      <sheetData sheetId="25"/>
      <sheetData sheetId="2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a Prime 2330 1 spot"/>
      <sheetName val="Programa Prime 2330 2 spots"/>
      <sheetName val="Resumen (2)"/>
      <sheetName val="L-V 1200 a 1330 (2)"/>
      <sheetName val="L-V 1700 a 2000 (2)"/>
      <sheetName val="Hoja3"/>
      <sheetName val="Cronograma"/>
      <sheetName val="Resumen"/>
      <sheetName val="Auspicio resto auspiciadores"/>
      <sheetName val="Auspicio Base"/>
      <sheetName val="Tarifas Febrero 2013"/>
      <sheetName val="Detalle regiones"/>
      <sheetName val="regiones"/>
      <sheetName val="L-V 1200 a 1330"/>
      <sheetName val="L-V 1700 a 2000"/>
      <sheetName val="SAB 1100 a 1330"/>
      <sheetName val="SAB 1430 a 2100"/>
      <sheetName val="DOM  1130 a 1330"/>
      <sheetName val="DOM  1430 a 2100"/>
      <sheetName val="Ceremonia Inaugural"/>
      <sheetName val="Hoja1"/>
      <sheetName val="Ceremonia clausura"/>
      <sheetName val="Programa Prime 2230 a 2400"/>
      <sheetName val="MINUTO OLIMPICO"/>
      <sheetName val="CAPSULAS DEPORT TVN"/>
      <sheetName val="Pauta capsulas 24 horas"/>
      <sheetName val="rating JJOO londres"/>
      <sheetName val="Auspicio Básico"/>
      <sheetName val="Hoja2"/>
      <sheetName val="Programa_Prime_2330_1_spot"/>
      <sheetName val="Programa_Prime_2330_2_spots"/>
      <sheetName val="Resumen_(2)"/>
      <sheetName val="L-V_1200_a_1330_(2)"/>
      <sheetName val="L-V_1700_a_2000_(2)"/>
      <sheetName val="Auspicio_resto_auspiciadores"/>
      <sheetName val="Auspicio_Base"/>
      <sheetName val="Tarifas_Febrero_2013"/>
      <sheetName val="Detalle_regiones"/>
      <sheetName val="L-V_1200_a_1330"/>
      <sheetName val="L-V_1700_a_2000"/>
      <sheetName val="SAB_1100_a_1330"/>
      <sheetName val="SAB_1430_a_2100"/>
      <sheetName val="DOM__1130_a_1330"/>
      <sheetName val="DOM__1430_a_2100"/>
      <sheetName val="Ceremonia_Inaugural"/>
      <sheetName val="Ceremonia_clausura"/>
      <sheetName val="Programa_Prime_2230_a_2400"/>
      <sheetName val="MINUTO_OLIMPICO"/>
      <sheetName val="CAPSULAS_DEPORT_TVN"/>
      <sheetName val="Pauta_capsulas_24_horas"/>
      <sheetName val="rating_JJOO_londres"/>
      <sheetName val="Auspicio_Básico"/>
      <sheetName val="Programa_Prime_2330_1_spot2"/>
      <sheetName val="Programa_Prime_2330_2_spots2"/>
      <sheetName val="Resumen_(2)2"/>
      <sheetName val="L-V_1200_a_1330_(2)2"/>
      <sheetName val="L-V_1700_a_2000_(2)2"/>
      <sheetName val="Auspicio_resto_auspiciadores2"/>
      <sheetName val="Auspicio_Base2"/>
      <sheetName val="Tarifas_Febrero_20132"/>
      <sheetName val="Detalle_regiones2"/>
      <sheetName val="L-V_1200_a_13302"/>
      <sheetName val="L-V_1700_a_20002"/>
      <sheetName val="SAB_1100_a_13302"/>
      <sheetName val="SAB_1430_a_21002"/>
      <sheetName val="DOM__1130_a_13302"/>
      <sheetName val="DOM__1430_a_21002"/>
      <sheetName val="Ceremonia_Inaugural2"/>
      <sheetName val="Ceremonia_clausura2"/>
      <sheetName val="Programa_Prime_2230_a_24002"/>
      <sheetName val="MINUTO_OLIMPICO2"/>
      <sheetName val="CAPSULAS_DEPORT_TVN2"/>
      <sheetName val="Pauta_capsulas_24_horas2"/>
      <sheetName val="rating_JJOO_londres2"/>
      <sheetName val="Auspicio_Básico2"/>
      <sheetName val="Programa_Prime_2330_1_spot1"/>
      <sheetName val="Programa_Prime_2330_2_spots1"/>
      <sheetName val="Resumen_(2)1"/>
      <sheetName val="L-V_1200_a_1330_(2)1"/>
      <sheetName val="L-V_1700_a_2000_(2)1"/>
      <sheetName val="Auspicio_resto_auspiciadores1"/>
      <sheetName val="Auspicio_Base1"/>
      <sheetName val="Tarifas_Febrero_20131"/>
      <sheetName val="Detalle_regiones1"/>
      <sheetName val="L-V_1200_a_13301"/>
      <sheetName val="L-V_1700_a_20001"/>
      <sheetName val="SAB_1100_a_13301"/>
      <sheetName val="SAB_1430_a_21001"/>
      <sheetName val="DOM__1130_a_13301"/>
      <sheetName val="DOM__1430_a_21001"/>
      <sheetName val="Ceremonia_Inaugural1"/>
      <sheetName val="Ceremonia_clausura1"/>
      <sheetName val="Programa_Prime_2230_a_24001"/>
      <sheetName val="MINUTO_OLIMPICO1"/>
      <sheetName val="CAPSULAS_DEPORT_TVN1"/>
      <sheetName val="Pauta_capsulas_24_horas1"/>
      <sheetName val="rating_JJOO_londres1"/>
      <sheetName val="Auspicio_Básico1"/>
      <sheetName val="Programa_Prime_2330_1_spot3"/>
      <sheetName val="Programa_Prime_2330_2_spots3"/>
      <sheetName val="Resumen_(2)3"/>
      <sheetName val="L-V_1200_a_1330_(2)3"/>
      <sheetName val="L-V_1700_a_2000_(2)3"/>
      <sheetName val="Auspicio_resto_auspiciadores3"/>
      <sheetName val="Auspicio_Base3"/>
      <sheetName val="Tarifas_Febrero_20133"/>
      <sheetName val="Detalle_regiones3"/>
      <sheetName val="L-V_1200_a_13303"/>
      <sheetName val="L-V_1700_a_20003"/>
      <sheetName val="SAB_1100_a_13303"/>
      <sheetName val="SAB_1430_a_21003"/>
      <sheetName val="DOM__1130_a_13303"/>
      <sheetName val="DOM__1430_a_21003"/>
      <sheetName val="Ceremonia_Inaugural3"/>
      <sheetName val="Ceremonia_clausura3"/>
      <sheetName val="Programa_Prime_2230_a_24003"/>
      <sheetName val="MINUTO_OLIMPICO3"/>
      <sheetName val="CAPSULAS_DEPORT_TVN3"/>
      <sheetName val="Pauta_capsulas_24_horas3"/>
      <sheetName val="rating_JJOO_londres3"/>
      <sheetName val="Auspicio_Básico3"/>
      <sheetName val="Rat M25-64C2C3"/>
      <sheetName val="Rat H25-64ABCD"/>
      <sheetName val="Rat HM18-24ABC"/>
      <sheetName val="Rat HM25-49ABC1C2"/>
      <sheetName val="Rat HM25-64ABC"/>
      <sheetName val="Rat M25-64ABC"/>
      <sheetName val="Rat HM25-64ABCD"/>
      <sheetName val="RANGOS"/>
      <sheetName val="res rat"/>
      <sheetName val="Programa_Prime_2330_1_spot4"/>
      <sheetName val="Programa_Prime_2330_2_spots4"/>
      <sheetName val="Resumen_(2)4"/>
      <sheetName val="L-V_1200_a_1330_(2)4"/>
      <sheetName val="L-V_1700_a_2000_(2)4"/>
      <sheetName val="Auspicio_resto_auspiciadores4"/>
      <sheetName val="Auspicio_Base4"/>
      <sheetName val="Tarifas_Febrero_20134"/>
      <sheetName val="Detalle_regiones4"/>
      <sheetName val="L-V_1200_a_13304"/>
      <sheetName val="L-V_1700_a_20004"/>
      <sheetName val="SAB_1100_a_13304"/>
      <sheetName val="SAB_1430_a_21004"/>
      <sheetName val="DOM__1130_a_13304"/>
      <sheetName val="DOM__1430_a_21004"/>
      <sheetName val="Ceremonia_Inaugural4"/>
      <sheetName val="Ceremonia_clausura4"/>
      <sheetName val="Programa_Prime_2230_a_24004"/>
      <sheetName val="MINUTO_OLIMPICO4"/>
      <sheetName val="CAPSULAS_DEPORT_TVN4"/>
      <sheetName val="Pauta_capsulas_24_horas4"/>
      <sheetName val="rating_JJOO_londres4"/>
      <sheetName val="Auspicio_Básico4"/>
      <sheetName val="Rat_M25-64C2C3"/>
      <sheetName val="Rat_H25-64ABCD"/>
      <sheetName val="Rat_HM18-24ABC"/>
      <sheetName val="Rat_HM25-49ABC1C2"/>
      <sheetName val="Rat_HM25-64ABC"/>
      <sheetName val="Rat_M25-64ABC"/>
      <sheetName val="Rat_HM25-64ABCD"/>
      <sheetName val="res_rat"/>
      <sheetName val="Programa_Prime_2330_1_spot5"/>
      <sheetName val="Programa_Prime_2330_2_spots5"/>
      <sheetName val="Resumen_(2)5"/>
      <sheetName val="L-V_1200_a_1330_(2)5"/>
      <sheetName val="L-V_1700_a_2000_(2)5"/>
      <sheetName val="Auspicio_resto_auspiciadores5"/>
      <sheetName val="Auspicio_Base5"/>
      <sheetName val="Tarifas_Febrero_20135"/>
      <sheetName val="Detalle_regiones5"/>
      <sheetName val="L-V_1200_a_13305"/>
      <sheetName val="L-V_1700_a_20005"/>
      <sheetName val="SAB_1100_a_13305"/>
      <sheetName val="SAB_1430_a_21005"/>
      <sheetName val="DOM__1130_a_13305"/>
      <sheetName val="DOM__1430_a_21005"/>
      <sheetName val="Ceremonia_Inaugural5"/>
      <sheetName val="Ceremonia_clausura5"/>
      <sheetName val="Programa_Prime_2230_a_24005"/>
      <sheetName val="MINUTO_OLIMPICO5"/>
      <sheetName val="CAPSULAS_DEPORT_TVN5"/>
      <sheetName val="Pauta_capsulas_24_horas5"/>
      <sheetName val="rating_JJOO_londres5"/>
      <sheetName val="Auspicio_Básico5"/>
      <sheetName val="Rat_M25-64C2C31"/>
      <sheetName val="Rat_H25-64ABCD1"/>
      <sheetName val="Rat_HM18-24ABC1"/>
      <sheetName val="Rat_HM25-49ABC1C21"/>
      <sheetName val="Rat_HM25-64ABC1"/>
      <sheetName val="Rat_M25-64ABC1"/>
      <sheetName val="Rat_HM25-64ABCD1"/>
      <sheetName val="res_rat1"/>
      <sheetName val="Programa_Prime_2330_1_spot6"/>
      <sheetName val="Programa_Prime_2330_2_spots6"/>
      <sheetName val="Resumen_(2)6"/>
      <sheetName val="L-V_1200_a_1330_(2)6"/>
      <sheetName val="L-V_1700_a_2000_(2)6"/>
      <sheetName val="Auspicio_resto_auspiciadores6"/>
      <sheetName val="Auspicio_Base6"/>
      <sheetName val="Tarifas_Febrero_20136"/>
      <sheetName val="Detalle_regiones6"/>
      <sheetName val="L-V_1200_a_13306"/>
      <sheetName val="L-V_1700_a_20006"/>
      <sheetName val="SAB_1100_a_13306"/>
      <sheetName val="SAB_1430_a_21006"/>
      <sheetName val="DOM__1130_a_13306"/>
      <sheetName val="DOM__1430_a_21006"/>
      <sheetName val="Ceremonia_Inaugural6"/>
      <sheetName val="Ceremonia_clausura6"/>
      <sheetName val="Programa_Prime_2230_a_24006"/>
      <sheetName val="MINUTO_OLIMPICO6"/>
      <sheetName val="CAPSULAS_DEPORT_TVN6"/>
      <sheetName val="Pauta_capsulas_24_horas6"/>
      <sheetName val="rating_JJOO_londres6"/>
      <sheetName val="Auspicio_Básico6"/>
      <sheetName val="Rat_M25-64C2C32"/>
      <sheetName val="Rat_H25-64ABCD2"/>
      <sheetName val="Rat_HM18-24ABC2"/>
      <sheetName val="Rat_HM25-49ABC1C22"/>
      <sheetName val="Rat_HM25-64ABC2"/>
      <sheetName val="Rat_M25-64ABC2"/>
      <sheetName val="Rat_HM25-64ABCD2"/>
      <sheetName val="res_rat2"/>
      <sheetName val="Programa_Prime_2330_1_spot8"/>
      <sheetName val="Programa_Prime_2330_2_spots8"/>
      <sheetName val="Resumen_(2)8"/>
      <sheetName val="L-V_1200_a_1330_(2)8"/>
      <sheetName val="L-V_1700_a_2000_(2)8"/>
      <sheetName val="Auspicio_resto_auspiciadores8"/>
      <sheetName val="Auspicio_Base8"/>
      <sheetName val="Tarifas_Febrero_20138"/>
      <sheetName val="Detalle_regiones8"/>
      <sheetName val="L-V_1200_a_13308"/>
      <sheetName val="L-V_1700_a_20008"/>
      <sheetName val="SAB_1100_a_13308"/>
      <sheetName val="SAB_1430_a_21008"/>
      <sheetName val="DOM__1130_a_13308"/>
      <sheetName val="DOM__1430_a_21008"/>
      <sheetName val="Ceremonia_Inaugural8"/>
      <sheetName val="Ceremonia_clausura8"/>
      <sheetName val="Programa_Prime_2230_a_24008"/>
      <sheetName val="MINUTO_OLIMPICO8"/>
      <sheetName val="CAPSULAS_DEPORT_TVN8"/>
      <sheetName val="Pauta_capsulas_24_horas8"/>
      <sheetName val="rating_JJOO_londres8"/>
      <sheetName val="Auspicio_Básico8"/>
      <sheetName val="Rat_M25-64C2C34"/>
      <sheetName val="Rat_H25-64ABCD4"/>
      <sheetName val="Rat_HM18-24ABC4"/>
      <sheetName val="Rat_HM25-49ABC1C24"/>
      <sheetName val="Rat_HM25-64ABC4"/>
      <sheetName val="Rat_M25-64ABC4"/>
      <sheetName val="Rat_HM25-64ABCD4"/>
      <sheetName val="res_rat4"/>
      <sheetName val="Programa_Prime_2330_1_spot7"/>
      <sheetName val="Programa_Prime_2330_2_spots7"/>
      <sheetName val="Resumen_(2)7"/>
      <sheetName val="L-V_1200_a_1330_(2)7"/>
      <sheetName val="L-V_1700_a_2000_(2)7"/>
      <sheetName val="Auspicio_resto_auspiciadores7"/>
      <sheetName val="Auspicio_Base7"/>
      <sheetName val="Tarifas_Febrero_20137"/>
      <sheetName val="Detalle_regiones7"/>
      <sheetName val="L-V_1200_a_13307"/>
      <sheetName val="L-V_1700_a_20007"/>
      <sheetName val="SAB_1100_a_13307"/>
      <sheetName val="SAB_1430_a_21007"/>
      <sheetName val="DOM__1130_a_13307"/>
      <sheetName val="DOM__1430_a_21007"/>
      <sheetName val="Ceremonia_Inaugural7"/>
      <sheetName val="Ceremonia_clausura7"/>
      <sheetName val="Programa_Prime_2230_a_24007"/>
      <sheetName val="MINUTO_OLIMPICO7"/>
      <sheetName val="CAPSULAS_DEPORT_TVN7"/>
      <sheetName val="Pauta_capsulas_24_horas7"/>
      <sheetName val="rating_JJOO_londres7"/>
      <sheetName val="Auspicio_Básico7"/>
      <sheetName val="Rat_M25-64C2C33"/>
      <sheetName val="Rat_H25-64ABCD3"/>
      <sheetName val="Rat_HM18-24ABC3"/>
      <sheetName val="Rat_HM25-49ABC1C23"/>
      <sheetName val="Rat_HM25-64ABC3"/>
      <sheetName val="Rat_M25-64ABC3"/>
      <sheetName val="Rat_HM25-64ABCD3"/>
      <sheetName val="res_rat3"/>
      <sheetName val="Programa_Prime_2330_1_spot9"/>
      <sheetName val="Programa_Prime_2330_2_spots9"/>
      <sheetName val="Resumen_(2)9"/>
      <sheetName val="L-V_1200_a_1330_(2)9"/>
      <sheetName val="L-V_1700_a_2000_(2)9"/>
      <sheetName val="Auspicio_resto_auspiciadores9"/>
      <sheetName val="Auspicio_Base9"/>
      <sheetName val="Tarifas_Febrero_20139"/>
      <sheetName val="Detalle_regiones9"/>
      <sheetName val="L-V_1200_a_13309"/>
      <sheetName val="L-V_1700_a_20009"/>
      <sheetName val="SAB_1100_a_13309"/>
      <sheetName val="SAB_1430_a_21009"/>
      <sheetName val="DOM__1130_a_13309"/>
      <sheetName val="DOM__1430_a_21009"/>
      <sheetName val="Ceremonia_Inaugural9"/>
      <sheetName val="Ceremonia_clausura9"/>
      <sheetName val="Programa_Prime_2230_a_24009"/>
      <sheetName val="MINUTO_OLIMPICO9"/>
      <sheetName val="CAPSULAS_DEPORT_TVN9"/>
      <sheetName val="Pauta_capsulas_24_horas9"/>
      <sheetName val="rating_JJOO_londres9"/>
      <sheetName val="Auspicio_Básico9"/>
      <sheetName val="Rat_M25-64C2C35"/>
      <sheetName val="Rat_H25-64ABCD5"/>
      <sheetName val="Rat_HM18-24ABC5"/>
      <sheetName val="Rat_HM25-49ABC1C25"/>
      <sheetName val="Rat_HM25-64ABC5"/>
      <sheetName val="Rat_M25-64ABC5"/>
      <sheetName val="Rat_HM25-64ABCD5"/>
      <sheetName val="res_rat5"/>
      <sheetName val="Programa_Prime_2330_1_spot10"/>
      <sheetName val="Programa_Prime_2330_2_spots10"/>
      <sheetName val="Resumen_(2)10"/>
      <sheetName val="L-V_1200_a_1330_(2)10"/>
      <sheetName val="L-V_1700_a_2000_(2)10"/>
      <sheetName val="Auspicio_resto_auspiciadores10"/>
      <sheetName val="Auspicio_Base10"/>
      <sheetName val="Tarifas_Febrero_201310"/>
      <sheetName val="Detalle_regiones10"/>
      <sheetName val="L-V_1200_a_133010"/>
      <sheetName val="L-V_1700_a_200010"/>
      <sheetName val="SAB_1100_a_133010"/>
      <sheetName val="SAB_1430_a_210010"/>
      <sheetName val="DOM__1130_a_133010"/>
      <sheetName val="DOM__1430_a_210010"/>
      <sheetName val="Ceremonia_Inaugural10"/>
      <sheetName val="Ceremonia_clausura10"/>
      <sheetName val="Programa_Prime_2230_a_240010"/>
      <sheetName val="MINUTO_OLIMPICO10"/>
      <sheetName val="CAPSULAS_DEPORT_TVN10"/>
      <sheetName val="Pauta_capsulas_24_horas10"/>
      <sheetName val="rating_JJOO_londres10"/>
      <sheetName val="Auspicio_Básico10"/>
      <sheetName val="Rat_M25-64C2C36"/>
      <sheetName val="Rat_H25-64ABCD6"/>
      <sheetName val="Rat_HM18-24ABC6"/>
      <sheetName val="Rat_HM25-49ABC1C26"/>
      <sheetName val="Rat_HM25-64ABC6"/>
      <sheetName val="Rat_M25-64ABC6"/>
      <sheetName val="Rat_HM25-64ABCD6"/>
      <sheetName val="res_ra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B3">
            <v>0</v>
          </cell>
          <cell r="C3">
            <v>1000</v>
          </cell>
          <cell r="D3">
            <v>2000</v>
          </cell>
          <cell r="E3">
            <v>2000</v>
          </cell>
          <cell r="F3">
            <v>3000</v>
          </cell>
          <cell r="G3">
            <v>3000</v>
          </cell>
          <cell r="H3">
            <v>3000</v>
          </cell>
          <cell r="I3">
            <v>0</v>
          </cell>
          <cell r="J3">
            <v>0</v>
          </cell>
          <cell r="K3">
            <v>1000</v>
          </cell>
          <cell r="L3">
            <v>2000</v>
          </cell>
          <cell r="M3">
            <v>3000</v>
          </cell>
          <cell r="N3">
            <v>3000</v>
          </cell>
          <cell r="O3">
            <v>3000</v>
          </cell>
          <cell r="P3">
            <v>4000</v>
          </cell>
          <cell r="Q3">
            <v>0</v>
          </cell>
          <cell r="R3">
            <v>0</v>
          </cell>
          <cell r="S3">
            <v>1000</v>
          </cell>
          <cell r="T3">
            <v>1000</v>
          </cell>
          <cell r="U3">
            <v>2000</v>
          </cell>
          <cell r="V3">
            <v>2000</v>
          </cell>
          <cell r="W3">
            <v>2000</v>
          </cell>
          <cell r="X3">
            <v>2000</v>
          </cell>
          <cell r="Y3">
            <v>0</v>
          </cell>
          <cell r="Z3">
            <v>0</v>
          </cell>
          <cell r="AA3">
            <v>2000</v>
          </cell>
          <cell r="AB3">
            <v>3000</v>
          </cell>
          <cell r="AC3">
            <v>3000</v>
          </cell>
          <cell r="AD3">
            <v>4000</v>
          </cell>
          <cell r="AE3">
            <v>4000</v>
          </cell>
          <cell r="AF3">
            <v>4000</v>
          </cell>
          <cell r="AG3">
            <v>0</v>
          </cell>
          <cell r="AH3">
            <v>0</v>
          </cell>
          <cell r="AI3">
            <v>1000</v>
          </cell>
          <cell r="AJ3">
            <v>2000</v>
          </cell>
          <cell r="AK3">
            <v>2000</v>
          </cell>
          <cell r="AL3">
            <v>2000</v>
          </cell>
          <cell r="AM3">
            <v>2000</v>
          </cell>
          <cell r="AN3">
            <v>3000</v>
          </cell>
          <cell r="AO3">
            <v>0</v>
          </cell>
          <cell r="AP3">
            <v>0</v>
          </cell>
          <cell r="AQ3">
            <v>3000</v>
          </cell>
          <cell r="AR3">
            <v>4000</v>
          </cell>
          <cell r="AS3">
            <v>5000</v>
          </cell>
          <cell r="AT3">
            <v>6000</v>
          </cell>
          <cell r="AU3">
            <v>6000</v>
          </cell>
          <cell r="AV3">
            <v>7000</v>
          </cell>
          <cell r="AW3">
            <v>0</v>
          </cell>
          <cell r="AX3">
            <v>0</v>
          </cell>
          <cell r="AY3">
            <v>4000</v>
          </cell>
          <cell r="AZ3">
            <v>7000</v>
          </cell>
          <cell r="BA3">
            <v>9000</v>
          </cell>
          <cell r="BB3">
            <v>10000</v>
          </cell>
          <cell r="BC3">
            <v>11000</v>
          </cell>
          <cell r="BD3">
            <v>11000</v>
          </cell>
        </row>
        <row r="4">
          <cell r="B4">
            <v>1</v>
          </cell>
          <cell r="C4">
            <v>1000</v>
          </cell>
          <cell r="D4">
            <v>2000</v>
          </cell>
          <cell r="E4">
            <v>3000</v>
          </cell>
          <cell r="F4">
            <v>3000</v>
          </cell>
          <cell r="G4">
            <v>3000</v>
          </cell>
          <cell r="H4">
            <v>3000</v>
          </cell>
          <cell r="I4">
            <v>0</v>
          </cell>
          <cell r="J4">
            <v>1</v>
          </cell>
          <cell r="K4">
            <v>2000</v>
          </cell>
          <cell r="L4">
            <v>3000</v>
          </cell>
          <cell r="M4">
            <v>4000</v>
          </cell>
          <cell r="N4">
            <v>4000</v>
          </cell>
          <cell r="O4">
            <v>4000</v>
          </cell>
          <cell r="P4">
            <v>4000</v>
          </cell>
          <cell r="Q4">
            <v>0</v>
          </cell>
          <cell r="R4">
            <v>1</v>
          </cell>
          <cell r="S4">
            <v>1000</v>
          </cell>
          <cell r="T4">
            <v>2000</v>
          </cell>
          <cell r="U4">
            <v>2000</v>
          </cell>
          <cell r="V4">
            <v>2000</v>
          </cell>
          <cell r="W4">
            <v>3000</v>
          </cell>
          <cell r="X4">
            <v>3000</v>
          </cell>
          <cell r="Y4">
            <v>0</v>
          </cell>
          <cell r="Z4">
            <v>1</v>
          </cell>
          <cell r="AA4">
            <v>2000</v>
          </cell>
          <cell r="AB4">
            <v>3000</v>
          </cell>
          <cell r="AC4">
            <v>4000</v>
          </cell>
          <cell r="AD4">
            <v>4000</v>
          </cell>
          <cell r="AE4">
            <v>5000</v>
          </cell>
          <cell r="AF4">
            <v>5000</v>
          </cell>
          <cell r="AG4">
            <v>0</v>
          </cell>
          <cell r="AH4">
            <v>1</v>
          </cell>
          <cell r="AI4">
            <v>1000</v>
          </cell>
          <cell r="AJ4">
            <v>2000</v>
          </cell>
          <cell r="AK4">
            <v>3000</v>
          </cell>
          <cell r="AL4">
            <v>3000</v>
          </cell>
          <cell r="AM4">
            <v>3000</v>
          </cell>
          <cell r="AN4">
            <v>3000</v>
          </cell>
          <cell r="AO4">
            <v>0</v>
          </cell>
          <cell r="AP4">
            <v>1</v>
          </cell>
          <cell r="AQ4">
            <v>3000</v>
          </cell>
          <cell r="AR4">
            <v>6000</v>
          </cell>
          <cell r="AS4">
            <v>7000</v>
          </cell>
          <cell r="AT4">
            <v>7000</v>
          </cell>
          <cell r="AU4">
            <v>8000</v>
          </cell>
          <cell r="AV4">
            <v>9000</v>
          </cell>
          <cell r="AW4">
            <v>0</v>
          </cell>
          <cell r="AX4">
            <v>1</v>
          </cell>
          <cell r="AY4">
            <v>5000</v>
          </cell>
          <cell r="AZ4">
            <v>9000</v>
          </cell>
          <cell r="BA4">
            <v>11000</v>
          </cell>
          <cell r="BB4">
            <v>12000</v>
          </cell>
          <cell r="BC4">
            <v>13000</v>
          </cell>
          <cell r="BD4">
            <v>14000</v>
          </cell>
        </row>
        <row r="5">
          <cell r="B5">
            <v>2</v>
          </cell>
          <cell r="C5">
            <v>2000</v>
          </cell>
          <cell r="D5">
            <v>3000</v>
          </cell>
          <cell r="E5">
            <v>3000</v>
          </cell>
          <cell r="F5">
            <v>4000</v>
          </cell>
          <cell r="G5">
            <v>4000</v>
          </cell>
          <cell r="H5">
            <v>4000</v>
          </cell>
          <cell r="I5">
            <v>0</v>
          </cell>
          <cell r="J5">
            <v>2</v>
          </cell>
          <cell r="K5">
            <v>2000</v>
          </cell>
          <cell r="L5">
            <v>4000</v>
          </cell>
          <cell r="M5">
            <v>4000</v>
          </cell>
          <cell r="N5">
            <v>5000</v>
          </cell>
          <cell r="O5">
            <v>5000</v>
          </cell>
          <cell r="P5">
            <v>6000</v>
          </cell>
          <cell r="Q5">
            <v>0</v>
          </cell>
          <cell r="R5">
            <v>2</v>
          </cell>
          <cell r="S5">
            <v>1000</v>
          </cell>
          <cell r="T5">
            <v>2000</v>
          </cell>
          <cell r="U5">
            <v>3000</v>
          </cell>
          <cell r="V5">
            <v>3000</v>
          </cell>
          <cell r="W5">
            <v>3000</v>
          </cell>
          <cell r="X5">
            <v>3000</v>
          </cell>
          <cell r="Y5">
            <v>0</v>
          </cell>
          <cell r="Z5">
            <v>2</v>
          </cell>
          <cell r="AA5">
            <v>2000</v>
          </cell>
          <cell r="AB5">
            <v>4000</v>
          </cell>
          <cell r="AC5">
            <v>5000</v>
          </cell>
          <cell r="AD5">
            <v>6000</v>
          </cell>
          <cell r="AE5">
            <v>6000</v>
          </cell>
          <cell r="AF5">
            <v>6000</v>
          </cell>
          <cell r="AG5">
            <v>0</v>
          </cell>
          <cell r="AH5">
            <v>2</v>
          </cell>
          <cell r="AI5">
            <v>1000</v>
          </cell>
          <cell r="AJ5">
            <v>3000</v>
          </cell>
          <cell r="AK5">
            <v>3000</v>
          </cell>
          <cell r="AL5">
            <v>3000</v>
          </cell>
          <cell r="AM5">
            <v>4000</v>
          </cell>
          <cell r="AN5">
            <v>4000</v>
          </cell>
          <cell r="AO5">
            <v>0</v>
          </cell>
          <cell r="AP5">
            <v>2</v>
          </cell>
          <cell r="AQ5">
            <v>4000</v>
          </cell>
          <cell r="AR5">
            <v>7000</v>
          </cell>
          <cell r="AS5">
            <v>8000</v>
          </cell>
          <cell r="AT5">
            <v>9000</v>
          </cell>
          <cell r="AU5">
            <v>10000</v>
          </cell>
          <cell r="AV5">
            <v>11000</v>
          </cell>
          <cell r="AW5">
            <v>0</v>
          </cell>
          <cell r="AX5">
            <v>2</v>
          </cell>
          <cell r="AY5">
            <v>6000</v>
          </cell>
          <cell r="AZ5">
            <v>12000</v>
          </cell>
          <cell r="BA5">
            <v>13000</v>
          </cell>
          <cell r="BB5">
            <v>15000</v>
          </cell>
          <cell r="BC5">
            <v>16000</v>
          </cell>
          <cell r="BD5">
            <v>17000</v>
          </cell>
        </row>
        <row r="6">
          <cell r="B6">
            <v>3</v>
          </cell>
          <cell r="C6">
            <v>2000</v>
          </cell>
          <cell r="D6">
            <v>3000</v>
          </cell>
          <cell r="E6">
            <v>4000</v>
          </cell>
          <cell r="F6">
            <v>4000</v>
          </cell>
          <cell r="G6">
            <v>5000</v>
          </cell>
          <cell r="H6">
            <v>5000</v>
          </cell>
          <cell r="I6">
            <v>0</v>
          </cell>
          <cell r="J6">
            <v>3</v>
          </cell>
          <cell r="K6">
            <v>3000</v>
          </cell>
          <cell r="L6">
            <v>4000</v>
          </cell>
          <cell r="M6">
            <v>5000</v>
          </cell>
          <cell r="N6">
            <v>6000</v>
          </cell>
          <cell r="O6">
            <v>6000</v>
          </cell>
          <cell r="P6">
            <v>7000</v>
          </cell>
          <cell r="Q6">
            <v>0</v>
          </cell>
          <cell r="R6">
            <v>3</v>
          </cell>
          <cell r="S6">
            <v>2000</v>
          </cell>
          <cell r="T6">
            <v>3000</v>
          </cell>
          <cell r="U6">
            <v>3000</v>
          </cell>
          <cell r="V6">
            <v>4000</v>
          </cell>
          <cell r="W6">
            <v>4000</v>
          </cell>
          <cell r="X6">
            <v>4000</v>
          </cell>
          <cell r="Y6">
            <v>0</v>
          </cell>
          <cell r="Z6">
            <v>3</v>
          </cell>
          <cell r="AA6">
            <v>3000</v>
          </cell>
          <cell r="AB6">
            <v>5000</v>
          </cell>
          <cell r="AC6">
            <v>6000</v>
          </cell>
          <cell r="AD6">
            <v>6000</v>
          </cell>
          <cell r="AE6">
            <v>7000</v>
          </cell>
          <cell r="AF6">
            <v>7000</v>
          </cell>
          <cell r="AG6">
            <v>0</v>
          </cell>
          <cell r="AH6">
            <v>3</v>
          </cell>
          <cell r="AI6">
            <v>2000</v>
          </cell>
          <cell r="AJ6">
            <v>3000</v>
          </cell>
          <cell r="AK6">
            <v>4000</v>
          </cell>
          <cell r="AL6">
            <v>4000</v>
          </cell>
          <cell r="AM6">
            <v>4000</v>
          </cell>
          <cell r="AN6">
            <v>5000</v>
          </cell>
          <cell r="AO6">
            <v>0</v>
          </cell>
          <cell r="AP6">
            <v>3</v>
          </cell>
          <cell r="AQ6">
            <v>5000</v>
          </cell>
          <cell r="AR6">
            <v>8000</v>
          </cell>
          <cell r="AS6">
            <v>10000</v>
          </cell>
          <cell r="AT6">
            <v>11000</v>
          </cell>
          <cell r="AU6">
            <v>12000</v>
          </cell>
          <cell r="AV6">
            <v>13000</v>
          </cell>
          <cell r="AW6">
            <v>0</v>
          </cell>
          <cell r="AX6">
            <v>3</v>
          </cell>
          <cell r="AY6">
            <v>8000</v>
          </cell>
          <cell r="AZ6">
            <v>14000</v>
          </cell>
          <cell r="BA6">
            <v>16000</v>
          </cell>
          <cell r="BB6">
            <v>18000</v>
          </cell>
          <cell r="BC6">
            <v>19000</v>
          </cell>
          <cell r="BD6">
            <v>20000</v>
          </cell>
        </row>
        <row r="7">
          <cell r="B7">
            <v>4</v>
          </cell>
          <cell r="C7">
            <v>2000</v>
          </cell>
          <cell r="D7">
            <v>4000</v>
          </cell>
          <cell r="E7">
            <v>4000</v>
          </cell>
          <cell r="F7">
            <v>5000</v>
          </cell>
          <cell r="G7">
            <v>5000</v>
          </cell>
          <cell r="H7">
            <v>6000</v>
          </cell>
          <cell r="I7">
            <v>0</v>
          </cell>
          <cell r="J7">
            <v>4</v>
          </cell>
          <cell r="K7">
            <v>3000</v>
          </cell>
          <cell r="L7">
            <v>5000</v>
          </cell>
          <cell r="M7">
            <v>6000</v>
          </cell>
          <cell r="N7">
            <v>6000</v>
          </cell>
          <cell r="O7">
            <v>7000</v>
          </cell>
          <cell r="P7">
            <v>7000</v>
          </cell>
          <cell r="Q7">
            <v>0</v>
          </cell>
          <cell r="R7">
            <v>4</v>
          </cell>
          <cell r="S7">
            <v>2000</v>
          </cell>
          <cell r="T7">
            <v>3000</v>
          </cell>
          <cell r="U7">
            <v>4000</v>
          </cell>
          <cell r="V7">
            <v>4000</v>
          </cell>
          <cell r="W7">
            <v>4000</v>
          </cell>
          <cell r="X7">
            <v>4000</v>
          </cell>
          <cell r="Y7">
            <v>0</v>
          </cell>
          <cell r="Z7">
            <v>4</v>
          </cell>
          <cell r="AA7">
            <v>3000</v>
          </cell>
          <cell r="AB7">
            <v>6000</v>
          </cell>
          <cell r="AC7">
            <v>6000</v>
          </cell>
          <cell r="AD7">
            <v>7000</v>
          </cell>
          <cell r="AE7">
            <v>8000</v>
          </cell>
          <cell r="AF7">
            <v>8000</v>
          </cell>
          <cell r="AG7">
            <v>0</v>
          </cell>
          <cell r="AH7">
            <v>4</v>
          </cell>
          <cell r="AI7">
            <v>2000</v>
          </cell>
          <cell r="AJ7">
            <v>3000</v>
          </cell>
          <cell r="AK7">
            <v>4000</v>
          </cell>
          <cell r="AL7">
            <v>4000</v>
          </cell>
          <cell r="AM7">
            <v>5000</v>
          </cell>
          <cell r="AN7">
            <v>5000</v>
          </cell>
          <cell r="AO7">
            <v>0</v>
          </cell>
          <cell r="AP7">
            <v>4</v>
          </cell>
          <cell r="AQ7">
            <v>5000</v>
          </cell>
          <cell r="AR7">
            <v>9000</v>
          </cell>
          <cell r="AS7">
            <v>11000</v>
          </cell>
          <cell r="AT7">
            <v>12000</v>
          </cell>
          <cell r="AU7">
            <v>13000</v>
          </cell>
          <cell r="AV7">
            <v>14000</v>
          </cell>
          <cell r="AW7">
            <v>0</v>
          </cell>
          <cell r="AX7">
            <v>4</v>
          </cell>
          <cell r="AY7">
            <v>8000</v>
          </cell>
          <cell r="AZ7">
            <v>15000</v>
          </cell>
          <cell r="BA7">
            <v>18000</v>
          </cell>
          <cell r="BB7">
            <v>19000</v>
          </cell>
          <cell r="BC7">
            <v>21000</v>
          </cell>
          <cell r="BD7">
            <v>22000</v>
          </cell>
        </row>
        <row r="8">
          <cell r="B8">
            <v>5</v>
          </cell>
          <cell r="C8">
            <v>2000</v>
          </cell>
          <cell r="D8">
            <v>4000</v>
          </cell>
          <cell r="E8">
            <v>5000</v>
          </cell>
          <cell r="F8">
            <v>5000</v>
          </cell>
          <cell r="G8">
            <v>6000</v>
          </cell>
          <cell r="H8">
            <v>6000</v>
          </cell>
          <cell r="I8">
            <v>0</v>
          </cell>
          <cell r="J8">
            <v>5</v>
          </cell>
          <cell r="K8">
            <v>3000</v>
          </cell>
          <cell r="L8">
            <v>5000</v>
          </cell>
          <cell r="M8">
            <v>6000</v>
          </cell>
          <cell r="N8">
            <v>7000</v>
          </cell>
          <cell r="O8">
            <v>8000</v>
          </cell>
          <cell r="P8">
            <v>8000</v>
          </cell>
          <cell r="Q8">
            <v>0</v>
          </cell>
          <cell r="R8">
            <v>5</v>
          </cell>
          <cell r="S8">
            <v>2000</v>
          </cell>
          <cell r="T8">
            <v>3000</v>
          </cell>
          <cell r="U8">
            <v>4000</v>
          </cell>
          <cell r="V8">
            <v>4000</v>
          </cell>
          <cell r="W8">
            <v>5000</v>
          </cell>
          <cell r="X8">
            <v>5000</v>
          </cell>
          <cell r="Y8">
            <v>0</v>
          </cell>
          <cell r="Z8">
            <v>5</v>
          </cell>
          <cell r="AA8">
            <v>3000</v>
          </cell>
          <cell r="AB8">
            <v>6000</v>
          </cell>
          <cell r="AC8">
            <v>7000</v>
          </cell>
          <cell r="AD8">
            <v>8000</v>
          </cell>
          <cell r="AE8">
            <v>9000</v>
          </cell>
          <cell r="AF8">
            <v>9000</v>
          </cell>
          <cell r="AG8">
            <v>0</v>
          </cell>
          <cell r="AH8">
            <v>5</v>
          </cell>
          <cell r="AI8">
            <v>2000</v>
          </cell>
          <cell r="AJ8">
            <v>4000</v>
          </cell>
          <cell r="AK8">
            <v>4000</v>
          </cell>
          <cell r="AL8">
            <v>5000</v>
          </cell>
          <cell r="AM8">
            <v>5000</v>
          </cell>
          <cell r="AN8">
            <v>6000</v>
          </cell>
          <cell r="AO8">
            <v>0</v>
          </cell>
          <cell r="AP8">
            <v>5</v>
          </cell>
          <cell r="AQ8">
            <v>6000</v>
          </cell>
          <cell r="AR8">
            <v>10000</v>
          </cell>
          <cell r="AS8">
            <v>12000</v>
          </cell>
          <cell r="AT8">
            <v>13000</v>
          </cell>
          <cell r="AU8">
            <v>15000</v>
          </cell>
          <cell r="AV8">
            <v>15000</v>
          </cell>
          <cell r="AW8">
            <v>0</v>
          </cell>
          <cell r="AX8">
            <v>5</v>
          </cell>
          <cell r="AY8">
            <v>9000</v>
          </cell>
          <cell r="AZ8">
            <v>16000</v>
          </cell>
          <cell r="BA8">
            <v>19000</v>
          </cell>
          <cell r="BB8">
            <v>21000</v>
          </cell>
          <cell r="BC8">
            <v>23000</v>
          </cell>
          <cell r="BD8">
            <v>25000</v>
          </cell>
        </row>
        <row r="9">
          <cell r="B9">
            <v>6</v>
          </cell>
          <cell r="C9">
            <v>3000</v>
          </cell>
          <cell r="D9">
            <v>4000</v>
          </cell>
          <cell r="E9">
            <v>5000</v>
          </cell>
          <cell r="F9">
            <v>6000</v>
          </cell>
          <cell r="G9">
            <v>6000</v>
          </cell>
          <cell r="H9">
            <v>7000</v>
          </cell>
          <cell r="I9">
            <v>0</v>
          </cell>
          <cell r="J9">
            <v>6</v>
          </cell>
          <cell r="K9">
            <v>3000</v>
          </cell>
          <cell r="L9">
            <v>6000</v>
          </cell>
          <cell r="M9">
            <v>7000</v>
          </cell>
          <cell r="N9">
            <v>8000</v>
          </cell>
          <cell r="O9">
            <v>8000</v>
          </cell>
          <cell r="P9">
            <v>9000</v>
          </cell>
          <cell r="Q9">
            <v>0</v>
          </cell>
          <cell r="R9">
            <v>6</v>
          </cell>
          <cell r="S9">
            <v>2000</v>
          </cell>
          <cell r="T9">
            <v>4000</v>
          </cell>
          <cell r="U9">
            <v>4000</v>
          </cell>
          <cell r="V9">
            <v>5000</v>
          </cell>
          <cell r="W9">
            <v>5000</v>
          </cell>
          <cell r="X9">
            <v>5000</v>
          </cell>
          <cell r="Y9">
            <v>0</v>
          </cell>
          <cell r="Z9">
            <v>6</v>
          </cell>
          <cell r="AA9">
            <v>4000</v>
          </cell>
          <cell r="AB9">
            <v>7000</v>
          </cell>
          <cell r="AC9">
            <v>8000</v>
          </cell>
          <cell r="AD9">
            <v>9000</v>
          </cell>
          <cell r="AE9">
            <v>9000</v>
          </cell>
          <cell r="AF9">
            <v>10000</v>
          </cell>
          <cell r="AG9">
            <v>0</v>
          </cell>
          <cell r="AH9">
            <v>6</v>
          </cell>
          <cell r="AI9">
            <v>2000</v>
          </cell>
          <cell r="AJ9">
            <v>4000</v>
          </cell>
          <cell r="AK9">
            <v>5000</v>
          </cell>
          <cell r="AL9">
            <v>5000</v>
          </cell>
          <cell r="AM9">
            <v>6000</v>
          </cell>
          <cell r="AN9">
            <v>6000</v>
          </cell>
          <cell r="AO9">
            <v>0</v>
          </cell>
          <cell r="AP9">
            <v>6</v>
          </cell>
          <cell r="AQ9">
            <v>6000</v>
          </cell>
          <cell r="AR9">
            <v>11000</v>
          </cell>
          <cell r="AS9">
            <v>13000</v>
          </cell>
          <cell r="AT9">
            <v>15000</v>
          </cell>
          <cell r="AU9">
            <v>16000</v>
          </cell>
          <cell r="AV9">
            <v>17000</v>
          </cell>
          <cell r="AW9">
            <v>0</v>
          </cell>
          <cell r="AX9">
            <v>6</v>
          </cell>
          <cell r="AY9">
            <v>10000</v>
          </cell>
          <cell r="AZ9">
            <v>18000</v>
          </cell>
          <cell r="BA9">
            <v>21000</v>
          </cell>
          <cell r="BB9">
            <v>23000</v>
          </cell>
          <cell r="BC9">
            <v>26000</v>
          </cell>
          <cell r="BD9">
            <v>27000</v>
          </cell>
        </row>
        <row r="10">
          <cell r="B10">
            <v>7</v>
          </cell>
          <cell r="C10">
            <v>3000</v>
          </cell>
          <cell r="D10">
            <v>5000</v>
          </cell>
          <cell r="E10">
            <v>6000</v>
          </cell>
          <cell r="F10">
            <v>6000</v>
          </cell>
          <cell r="G10">
            <v>7000</v>
          </cell>
          <cell r="H10">
            <v>7000</v>
          </cell>
          <cell r="I10">
            <v>0</v>
          </cell>
          <cell r="J10">
            <v>7</v>
          </cell>
          <cell r="K10">
            <v>4000</v>
          </cell>
          <cell r="L10">
            <v>6000</v>
          </cell>
          <cell r="M10">
            <v>8000</v>
          </cell>
          <cell r="N10">
            <v>8000</v>
          </cell>
          <cell r="O10">
            <v>9000</v>
          </cell>
          <cell r="P10">
            <v>10000</v>
          </cell>
          <cell r="Q10">
            <v>0</v>
          </cell>
          <cell r="R10">
            <v>7</v>
          </cell>
          <cell r="S10">
            <v>2000</v>
          </cell>
          <cell r="T10">
            <v>4000</v>
          </cell>
          <cell r="U10">
            <v>5000</v>
          </cell>
          <cell r="V10">
            <v>5000</v>
          </cell>
          <cell r="W10">
            <v>6000</v>
          </cell>
          <cell r="X10">
            <v>6000</v>
          </cell>
          <cell r="Y10">
            <v>0</v>
          </cell>
          <cell r="Z10">
            <v>7</v>
          </cell>
          <cell r="AA10">
            <v>4000</v>
          </cell>
          <cell r="AB10">
            <v>7000</v>
          </cell>
          <cell r="AC10">
            <v>8000</v>
          </cell>
          <cell r="AD10">
            <v>9000</v>
          </cell>
          <cell r="AE10">
            <v>10000</v>
          </cell>
          <cell r="AF10">
            <v>11000</v>
          </cell>
          <cell r="AG10">
            <v>0</v>
          </cell>
          <cell r="AH10">
            <v>7</v>
          </cell>
          <cell r="AI10">
            <v>3000</v>
          </cell>
          <cell r="AJ10">
            <v>5000</v>
          </cell>
          <cell r="AK10">
            <v>5000</v>
          </cell>
          <cell r="AL10">
            <v>6000</v>
          </cell>
          <cell r="AM10">
            <v>7000</v>
          </cell>
          <cell r="AN10">
            <v>7000</v>
          </cell>
          <cell r="AO10">
            <v>0</v>
          </cell>
          <cell r="AP10">
            <v>7</v>
          </cell>
          <cell r="AQ10">
            <v>7000</v>
          </cell>
          <cell r="AR10">
            <v>12000</v>
          </cell>
          <cell r="AS10">
            <v>14000</v>
          </cell>
          <cell r="AT10">
            <v>16000</v>
          </cell>
          <cell r="AU10">
            <v>18000</v>
          </cell>
          <cell r="AV10">
            <v>18000</v>
          </cell>
          <cell r="AW10">
            <v>0</v>
          </cell>
          <cell r="AX10">
            <v>7</v>
          </cell>
          <cell r="AY10">
            <v>11000</v>
          </cell>
          <cell r="AZ10">
            <v>20000</v>
          </cell>
          <cell r="BA10">
            <v>23000</v>
          </cell>
          <cell r="BB10">
            <v>26000</v>
          </cell>
          <cell r="BC10">
            <v>28000</v>
          </cell>
          <cell r="BD10">
            <v>30000</v>
          </cell>
        </row>
        <row r="11">
          <cell r="B11">
            <v>8</v>
          </cell>
          <cell r="C11">
            <v>3000</v>
          </cell>
          <cell r="D11">
            <v>6000</v>
          </cell>
          <cell r="E11">
            <v>6000</v>
          </cell>
          <cell r="F11">
            <v>7000</v>
          </cell>
          <cell r="G11">
            <v>8000</v>
          </cell>
          <cell r="H11">
            <v>8000</v>
          </cell>
          <cell r="I11">
            <v>0</v>
          </cell>
          <cell r="J11">
            <v>8</v>
          </cell>
          <cell r="K11">
            <v>4000</v>
          </cell>
          <cell r="L11">
            <v>7000</v>
          </cell>
          <cell r="M11">
            <v>8000</v>
          </cell>
          <cell r="N11">
            <v>9000</v>
          </cell>
          <cell r="O11">
            <v>10000</v>
          </cell>
          <cell r="P11">
            <v>11000</v>
          </cell>
          <cell r="Q11">
            <v>0</v>
          </cell>
          <cell r="R11">
            <v>8</v>
          </cell>
          <cell r="S11">
            <v>3000</v>
          </cell>
          <cell r="T11">
            <v>4000</v>
          </cell>
          <cell r="U11">
            <v>5000</v>
          </cell>
          <cell r="V11">
            <v>6000</v>
          </cell>
          <cell r="W11">
            <v>6000</v>
          </cell>
          <cell r="X11">
            <v>7000</v>
          </cell>
          <cell r="Y11">
            <v>0</v>
          </cell>
          <cell r="Z11">
            <v>8</v>
          </cell>
          <cell r="AA11">
            <v>4000</v>
          </cell>
          <cell r="AB11">
            <v>8000</v>
          </cell>
          <cell r="AC11">
            <v>9000</v>
          </cell>
          <cell r="AD11">
            <v>10000</v>
          </cell>
          <cell r="AE11">
            <v>11000</v>
          </cell>
          <cell r="AF11">
            <v>12000</v>
          </cell>
          <cell r="AG11">
            <v>0</v>
          </cell>
          <cell r="AH11">
            <v>8</v>
          </cell>
          <cell r="AI11">
            <v>3000</v>
          </cell>
          <cell r="AJ11">
            <v>5000</v>
          </cell>
          <cell r="AK11">
            <v>6000</v>
          </cell>
          <cell r="AL11">
            <v>6000</v>
          </cell>
          <cell r="AM11">
            <v>7000</v>
          </cell>
          <cell r="AN11">
            <v>8000</v>
          </cell>
          <cell r="AO11">
            <v>0</v>
          </cell>
          <cell r="AP11">
            <v>8</v>
          </cell>
          <cell r="AQ11">
            <v>8000</v>
          </cell>
          <cell r="AR11">
            <v>14000</v>
          </cell>
          <cell r="AS11">
            <v>16000</v>
          </cell>
          <cell r="AT11">
            <v>18000</v>
          </cell>
          <cell r="AU11">
            <v>19000</v>
          </cell>
          <cell r="AV11">
            <v>20000</v>
          </cell>
          <cell r="AW11">
            <v>0</v>
          </cell>
          <cell r="AX11">
            <v>8</v>
          </cell>
          <cell r="AY11">
            <v>12000</v>
          </cell>
          <cell r="AZ11">
            <v>22000</v>
          </cell>
          <cell r="BA11">
            <v>26000</v>
          </cell>
          <cell r="BB11">
            <v>28000</v>
          </cell>
          <cell r="BC11">
            <v>31000</v>
          </cell>
          <cell r="BD11">
            <v>33000</v>
          </cell>
        </row>
        <row r="12">
          <cell r="B12">
            <v>9</v>
          </cell>
          <cell r="C12">
            <v>3000</v>
          </cell>
          <cell r="D12">
            <v>6000</v>
          </cell>
          <cell r="E12">
            <v>7000</v>
          </cell>
          <cell r="F12">
            <v>8000</v>
          </cell>
          <cell r="G12">
            <v>9000</v>
          </cell>
          <cell r="H12">
            <v>9000</v>
          </cell>
          <cell r="I12">
            <v>0</v>
          </cell>
          <cell r="J12">
            <v>9</v>
          </cell>
          <cell r="K12">
            <v>4000</v>
          </cell>
          <cell r="L12">
            <v>8000</v>
          </cell>
          <cell r="M12">
            <v>9000</v>
          </cell>
          <cell r="N12">
            <v>10000</v>
          </cell>
          <cell r="O12">
            <v>11000</v>
          </cell>
          <cell r="P12">
            <v>12000</v>
          </cell>
          <cell r="Q12">
            <v>0</v>
          </cell>
          <cell r="R12">
            <v>9</v>
          </cell>
          <cell r="S12">
            <v>3000</v>
          </cell>
          <cell r="T12">
            <v>5000</v>
          </cell>
          <cell r="U12">
            <v>6000</v>
          </cell>
          <cell r="V12">
            <v>6000</v>
          </cell>
          <cell r="W12">
            <v>7000</v>
          </cell>
          <cell r="X12">
            <v>7000</v>
          </cell>
          <cell r="Y12">
            <v>0</v>
          </cell>
          <cell r="Z12">
            <v>9</v>
          </cell>
          <cell r="AA12">
            <v>5000</v>
          </cell>
          <cell r="AB12">
            <v>9000</v>
          </cell>
          <cell r="AC12">
            <v>10000</v>
          </cell>
          <cell r="AD12">
            <v>11000</v>
          </cell>
          <cell r="AE12">
            <v>13000</v>
          </cell>
          <cell r="AF12">
            <v>13000</v>
          </cell>
          <cell r="AG12">
            <v>0</v>
          </cell>
          <cell r="AH12">
            <v>9</v>
          </cell>
          <cell r="AI12">
            <v>3000</v>
          </cell>
          <cell r="AJ12">
            <v>6000</v>
          </cell>
          <cell r="AK12">
            <v>6000</v>
          </cell>
          <cell r="AL12">
            <v>7000</v>
          </cell>
          <cell r="AM12">
            <v>8000</v>
          </cell>
          <cell r="AN12">
            <v>8000</v>
          </cell>
          <cell r="AO12">
            <v>0</v>
          </cell>
          <cell r="AP12">
            <v>9</v>
          </cell>
          <cell r="AQ12">
            <v>8000</v>
          </cell>
          <cell r="AR12">
            <v>15000</v>
          </cell>
          <cell r="AS12">
            <v>17000</v>
          </cell>
          <cell r="AT12">
            <v>19000</v>
          </cell>
          <cell r="AU12">
            <v>21000</v>
          </cell>
          <cell r="AV12">
            <v>22000</v>
          </cell>
          <cell r="AW12">
            <v>0</v>
          </cell>
          <cell r="AX12">
            <v>9</v>
          </cell>
          <cell r="AY12">
            <v>13000</v>
          </cell>
          <cell r="AZ12">
            <v>24000</v>
          </cell>
          <cell r="BA12">
            <v>28000</v>
          </cell>
          <cell r="BB12">
            <v>31000</v>
          </cell>
          <cell r="BC12">
            <v>34000</v>
          </cell>
          <cell r="BD12">
            <v>36000</v>
          </cell>
        </row>
        <row r="13">
          <cell r="B13">
            <v>10</v>
          </cell>
          <cell r="C13">
            <v>4000</v>
          </cell>
          <cell r="D13">
            <v>7000</v>
          </cell>
          <cell r="E13">
            <v>8000</v>
          </cell>
          <cell r="F13">
            <v>9000</v>
          </cell>
          <cell r="G13">
            <v>9000</v>
          </cell>
          <cell r="H13">
            <v>10000</v>
          </cell>
          <cell r="I13">
            <v>0</v>
          </cell>
          <cell r="J13">
            <v>10</v>
          </cell>
          <cell r="K13">
            <v>5000</v>
          </cell>
          <cell r="L13">
            <v>9000</v>
          </cell>
          <cell r="M13">
            <v>10000</v>
          </cell>
          <cell r="N13">
            <v>11000</v>
          </cell>
          <cell r="O13">
            <v>12000</v>
          </cell>
          <cell r="P13">
            <v>13000</v>
          </cell>
          <cell r="Q13">
            <v>0</v>
          </cell>
          <cell r="R13">
            <v>10</v>
          </cell>
          <cell r="S13">
            <v>3000</v>
          </cell>
          <cell r="T13">
            <v>5000</v>
          </cell>
          <cell r="U13">
            <v>6000</v>
          </cell>
          <cell r="V13">
            <v>7000</v>
          </cell>
          <cell r="W13">
            <v>8000</v>
          </cell>
          <cell r="X13">
            <v>8000</v>
          </cell>
          <cell r="Y13">
            <v>0</v>
          </cell>
          <cell r="Z13">
            <v>10</v>
          </cell>
          <cell r="AA13">
            <v>5000</v>
          </cell>
          <cell r="AB13">
            <v>10000</v>
          </cell>
          <cell r="AC13">
            <v>11000</v>
          </cell>
          <cell r="AD13">
            <v>13000</v>
          </cell>
          <cell r="AE13">
            <v>14000</v>
          </cell>
          <cell r="AF13">
            <v>15000</v>
          </cell>
          <cell r="AG13">
            <v>0</v>
          </cell>
          <cell r="AH13">
            <v>10</v>
          </cell>
          <cell r="AI13">
            <v>3000</v>
          </cell>
          <cell r="AJ13">
            <v>6000</v>
          </cell>
          <cell r="AK13">
            <v>7000</v>
          </cell>
          <cell r="AL13">
            <v>8000</v>
          </cell>
          <cell r="AM13">
            <v>9000</v>
          </cell>
          <cell r="AN13">
            <v>9000</v>
          </cell>
          <cell r="AO13">
            <v>0</v>
          </cell>
          <cell r="AP13">
            <v>10</v>
          </cell>
          <cell r="AQ13">
            <v>9000</v>
          </cell>
          <cell r="AR13">
            <v>16000</v>
          </cell>
          <cell r="AS13">
            <v>19000</v>
          </cell>
          <cell r="AT13">
            <v>21000</v>
          </cell>
          <cell r="AU13">
            <v>23000</v>
          </cell>
          <cell r="AV13">
            <v>25000</v>
          </cell>
          <cell r="AW13">
            <v>0</v>
          </cell>
          <cell r="AX13">
            <v>10</v>
          </cell>
          <cell r="AY13">
            <v>15000</v>
          </cell>
          <cell r="AZ13">
            <v>26000</v>
          </cell>
          <cell r="BA13">
            <v>31000</v>
          </cell>
          <cell r="BB13">
            <v>34000</v>
          </cell>
          <cell r="BC13">
            <v>38000</v>
          </cell>
          <cell r="BD13">
            <v>40000</v>
          </cell>
        </row>
        <row r="14">
          <cell r="B14">
            <v>11</v>
          </cell>
          <cell r="C14">
            <v>4000</v>
          </cell>
          <cell r="D14">
            <v>7000</v>
          </cell>
          <cell r="E14">
            <v>9000</v>
          </cell>
          <cell r="F14">
            <v>9000</v>
          </cell>
          <cell r="G14">
            <v>10000</v>
          </cell>
          <cell r="H14">
            <v>11000</v>
          </cell>
          <cell r="I14">
            <v>0</v>
          </cell>
          <cell r="J14">
            <v>11</v>
          </cell>
          <cell r="K14">
            <v>5000</v>
          </cell>
          <cell r="L14">
            <v>9000</v>
          </cell>
          <cell r="M14">
            <v>11000</v>
          </cell>
          <cell r="N14">
            <v>12000</v>
          </cell>
          <cell r="O14">
            <v>13000</v>
          </cell>
          <cell r="P14">
            <v>14000</v>
          </cell>
          <cell r="Q14">
            <v>0</v>
          </cell>
          <cell r="R14">
            <v>11</v>
          </cell>
          <cell r="S14">
            <v>3000</v>
          </cell>
          <cell r="T14">
            <v>6000</v>
          </cell>
          <cell r="U14">
            <v>7000</v>
          </cell>
          <cell r="V14">
            <v>8000</v>
          </cell>
          <cell r="W14">
            <v>8000</v>
          </cell>
          <cell r="X14">
            <v>9000</v>
          </cell>
          <cell r="Y14">
            <v>0</v>
          </cell>
          <cell r="Z14">
            <v>11</v>
          </cell>
          <cell r="AA14">
            <v>6000</v>
          </cell>
          <cell r="AB14">
            <v>11000</v>
          </cell>
          <cell r="AC14">
            <v>12000</v>
          </cell>
          <cell r="AD14">
            <v>14000</v>
          </cell>
          <cell r="AE14">
            <v>15000</v>
          </cell>
          <cell r="AF14">
            <v>16000</v>
          </cell>
          <cell r="AG14">
            <v>0</v>
          </cell>
          <cell r="AH14">
            <v>11</v>
          </cell>
          <cell r="AI14">
            <v>4000</v>
          </cell>
          <cell r="AJ14">
            <v>7000</v>
          </cell>
          <cell r="AK14">
            <v>8000</v>
          </cell>
          <cell r="AL14">
            <v>9000</v>
          </cell>
          <cell r="AM14">
            <v>9000</v>
          </cell>
          <cell r="AN14">
            <v>10000</v>
          </cell>
          <cell r="AO14">
            <v>0</v>
          </cell>
          <cell r="AP14">
            <v>11</v>
          </cell>
          <cell r="AQ14">
            <v>10000</v>
          </cell>
          <cell r="AR14">
            <v>18000</v>
          </cell>
          <cell r="AS14">
            <v>21000</v>
          </cell>
          <cell r="AT14">
            <v>23000</v>
          </cell>
          <cell r="AU14">
            <v>26000</v>
          </cell>
          <cell r="AV14">
            <v>27000</v>
          </cell>
          <cell r="AW14">
            <v>0</v>
          </cell>
          <cell r="AX14">
            <v>11</v>
          </cell>
          <cell r="AY14">
            <v>16000</v>
          </cell>
          <cell r="AZ14">
            <v>29000</v>
          </cell>
          <cell r="BA14">
            <v>34000</v>
          </cell>
          <cell r="BB14">
            <v>38000</v>
          </cell>
          <cell r="BC14">
            <v>41000</v>
          </cell>
          <cell r="BD14">
            <v>44000</v>
          </cell>
        </row>
        <row r="15">
          <cell r="B15">
            <v>12</v>
          </cell>
          <cell r="C15">
            <v>4000</v>
          </cell>
          <cell r="D15">
            <v>8000</v>
          </cell>
          <cell r="E15">
            <v>9000</v>
          </cell>
          <cell r="F15">
            <v>10000</v>
          </cell>
          <cell r="G15">
            <v>11000</v>
          </cell>
          <cell r="H15">
            <v>12000</v>
          </cell>
          <cell r="I15">
            <v>0</v>
          </cell>
          <cell r="J15">
            <v>12</v>
          </cell>
          <cell r="K15">
            <v>6000</v>
          </cell>
          <cell r="L15">
            <v>10000</v>
          </cell>
          <cell r="M15">
            <v>12000</v>
          </cell>
          <cell r="N15">
            <v>14000</v>
          </cell>
          <cell r="O15">
            <v>15000</v>
          </cell>
          <cell r="P15">
            <v>16000</v>
          </cell>
          <cell r="Q15">
            <v>0</v>
          </cell>
          <cell r="R15">
            <v>12</v>
          </cell>
          <cell r="S15">
            <v>4000</v>
          </cell>
          <cell r="T15">
            <v>6000</v>
          </cell>
          <cell r="U15">
            <v>8000</v>
          </cell>
          <cell r="V15">
            <v>8000</v>
          </cell>
          <cell r="W15">
            <v>9000</v>
          </cell>
          <cell r="X15">
            <v>10000</v>
          </cell>
          <cell r="Y15">
            <v>0</v>
          </cell>
          <cell r="Z15">
            <v>12</v>
          </cell>
          <cell r="AA15">
            <v>7000</v>
          </cell>
          <cell r="AB15">
            <v>12000</v>
          </cell>
          <cell r="AC15">
            <v>14000</v>
          </cell>
          <cell r="AD15">
            <v>15000</v>
          </cell>
          <cell r="AE15">
            <v>17000</v>
          </cell>
          <cell r="AF15">
            <v>18000</v>
          </cell>
          <cell r="AG15">
            <v>0</v>
          </cell>
          <cell r="AH15">
            <v>12</v>
          </cell>
          <cell r="AI15">
            <v>4000</v>
          </cell>
          <cell r="AJ15">
            <v>7000</v>
          </cell>
          <cell r="AK15">
            <v>9000</v>
          </cell>
          <cell r="AL15">
            <v>10000</v>
          </cell>
          <cell r="AM15">
            <v>11000</v>
          </cell>
          <cell r="AN15">
            <v>11000</v>
          </cell>
          <cell r="AO15">
            <v>0</v>
          </cell>
          <cell r="AP15">
            <v>12</v>
          </cell>
          <cell r="AQ15">
            <v>11000</v>
          </cell>
          <cell r="AR15">
            <v>20000</v>
          </cell>
          <cell r="AS15">
            <v>23000</v>
          </cell>
          <cell r="AT15">
            <v>26000</v>
          </cell>
          <cell r="AU15">
            <v>28000</v>
          </cell>
          <cell r="AV15">
            <v>30000</v>
          </cell>
          <cell r="AW15">
            <v>0</v>
          </cell>
          <cell r="AX15">
            <v>12</v>
          </cell>
          <cell r="AY15">
            <v>18000</v>
          </cell>
          <cell r="AZ15">
            <v>32000</v>
          </cell>
          <cell r="BA15">
            <v>38000</v>
          </cell>
          <cell r="BB15">
            <v>42000</v>
          </cell>
          <cell r="BC15">
            <v>46000</v>
          </cell>
          <cell r="BD15">
            <v>48000</v>
          </cell>
        </row>
        <row r="16">
          <cell r="B16">
            <v>13</v>
          </cell>
          <cell r="C16">
            <v>5000</v>
          </cell>
          <cell r="D16">
            <v>9000</v>
          </cell>
          <cell r="E16">
            <v>10000</v>
          </cell>
          <cell r="F16">
            <v>11000</v>
          </cell>
          <cell r="G16">
            <v>13000</v>
          </cell>
          <cell r="H16">
            <v>13000</v>
          </cell>
          <cell r="I16">
            <v>0</v>
          </cell>
          <cell r="J16">
            <v>13</v>
          </cell>
          <cell r="K16">
            <v>6000</v>
          </cell>
          <cell r="L16">
            <v>11000</v>
          </cell>
          <cell r="M16">
            <v>13000</v>
          </cell>
          <cell r="N16">
            <v>15000</v>
          </cell>
          <cell r="O16">
            <v>16000</v>
          </cell>
          <cell r="P16">
            <v>17000</v>
          </cell>
          <cell r="Q16">
            <v>0</v>
          </cell>
          <cell r="R16">
            <v>13</v>
          </cell>
          <cell r="S16">
            <v>4000</v>
          </cell>
          <cell r="T16">
            <v>7000</v>
          </cell>
          <cell r="U16">
            <v>8000</v>
          </cell>
          <cell r="V16">
            <v>9000</v>
          </cell>
          <cell r="W16">
            <v>10000</v>
          </cell>
          <cell r="X16">
            <v>11000</v>
          </cell>
          <cell r="Y16">
            <v>0</v>
          </cell>
          <cell r="Z16">
            <v>13</v>
          </cell>
          <cell r="AA16">
            <v>7000</v>
          </cell>
          <cell r="AB16">
            <v>13000</v>
          </cell>
          <cell r="AC16">
            <v>15000</v>
          </cell>
          <cell r="AD16">
            <v>17000</v>
          </cell>
          <cell r="AE16">
            <v>18000</v>
          </cell>
          <cell r="AF16">
            <v>19000</v>
          </cell>
          <cell r="AG16">
            <v>0</v>
          </cell>
          <cell r="AH16">
            <v>13</v>
          </cell>
          <cell r="AI16">
            <v>5000</v>
          </cell>
          <cell r="AJ16">
            <v>8000</v>
          </cell>
          <cell r="AK16">
            <v>9000</v>
          </cell>
          <cell r="AL16">
            <v>11000</v>
          </cell>
          <cell r="AM16">
            <v>11000</v>
          </cell>
          <cell r="AN16">
            <v>12000</v>
          </cell>
          <cell r="AO16">
            <v>0</v>
          </cell>
          <cell r="AP16">
            <v>13</v>
          </cell>
          <cell r="AQ16">
            <v>12000</v>
          </cell>
          <cell r="AR16">
            <v>22000</v>
          </cell>
          <cell r="AS16">
            <v>25000</v>
          </cell>
          <cell r="AT16">
            <v>28000</v>
          </cell>
          <cell r="AU16">
            <v>31000</v>
          </cell>
          <cell r="AV16">
            <v>33000</v>
          </cell>
          <cell r="AW16">
            <v>0</v>
          </cell>
          <cell r="AX16">
            <v>13</v>
          </cell>
          <cell r="AY16">
            <v>20000</v>
          </cell>
          <cell r="AZ16">
            <v>35000</v>
          </cell>
          <cell r="BA16">
            <v>41000</v>
          </cell>
          <cell r="BB16">
            <v>46000</v>
          </cell>
          <cell r="BC16">
            <v>50000</v>
          </cell>
          <cell r="BD16">
            <v>53000</v>
          </cell>
        </row>
        <row r="17">
          <cell r="B17">
            <v>14</v>
          </cell>
          <cell r="C17">
            <v>5000</v>
          </cell>
          <cell r="D17">
            <v>10000</v>
          </cell>
          <cell r="E17">
            <v>11000</v>
          </cell>
          <cell r="F17">
            <v>13000</v>
          </cell>
          <cell r="G17">
            <v>14000</v>
          </cell>
          <cell r="H17">
            <v>15000</v>
          </cell>
          <cell r="I17">
            <v>0</v>
          </cell>
          <cell r="J17">
            <v>14</v>
          </cell>
          <cell r="K17">
            <v>7000</v>
          </cell>
          <cell r="L17">
            <v>13000</v>
          </cell>
          <cell r="M17">
            <v>15000</v>
          </cell>
          <cell r="N17">
            <v>16000</v>
          </cell>
          <cell r="O17">
            <v>18000</v>
          </cell>
          <cell r="P17">
            <v>19000</v>
          </cell>
          <cell r="Q17">
            <v>0</v>
          </cell>
          <cell r="R17">
            <v>14</v>
          </cell>
          <cell r="S17">
            <v>4000</v>
          </cell>
          <cell r="T17">
            <v>8000</v>
          </cell>
          <cell r="U17">
            <v>9000</v>
          </cell>
          <cell r="V17">
            <v>10000</v>
          </cell>
          <cell r="W17">
            <v>11000</v>
          </cell>
          <cell r="X17">
            <v>12000</v>
          </cell>
          <cell r="Y17">
            <v>0</v>
          </cell>
          <cell r="Z17">
            <v>14</v>
          </cell>
          <cell r="AA17">
            <v>8000</v>
          </cell>
          <cell r="AB17">
            <v>14000</v>
          </cell>
          <cell r="AC17">
            <v>16000</v>
          </cell>
          <cell r="AD17">
            <v>18000</v>
          </cell>
          <cell r="AE17">
            <v>20000</v>
          </cell>
          <cell r="AF17">
            <v>21000</v>
          </cell>
          <cell r="AG17">
            <v>0</v>
          </cell>
          <cell r="AH17">
            <v>14</v>
          </cell>
          <cell r="AI17">
            <v>5000</v>
          </cell>
          <cell r="AJ17">
            <v>9000</v>
          </cell>
          <cell r="AK17">
            <v>10000</v>
          </cell>
          <cell r="AL17">
            <v>12000</v>
          </cell>
          <cell r="AM17">
            <v>13000</v>
          </cell>
          <cell r="AN17">
            <v>13000</v>
          </cell>
          <cell r="AO17">
            <v>0</v>
          </cell>
          <cell r="AP17">
            <v>14</v>
          </cell>
          <cell r="AQ17">
            <v>13000</v>
          </cell>
          <cell r="AR17">
            <v>24000</v>
          </cell>
          <cell r="AS17">
            <v>28000</v>
          </cell>
          <cell r="AT17">
            <v>31000</v>
          </cell>
          <cell r="AU17">
            <v>34000</v>
          </cell>
          <cell r="AV17">
            <v>36000</v>
          </cell>
          <cell r="AW17">
            <v>0</v>
          </cell>
          <cell r="AX17">
            <v>14</v>
          </cell>
          <cell r="AY17">
            <v>22000</v>
          </cell>
          <cell r="AZ17">
            <v>39000</v>
          </cell>
          <cell r="BA17">
            <v>45000</v>
          </cell>
          <cell r="BB17">
            <v>50000</v>
          </cell>
          <cell r="BC17">
            <v>55000</v>
          </cell>
          <cell r="BD17">
            <v>58000</v>
          </cell>
        </row>
        <row r="18">
          <cell r="B18">
            <v>15</v>
          </cell>
          <cell r="C18">
            <v>6000</v>
          </cell>
          <cell r="D18">
            <v>11000</v>
          </cell>
          <cell r="E18">
            <v>13000</v>
          </cell>
          <cell r="F18">
            <v>14000</v>
          </cell>
          <cell r="G18">
            <v>15000</v>
          </cell>
          <cell r="H18">
            <v>16000</v>
          </cell>
          <cell r="I18">
            <v>0</v>
          </cell>
          <cell r="J18">
            <v>15</v>
          </cell>
          <cell r="K18">
            <v>8000</v>
          </cell>
          <cell r="L18">
            <v>14000</v>
          </cell>
          <cell r="M18">
            <v>16000</v>
          </cell>
          <cell r="N18">
            <v>18000</v>
          </cell>
          <cell r="O18">
            <v>20000</v>
          </cell>
          <cell r="P18">
            <v>21000</v>
          </cell>
          <cell r="Q18">
            <v>0</v>
          </cell>
          <cell r="R18">
            <v>15</v>
          </cell>
          <cell r="S18">
            <v>5000</v>
          </cell>
          <cell r="T18">
            <v>9000</v>
          </cell>
          <cell r="U18">
            <v>10000</v>
          </cell>
          <cell r="V18">
            <v>11000</v>
          </cell>
          <cell r="W18">
            <v>12000</v>
          </cell>
          <cell r="X18">
            <v>13000</v>
          </cell>
          <cell r="Y18">
            <v>0</v>
          </cell>
          <cell r="Z18">
            <v>15</v>
          </cell>
          <cell r="AA18">
            <v>9000</v>
          </cell>
          <cell r="AB18">
            <v>16000</v>
          </cell>
          <cell r="AC18">
            <v>18000</v>
          </cell>
          <cell r="AD18">
            <v>20000</v>
          </cell>
          <cell r="AE18">
            <v>22000</v>
          </cell>
          <cell r="AF18">
            <v>23000</v>
          </cell>
          <cell r="AG18">
            <v>0</v>
          </cell>
          <cell r="AH18">
            <v>15</v>
          </cell>
          <cell r="AI18">
            <v>6000</v>
          </cell>
          <cell r="AJ18">
            <v>10000</v>
          </cell>
          <cell r="AK18">
            <v>11000</v>
          </cell>
          <cell r="AL18">
            <v>13000</v>
          </cell>
          <cell r="AM18">
            <v>14000</v>
          </cell>
          <cell r="AN18">
            <v>15000</v>
          </cell>
          <cell r="AO18">
            <v>0</v>
          </cell>
          <cell r="AP18">
            <v>15</v>
          </cell>
          <cell r="AQ18">
            <v>15000</v>
          </cell>
          <cell r="AR18">
            <v>26000</v>
          </cell>
          <cell r="AS18">
            <v>31000</v>
          </cell>
          <cell r="AT18">
            <v>34000</v>
          </cell>
          <cell r="AU18">
            <v>38000</v>
          </cell>
          <cell r="AV18">
            <v>40000</v>
          </cell>
          <cell r="AW18">
            <v>0</v>
          </cell>
          <cell r="AX18">
            <v>15</v>
          </cell>
          <cell r="AY18">
            <v>24000</v>
          </cell>
          <cell r="AZ18">
            <v>43000</v>
          </cell>
          <cell r="BA18">
            <v>50000</v>
          </cell>
          <cell r="BB18">
            <v>56000</v>
          </cell>
          <cell r="BC18">
            <v>61000</v>
          </cell>
          <cell r="BD18">
            <v>64000</v>
          </cell>
        </row>
        <row r="19">
          <cell r="B19">
            <v>16</v>
          </cell>
          <cell r="C19">
            <v>7000</v>
          </cell>
          <cell r="D19">
            <v>12000</v>
          </cell>
          <cell r="E19">
            <v>14000</v>
          </cell>
          <cell r="F19">
            <v>15000</v>
          </cell>
          <cell r="G19">
            <v>17000</v>
          </cell>
          <cell r="H19">
            <v>18000</v>
          </cell>
          <cell r="I19">
            <v>0</v>
          </cell>
          <cell r="J19">
            <v>16</v>
          </cell>
          <cell r="K19">
            <v>9000</v>
          </cell>
          <cell r="L19">
            <v>15000</v>
          </cell>
          <cell r="M19">
            <v>18000</v>
          </cell>
          <cell r="N19">
            <v>20000</v>
          </cell>
          <cell r="O19">
            <v>22000</v>
          </cell>
          <cell r="P19">
            <v>23000</v>
          </cell>
          <cell r="Q19">
            <v>0</v>
          </cell>
          <cell r="R19">
            <v>16</v>
          </cell>
          <cell r="S19">
            <v>5000</v>
          </cell>
          <cell r="T19">
            <v>9000</v>
          </cell>
          <cell r="U19">
            <v>11000</v>
          </cell>
          <cell r="V19">
            <v>12000</v>
          </cell>
          <cell r="W19">
            <v>13000</v>
          </cell>
          <cell r="X19">
            <v>14000</v>
          </cell>
          <cell r="Y19">
            <v>0</v>
          </cell>
          <cell r="Z19">
            <v>16</v>
          </cell>
          <cell r="AA19">
            <v>10000</v>
          </cell>
          <cell r="AB19">
            <v>17000</v>
          </cell>
          <cell r="AC19">
            <v>20000</v>
          </cell>
          <cell r="AD19">
            <v>22000</v>
          </cell>
          <cell r="AE19">
            <v>24000</v>
          </cell>
          <cell r="AF19">
            <v>26000</v>
          </cell>
          <cell r="AG19">
            <v>0</v>
          </cell>
          <cell r="AH19">
            <v>16</v>
          </cell>
          <cell r="AI19">
            <v>6000</v>
          </cell>
          <cell r="AJ19">
            <v>11000</v>
          </cell>
          <cell r="AK19">
            <v>13000</v>
          </cell>
          <cell r="AL19">
            <v>14000</v>
          </cell>
          <cell r="AM19">
            <v>15000</v>
          </cell>
          <cell r="AN19">
            <v>16000</v>
          </cell>
          <cell r="AO19">
            <v>0</v>
          </cell>
          <cell r="AP19">
            <v>16</v>
          </cell>
          <cell r="AQ19">
            <v>16000</v>
          </cell>
          <cell r="AR19">
            <v>29000</v>
          </cell>
          <cell r="AS19">
            <v>34000</v>
          </cell>
          <cell r="AT19">
            <v>38000</v>
          </cell>
          <cell r="AU19">
            <v>41000</v>
          </cell>
          <cell r="AV19">
            <v>44000</v>
          </cell>
          <cell r="AW19">
            <v>0</v>
          </cell>
          <cell r="AX19">
            <v>16</v>
          </cell>
          <cell r="AY19">
            <v>26000</v>
          </cell>
          <cell r="AZ19">
            <v>47000</v>
          </cell>
          <cell r="BA19">
            <v>55000</v>
          </cell>
          <cell r="BB19">
            <v>61000</v>
          </cell>
          <cell r="BC19">
            <v>67000</v>
          </cell>
          <cell r="BD19">
            <v>70000</v>
          </cell>
        </row>
        <row r="20">
          <cell r="B20">
            <v>17</v>
          </cell>
          <cell r="C20">
            <v>7000</v>
          </cell>
          <cell r="D20">
            <v>13000</v>
          </cell>
          <cell r="E20">
            <v>15000</v>
          </cell>
          <cell r="F20">
            <v>17000</v>
          </cell>
          <cell r="G20">
            <v>18000</v>
          </cell>
          <cell r="H20">
            <v>19000</v>
          </cell>
          <cell r="I20">
            <v>0</v>
          </cell>
          <cell r="J20">
            <v>17</v>
          </cell>
          <cell r="K20">
            <v>9000</v>
          </cell>
          <cell r="L20">
            <v>17000</v>
          </cell>
          <cell r="M20">
            <v>20000</v>
          </cell>
          <cell r="N20">
            <v>22000</v>
          </cell>
          <cell r="O20">
            <v>24000</v>
          </cell>
          <cell r="P20">
            <v>25000</v>
          </cell>
          <cell r="Q20">
            <v>0</v>
          </cell>
          <cell r="R20">
            <v>17</v>
          </cell>
          <cell r="S20">
            <v>6000</v>
          </cell>
          <cell r="T20">
            <v>10000</v>
          </cell>
          <cell r="U20">
            <v>12000</v>
          </cell>
          <cell r="V20">
            <v>13000</v>
          </cell>
          <cell r="W20">
            <v>15000</v>
          </cell>
          <cell r="X20">
            <v>16000</v>
          </cell>
          <cell r="Y20">
            <v>0</v>
          </cell>
          <cell r="Z20">
            <v>17</v>
          </cell>
          <cell r="AA20">
            <v>11000</v>
          </cell>
          <cell r="AB20">
            <v>19000</v>
          </cell>
          <cell r="AC20">
            <v>22000</v>
          </cell>
          <cell r="AD20">
            <v>25000</v>
          </cell>
          <cell r="AE20">
            <v>27000</v>
          </cell>
          <cell r="AF20">
            <v>28000</v>
          </cell>
          <cell r="AG20">
            <v>0</v>
          </cell>
          <cell r="AH20">
            <v>17</v>
          </cell>
          <cell r="AI20">
            <v>7000</v>
          </cell>
          <cell r="AJ20">
            <v>12000</v>
          </cell>
          <cell r="AK20">
            <v>14000</v>
          </cell>
          <cell r="AL20">
            <v>15000</v>
          </cell>
          <cell r="AM20">
            <v>17000</v>
          </cell>
          <cell r="AN20">
            <v>18000</v>
          </cell>
          <cell r="AO20">
            <v>0</v>
          </cell>
          <cell r="AP20">
            <v>17</v>
          </cell>
          <cell r="AQ20">
            <v>18000</v>
          </cell>
          <cell r="AR20">
            <v>32000</v>
          </cell>
          <cell r="AS20">
            <v>37000</v>
          </cell>
          <cell r="AT20">
            <v>42000</v>
          </cell>
          <cell r="AU20">
            <v>45000</v>
          </cell>
          <cell r="AV20">
            <v>48000</v>
          </cell>
          <cell r="AW20">
            <v>0</v>
          </cell>
          <cell r="AX20">
            <v>17</v>
          </cell>
          <cell r="AY20">
            <v>29000</v>
          </cell>
          <cell r="AZ20">
            <v>52000</v>
          </cell>
          <cell r="BA20">
            <v>61000</v>
          </cell>
          <cell r="BB20">
            <v>67000</v>
          </cell>
          <cell r="BC20">
            <v>74000</v>
          </cell>
          <cell r="BD20">
            <v>78000</v>
          </cell>
        </row>
        <row r="21">
          <cell r="B21">
            <v>18</v>
          </cell>
          <cell r="C21">
            <v>8000</v>
          </cell>
          <cell r="D21">
            <v>14000</v>
          </cell>
          <cell r="E21">
            <v>17000</v>
          </cell>
          <cell r="F21">
            <v>19000</v>
          </cell>
          <cell r="G21">
            <v>20000</v>
          </cell>
          <cell r="H21">
            <v>21000</v>
          </cell>
          <cell r="I21">
            <v>0</v>
          </cell>
          <cell r="J21">
            <v>18</v>
          </cell>
          <cell r="K21">
            <v>10000</v>
          </cell>
          <cell r="L21">
            <v>18000</v>
          </cell>
          <cell r="M21">
            <v>22000</v>
          </cell>
          <cell r="N21">
            <v>24000</v>
          </cell>
          <cell r="O21">
            <v>26000</v>
          </cell>
          <cell r="P21">
            <v>28000</v>
          </cell>
          <cell r="Q21">
            <v>0</v>
          </cell>
          <cell r="R21">
            <v>18</v>
          </cell>
          <cell r="S21">
            <v>6000</v>
          </cell>
          <cell r="T21">
            <v>11000</v>
          </cell>
          <cell r="U21">
            <v>13000</v>
          </cell>
          <cell r="V21">
            <v>15000</v>
          </cell>
          <cell r="W21">
            <v>16000</v>
          </cell>
          <cell r="X21">
            <v>17000</v>
          </cell>
          <cell r="Y21">
            <v>0</v>
          </cell>
          <cell r="Z21">
            <v>18</v>
          </cell>
          <cell r="AA21">
            <v>12000</v>
          </cell>
          <cell r="AB21">
            <v>21000</v>
          </cell>
          <cell r="AC21">
            <v>24000</v>
          </cell>
          <cell r="AD21">
            <v>27000</v>
          </cell>
          <cell r="AE21">
            <v>30000</v>
          </cell>
          <cell r="AF21">
            <v>31000</v>
          </cell>
          <cell r="AG21">
            <v>0</v>
          </cell>
          <cell r="AH21">
            <v>18</v>
          </cell>
          <cell r="AI21">
            <v>7000</v>
          </cell>
          <cell r="AJ21">
            <v>13000</v>
          </cell>
          <cell r="AK21">
            <v>15000</v>
          </cell>
          <cell r="AL21">
            <v>17000</v>
          </cell>
          <cell r="AM21">
            <v>19000</v>
          </cell>
          <cell r="AN21">
            <v>20000</v>
          </cell>
          <cell r="AO21">
            <v>0</v>
          </cell>
          <cell r="AP21">
            <v>18</v>
          </cell>
          <cell r="AQ21">
            <v>20000</v>
          </cell>
          <cell r="AR21">
            <v>35000</v>
          </cell>
          <cell r="AS21">
            <v>41000</v>
          </cell>
          <cell r="AT21">
            <v>46000</v>
          </cell>
          <cell r="AU21">
            <v>50000</v>
          </cell>
          <cell r="AV21">
            <v>53000</v>
          </cell>
          <cell r="AW21">
            <v>0</v>
          </cell>
          <cell r="AX21">
            <v>18</v>
          </cell>
          <cell r="AY21">
            <v>32000</v>
          </cell>
          <cell r="AZ21">
            <v>57000</v>
          </cell>
          <cell r="BA21">
            <v>67000</v>
          </cell>
          <cell r="BB21">
            <v>74000</v>
          </cell>
          <cell r="BC21">
            <v>81000</v>
          </cell>
          <cell r="BD21">
            <v>85000</v>
          </cell>
        </row>
        <row r="22">
          <cell r="B22">
            <v>19</v>
          </cell>
          <cell r="C22">
            <v>9000</v>
          </cell>
          <cell r="D22">
            <v>16000</v>
          </cell>
          <cell r="E22">
            <v>18000</v>
          </cell>
          <cell r="F22">
            <v>20000</v>
          </cell>
          <cell r="G22">
            <v>22000</v>
          </cell>
          <cell r="H22">
            <v>23000</v>
          </cell>
          <cell r="I22">
            <v>0</v>
          </cell>
          <cell r="J22">
            <v>19</v>
          </cell>
          <cell r="K22">
            <v>11000</v>
          </cell>
          <cell r="L22">
            <v>20000</v>
          </cell>
          <cell r="M22">
            <v>24000</v>
          </cell>
          <cell r="N22">
            <v>26000</v>
          </cell>
          <cell r="O22">
            <v>29000</v>
          </cell>
          <cell r="P22">
            <v>30000</v>
          </cell>
          <cell r="Q22">
            <v>0</v>
          </cell>
          <cell r="R22">
            <v>19</v>
          </cell>
          <cell r="S22">
            <v>7000</v>
          </cell>
          <cell r="T22">
            <v>13000</v>
          </cell>
          <cell r="U22">
            <v>15000</v>
          </cell>
          <cell r="V22">
            <v>16000</v>
          </cell>
          <cell r="W22">
            <v>18000</v>
          </cell>
          <cell r="X22">
            <v>19000</v>
          </cell>
          <cell r="Y22">
            <v>0</v>
          </cell>
          <cell r="Z22">
            <v>19</v>
          </cell>
          <cell r="AA22">
            <v>13000</v>
          </cell>
          <cell r="AB22">
            <v>23000</v>
          </cell>
          <cell r="AC22">
            <v>27000</v>
          </cell>
          <cell r="AD22">
            <v>30000</v>
          </cell>
          <cell r="AE22">
            <v>33000</v>
          </cell>
          <cell r="AF22">
            <v>34000</v>
          </cell>
          <cell r="AG22">
            <v>0</v>
          </cell>
          <cell r="AH22">
            <v>19</v>
          </cell>
          <cell r="AI22">
            <v>8000</v>
          </cell>
          <cell r="AJ22">
            <v>14000</v>
          </cell>
          <cell r="AK22">
            <v>17000</v>
          </cell>
          <cell r="AL22">
            <v>19000</v>
          </cell>
          <cell r="AM22">
            <v>20000</v>
          </cell>
          <cell r="AN22">
            <v>21000</v>
          </cell>
          <cell r="AO22">
            <v>0</v>
          </cell>
          <cell r="AP22">
            <v>19</v>
          </cell>
          <cell r="AQ22">
            <v>22000</v>
          </cell>
          <cell r="AR22">
            <v>39000</v>
          </cell>
          <cell r="AS22">
            <v>45000</v>
          </cell>
          <cell r="AT22">
            <v>50000</v>
          </cell>
          <cell r="AU22">
            <v>55000</v>
          </cell>
          <cell r="AV22">
            <v>58000</v>
          </cell>
          <cell r="AW22">
            <v>0</v>
          </cell>
          <cell r="AX22">
            <v>19</v>
          </cell>
          <cell r="AY22">
            <v>35000</v>
          </cell>
          <cell r="AZ22">
            <v>62000</v>
          </cell>
          <cell r="BA22">
            <v>73000</v>
          </cell>
          <cell r="BB22">
            <v>81000</v>
          </cell>
          <cell r="BC22">
            <v>89000</v>
          </cell>
          <cell r="BD22">
            <v>94000</v>
          </cell>
        </row>
        <row r="23">
          <cell r="B23">
            <v>20</v>
          </cell>
          <cell r="C23">
            <v>10000</v>
          </cell>
          <cell r="D23">
            <v>17000</v>
          </cell>
          <cell r="E23">
            <v>20000</v>
          </cell>
          <cell r="F23">
            <v>22000</v>
          </cell>
          <cell r="G23">
            <v>25000</v>
          </cell>
          <cell r="H23">
            <v>26000</v>
          </cell>
          <cell r="I23">
            <v>0</v>
          </cell>
          <cell r="J23">
            <v>20</v>
          </cell>
          <cell r="K23">
            <v>13000</v>
          </cell>
          <cell r="L23">
            <v>22000</v>
          </cell>
          <cell r="M23">
            <v>26000</v>
          </cell>
          <cell r="N23">
            <v>29000</v>
          </cell>
          <cell r="O23">
            <v>32000</v>
          </cell>
          <cell r="P23">
            <v>33000</v>
          </cell>
          <cell r="Q23">
            <v>0</v>
          </cell>
          <cell r="R23">
            <v>20</v>
          </cell>
          <cell r="S23">
            <v>8000</v>
          </cell>
          <cell r="T23">
            <v>14000</v>
          </cell>
          <cell r="U23">
            <v>16000</v>
          </cell>
          <cell r="V23">
            <v>18000</v>
          </cell>
          <cell r="W23">
            <v>20000</v>
          </cell>
          <cell r="X23">
            <v>21000</v>
          </cell>
          <cell r="Y23">
            <v>0</v>
          </cell>
          <cell r="Z23">
            <v>20</v>
          </cell>
          <cell r="AA23">
            <v>14000</v>
          </cell>
          <cell r="AB23">
            <v>25000</v>
          </cell>
          <cell r="AC23">
            <v>29000</v>
          </cell>
          <cell r="AD23">
            <v>33000</v>
          </cell>
          <cell r="AE23">
            <v>36000</v>
          </cell>
          <cell r="AF23">
            <v>38000</v>
          </cell>
          <cell r="AG23">
            <v>0</v>
          </cell>
          <cell r="AH23">
            <v>20</v>
          </cell>
          <cell r="AI23">
            <v>9000</v>
          </cell>
          <cell r="AJ23">
            <v>16000</v>
          </cell>
          <cell r="AK23">
            <v>18000</v>
          </cell>
          <cell r="AL23">
            <v>21000</v>
          </cell>
          <cell r="AM23">
            <v>23000</v>
          </cell>
          <cell r="AN23">
            <v>24000</v>
          </cell>
          <cell r="AO23">
            <v>0</v>
          </cell>
          <cell r="AP23">
            <v>20</v>
          </cell>
          <cell r="AQ23">
            <v>24000</v>
          </cell>
          <cell r="AR23">
            <v>42000</v>
          </cell>
          <cell r="AS23">
            <v>50000</v>
          </cell>
          <cell r="AT23">
            <v>55000</v>
          </cell>
          <cell r="AU23">
            <v>61000</v>
          </cell>
          <cell r="AV23">
            <v>64000</v>
          </cell>
          <cell r="AW23">
            <v>0</v>
          </cell>
          <cell r="AX23">
            <v>20</v>
          </cell>
          <cell r="AY23">
            <v>39000</v>
          </cell>
          <cell r="AZ23">
            <v>69000</v>
          </cell>
          <cell r="BA23">
            <v>80000</v>
          </cell>
          <cell r="BB23">
            <v>89000</v>
          </cell>
          <cell r="BC23">
            <v>98000</v>
          </cell>
          <cell r="BD23">
            <v>103000</v>
          </cell>
        </row>
        <row r="24">
          <cell r="B24">
            <v>21</v>
          </cell>
          <cell r="C24">
            <v>11000</v>
          </cell>
          <cell r="D24">
            <v>19000</v>
          </cell>
          <cell r="E24">
            <v>22000</v>
          </cell>
          <cell r="F24">
            <v>25000</v>
          </cell>
          <cell r="G24">
            <v>27000</v>
          </cell>
          <cell r="H24">
            <v>28000</v>
          </cell>
          <cell r="I24">
            <v>0</v>
          </cell>
          <cell r="J24">
            <v>21</v>
          </cell>
          <cell r="K24">
            <v>14000</v>
          </cell>
          <cell r="L24">
            <v>25000</v>
          </cell>
          <cell r="M24">
            <v>29000</v>
          </cell>
          <cell r="N24">
            <v>32000</v>
          </cell>
          <cell r="O24">
            <v>35000</v>
          </cell>
          <cell r="P24">
            <v>37000</v>
          </cell>
          <cell r="Q24">
            <v>0</v>
          </cell>
          <cell r="R24">
            <v>21</v>
          </cell>
          <cell r="S24">
            <v>9000</v>
          </cell>
          <cell r="T24">
            <v>15000</v>
          </cell>
          <cell r="U24">
            <v>18000</v>
          </cell>
          <cell r="V24">
            <v>20000</v>
          </cell>
          <cell r="W24">
            <v>22000</v>
          </cell>
          <cell r="X24">
            <v>23000</v>
          </cell>
          <cell r="Y24">
            <v>0</v>
          </cell>
          <cell r="Z24">
            <v>21</v>
          </cell>
          <cell r="AA24">
            <v>16000</v>
          </cell>
          <cell r="AB24">
            <v>28000</v>
          </cell>
          <cell r="AC24">
            <v>32000</v>
          </cell>
          <cell r="AD24">
            <v>36000</v>
          </cell>
          <cell r="AE24">
            <v>39000</v>
          </cell>
          <cell r="AF24">
            <v>41000</v>
          </cell>
          <cell r="AG24">
            <v>0</v>
          </cell>
          <cell r="AH24">
            <v>21</v>
          </cell>
          <cell r="AI24">
            <v>10000</v>
          </cell>
          <cell r="AJ24">
            <v>17000</v>
          </cell>
          <cell r="AK24">
            <v>20000</v>
          </cell>
          <cell r="AL24">
            <v>23000</v>
          </cell>
          <cell r="AM24">
            <v>25000</v>
          </cell>
          <cell r="AN24">
            <v>26000</v>
          </cell>
          <cell r="AO24">
            <v>0</v>
          </cell>
          <cell r="AP24">
            <v>21</v>
          </cell>
          <cell r="AQ24">
            <v>26000</v>
          </cell>
          <cell r="AR24">
            <v>47000</v>
          </cell>
          <cell r="AS24">
            <v>55000</v>
          </cell>
          <cell r="AT24">
            <v>61000</v>
          </cell>
          <cell r="AU24">
            <v>67000</v>
          </cell>
          <cell r="AV24">
            <v>70000</v>
          </cell>
          <cell r="AW24">
            <v>0</v>
          </cell>
          <cell r="AX24">
            <v>21</v>
          </cell>
          <cell r="AY24">
            <v>43000</v>
          </cell>
          <cell r="AZ24">
            <v>76000</v>
          </cell>
          <cell r="BA24">
            <v>88000</v>
          </cell>
          <cell r="BB24">
            <v>98000</v>
          </cell>
          <cell r="BC24">
            <v>108000</v>
          </cell>
          <cell r="BD24">
            <v>113000</v>
          </cell>
        </row>
        <row r="25">
          <cell r="B25">
            <v>22</v>
          </cell>
          <cell r="C25">
            <v>12000</v>
          </cell>
          <cell r="D25">
            <v>21000</v>
          </cell>
          <cell r="E25">
            <v>24000</v>
          </cell>
          <cell r="F25">
            <v>27000</v>
          </cell>
          <cell r="G25">
            <v>30000</v>
          </cell>
          <cell r="H25">
            <v>31000</v>
          </cell>
          <cell r="I25">
            <v>0</v>
          </cell>
          <cell r="J25">
            <v>22</v>
          </cell>
          <cell r="K25">
            <v>15000</v>
          </cell>
          <cell r="L25">
            <v>27000</v>
          </cell>
          <cell r="M25">
            <v>32000</v>
          </cell>
          <cell r="N25">
            <v>35000</v>
          </cell>
          <cell r="O25">
            <v>38000</v>
          </cell>
          <cell r="P25">
            <v>40000</v>
          </cell>
          <cell r="Q25">
            <v>0</v>
          </cell>
          <cell r="R25">
            <v>22</v>
          </cell>
          <cell r="S25">
            <v>9000</v>
          </cell>
          <cell r="T25">
            <v>17000</v>
          </cell>
          <cell r="U25">
            <v>20000</v>
          </cell>
          <cell r="V25">
            <v>22000</v>
          </cell>
          <cell r="W25">
            <v>24000</v>
          </cell>
          <cell r="X25">
            <v>25000</v>
          </cell>
          <cell r="Y25">
            <v>0</v>
          </cell>
          <cell r="Z25">
            <v>22</v>
          </cell>
          <cell r="AA25">
            <v>17000</v>
          </cell>
          <cell r="AB25">
            <v>30000</v>
          </cell>
          <cell r="AC25">
            <v>36000</v>
          </cell>
          <cell r="AD25">
            <v>40000</v>
          </cell>
          <cell r="AE25">
            <v>43000</v>
          </cell>
          <cell r="AF25">
            <v>46000</v>
          </cell>
          <cell r="AG25">
            <v>0</v>
          </cell>
          <cell r="AH25">
            <v>22</v>
          </cell>
          <cell r="AI25">
            <v>11000</v>
          </cell>
          <cell r="AJ25">
            <v>19000</v>
          </cell>
          <cell r="AK25">
            <v>22000</v>
          </cell>
          <cell r="AL25">
            <v>25000</v>
          </cell>
          <cell r="AM25">
            <v>27000</v>
          </cell>
          <cell r="AN25">
            <v>29000</v>
          </cell>
          <cell r="AO25">
            <v>0</v>
          </cell>
          <cell r="AP25">
            <v>22</v>
          </cell>
          <cell r="AQ25">
            <v>29000</v>
          </cell>
          <cell r="AR25">
            <v>51000</v>
          </cell>
          <cell r="AS25">
            <v>60000</v>
          </cell>
          <cell r="AT25">
            <v>67000</v>
          </cell>
          <cell r="AU25">
            <v>73000</v>
          </cell>
          <cell r="AV25">
            <v>77000</v>
          </cell>
          <cell r="AW25">
            <v>0</v>
          </cell>
          <cell r="AX25">
            <v>22</v>
          </cell>
          <cell r="AY25">
            <v>47000</v>
          </cell>
          <cell r="AZ25">
            <v>83000</v>
          </cell>
          <cell r="BA25">
            <v>97000</v>
          </cell>
          <cell r="BB25">
            <v>108000</v>
          </cell>
          <cell r="BC25">
            <v>118000</v>
          </cell>
          <cell r="BD25">
            <v>125000</v>
          </cell>
        </row>
        <row r="26">
          <cell r="B26">
            <v>23</v>
          </cell>
          <cell r="C26">
            <v>13000</v>
          </cell>
          <cell r="D26">
            <v>23000</v>
          </cell>
          <cell r="E26">
            <v>27000</v>
          </cell>
          <cell r="F26">
            <v>30000</v>
          </cell>
          <cell r="G26">
            <v>33000</v>
          </cell>
          <cell r="H26">
            <v>34000</v>
          </cell>
          <cell r="I26">
            <v>0</v>
          </cell>
          <cell r="J26">
            <v>23</v>
          </cell>
          <cell r="K26">
            <v>17000</v>
          </cell>
          <cell r="L26">
            <v>30000</v>
          </cell>
          <cell r="M26">
            <v>35000</v>
          </cell>
          <cell r="N26">
            <v>38000</v>
          </cell>
          <cell r="O26">
            <v>42000</v>
          </cell>
          <cell r="P26">
            <v>44000</v>
          </cell>
          <cell r="Q26">
            <v>0</v>
          </cell>
          <cell r="R26">
            <v>23</v>
          </cell>
          <cell r="S26">
            <v>10000</v>
          </cell>
          <cell r="T26">
            <v>18000</v>
          </cell>
          <cell r="U26">
            <v>21000</v>
          </cell>
          <cell r="V26">
            <v>24000</v>
          </cell>
          <cell r="W26">
            <v>26000</v>
          </cell>
          <cell r="X26">
            <v>28000</v>
          </cell>
          <cell r="Y26">
            <v>0</v>
          </cell>
          <cell r="Z26">
            <v>23</v>
          </cell>
          <cell r="AA26">
            <v>19000</v>
          </cell>
          <cell r="AB26">
            <v>33000</v>
          </cell>
          <cell r="AC26">
            <v>39000</v>
          </cell>
          <cell r="AD26">
            <v>43000</v>
          </cell>
          <cell r="AE26">
            <v>48000</v>
          </cell>
          <cell r="AF26">
            <v>50000</v>
          </cell>
          <cell r="AG26">
            <v>0</v>
          </cell>
          <cell r="AH26">
            <v>23</v>
          </cell>
          <cell r="AI26">
            <v>12000</v>
          </cell>
          <cell r="AJ26">
            <v>21000</v>
          </cell>
          <cell r="AK26">
            <v>25000</v>
          </cell>
          <cell r="AL26">
            <v>27000</v>
          </cell>
          <cell r="AM26">
            <v>30000</v>
          </cell>
          <cell r="AN26">
            <v>32000</v>
          </cell>
          <cell r="AO26">
            <v>0</v>
          </cell>
          <cell r="AP26">
            <v>23</v>
          </cell>
          <cell r="AQ26">
            <v>32000</v>
          </cell>
          <cell r="AR26">
            <v>57000</v>
          </cell>
          <cell r="AS26">
            <v>66000</v>
          </cell>
          <cell r="AT26">
            <v>74000</v>
          </cell>
          <cell r="AU26">
            <v>81000</v>
          </cell>
          <cell r="AV26">
            <v>85000</v>
          </cell>
          <cell r="AW26">
            <v>0</v>
          </cell>
          <cell r="AX26">
            <v>23</v>
          </cell>
          <cell r="AY26">
            <v>51000</v>
          </cell>
          <cell r="AZ26">
            <v>91000</v>
          </cell>
          <cell r="BA26">
            <v>107000</v>
          </cell>
          <cell r="BB26">
            <v>119000</v>
          </cell>
          <cell r="BC26">
            <v>130000</v>
          </cell>
          <cell r="BD26">
            <v>137000</v>
          </cell>
        </row>
        <row r="27">
          <cell r="B27">
            <v>24</v>
          </cell>
          <cell r="C27">
            <v>14000</v>
          </cell>
          <cell r="D27">
            <v>25000</v>
          </cell>
          <cell r="E27">
            <v>29000</v>
          </cell>
          <cell r="F27">
            <v>33000</v>
          </cell>
          <cell r="G27">
            <v>36000</v>
          </cell>
          <cell r="H27">
            <v>38000</v>
          </cell>
          <cell r="I27">
            <v>0</v>
          </cell>
          <cell r="J27">
            <v>24</v>
          </cell>
          <cell r="K27">
            <v>18000</v>
          </cell>
          <cell r="L27">
            <v>33000</v>
          </cell>
          <cell r="M27">
            <v>38000</v>
          </cell>
          <cell r="N27">
            <v>42000</v>
          </cell>
          <cell r="O27">
            <v>47000</v>
          </cell>
          <cell r="P27">
            <v>49000</v>
          </cell>
          <cell r="Q27">
            <v>0</v>
          </cell>
          <cell r="R27">
            <v>24</v>
          </cell>
          <cell r="S27">
            <v>11000</v>
          </cell>
          <cell r="T27">
            <v>20000</v>
          </cell>
          <cell r="U27">
            <v>24000</v>
          </cell>
          <cell r="V27">
            <v>26000</v>
          </cell>
          <cell r="W27">
            <v>29000</v>
          </cell>
          <cell r="X27">
            <v>30000</v>
          </cell>
          <cell r="Y27">
            <v>0</v>
          </cell>
          <cell r="Z27">
            <v>24</v>
          </cell>
          <cell r="AA27">
            <v>21000</v>
          </cell>
          <cell r="AB27">
            <v>37000</v>
          </cell>
          <cell r="AC27">
            <v>43000</v>
          </cell>
          <cell r="AD27">
            <v>48000</v>
          </cell>
          <cell r="AE27">
            <v>52000</v>
          </cell>
          <cell r="AF27">
            <v>55000</v>
          </cell>
          <cell r="AG27">
            <v>0</v>
          </cell>
          <cell r="AH27">
            <v>24</v>
          </cell>
          <cell r="AI27">
            <v>13000</v>
          </cell>
          <cell r="AJ27">
            <v>23000</v>
          </cell>
          <cell r="AK27">
            <v>27000</v>
          </cell>
          <cell r="AL27">
            <v>30000</v>
          </cell>
          <cell r="AM27">
            <v>33000</v>
          </cell>
          <cell r="AN27">
            <v>35000</v>
          </cell>
          <cell r="AO27">
            <v>0</v>
          </cell>
          <cell r="AP27">
            <v>24</v>
          </cell>
          <cell r="AQ27">
            <v>35000</v>
          </cell>
          <cell r="AR27">
            <v>62000</v>
          </cell>
          <cell r="AS27">
            <v>73000</v>
          </cell>
          <cell r="AT27">
            <v>81000</v>
          </cell>
          <cell r="AU27">
            <v>89000</v>
          </cell>
          <cell r="AV27">
            <v>93000</v>
          </cell>
          <cell r="AW27">
            <v>0</v>
          </cell>
          <cell r="AX27">
            <v>24</v>
          </cell>
          <cell r="AY27">
            <v>57000</v>
          </cell>
          <cell r="AZ27">
            <v>101000</v>
          </cell>
          <cell r="BA27">
            <v>118000</v>
          </cell>
          <cell r="BB27">
            <v>131000</v>
          </cell>
          <cell r="BC27">
            <v>143000</v>
          </cell>
          <cell r="BD27">
            <v>151000</v>
          </cell>
        </row>
        <row r="28">
          <cell r="B28">
            <v>25</v>
          </cell>
          <cell r="C28">
            <v>16000</v>
          </cell>
          <cell r="D28">
            <v>28000</v>
          </cell>
          <cell r="E28">
            <v>32000</v>
          </cell>
          <cell r="F28">
            <v>36000</v>
          </cell>
          <cell r="G28">
            <v>39000</v>
          </cell>
          <cell r="H28">
            <v>42000</v>
          </cell>
          <cell r="I28">
            <v>0</v>
          </cell>
          <cell r="J28">
            <v>25</v>
          </cell>
          <cell r="K28">
            <v>20000</v>
          </cell>
          <cell r="L28">
            <v>36000</v>
          </cell>
          <cell r="M28">
            <v>42000</v>
          </cell>
          <cell r="N28">
            <v>47000</v>
          </cell>
          <cell r="O28">
            <v>51000</v>
          </cell>
          <cell r="P28">
            <v>54000</v>
          </cell>
          <cell r="Q28">
            <v>0</v>
          </cell>
          <cell r="R28">
            <v>25</v>
          </cell>
          <cell r="S28">
            <v>13000</v>
          </cell>
          <cell r="T28">
            <v>22000</v>
          </cell>
          <cell r="U28">
            <v>26000</v>
          </cell>
          <cell r="V28">
            <v>29000</v>
          </cell>
          <cell r="W28">
            <v>32000</v>
          </cell>
          <cell r="X28">
            <v>33000</v>
          </cell>
          <cell r="Y28">
            <v>0</v>
          </cell>
          <cell r="Z28">
            <v>25</v>
          </cell>
          <cell r="AA28">
            <v>23000</v>
          </cell>
          <cell r="AB28">
            <v>40000</v>
          </cell>
          <cell r="AC28">
            <v>47000</v>
          </cell>
          <cell r="AD28">
            <v>53000</v>
          </cell>
          <cell r="AE28">
            <v>58000</v>
          </cell>
          <cell r="AF28">
            <v>61000</v>
          </cell>
          <cell r="AG28">
            <v>0</v>
          </cell>
          <cell r="AH28">
            <v>25</v>
          </cell>
          <cell r="AI28">
            <v>14000</v>
          </cell>
          <cell r="AJ28">
            <v>25000</v>
          </cell>
          <cell r="AK28">
            <v>30000</v>
          </cell>
          <cell r="AL28">
            <v>33000</v>
          </cell>
          <cell r="AM28">
            <v>36000</v>
          </cell>
          <cell r="AN28">
            <v>38000</v>
          </cell>
          <cell r="AO28">
            <v>0</v>
          </cell>
          <cell r="AP28">
            <v>25</v>
          </cell>
          <cell r="AQ28">
            <v>38000</v>
          </cell>
          <cell r="AR28">
            <v>68000</v>
          </cell>
          <cell r="AS28">
            <v>80000</v>
          </cell>
          <cell r="AT28">
            <v>89000</v>
          </cell>
          <cell r="AU28">
            <v>98000</v>
          </cell>
          <cell r="AV28">
            <v>103000</v>
          </cell>
          <cell r="AW28">
            <v>0</v>
          </cell>
          <cell r="AX28">
            <v>25</v>
          </cell>
          <cell r="AY28">
            <v>62000</v>
          </cell>
          <cell r="AZ28">
            <v>111000</v>
          </cell>
          <cell r="BA28">
            <v>129000</v>
          </cell>
          <cell r="BB28">
            <v>144000</v>
          </cell>
          <cell r="BC28">
            <v>158000</v>
          </cell>
          <cell r="BD28">
            <v>166000</v>
          </cell>
        </row>
        <row r="29">
          <cell r="B29">
            <v>26</v>
          </cell>
          <cell r="C29">
            <v>17000</v>
          </cell>
          <cell r="D29">
            <v>30000</v>
          </cell>
          <cell r="E29">
            <v>36000</v>
          </cell>
          <cell r="F29">
            <v>40000</v>
          </cell>
          <cell r="G29">
            <v>43000</v>
          </cell>
          <cell r="H29">
            <v>46000</v>
          </cell>
          <cell r="I29">
            <v>0</v>
          </cell>
          <cell r="J29">
            <v>26</v>
          </cell>
          <cell r="K29">
            <v>22000</v>
          </cell>
          <cell r="L29">
            <v>40000</v>
          </cell>
          <cell r="M29">
            <v>46000</v>
          </cell>
          <cell r="N29">
            <v>51000</v>
          </cell>
          <cell r="O29">
            <v>56000</v>
          </cell>
          <cell r="P29">
            <v>59000</v>
          </cell>
          <cell r="Q29">
            <v>0</v>
          </cell>
          <cell r="R29">
            <v>26</v>
          </cell>
          <cell r="S29">
            <v>14000</v>
          </cell>
          <cell r="T29">
            <v>25000</v>
          </cell>
          <cell r="U29">
            <v>29000</v>
          </cell>
          <cell r="V29">
            <v>32000</v>
          </cell>
          <cell r="W29">
            <v>35000</v>
          </cell>
          <cell r="X29">
            <v>37000</v>
          </cell>
          <cell r="Y29">
            <v>0</v>
          </cell>
          <cell r="Z29">
            <v>26</v>
          </cell>
          <cell r="AA29">
            <v>25000</v>
          </cell>
          <cell r="AB29">
            <v>45000</v>
          </cell>
          <cell r="AC29">
            <v>52000</v>
          </cell>
          <cell r="AD29">
            <v>58000</v>
          </cell>
          <cell r="AE29">
            <v>63000</v>
          </cell>
          <cell r="AF29">
            <v>67000</v>
          </cell>
          <cell r="AG29">
            <v>0</v>
          </cell>
          <cell r="AH29">
            <v>26</v>
          </cell>
          <cell r="AI29">
            <v>16000</v>
          </cell>
          <cell r="AJ29">
            <v>28000</v>
          </cell>
          <cell r="AK29">
            <v>33000</v>
          </cell>
          <cell r="AL29">
            <v>36000</v>
          </cell>
          <cell r="AM29">
            <v>40000</v>
          </cell>
          <cell r="AN29">
            <v>42000</v>
          </cell>
          <cell r="AO29">
            <v>0</v>
          </cell>
          <cell r="AP29">
            <v>26</v>
          </cell>
          <cell r="AQ29">
            <v>42000</v>
          </cell>
          <cell r="AR29">
            <v>75000</v>
          </cell>
          <cell r="AS29">
            <v>88000</v>
          </cell>
          <cell r="AT29">
            <v>98000</v>
          </cell>
          <cell r="AU29">
            <v>107000</v>
          </cell>
          <cell r="AV29">
            <v>113000</v>
          </cell>
          <cell r="AW29">
            <v>0</v>
          </cell>
          <cell r="AX29">
            <v>26</v>
          </cell>
          <cell r="AY29">
            <v>69000</v>
          </cell>
          <cell r="AZ29">
            <v>122000</v>
          </cell>
          <cell r="BA29">
            <v>143000</v>
          </cell>
          <cell r="BB29">
            <v>158000</v>
          </cell>
          <cell r="BC29">
            <v>174000</v>
          </cell>
          <cell r="BD29">
            <v>183000</v>
          </cell>
        </row>
        <row r="30">
          <cell r="B30">
            <v>27</v>
          </cell>
          <cell r="C30">
            <v>19000</v>
          </cell>
          <cell r="D30">
            <v>33000</v>
          </cell>
          <cell r="E30">
            <v>39000</v>
          </cell>
          <cell r="F30">
            <v>44000</v>
          </cell>
          <cell r="G30">
            <v>48000</v>
          </cell>
          <cell r="H30">
            <v>50000</v>
          </cell>
          <cell r="I30">
            <v>0</v>
          </cell>
          <cell r="J30">
            <v>27</v>
          </cell>
          <cell r="K30">
            <v>24000</v>
          </cell>
          <cell r="L30">
            <v>44000</v>
          </cell>
          <cell r="M30">
            <v>51000</v>
          </cell>
          <cell r="N30">
            <v>57000</v>
          </cell>
          <cell r="O30">
            <v>62000</v>
          </cell>
          <cell r="P30">
            <v>65000</v>
          </cell>
          <cell r="Q30">
            <v>0</v>
          </cell>
          <cell r="R30">
            <v>27</v>
          </cell>
          <cell r="S30">
            <v>15000</v>
          </cell>
          <cell r="T30">
            <v>27000</v>
          </cell>
          <cell r="U30">
            <v>32000</v>
          </cell>
          <cell r="V30">
            <v>35000</v>
          </cell>
          <cell r="W30">
            <v>38000</v>
          </cell>
          <cell r="X30">
            <v>40000</v>
          </cell>
          <cell r="Y30">
            <v>0</v>
          </cell>
          <cell r="Z30">
            <v>27</v>
          </cell>
          <cell r="AA30">
            <v>28000</v>
          </cell>
          <cell r="AB30">
            <v>49000</v>
          </cell>
          <cell r="AC30">
            <v>57000</v>
          </cell>
          <cell r="AD30">
            <v>64000</v>
          </cell>
          <cell r="AE30">
            <v>70000</v>
          </cell>
          <cell r="AF30">
            <v>73000</v>
          </cell>
          <cell r="AG30">
            <v>0</v>
          </cell>
          <cell r="AH30">
            <v>27</v>
          </cell>
          <cell r="AI30">
            <v>17000</v>
          </cell>
          <cell r="AJ30">
            <v>31000</v>
          </cell>
          <cell r="AK30">
            <v>36000</v>
          </cell>
          <cell r="AL30">
            <v>40000</v>
          </cell>
          <cell r="AM30">
            <v>44000</v>
          </cell>
          <cell r="AN30">
            <v>46000</v>
          </cell>
          <cell r="AO30">
            <v>0</v>
          </cell>
          <cell r="AP30">
            <v>27</v>
          </cell>
          <cell r="AQ30">
            <v>47000</v>
          </cell>
          <cell r="AR30">
            <v>83000</v>
          </cell>
          <cell r="AS30">
            <v>97000</v>
          </cell>
          <cell r="AT30">
            <v>108000</v>
          </cell>
          <cell r="AU30">
            <v>118000</v>
          </cell>
          <cell r="AV30">
            <v>124000</v>
          </cell>
          <cell r="AW30">
            <v>0</v>
          </cell>
          <cell r="AX30">
            <v>27</v>
          </cell>
          <cell r="AY30">
            <v>75000</v>
          </cell>
          <cell r="AZ30">
            <v>134000</v>
          </cell>
          <cell r="BA30">
            <v>157000</v>
          </cell>
          <cell r="BB30">
            <v>174000</v>
          </cell>
          <cell r="BC30">
            <v>191000</v>
          </cell>
          <cell r="BD30">
            <v>201000</v>
          </cell>
        </row>
        <row r="31">
          <cell r="B31">
            <v>28</v>
          </cell>
          <cell r="C31">
            <v>21000</v>
          </cell>
          <cell r="D31">
            <v>37000</v>
          </cell>
          <cell r="E31">
            <v>43000</v>
          </cell>
          <cell r="F31">
            <v>48000</v>
          </cell>
          <cell r="G31">
            <v>53000</v>
          </cell>
          <cell r="H31">
            <v>55000</v>
          </cell>
          <cell r="I31">
            <v>0</v>
          </cell>
          <cell r="J31">
            <v>28</v>
          </cell>
          <cell r="K31">
            <v>27000</v>
          </cell>
          <cell r="L31">
            <v>48000</v>
          </cell>
          <cell r="M31">
            <v>56000</v>
          </cell>
          <cell r="N31">
            <v>62000</v>
          </cell>
          <cell r="O31">
            <v>68000</v>
          </cell>
          <cell r="P31">
            <v>72000</v>
          </cell>
          <cell r="Q31">
            <v>0</v>
          </cell>
          <cell r="R31">
            <v>28</v>
          </cell>
          <cell r="S31">
            <v>17000</v>
          </cell>
          <cell r="T31">
            <v>30000</v>
          </cell>
          <cell r="U31">
            <v>35000</v>
          </cell>
          <cell r="V31">
            <v>38000</v>
          </cell>
          <cell r="W31">
            <v>42000</v>
          </cell>
          <cell r="X31">
            <v>44000</v>
          </cell>
          <cell r="Y31">
            <v>0</v>
          </cell>
          <cell r="Z31">
            <v>28</v>
          </cell>
          <cell r="AA31">
            <v>30000</v>
          </cell>
          <cell r="AB31">
            <v>54000</v>
          </cell>
          <cell r="AC31">
            <v>63000</v>
          </cell>
          <cell r="AD31">
            <v>70000</v>
          </cell>
          <cell r="AE31">
            <v>77000</v>
          </cell>
          <cell r="AF31">
            <v>81000</v>
          </cell>
          <cell r="AG31">
            <v>0</v>
          </cell>
          <cell r="AH31">
            <v>28</v>
          </cell>
          <cell r="AI31">
            <v>19000</v>
          </cell>
          <cell r="AJ31">
            <v>34000</v>
          </cell>
          <cell r="AK31">
            <v>40000</v>
          </cell>
          <cell r="AL31">
            <v>44000</v>
          </cell>
          <cell r="AM31">
            <v>48000</v>
          </cell>
          <cell r="AN31">
            <v>51000</v>
          </cell>
          <cell r="AO31">
            <v>0</v>
          </cell>
          <cell r="AP31">
            <v>28</v>
          </cell>
          <cell r="AQ31">
            <v>51000</v>
          </cell>
          <cell r="AR31">
            <v>91000</v>
          </cell>
          <cell r="AS31">
            <v>107000</v>
          </cell>
          <cell r="AT31">
            <v>118000</v>
          </cell>
          <cell r="AU31">
            <v>130000</v>
          </cell>
          <cell r="AV31">
            <v>137000</v>
          </cell>
          <cell r="AW31">
            <v>0</v>
          </cell>
          <cell r="AX31">
            <v>28</v>
          </cell>
          <cell r="AY31">
            <v>83000</v>
          </cell>
          <cell r="AZ31">
            <v>147000</v>
          </cell>
          <cell r="BA31">
            <v>172000</v>
          </cell>
          <cell r="BB31">
            <v>192000</v>
          </cell>
          <cell r="BC31">
            <v>210000</v>
          </cell>
          <cell r="BD31">
            <v>221000</v>
          </cell>
        </row>
        <row r="32">
          <cell r="B32">
            <v>29</v>
          </cell>
          <cell r="C32">
            <v>23000</v>
          </cell>
          <cell r="D32">
            <v>41000</v>
          </cell>
          <cell r="E32">
            <v>47000</v>
          </cell>
          <cell r="F32">
            <v>53000</v>
          </cell>
          <cell r="G32">
            <v>58000</v>
          </cell>
          <cell r="H32">
            <v>61000</v>
          </cell>
          <cell r="I32">
            <v>0</v>
          </cell>
          <cell r="J32">
            <v>29</v>
          </cell>
          <cell r="K32">
            <v>30000</v>
          </cell>
          <cell r="L32">
            <v>53000</v>
          </cell>
          <cell r="M32">
            <v>62000</v>
          </cell>
          <cell r="N32">
            <v>68000</v>
          </cell>
          <cell r="O32">
            <v>75000</v>
          </cell>
          <cell r="P32">
            <v>79000</v>
          </cell>
          <cell r="Q32">
            <v>0</v>
          </cell>
          <cell r="R32">
            <v>29</v>
          </cell>
          <cell r="S32">
            <v>18000</v>
          </cell>
          <cell r="T32">
            <v>33000</v>
          </cell>
          <cell r="U32">
            <v>38000</v>
          </cell>
          <cell r="V32">
            <v>42000</v>
          </cell>
          <cell r="W32">
            <v>47000</v>
          </cell>
          <cell r="X32">
            <v>49000</v>
          </cell>
          <cell r="Y32">
            <v>0</v>
          </cell>
          <cell r="Z32">
            <v>29</v>
          </cell>
          <cell r="AA32">
            <v>33000</v>
          </cell>
          <cell r="AB32">
            <v>59000</v>
          </cell>
          <cell r="AC32">
            <v>69000</v>
          </cell>
          <cell r="AD32">
            <v>77000</v>
          </cell>
          <cell r="AE32">
            <v>84000</v>
          </cell>
          <cell r="AF32">
            <v>89000</v>
          </cell>
          <cell r="AG32">
            <v>0</v>
          </cell>
          <cell r="AH32">
            <v>29</v>
          </cell>
          <cell r="AI32">
            <v>21000</v>
          </cell>
          <cell r="AJ32">
            <v>37000</v>
          </cell>
          <cell r="AK32">
            <v>44000</v>
          </cell>
          <cell r="AL32">
            <v>48000</v>
          </cell>
          <cell r="AM32">
            <v>53000</v>
          </cell>
          <cell r="AN32">
            <v>56000</v>
          </cell>
          <cell r="AO32">
            <v>0</v>
          </cell>
          <cell r="AP32">
            <v>29</v>
          </cell>
          <cell r="AQ32">
            <v>56000</v>
          </cell>
          <cell r="AR32">
            <v>100000</v>
          </cell>
          <cell r="AS32">
            <v>117000</v>
          </cell>
          <cell r="AT32">
            <v>130000</v>
          </cell>
          <cell r="AU32">
            <v>143000</v>
          </cell>
          <cell r="AV32">
            <v>150000</v>
          </cell>
          <cell r="AW32">
            <v>0</v>
          </cell>
          <cell r="AX32">
            <v>29</v>
          </cell>
          <cell r="AY32">
            <v>91000</v>
          </cell>
          <cell r="AZ32">
            <v>162000</v>
          </cell>
          <cell r="BA32">
            <v>190000</v>
          </cell>
          <cell r="BB32">
            <v>211000</v>
          </cell>
          <cell r="BC32">
            <v>231000</v>
          </cell>
          <cell r="BD32">
            <v>243000</v>
          </cell>
        </row>
        <row r="33">
          <cell r="B33">
            <v>30</v>
          </cell>
          <cell r="C33">
            <v>25000</v>
          </cell>
          <cell r="D33">
            <v>45000</v>
          </cell>
          <cell r="E33">
            <v>52000</v>
          </cell>
          <cell r="F33">
            <v>58000</v>
          </cell>
          <cell r="G33">
            <v>64000</v>
          </cell>
          <cell r="H33">
            <v>67000</v>
          </cell>
          <cell r="I33">
            <v>0</v>
          </cell>
          <cell r="J33">
            <v>30</v>
          </cell>
          <cell r="K33">
            <v>33000</v>
          </cell>
          <cell r="L33">
            <v>58000</v>
          </cell>
          <cell r="M33">
            <v>68000</v>
          </cell>
          <cell r="N33">
            <v>75000</v>
          </cell>
          <cell r="O33">
            <v>82000</v>
          </cell>
          <cell r="P33">
            <v>87000</v>
          </cell>
          <cell r="Q33">
            <v>0</v>
          </cell>
          <cell r="R33">
            <v>30</v>
          </cell>
          <cell r="S33">
            <v>20000</v>
          </cell>
          <cell r="T33">
            <v>36000</v>
          </cell>
          <cell r="U33">
            <v>42000</v>
          </cell>
          <cell r="V33">
            <v>47000</v>
          </cell>
          <cell r="W33">
            <v>51000</v>
          </cell>
          <cell r="X33">
            <v>54000</v>
          </cell>
          <cell r="Y33">
            <v>0</v>
          </cell>
          <cell r="Z33">
            <v>30</v>
          </cell>
          <cell r="AA33">
            <v>37000</v>
          </cell>
          <cell r="AB33">
            <v>65000</v>
          </cell>
          <cell r="AC33">
            <v>76000</v>
          </cell>
          <cell r="AD33">
            <v>85000</v>
          </cell>
          <cell r="AE33">
            <v>93000</v>
          </cell>
          <cell r="AF33">
            <v>98000</v>
          </cell>
          <cell r="AG33">
            <v>0</v>
          </cell>
          <cell r="AH33">
            <v>30</v>
          </cell>
          <cell r="AI33">
            <v>23000</v>
          </cell>
          <cell r="AJ33">
            <v>41000</v>
          </cell>
          <cell r="AK33">
            <v>48000</v>
          </cell>
          <cell r="AL33">
            <v>53000</v>
          </cell>
          <cell r="AM33">
            <v>58000</v>
          </cell>
          <cell r="AN33">
            <v>61000</v>
          </cell>
          <cell r="AO33">
            <v>0</v>
          </cell>
          <cell r="AP33">
            <v>30</v>
          </cell>
          <cell r="AQ33">
            <v>62000</v>
          </cell>
          <cell r="AR33">
            <v>110000</v>
          </cell>
          <cell r="AS33">
            <v>129000</v>
          </cell>
          <cell r="AT33">
            <v>143000</v>
          </cell>
          <cell r="AU33">
            <v>157000</v>
          </cell>
          <cell r="AV33">
            <v>165000</v>
          </cell>
          <cell r="AW33">
            <v>0</v>
          </cell>
          <cell r="AX33">
            <v>30</v>
          </cell>
          <cell r="AY33">
            <v>100000</v>
          </cell>
          <cell r="AZ33">
            <v>178000</v>
          </cell>
          <cell r="BA33">
            <v>208000</v>
          </cell>
          <cell r="BB33">
            <v>232000</v>
          </cell>
          <cell r="BC33">
            <v>254000</v>
          </cell>
          <cell r="BD33">
            <v>267000</v>
          </cell>
        </row>
        <row r="34">
          <cell r="B34">
            <v>31</v>
          </cell>
          <cell r="C34">
            <v>28000</v>
          </cell>
          <cell r="D34">
            <v>49000</v>
          </cell>
          <cell r="E34">
            <v>57000</v>
          </cell>
          <cell r="F34">
            <v>64000</v>
          </cell>
          <cell r="G34">
            <v>70000</v>
          </cell>
          <cell r="H34">
            <v>74000</v>
          </cell>
          <cell r="I34">
            <v>0</v>
          </cell>
          <cell r="J34">
            <v>31</v>
          </cell>
          <cell r="K34">
            <v>36000</v>
          </cell>
          <cell r="L34">
            <v>64000</v>
          </cell>
          <cell r="M34">
            <v>74000</v>
          </cell>
          <cell r="N34">
            <v>83000</v>
          </cell>
          <cell r="O34">
            <v>91000</v>
          </cell>
          <cell r="P34">
            <v>95000</v>
          </cell>
          <cell r="Q34">
            <v>0</v>
          </cell>
          <cell r="R34">
            <v>31</v>
          </cell>
          <cell r="S34">
            <v>22000</v>
          </cell>
          <cell r="T34">
            <v>39000</v>
          </cell>
          <cell r="U34">
            <v>46000</v>
          </cell>
          <cell r="V34">
            <v>51000</v>
          </cell>
          <cell r="W34">
            <v>56000</v>
          </cell>
          <cell r="X34">
            <v>59000</v>
          </cell>
          <cell r="Y34">
            <v>0</v>
          </cell>
          <cell r="Z34">
            <v>31</v>
          </cell>
          <cell r="AA34">
            <v>40000</v>
          </cell>
          <cell r="AB34">
            <v>72000</v>
          </cell>
          <cell r="AC34">
            <v>84000</v>
          </cell>
          <cell r="AD34">
            <v>93000</v>
          </cell>
          <cell r="AE34">
            <v>102000</v>
          </cell>
          <cell r="AF34">
            <v>107000</v>
          </cell>
          <cell r="AG34">
            <v>0</v>
          </cell>
          <cell r="AH34">
            <v>31</v>
          </cell>
          <cell r="AI34">
            <v>25000</v>
          </cell>
          <cell r="AJ34">
            <v>45000</v>
          </cell>
          <cell r="AK34">
            <v>53000</v>
          </cell>
          <cell r="AL34">
            <v>59000</v>
          </cell>
          <cell r="AM34">
            <v>64000</v>
          </cell>
          <cell r="AN34">
            <v>68000</v>
          </cell>
          <cell r="AO34">
            <v>0</v>
          </cell>
          <cell r="AP34">
            <v>31</v>
          </cell>
          <cell r="AQ34">
            <v>68000</v>
          </cell>
          <cell r="AR34">
            <v>121000</v>
          </cell>
          <cell r="AS34">
            <v>142000</v>
          </cell>
          <cell r="AT34">
            <v>158000</v>
          </cell>
          <cell r="AU34">
            <v>173000</v>
          </cell>
          <cell r="AV34">
            <v>182000</v>
          </cell>
          <cell r="AW34">
            <v>0</v>
          </cell>
          <cell r="AX34">
            <v>31</v>
          </cell>
          <cell r="AY34">
            <v>110000</v>
          </cell>
          <cell r="AZ34">
            <v>196000</v>
          </cell>
          <cell r="BA34">
            <v>229000</v>
          </cell>
          <cell r="BB34">
            <v>255000</v>
          </cell>
          <cell r="BC34">
            <v>279000</v>
          </cell>
          <cell r="BD34">
            <v>294000</v>
          </cell>
        </row>
        <row r="35">
          <cell r="B35">
            <v>32</v>
          </cell>
          <cell r="C35">
            <v>30000</v>
          </cell>
          <cell r="D35">
            <v>54000</v>
          </cell>
          <cell r="E35">
            <v>63000</v>
          </cell>
          <cell r="F35">
            <v>70000</v>
          </cell>
          <cell r="G35">
            <v>77000</v>
          </cell>
          <cell r="H35">
            <v>81000</v>
          </cell>
          <cell r="I35">
            <v>0</v>
          </cell>
          <cell r="J35">
            <v>32</v>
          </cell>
          <cell r="K35">
            <v>39000</v>
          </cell>
          <cell r="L35">
            <v>70000</v>
          </cell>
          <cell r="M35">
            <v>82000</v>
          </cell>
          <cell r="N35">
            <v>91000</v>
          </cell>
          <cell r="O35">
            <v>100000</v>
          </cell>
          <cell r="P35">
            <v>105000</v>
          </cell>
          <cell r="Q35">
            <v>0</v>
          </cell>
          <cell r="R35">
            <v>32</v>
          </cell>
          <cell r="S35">
            <v>24000</v>
          </cell>
          <cell r="T35">
            <v>43000</v>
          </cell>
          <cell r="U35">
            <v>51000</v>
          </cell>
          <cell r="V35">
            <v>56000</v>
          </cell>
          <cell r="W35">
            <v>62000</v>
          </cell>
          <cell r="X35">
            <v>65000</v>
          </cell>
          <cell r="Y35">
            <v>0</v>
          </cell>
          <cell r="Z35">
            <v>32</v>
          </cell>
          <cell r="AA35">
            <v>44000</v>
          </cell>
          <cell r="AB35">
            <v>79000</v>
          </cell>
          <cell r="AC35">
            <v>92000</v>
          </cell>
          <cell r="AD35">
            <v>102000</v>
          </cell>
          <cell r="AE35">
            <v>112000</v>
          </cell>
          <cell r="AF35">
            <v>118000</v>
          </cell>
          <cell r="AG35">
            <v>0</v>
          </cell>
          <cell r="AH35">
            <v>32</v>
          </cell>
          <cell r="AI35">
            <v>28000</v>
          </cell>
          <cell r="AJ35">
            <v>50000</v>
          </cell>
          <cell r="AK35">
            <v>58000</v>
          </cell>
          <cell r="AL35">
            <v>64000</v>
          </cell>
          <cell r="AM35">
            <v>71000</v>
          </cell>
          <cell r="AN35">
            <v>74000</v>
          </cell>
          <cell r="AO35">
            <v>0</v>
          </cell>
          <cell r="AP35">
            <v>32</v>
          </cell>
          <cell r="AQ35">
            <v>75000</v>
          </cell>
          <cell r="AR35">
            <v>133000</v>
          </cell>
          <cell r="AS35">
            <v>156000</v>
          </cell>
          <cell r="AT35">
            <v>173000</v>
          </cell>
          <cell r="AU35">
            <v>190000</v>
          </cell>
          <cell r="AV35">
            <v>200000</v>
          </cell>
          <cell r="AW35">
            <v>0</v>
          </cell>
          <cell r="AX35">
            <v>32</v>
          </cell>
          <cell r="AY35">
            <v>121000</v>
          </cell>
          <cell r="AZ35">
            <v>216000</v>
          </cell>
          <cell r="BA35">
            <v>252000</v>
          </cell>
          <cell r="BB35">
            <v>280000</v>
          </cell>
          <cell r="BC35">
            <v>307000</v>
          </cell>
          <cell r="BD35">
            <v>324000</v>
          </cell>
        </row>
        <row r="36">
          <cell r="B36">
            <v>33</v>
          </cell>
          <cell r="C36">
            <v>33000</v>
          </cell>
          <cell r="D36">
            <v>59000</v>
          </cell>
          <cell r="E36">
            <v>69000</v>
          </cell>
          <cell r="F36">
            <v>77000</v>
          </cell>
          <cell r="G36">
            <v>85000</v>
          </cell>
          <cell r="H36">
            <v>89000</v>
          </cell>
          <cell r="I36">
            <v>0</v>
          </cell>
          <cell r="J36">
            <v>33</v>
          </cell>
          <cell r="K36">
            <v>43000</v>
          </cell>
          <cell r="L36">
            <v>77000</v>
          </cell>
          <cell r="M36">
            <v>90000</v>
          </cell>
          <cell r="N36">
            <v>100000</v>
          </cell>
          <cell r="O36">
            <v>110000</v>
          </cell>
          <cell r="P36">
            <v>115000</v>
          </cell>
          <cell r="Q36">
            <v>0</v>
          </cell>
          <cell r="R36">
            <v>33</v>
          </cell>
          <cell r="S36">
            <v>27000</v>
          </cell>
          <cell r="T36">
            <v>48000</v>
          </cell>
          <cell r="U36">
            <v>56000</v>
          </cell>
          <cell r="V36">
            <v>62000</v>
          </cell>
          <cell r="W36">
            <v>68000</v>
          </cell>
          <cell r="X36">
            <v>72000</v>
          </cell>
          <cell r="Y36">
            <v>0</v>
          </cell>
          <cell r="Z36">
            <v>33</v>
          </cell>
          <cell r="AA36">
            <v>49000</v>
          </cell>
          <cell r="AB36">
            <v>87000</v>
          </cell>
          <cell r="AC36">
            <v>101000</v>
          </cell>
          <cell r="AD36">
            <v>113000</v>
          </cell>
          <cell r="AE36">
            <v>124000</v>
          </cell>
          <cell r="AF36">
            <v>130000</v>
          </cell>
          <cell r="AG36">
            <v>0</v>
          </cell>
          <cell r="AH36">
            <v>33</v>
          </cell>
          <cell r="AI36">
            <v>31000</v>
          </cell>
          <cell r="AJ36">
            <v>55000</v>
          </cell>
          <cell r="AK36">
            <v>64000</v>
          </cell>
          <cell r="AL36">
            <v>71000</v>
          </cell>
          <cell r="AM36">
            <v>78000</v>
          </cell>
          <cell r="AN36">
            <v>82000</v>
          </cell>
          <cell r="AO36">
            <v>0</v>
          </cell>
          <cell r="AP36">
            <v>33</v>
          </cell>
          <cell r="AQ36">
            <v>83000</v>
          </cell>
          <cell r="AR36">
            <v>147000</v>
          </cell>
          <cell r="AS36">
            <v>172000</v>
          </cell>
          <cell r="AT36">
            <v>191000</v>
          </cell>
          <cell r="AU36">
            <v>209000</v>
          </cell>
          <cell r="AV36">
            <v>220000</v>
          </cell>
          <cell r="AW36">
            <v>0</v>
          </cell>
          <cell r="AX36">
            <v>33</v>
          </cell>
          <cell r="AY36">
            <v>133000</v>
          </cell>
          <cell r="AZ36">
            <v>237000</v>
          </cell>
          <cell r="BA36">
            <v>278000</v>
          </cell>
          <cell r="BB36">
            <v>308000</v>
          </cell>
          <cell r="BC36">
            <v>338000</v>
          </cell>
          <cell r="BD36">
            <v>356000</v>
          </cell>
        </row>
        <row r="37">
          <cell r="B37">
            <v>34</v>
          </cell>
          <cell r="C37">
            <v>37000</v>
          </cell>
          <cell r="D37">
            <v>65000</v>
          </cell>
          <cell r="E37">
            <v>76000</v>
          </cell>
          <cell r="F37">
            <v>85000</v>
          </cell>
          <cell r="G37">
            <v>93000</v>
          </cell>
          <cell r="H37">
            <v>98000</v>
          </cell>
          <cell r="I37">
            <v>0</v>
          </cell>
          <cell r="J37">
            <v>34</v>
          </cell>
          <cell r="K37">
            <v>48000</v>
          </cell>
          <cell r="L37">
            <v>85000</v>
          </cell>
          <cell r="M37">
            <v>99000</v>
          </cell>
          <cell r="N37">
            <v>110000</v>
          </cell>
          <cell r="O37">
            <v>121000</v>
          </cell>
          <cell r="P37">
            <v>127000</v>
          </cell>
          <cell r="Q37">
            <v>0</v>
          </cell>
          <cell r="R37">
            <v>34</v>
          </cell>
          <cell r="S37">
            <v>30000</v>
          </cell>
          <cell r="T37">
            <v>52000</v>
          </cell>
          <cell r="U37">
            <v>61000</v>
          </cell>
          <cell r="V37">
            <v>68000</v>
          </cell>
          <cell r="W37">
            <v>75000</v>
          </cell>
          <cell r="X37">
            <v>79000</v>
          </cell>
          <cell r="Y37">
            <v>0</v>
          </cell>
          <cell r="Z37">
            <v>34</v>
          </cell>
          <cell r="AA37">
            <v>54000</v>
          </cell>
          <cell r="AB37">
            <v>95000</v>
          </cell>
          <cell r="AC37">
            <v>112000</v>
          </cell>
          <cell r="AD37">
            <v>124000</v>
          </cell>
          <cell r="AE37">
            <v>136000</v>
          </cell>
          <cell r="AF37">
            <v>143000</v>
          </cell>
          <cell r="AG37">
            <v>0</v>
          </cell>
          <cell r="AH37">
            <v>34</v>
          </cell>
          <cell r="AI37">
            <v>34000</v>
          </cell>
          <cell r="AJ37">
            <v>60000</v>
          </cell>
          <cell r="AK37">
            <v>70000</v>
          </cell>
          <cell r="AL37">
            <v>78000</v>
          </cell>
          <cell r="AM37">
            <v>85000</v>
          </cell>
          <cell r="AN37">
            <v>90000</v>
          </cell>
          <cell r="AO37">
            <v>0</v>
          </cell>
          <cell r="AP37">
            <v>34</v>
          </cell>
          <cell r="AQ37">
            <v>91000</v>
          </cell>
          <cell r="AR37">
            <v>161000</v>
          </cell>
          <cell r="AS37">
            <v>189000</v>
          </cell>
          <cell r="AT37">
            <v>210000</v>
          </cell>
          <cell r="AU37">
            <v>230000</v>
          </cell>
          <cell r="AV37">
            <v>242000</v>
          </cell>
          <cell r="AW37">
            <v>0</v>
          </cell>
          <cell r="AX37">
            <v>34</v>
          </cell>
          <cell r="AY37">
            <v>147000</v>
          </cell>
          <cell r="AZ37">
            <v>261000</v>
          </cell>
          <cell r="BA37">
            <v>305000</v>
          </cell>
          <cell r="BB37">
            <v>339000</v>
          </cell>
          <cell r="BC37">
            <v>372000</v>
          </cell>
          <cell r="BD37">
            <v>391000</v>
          </cell>
        </row>
        <row r="38">
          <cell r="B38">
            <v>35</v>
          </cell>
          <cell r="C38">
            <v>40000</v>
          </cell>
          <cell r="D38">
            <v>72000</v>
          </cell>
          <cell r="E38">
            <v>84000</v>
          </cell>
          <cell r="F38">
            <v>93000</v>
          </cell>
          <cell r="G38">
            <v>102000</v>
          </cell>
          <cell r="H38">
            <v>108000</v>
          </cell>
          <cell r="I38">
            <v>0</v>
          </cell>
          <cell r="J38">
            <v>35</v>
          </cell>
          <cell r="K38">
            <v>52000</v>
          </cell>
          <cell r="L38">
            <v>93000</v>
          </cell>
          <cell r="M38">
            <v>109000</v>
          </cell>
          <cell r="N38">
            <v>121000</v>
          </cell>
          <cell r="O38">
            <v>133000</v>
          </cell>
          <cell r="P38">
            <v>140000</v>
          </cell>
          <cell r="Q38">
            <v>0</v>
          </cell>
          <cell r="R38">
            <v>35</v>
          </cell>
          <cell r="S38">
            <v>33000</v>
          </cell>
          <cell r="T38">
            <v>58000</v>
          </cell>
          <cell r="U38">
            <v>68000</v>
          </cell>
          <cell r="V38">
            <v>75000</v>
          </cell>
          <cell r="W38">
            <v>82000</v>
          </cell>
          <cell r="X38">
            <v>87000</v>
          </cell>
          <cell r="Y38">
            <v>0</v>
          </cell>
          <cell r="Z38">
            <v>35</v>
          </cell>
          <cell r="AA38">
            <v>59000</v>
          </cell>
          <cell r="AB38">
            <v>105000</v>
          </cell>
          <cell r="AC38">
            <v>123000</v>
          </cell>
          <cell r="AD38">
            <v>136000</v>
          </cell>
          <cell r="AE38">
            <v>149000</v>
          </cell>
          <cell r="AF38">
            <v>157000</v>
          </cell>
          <cell r="AG38">
            <v>0</v>
          </cell>
          <cell r="AH38">
            <v>35</v>
          </cell>
          <cell r="AI38">
            <v>37000</v>
          </cell>
          <cell r="AJ38">
            <v>66000</v>
          </cell>
          <cell r="AK38">
            <v>77000</v>
          </cell>
          <cell r="AL38">
            <v>86000</v>
          </cell>
          <cell r="AM38">
            <v>94000</v>
          </cell>
          <cell r="AN38">
            <v>99000</v>
          </cell>
          <cell r="AO38">
            <v>0</v>
          </cell>
          <cell r="AP38">
            <v>35</v>
          </cell>
          <cell r="AQ38">
            <v>100000</v>
          </cell>
          <cell r="AR38">
            <v>177000</v>
          </cell>
          <cell r="AS38">
            <v>208000</v>
          </cell>
          <cell r="AT38">
            <v>231000</v>
          </cell>
          <cell r="AU38">
            <v>253000</v>
          </cell>
          <cell r="AV38">
            <v>266000</v>
          </cell>
          <cell r="AW38">
            <v>0</v>
          </cell>
          <cell r="AX38">
            <v>35</v>
          </cell>
          <cell r="AY38">
            <v>161000</v>
          </cell>
          <cell r="AZ38">
            <v>287000</v>
          </cell>
          <cell r="BA38">
            <v>336000</v>
          </cell>
          <cell r="BB38">
            <v>373000</v>
          </cell>
          <cell r="BC38">
            <v>409000</v>
          </cell>
          <cell r="BD38">
            <v>430000</v>
          </cell>
        </row>
        <row r="39">
          <cell r="B39">
            <v>36</v>
          </cell>
          <cell r="C39">
            <v>44000</v>
          </cell>
          <cell r="D39">
            <v>79000</v>
          </cell>
          <cell r="E39">
            <v>92000</v>
          </cell>
          <cell r="F39">
            <v>103000</v>
          </cell>
          <cell r="G39">
            <v>113000</v>
          </cell>
          <cell r="H39">
            <v>119000</v>
          </cell>
          <cell r="I39">
            <v>0</v>
          </cell>
          <cell r="J39">
            <v>36</v>
          </cell>
          <cell r="K39">
            <v>58000</v>
          </cell>
          <cell r="L39">
            <v>103000</v>
          </cell>
          <cell r="M39">
            <v>120000</v>
          </cell>
          <cell r="N39">
            <v>133000</v>
          </cell>
          <cell r="O39">
            <v>146000</v>
          </cell>
          <cell r="P39">
            <v>154000</v>
          </cell>
          <cell r="Q39">
            <v>0</v>
          </cell>
          <cell r="R39">
            <v>36</v>
          </cell>
          <cell r="S39">
            <v>36000</v>
          </cell>
          <cell r="T39">
            <v>64000</v>
          </cell>
          <cell r="U39">
            <v>74000</v>
          </cell>
          <cell r="V39">
            <v>83000</v>
          </cell>
          <cell r="W39">
            <v>91000</v>
          </cell>
          <cell r="X39">
            <v>95000</v>
          </cell>
          <cell r="Y39">
            <v>0</v>
          </cell>
          <cell r="Z39">
            <v>36</v>
          </cell>
          <cell r="AA39">
            <v>65000</v>
          </cell>
          <cell r="AB39">
            <v>115000</v>
          </cell>
          <cell r="AC39">
            <v>135000</v>
          </cell>
          <cell r="AD39">
            <v>150000</v>
          </cell>
          <cell r="AE39">
            <v>164000</v>
          </cell>
          <cell r="AF39">
            <v>173000</v>
          </cell>
          <cell r="AG39">
            <v>0</v>
          </cell>
          <cell r="AH39">
            <v>36</v>
          </cell>
          <cell r="AI39">
            <v>41000</v>
          </cell>
          <cell r="AJ39">
            <v>73000</v>
          </cell>
          <cell r="AK39">
            <v>85000</v>
          </cell>
          <cell r="AL39">
            <v>94000</v>
          </cell>
          <cell r="AM39">
            <v>103000</v>
          </cell>
          <cell r="AN39">
            <v>109000</v>
          </cell>
          <cell r="AO39">
            <v>0</v>
          </cell>
          <cell r="AP39">
            <v>36</v>
          </cell>
          <cell r="AQ39">
            <v>110000</v>
          </cell>
          <cell r="AR39">
            <v>195000</v>
          </cell>
          <cell r="AS39">
            <v>228000</v>
          </cell>
          <cell r="AT39">
            <v>254000</v>
          </cell>
          <cell r="AU39">
            <v>278000</v>
          </cell>
          <cell r="AV39">
            <v>293000</v>
          </cell>
          <cell r="AW39">
            <v>0</v>
          </cell>
          <cell r="AX39">
            <v>36</v>
          </cell>
          <cell r="AY39">
            <v>178000</v>
          </cell>
          <cell r="AZ39">
            <v>316000</v>
          </cell>
          <cell r="BA39">
            <v>369000</v>
          </cell>
          <cell r="BB39">
            <v>411000</v>
          </cell>
          <cell r="BC39">
            <v>450000</v>
          </cell>
          <cell r="BD39">
            <v>474000</v>
          </cell>
        </row>
        <row r="40">
          <cell r="B40">
            <v>37</v>
          </cell>
          <cell r="C40">
            <v>49000</v>
          </cell>
          <cell r="D40">
            <v>87000</v>
          </cell>
          <cell r="E40">
            <v>102000</v>
          </cell>
          <cell r="F40">
            <v>113000</v>
          </cell>
          <cell r="G40">
            <v>124000</v>
          </cell>
          <cell r="H40">
            <v>130000</v>
          </cell>
          <cell r="I40">
            <v>0</v>
          </cell>
          <cell r="J40">
            <v>37</v>
          </cell>
          <cell r="K40">
            <v>63000</v>
          </cell>
          <cell r="L40">
            <v>113000</v>
          </cell>
          <cell r="M40">
            <v>132000</v>
          </cell>
          <cell r="N40">
            <v>147000</v>
          </cell>
          <cell r="O40">
            <v>161000</v>
          </cell>
          <cell r="P40">
            <v>169000</v>
          </cell>
          <cell r="Q40">
            <v>0</v>
          </cell>
          <cell r="R40">
            <v>37</v>
          </cell>
          <cell r="S40">
            <v>39000</v>
          </cell>
          <cell r="T40">
            <v>70000</v>
          </cell>
          <cell r="U40">
            <v>82000</v>
          </cell>
          <cell r="V40">
            <v>91000</v>
          </cell>
          <cell r="W40">
            <v>100000</v>
          </cell>
          <cell r="X40">
            <v>105000</v>
          </cell>
          <cell r="Y40">
            <v>0</v>
          </cell>
          <cell r="Z40">
            <v>37</v>
          </cell>
          <cell r="AA40">
            <v>71000</v>
          </cell>
          <cell r="AB40">
            <v>127000</v>
          </cell>
          <cell r="AC40">
            <v>148000</v>
          </cell>
          <cell r="AD40">
            <v>165000</v>
          </cell>
          <cell r="AE40">
            <v>181000</v>
          </cell>
          <cell r="AF40">
            <v>190000</v>
          </cell>
          <cell r="AG40">
            <v>0</v>
          </cell>
          <cell r="AH40">
            <v>37</v>
          </cell>
          <cell r="AI40">
            <v>45000</v>
          </cell>
          <cell r="AJ40">
            <v>80000</v>
          </cell>
          <cell r="AK40">
            <v>93000</v>
          </cell>
          <cell r="AL40">
            <v>104000</v>
          </cell>
          <cell r="AM40">
            <v>114000</v>
          </cell>
          <cell r="AN40">
            <v>120000</v>
          </cell>
          <cell r="AO40">
            <v>0</v>
          </cell>
          <cell r="AP40">
            <v>37</v>
          </cell>
          <cell r="AQ40">
            <v>121000</v>
          </cell>
          <cell r="AR40">
            <v>215000</v>
          </cell>
          <cell r="AS40">
            <v>251000</v>
          </cell>
          <cell r="AT40">
            <v>279000</v>
          </cell>
          <cell r="AU40">
            <v>306000</v>
          </cell>
          <cell r="AV40">
            <v>322000</v>
          </cell>
          <cell r="AW40">
            <v>0</v>
          </cell>
          <cell r="AX40">
            <v>37</v>
          </cell>
          <cell r="AY40">
            <v>195000</v>
          </cell>
          <cell r="AZ40">
            <v>347000</v>
          </cell>
          <cell r="BA40">
            <v>406000</v>
          </cell>
          <cell r="BB40">
            <v>451000</v>
          </cell>
          <cell r="BC40">
            <v>495000</v>
          </cell>
          <cell r="BD40">
            <v>521000</v>
          </cell>
        </row>
        <row r="41">
          <cell r="B41">
            <v>38</v>
          </cell>
          <cell r="C41">
            <v>54000</v>
          </cell>
          <cell r="D41">
            <v>96000</v>
          </cell>
          <cell r="E41">
            <v>112000</v>
          </cell>
          <cell r="F41">
            <v>124000</v>
          </cell>
          <cell r="G41">
            <v>136000</v>
          </cell>
          <cell r="H41">
            <v>143000</v>
          </cell>
          <cell r="I41">
            <v>0</v>
          </cell>
          <cell r="J41">
            <v>38</v>
          </cell>
          <cell r="K41">
            <v>70000</v>
          </cell>
          <cell r="L41">
            <v>124000</v>
          </cell>
          <cell r="M41">
            <v>145000</v>
          </cell>
          <cell r="N41">
            <v>161000</v>
          </cell>
          <cell r="O41">
            <v>177000</v>
          </cell>
          <cell r="P41">
            <v>186000</v>
          </cell>
          <cell r="Q41">
            <v>0</v>
          </cell>
          <cell r="R41">
            <v>38</v>
          </cell>
          <cell r="S41">
            <v>43000</v>
          </cell>
          <cell r="T41">
            <v>77000</v>
          </cell>
          <cell r="U41">
            <v>90000</v>
          </cell>
          <cell r="V41">
            <v>100000</v>
          </cell>
          <cell r="W41">
            <v>110000</v>
          </cell>
          <cell r="X41">
            <v>115000</v>
          </cell>
          <cell r="Y41">
            <v>0</v>
          </cell>
          <cell r="Z41">
            <v>38</v>
          </cell>
          <cell r="AA41">
            <v>79000</v>
          </cell>
          <cell r="AB41">
            <v>140000</v>
          </cell>
          <cell r="AC41">
            <v>163000</v>
          </cell>
          <cell r="AD41">
            <v>181000</v>
          </cell>
          <cell r="AE41">
            <v>199000</v>
          </cell>
          <cell r="AF41">
            <v>209000</v>
          </cell>
          <cell r="AG41">
            <v>0</v>
          </cell>
          <cell r="AH41">
            <v>38</v>
          </cell>
          <cell r="AI41">
            <v>49000</v>
          </cell>
          <cell r="AJ41">
            <v>88000</v>
          </cell>
          <cell r="AK41">
            <v>103000</v>
          </cell>
          <cell r="AL41">
            <v>114000</v>
          </cell>
          <cell r="AM41">
            <v>125000</v>
          </cell>
          <cell r="AN41">
            <v>132000</v>
          </cell>
          <cell r="AO41">
            <v>0</v>
          </cell>
          <cell r="AP41">
            <v>38</v>
          </cell>
          <cell r="AQ41">
            <v>133000</v>
          </cell>
          <cell r="AR41">
            <v>236000</v>
          </cell>
          <cell r="AS41">
            <v>276000</v>
          </cell>
          <cell r="AT41">
            <v>307000</v>
          </cell>
          <cell r="AU41">
            <v>337000</v>
          </cell>
          <cell r="AV41">
            <v>355000</v>
          </cell>
          <cell r="AW41">
            <v>0</v>
          </cell>
          <cell r="AX41">
            <v>38</v>
          </cell>
          <cell r="AY41">
            <v>215000</v>
          </cell>
          <cell r="AZ41">
            <v>382000</v>
          </cell>
          <cell r="BA41">
            <v>447000</v>
          </cell>
          <cell r="BB41">
            <v>497000</v>
          </cell>
          <cell r="BC41">
            <v>544000</v>
          </cell>
          <cell r="BD41">
            <v>573000</v>
          </cell>
        </row>
        <row r="42">
          <cell r="B42">
            <v>39</v>
          </cell>
          <cell r="C42">
            <v>59000</v>
          </cell>
          <cell r="D42">
            <v>105000</v>
          </cell>
          <cell r="E42">
            <v>123000</v>
          </cell>
          <cell r="F42">
            <v>137000</v>
          </cell>
          <cell r="G42">
            <v>150000</v>
          </cell>
          <cell r="H42">
            <v>158000</v>
          </cell>
          <cell r="I42">
            <v>0</v>
          </cell>
          <cell r="J42">
            <v>39</v>
          </cell>
          <cell r="K42">
            <v>77000</v>
          </cell>
          <cell r="L42">
            <v>136000</v>
          </cell>
          <cell r="M42">
            <v>160000</v>
          </cell>
          <cell r="N42">
            <v>177000</v>
          </cell>
          <cell r="O42">
            <v>194000</v>
          </cell>
          <cell r="P42">
            <v>205000</v>
          </cell>
          <cell r="Q42">
            <v>0</v>
          </cell>
          <cell r="R42">
            <v>39</v>
          </cell>
          <cell r="S42">
            <v>48000</v>
          </cell>
          <cell r="T42">
            <v>85000</v>
          </cell>
          <cell r="U42">
            <v>99000</v>
          </cell>
          <cell r="V42">
            <v>110000</v>
          </cell>
          <cell r="W42">
            <v>121000</v>
          </cell>
          <cell r="X42">
            <v>127000</v>
          </cell>
          <cell r="Y42">
            <v>0</v>
          </cell>
          <cell r="Z42">
            <v>39</v>
          </cell>
          <cell r="AA42">
            <v>86000</v>
          </cell>
          <cell r="AB42">
            <v>153000</v>
          </cell>
          <cell r="AC42">
            <v>180000</v>
          </cell>
          <cell r="AD42">
            <v>200000</v>
          </cell>
          <cell r="AE42">
            <v>219000</v>
          </cell>
          <cell r="AF42">
            <v>230000</v>
          </cell>
          <cell r="AG42">
            <v>0</v>
          </cell>
          <cell r="AH42">
            <v>39</v>
          </cell>
          <cell r="AI42">
            <v>54000</v>
          </cell>
          <cell r="AJ42">
            <v>97000</v>
          </cell>
          <cell r="AK42">
            <v>113000</v>
          </cell>
          <cell r="AL42">
            <v>126000</v>
          </cell>
          <cell r="AM42">
            <v>138000</v>
          </cell>
          <cell r="AN42">
            <v>145000</v>
          </cell>
          <cell r="AO42">
            <v>0</v>
          </cell>
          <cell r="AP42">
            <v>39</v>
          </cell>
          <cell r="AQ42">
            <v>146000</v>
          </cell>
          <cell r="AR42">
            <v>260000</v>
          </cell>
          <cell r="AS42">
            <v>304000</v>
          </cell>
          <cell r="AT42">
            <v>338000</v>
          </cell>
          <cell r="AU42">
            <v>370000</v>
          </cell>
          <cell r="AV42">
            <v>390000</v>
          </cell>
          <cell r="AW42">
            <v>0</v>
          </cell>
          <cell r="AX42">
            <v>39</v>
          </cell>
          <cell r="AY42">
            <v>236000</v>
          </cell>
          <cell r="AZ42">
            <v>420000</v>
          </cell>
          <cell r="BA42">
            <v>492000</v>
          </cell>
          <cell r="BB42">
            <v>546000</v>
          </cell>
          <cell r="BC42">
            <v>599000</v>
          </cell>
          <cell r="BD42">
            <v>630000</v>
          </cell>
        </row>
        <row r="43">
          <cell r="B43">
            <v>40</v>
          </cell>
          <cell r="C43">
            <v>65000</v>
          </cell>
          <cell r="D43">
            <v>116000</v>
          </cell>
          <cell r="E43">
            <v>135000</v>
          </cell>
          <cell r="F43">
            <v>150000</v>
          </cell>
          <cell r="G43">
            <v>165000</v>
          </cell>
          <cell r="H43">
            <v>174000</v>
          </cell>
          <cell r="I43">
            <v>0</v>
          </cell>
          <cell r="J43">
            <v>40</v>
          </cell>
          <cell r="K43">
            <v>84000</v>
          </cell>
          <cell r="L43">
            <v>150000</v>
          </cell>
          <cell r="M43">
            <v>175000</v>
          </cell>
          <cell r="N43">
            <v>195000</v>
          </cell>
          <cell r="O43">
            <v>214000</v>
          </cell>
          <cell r="P43">
            <v>225000</v>
          </cell>
          <cell r="Q43">
            <v>0</v>
          </cell>
          <cell r="R43">
            <v>40</v>
          </cell>
          <cell r="S43">
            <v>52000</v>
          </cell>
          <cell r="T43">
            <v>93000</v>
          </cell>
          <cell r="U43">
            <v>109000</v>
          </cell>
          <cell r="V43">
            <v>121000</v>
          </cell>
          <cell r="W43">
            <v>133000</v>
          </cell>
          <cell r="X43">
            <v>140000</v>
          </cell>
          <cell r="Y43">
            <v>0</v>
          </cell>
          <cell r="Z43">
            <v>40</v>
          </cell>
          <cell r="AA43">
            <v>95000</v>
          </cell>
          <cell r="AB43">
            <v>169000</v>
          </cell>
          <cell r="AC43">
            <v>198000</v>
          </cell>
          <cell r="AD43">
            <v>220000</v>
          </cell>
          <cell r="AE43">
            <v>241000</v>
          </cell>
          <cell r="AF43">
            <v>253000</v>
          </cell>
          <cell r="AG43">
            <v>0</v>
          </cell>
          <cell r="AH43">
            <v>40</v>
          </cell>
          <cell r="AI43">
            <v>60000</v>
          </cell>
          <cell r="AJ43">
            <v>106000</v>
          </cell>
          <cell r="AK43">
            <v>124000</v>
          </cell>
          <cell r="AL43">
            <v>138000</v>
          </cell>
          <cell r="AM43">
            <v>151000</v>
          </cell>
          <cell r="AN43">
            <v>159000</v>
          </cell>
          <cell r="AO43">
            <v>0</v>
          </cell>
          <cell r="AP43">
            <v>40</v>
          </cell>
          <cell r="AQ43">
            <v>161000</v>
          </cell>
          <cell r="AR43">
            <v>286000</v>
          </cell>
          <cell r="AS43">
            <v>335000</v>
          </cell>
          <cell r="AT43">
            <v>372000</v>
          </cell>
          <cell r="AU43">
            <v>407000</v>
          </cell>
          <cell r="AV43">
            <v>429000</v>
          </cell>
          <cell r="AW43">
            <v>0</v>
          </cell>
          <cell r="AX43">
            <v>40</v>
          </cell>
          <cell r="AY43">
            <v>260000</v>
          </cell>
          <cell r="AZ43">
            <v>462000</v>
          </cell>
          <cell r="BA43">
            <v>541000</v>
          </cell>
          <cell r="BB43">
            <v>601000</v>
          </cell>
          <cell r="BC43">
            <v>659000</v>
          </cell>
          <cell r="BD43">
            <v>693000</v>
          </cell>
        </row>
        <row r="44">
          <cell r="B44">
            <v>41</v>
          </cell>
          <cell r="C44">
            <v>72000</v>
          </cell>
          <cell r="D44">
            <v>127000</v>
          </cell>
          <cell r="E44">
            <v>149000</v>
          </cell>
          <cell r="F44">
            <v>165000</v>
          </cell>
          <cell r="G44">
            <v>181000</v>
          </cell>
          <cell r="H44">
            <v>191000</v>
          </cell>
          <cell r="I44">
            <v>0</v>
          </cell>
          <cell r="J44">
            <v>41</v>
          </cell>
          <cell r="K44">
            <v>93000</v>
          </cell>
          <cell r="L44">
            <v>165000</v>
          </cell>
          <cell r="M44">
            <v>193000</v>
          </cell>
          <cell r="N44">
            <v>215000</v>
          </cell>
          <cell r="O44">
            <v>235000</v>
          </cell>
          <cell r="P44">
            <v>248000</v>
          </cell>
          <cell r="Q44">
            <v>0</v>
          </cell>
          <cell r="R44">
            <v>41</v>
          </cell>
          <cell r="S44">
            <v>58000</v>
          </cell>
          <cell r="T44">
            <v>102000</v>
          </cell>
          <cell r="U44">
            <v>120000</v>
          </cell>
          <cell r="V44">
            <v>133000</v>
          </cell>
          <cell r="W44">
            <v>146000</v>
          </cell>
          <cell r="X44">
            <v>153000</v>
          </cell>
          <cell r="Y44">
            <v>0</v>
          </cell>
          <cell r="Z44">
            <v>41</v>
          </cell>
          <cell r="AA44">
            <v>105000</v>
          </cell>
          <cell r="AB44">
            <v>186000</v>
          </cell>
          <cell r="AC44">
            <v>217000</v>
          </cell>
          <cell r="AD44">
            <v>242000</v>
          </cell>
          <cell r="AE44">
            <v>265000</v>
          </cell>
          <cell r="AF44">
            <v>279000</v>
          </cell>
          <cell r="AG44">
            <v>0</v>
          </cell>
          <cell r="AH44">
            <v>41</v>
          </cell>
          <cell r="AI44">
            <v>66000</v>
          </cell>
          <cell r="AJ44">
            <v>117000</v>
          </cell>
          <cell r="AK44">
            <v>137000</v>
          </cell>
          <cell r="AL44">
            <v>152000</v>
          </cell>
          <cell r="AM44">
            <v>167000</v>
          </cell>
          <cell r="AN44">
            <v>175000</v>
          </cell>
          <cell r="AO44">
            <v>0</v>
          </cell>
          <cell r="AP44">
            <v>41</v>
          </cell>
          <cell r="AQ44">
            <v>177000</v>
          </cell>
          <cell r="AR44">
            <v>314000</v>
          </cell>
          <cell r="AS44">
            <v>368000</v>
          </cell>
          <cell r="AT44">
            <v>409000</v>
          </cell>
          <cell r="AU44">
            <v>448000</v>
          </cell>
          <cell r="AV44">
            <v>472000</v>
          </cell>
          <cell r="AW44">
            <v>0</v>
          </cell>
          <cell r="AX44">
            <v>41</v>
          </cell>
          <cell r="AY44">
            <v>286000</v>
          </cell>
          <cell r="AZ44">
            <v>508000</v>
          </cell>
          <cell r="BA44">
            <v>595000</v>
          </cell>
          <cell r="BB44">
            <v>661000</v>
          </cell>
          <cell r="BC44">
            <v>724000</v>
          </cell>
          <cell r="BD44">
            <v>763000</v>
          </cell>
        </row>
        <row r="45">
          <cell r="B45">
            <v>42</v>
          </cell>
          <cell r="C45">
            <v>79000</v>
          </cell>
          <cell r="D45">
            <v>140000</v>
          </cell>
          <cell r="E45">
            <v>164000</v>
          </cell>
          <cell r="F45">
            <v>182000</v>
          </cell>
          <cell r="G45">
            <v>199000</v>
          </cell>
          <cell r="H45">
            <v>210000</v>
          </cell>
          <cell r="I45">
            <v>0</v>
          </cell>
          <cell r="J45">
            <v>42</v>
          </cell>
          <cell r="K45">
            <v>102000</v>
          </cell>
          <cell r="L45">
            <v>182000</v>
          </cell>
          <cell r="M45">
            <v>212000</v>
          </cell>
          <cell r="N45">
            <v>236000</v>
          </cell>
          <cell r="O45">
            <v>259000</v>
          </cell>
          <cell r="P45">
            <v>272000</v>
          </cell>
          <cell r="Q45">
            <v>0</v>
          </cell>
          <cell r="R45">
            <v>42</v>
          </cell>
          <cell r="S45">
            <v>63000</v>
          </cell>
          <cell r="T45">
            <v>113000</v>
          </cell>
          <cell r="U45">
            <v>132000</v>
          </cell>
          <cell r="V45">
            <v>146000</v>
          </cell>
          <cell r="W45">
            <v>160000</v>
          </cell>
          <cell r="X45">
            <v>169000</v>
          </cell>
          <cell r="Y45">
            <v>0</v>
          </cell>
          <cell r="Z45">
            <v>42</v>
          </cell>
          <cell r="AA45">
            <v>115000</v>
          </cell>
          <cell r="AB45">
            <v>204000</v>
          </cell>
          <cell r="AC45">
            <v>239000</v>
          </cell>
          <cell r="AD45">
            <v>266000</v>
          </cell>
          <cell r="AE45">
            <v>291000</v>
          </cell>
          <cell r="AF45">
            <v>307000</v>
          </cell>
          <cell r="AG45">
            <v>0</v>
          </cell>
          <cell r="AH45">
            <v>42</v>
          </cell>
          <cell r="AI45">
            <v>72000</v>
          </cell>
          <cell r="AJ45">
            <v>129000</v>
          </cell>
          <cell r="AK45">
            <v>150000</v>
          </cell>
          <cell r="AL45">
            <v>167000</v>
          </cell>
          <cell r="AM45">
            <v>183000</v>
          </cell>
          <cell r="AN45">
            <v>193000</v>
          </cell>
          <cell r="AO45">
            <v>0</v>
          </cell>
          <cell r="AP45">
            <v>42</v>
          </cell>
          <cell r="AQ45">
            <v>195000</v>
          </cell>
          <cell r="AR45">
            <v>346000</v>
          </cell>
          <cell r="AS45">
            <v>405000</v>
          </cell>
          <cell r="AT45">
            <v>450000</v>
          </cell>
          <cell r="AU45">
            <v>493000</v>
          </cell>
          <cell r="AV45">
            <v>519000</v>
          </cell>
          <cell r="AW45">
            <v>0</v>
          </cell>
          <cell r="AX45">
            <v>42</v>
          </cell>
          <cell r="AY45">
            <v>315000</v>
          </cell>
          <cell r="AZ45">
            <v>559000</v>
          </cell>
          <cell r="BA45">
            <v>654000</v>
          </cell>
          <cell r="BB45">
            <v>727000</v>
          </cell>
          <cell r="BC45">
            <v>797000</v>
          </cell>
          <cell r="BD45">
            <v>839000</v>
          </cell>
        </row>
        <row r="46">
          <cell r="B46">
            <v>43</v>
          </cell>
          <cell r="C46">
            <v>87000</v>
          </cell>
          <cell r="D46">
            <v>154000</v>
          </cell>
          <cell r="E46">
            <v>180000</v>
          </cell>
          <cell r="F46">
            <v>200000</v>
          </cell>
          <cell r="G46">
            <v>219000</v>
          </cell>
          <cell r="H46">
            <v>231000</v>
          </cell>
          <cell r="I46">
            <v>0</v>
          </cell>
          <cell r="J46">
            <v>43</v>
          </cell>
          <cell r="K46">
            <v>112000</v>
          </cell>
          <cell r="L46">
            <v>200000</v>
          </cell>
          <cell r="M46">
            <v>234000</v>
          </cell>
          <cell r="N46">
            <v>260000</v>
          </cell>
          <cell r="O46">
            <v>285000</v>
          </cell>
          <cell r="P46">
            <v>300000</v>
          </cell>
          <cell r="Q46">
            <v>0</v>
          </cell>
          <cell r="R46">
            <v>43</v>
          </cell>
          <cell r="S46">
            <v>70000</v>
          </cell>
          <cell r="T46">
            <v>124000</v>
          </cell>
          <cell r="U46">
            <v>145000</v>
          </cell>
          <cell r="V46">
            <v>161000</v>
          </cell>
          <cell r="W46">
            <v>177000</v>
          </cell>
          <cell r="X46">
            <v>186000</v>
          </cell>
          <cell r="Y46">
            <v>0</v>
          </cell>
          <cell r="Z46">
            <v>43</v>
          </cell>
          <cell r="AA46">
            <v>126000</v>
          </cell>
          <cell r="AB46">
            <v>225000</v>
          </cell>
          <cell r="AC46">
            <v>263000</v>
          </cell>
          <cell r="AD46">
            <v>292000</v>
          </cell>
          <cell r="AE46">
            <v>320000</v>
          </cell>
          <cell r="AF46">
            <v>337000</v>
          </cell>
          <cell r="AG46">
            <v>0</v>
          </cell>
          <cell r="AH46">
            <v>43</v>
          </cell>
          <cell r="AI46">
            <v>79000</v>
          </cell>
          <cell r="AJ46">
            <v>141000</v>
          </cell>
          <cell r="AK46">
            <v>165000</v>
          </cell>
          <cell r="AL46">
            <v>184000</v>
          </cell>
          <cell r="AM46">
            <v>201000</v>
          </cell>
          <cell r="AN46">
            <v>212000</v>
          </cell>
          <cell r="AO46">
            <v>0</v>
          </cell>
          <cell r="AP46">
            <v>43</v>
          </cell>
          <cell r="AQ46">
            <v>214000</v>
          </cell>
          <cell r="AR46">
            <v>381000</v>
          </cell>
          <cell r="AS46">
            <v>445000</v>
          </cell>
          <cell r="AT46">
            <v>495000</v>
          </cell>
          <cell r="AU46">
            <v>542000</v>
          </cell>
          <cell r="AV46">
            <v>571000</v>
          </cell>
          <cell r="AW46">
            <v>0</v>
          </cell>
          <cell r="AX46">
            <v>43</v>
          </cell>
          <cell r="AY46">
            <v>346000</v>
          </cell>
          <cell r="AZ46">
            <v>615000</v>
          </cell>
          <cell r="BA46">
            <v>720000</v>
          </cell>
          <cell r="BB46">
            <v>800000</v>
          </cell>
          <cell r="BC46">
            <v>877000</v>
          </cell>
          <cell r="BD46">
            <v>923000</v>
          </cell>
        </row>
        <row r="47">
          <cell r="B47">
            <v>44</v>
          </cell>
          <cell r="C47">
            <v>95000</v>
          </cell>
          <cell r="D47">
            <v>169000</v>
          </cell>
          <cell r="E47">
            <v>198000</v>
          </cell>
          <cell r="F47">
            <v>220000</v>
          </cell>
          <cell r="G47">
            <v>241000</v>
          </cell>
          <cell r="H47">
            <v>254000</v>
          </cell>
          <cell r="I47">
            <v>0</v>
          </cell>
          <cell r="J47">
            <v>44</v>
          </cell>
          <cell r="K47">
            <v>124000</v>
          </cell>
          <cell r="L47">
            <v>220000</v>
          </cell>
          <cell r="M47">
            <v>257000</v>
          </cell>
          <cell r="N47">
            <v>286000</v>
          </cell>
          <cell r="O47">
            <v>313000</v>
          </cell>
          <cell r="P47">
            <v>329000</v>
          </cell>
          <cell r="Q47">
            <v>0</v>
          </cell>
          <cell r="R47">
            <v>44</v>
          </cell>
          <cell r="S47">
            <v>77000</v>
          </cell>
          <cell r="T47">
            <v>136000</v>
          </cell>
          <cell r="U47">
            <v>159000</v>
          </cell>
          <cell r="V47">
            <v>177000</v>
          </cell>
          <cell r="W47">
            <v>194000</v>
          </cell>
          <cell r="X47">
            <v>204000</v>
          </cell>
          <cell r="Y47">
            <v>0</v>
          </cell>
          <cell r="Z47">
            <v>44</v>
          </cell>
          <cell r="AA47">
            <v>139000</v>
          </cell>
          <cell r="AB47">
            <v>247000</v>
          </cell>
          <cell r="AC47">
            <v>289000</v>
          </cell>
          <cell r="AD47">
            <v>321000</v>
          </cell>
          <cell r="AE47">
            <v>352000</v>
          </cell>
          <cell r="AF47">
            <v>371000</v>
          </cell>
          <cell r="AG47">
            <v>0</v>
          </cell>
          <cell r="AH47">
            <v>44</v>
          </cell>
          <cell r="AI47">
            <v>88000</v>
          </cell>
          <cell r="AJ47">
            <v>156000</v>
          </cell>
          <cell r="AK47">
            <v>182000</v>
          </cell>
          <cell r="AL47">
            <v>202000</v>
          </cell>
          <cell r="AM47">
            <v>222000</v>
          </cell>
          <cell r="AN47">
            <v>233000</v>
          </cell>
          <cell r="AO47">
            <v>0</v>
          </cell>
          <cell r="AP47">
            <v>44</v>
          </cell>
          <cell r="AQ47">
            <v>235000</v>
          </cell>
          <cell r="AR47">
            <v>419000</v>
          </cell>
          <cell r="AS47">
            <v>490000</v>
          </cell>
          <cell r="AT47">
            <v>544000</v>
          </cell>
          <cell r="AU47">
            <v>597000</v>
          </cell>
          <cell r="AV47">
            <v>628000</v>
          </cell>
          <cell r="AW47">
            <v>0</v>
          </cell>
          <cell r="AX47">
            <v>44</v>
          </cell>
          <cell r="AY47">
            <v>381000</v>
          </cell>
          <cell r="AZ47">
            <v>677000</v>
          </cell>
          <cell r="BA47">
            <v>792000</v>
          </cell>
          <cell r="BB47">
            <v>880000</v>
          </cell>
          <cell r="BC47">
            <v>964000</v>
          </cell>
          <cell r="BD47">
            <v>1015000</v>
          </cell>
        </row>
        <row r="48">
          <cell r="B48">
            <v>45</v>
          </cell>
          <cell r="C48">
            <v>105000</v>
          </cell>
          <cell r="D48">
            <v>186000</v>
          </cell>
          <cell r="E48">
            <v>218000</v>
          </cell>
          <cell r="F48">
            <v>242000</v>
          </cell>
          <cell r="G48">
            <v>265000</v>
          </cell>
          <cell r="H48">
            <v>279000</v>
          </cell>
          <cell r="I48">
            <v>0</v>
          </cell>
          <cell r="J48">
            <v>45</v>
          </cell>
          <cell r="K48">
            <v>136000</v>
          </cell>
          <cell r="L48">
            <v>242000</v>
          </cell>
          <cell r="M48">
            <v>283000</v>
          </cell>
          <cell r="N48">
            <v>314000</v>
          </cell>
          <cell r="O48">
            <v>344000</v>
          </cell>
          <cell r="P48">
            <v>362000</v>
          </cell>
          <cell r="Q48">
            <v>0</v>
          </cell>
          <cell r="R48">
            <v>45</v>
          </cell>
          <cell r="S48">
            <v>84000</v>
          </cell>
          <cell r="T48">
            <v>150000</v>
          </cell>
          <cell r="U48">
            <v>175000</v>
          </cell>
          <cell r="V48">
            <v>195000</v>
          </cell>
          <cell r="W48">
            <v>214000</v>
          </cell>
          <cell r="X48">
            <v>225000</v>
          </cell>
          <cell r="Y48">
            <v>0</v>
          </cell>
          <cell r="Z48">
            <v>45</v>
          </cell>
          <cell r="AA48">
            <v>153000</v>
          </cell>
          <cell r="AB48">
            <v>272000</v>
          </cell>
          <cell r="AC48">
            <v>318000</v>
          </cell>
          <cell r="AD48">
            <v>354000</v>
          </cell>
          <cell r="AE48">
            <v>388000</v>
          </cell>
          <cell r="AF48">
            <v>408000</v>
          </cell>
          <cell r="AG48">
            <v>0</v>
          </cell>
          <cell r="AH48">
            <v>45</v>
          </cell>
          <cell r="AI48">
            <v>96000</v>
          </cell>
          <cell r="AJ48">
            <v>171000</v>
          </cell>
          <cell r="AK48">
            <v>200000</v>
          </cell>
          <cell r="AL48">
            <v>222000</v>
          </cell>
          <cell r="AM48">
            <v>244000</v>
          </cell>
          <cell r="AN48">
            <v>257000</v>
          </cell>
          <cell r="AO48">
            <v>0</v>
          </cell>
          <cell r="AP48">
            <v>45</v>
          </cell>
          <cell r="AQ48">
            <v>259000</v>
          </cell>
          <cell r="AR48">
            <v>461000</v>
          </cell>
          <cell r="AS48">
            <v>539000</v>
          </cell>
          <cell r="AT48">
            <v>599000</v>
          </cell>
          <cell r="AU48">
            <v>656000</v>
          </cell>
          <cell r="AV48">
            <v>691000</v>
          </cell>
          <cell r="AW48">
            <v>0</v>
          </cell>
          <cell r="AX48">
            <v>45</v>
          </cell>
          <cell r="AY48">
            <v>419000</v>
          </cell>
          <cell r="AZ48">
            <v>744000</v>
          </cell>
          <cell r="BA48">
            <v>871000</v>
          </cell>
          <cell r="BB48">
            <v>968000</v>
          </cell>
          <cell r="BC48">
            <v>1061000</v>
          </cell>
          <cell r="BD48">
            <v>1117000</v>
          </cell>
        </row>
        <row r="49">
          <cell r="B49">
            <v>46</v>
          </cell>
          <cell r="C49">
            <v>115000</v>
          </cell>
          <cell r="D49">
            <v>205000</v>
          </cell>
          <cell r="E49">
            <v>240000</v>
          </cell>
          <cell r="F49">
            <v>266000</v>
          </cell>
          <cell r="G49">
            <v>292000</v>
          </cell>
          <cell r="H49">
            <v>307000</v>
          </cell>
          <cell r="I49">
            <v>0</v>
          </cell>
          <cell r="J49">
            <v>46</v>
          </cell>
          <cell r="K49">
            <v>150000</v>
          </cell>
          <cell r="L49">
            <v>266000</v>
          </cell>
          <cell r="M49">
            <v>311000</v>
          </cell>
          <cell r="N49">
            <v>346000</v>
          </cell>
          <cell r="O49">
            <v>379000</v>
          </cell>
          <cell r="P49">
            <v>399000</v>
          </cell>
          <cell r="Q49">
            <v>0</v>
          </cell>
          <cell r="R49">
            <v>46</v>
          </cell>
          <cell r="S49">
            <v>93000</v>
          </cell>
          <cell r="T49">
            <v>165000</v>
          </cell>
          <cell r="U49">
            <v>193000</v>
          </cell>
          <cell r="V49">
            <v>214000</v>
          </cell>
          <cell r="W49">
            <v>235000</v>
          </cell>
          <cell r="X49">
            <v>247000</v>
          </cell>
          <cell r="Y49">
            <v>0</v>
          </cell>
          <cell r="Z49">
            <v>46</v>
          </cell>
          <cell r="AA49">
            <v>168000</v>
          </cell>
          <cell r="AB49">
            <v>299000</v>
          </cell>
          <cell r="AC49">
            <v>350000</v>
          </cell>
          <cell r="AD49">
            <v>389000</v>
          </cell>
          <cell r="AE49">
            <v>426000</v>
          </cell>
          <cell r="AF49">
            <v>449000</v>
          </cell>
          <cell r="AG49">
            <v>0</v>
          </cell>
          <cell r="AH49">
            <v>46</v>
          </cell>
          <cell r="AI49">
            <v>106000</v>
          </cell>
          <cell r="AJ49">
            <v>188000</v>
          </cell>
          <cell r="AK49">
            <v>220000</v>
          </cell>
          <cell r="AL49">
            <v>245000</v>
          </cell>
          <cell r="AM49">
            <v>268000</v>
          </cell>
          <cell r="AN49">
            <v>282000</v>
          </cell>
          <cell r="AO49">
            <v>0</v>
          </cell>
          <cell r="AP49">
            <v>46</v>
          </cell>
          <cell r="AQ49">
            <v>285000</v>
          </cell>
          <cell r="AR49">
            <v>507000</v>
          </cell>
          <cell r="AS49">
            <v>593000</v>
          </cell>
          <cell r="AT49">
            <v>659000</v>
          </cell>
          <cell r="AU49">
            <v>722000</v>
          </cell>
          <cell r="AV49">
            <v>760000</v>
          </cell>
          <cell r="AW49">
            <v>0</v>
          </cell>
          <cell r="AX49">
            <v>46</v>
          </cell>
          <cell r="AY49">
            <v>461000</v>
          </cell>
          <cell r="AZ49">
            <v>819000</v>
          </cell>
          <cell r="BA49">
            <v>958000</v>
          </cell>
          <cell r="BB49">
            <v>1064000</v>
          </cell>
          <cell r="BC49">
            <v>1167000</v>
          </cell>
          <cell r="BD49">
            <v>1228000</v>
          </cell>
        </row>
        <row r="50">
          <cell r="B50">
            <v>47</v>
          </cell>
          <cell r="C50">
            <v>127000</v>
          </cell>
          <cell r="D50">
            <v>225000</v>
          </cell>
          <cell r="E50">
            <v>264000</v>
          </cell>
          <cell r="F50">
            <v>293000</v>
          </cell>
          <cell r="G50">
            <v>321000</v>
          </cell>
          <cell r="H50">
            <v>338000</v>
          </cell>
          <cell r="I50">
            <v>0</v>
          </cell>
          <cell r="J50">
            <v>47</v>
          </cell>
          <cell r="K50">
            <v>165000</v>
          </cell>
          <cell r="L50">
            <v>292000</v>
          </cell>
          <cell r="M50">
            <v>342000</v>
          </cell>
          <cell r="N50">
            <v>380000</v>
          </cell>
          <cell r="O50">
            <v>417000</v>
          </cell>
          <cell r="P50">
            <v>439000</v>
          </cell>
          <cell r="Q50">
            <v>0</v>
          </cell>
          <cell r="R50">
            <v>47</v>
          </cell>
          <cell r="S50">
            <v>102000</v>
          </cell>
          <cell r="T50">
            <v>181000</v>
          </cell>
          <cell r="U50">
            <v>212000</v>
          </cell>
          <cell r="V50">
            <v>236000</v>
          </cell>
          <cell r="W50">
            <v>258000</v>
          </cell>
          <cell r="X50">
            <v>272000</v>
          </cell>
          <cell r="Y50">
            <v>0</v>
          </cell>
          <cell r="Z50">
            <v>47</v>
          </cell>
          <cell r="AA50">
            <v>185000</v>
          </cell>
          <cell r="AB50">
            <v>329000</v>
          </cell>
          <cell r="AC50">
            <v>385000</v>
          </cell>
          <cell r="AD50">
            <v>428000</v>
          </cell>
          <cell r="AE50">
            <v>469000</v>
          </cell>
          <cell r="AF50">
            <v>494000</v>
          </cell>
          <cell r="AG50">
            <v>0</v>
          </cell>
          <cell r="AH50">
            <v>47</v>
          </cell>
          <cell r="AI50">
            <v>116000</v>
          </cell>
          <cell r="AJ50">
            <v>207000</v>
          </cell>
          <cell r="AK50">
            <v>242000</v>
          </cell>
          <cell r="AL50">
            <v>269000</v>
          </cell>
          <cell r="AM50">
            <v>295000</v>
          </cell>
          <cell r="AN50">
            <v>311000</v>
          </cell>
          <cell r="AO50">
            <v>0</v>
          </cell>
          <cell r="AP50">
            <v>47</v>
          </cell>
          <cell r="AQ50">
            <v>313000</v>
          </cell>
          <cell r="AR50">
            <v>557000</v>
          </cell>
          <cell r="AS50">
            <v>652000</v>
          </cell>
          <cell r="AT50">
            <v>724000</v>
          </cell>
          <cell r="AU50">
            <v>794000</v>
          </cell>
          <cell r="AV50">
            <v>836000</v>
          </cell>
          <cell r="AW50">
            <v>0</v>
          </cell>
          <cell r="AX50">
            <v>47</v>
          </cell>
          <cell r="AY50">
            <v>507000</v>
          </cell>
          <cell r="AZ50">
            <v>901000</v>
          </cell>
          <cell r="BA50">
            <v>1054000</v>
          </cell>
          <cell r="BB50">
            <v>1171000</v>
          </cell>
          <cell r="BC50">
            <v>1284000</v>
          </cell>
          <cell r="BD50">
            <v>1351000</v>
          </cell>
        </row>
        <row r="51">
          <cell r="B51">
            <v>48</v>
          </cell>
          <cell r="C51">
            <v>139000</v>
          </cell>
          <cell r="D51">
            <v>248000</v>
          </cell>
          <cell r="E51">
            <v>290000</v>
          </cell>
          <cell r="F51">
            <v>322000</v>
          </cell>
          <cell r="G51">
            <v>353000</v>
          </cell>
          <cell r="H51">
            <v>372000</v>
          </cell>
          <cell r="I51">
            <v>0</v>
          </cell>
          <cell r="J51">
            <v>48</v>
          </cell>
          <cell r="K51">
            <v>181000</v>
          </cell>
          <cell r="L51">
            <v>322000</v>
          </cell>
          <cell r="M51">
            <v>376000</v>
          </cell>
          <cell r="N51">
            <v>418000</v>
          </cell>
          <cell r="O51">
            <v>458000</v>
          </cell>
          <cell r="P51">
            <v>482000</v>
          </cell>
          <cell r="Q51">
            <v>0</v>
          </cell>
          <cell r="R51">
            <v>48</v>
          </cell>
          <cell r="S51">
            <v>112000</v>
          </cell>
          <cell r="T51">
            <v>199000</v>
          </cell>
          <cell r="U51">
            <v>233000</v>
          </cell>
          <cell r="V51">
            <v>259000</v>
          </cell>
          <cell r="W51">
            <v>284000</v>
          </cell>
          <cell r="X51">
            <v>299000</v>
          </cell>
          <cell r="Y51">
            <v>0</v>
          </cell>
          <cell r="Z51">
            <v>48</v>
          </cell>
          <cell r="AA51">
            <v>204000</v>
          </cell>
          <cell r="AB51">
            <v>362000</v>
          </cell>
          <cell r="AC51">
            <v>424000</v>
          </cell>
          <cell r="AD51">
            <v>471000</v>
          </cell>
          <cell r="AE51">
            <v>516000</v>
          </cell>
          <cell r="AF51">
            <v>543000</v>
          </cell>
          <cell r="AG51">
            <v>0</v>
          </cell>
          <cell r="AH51">
            <v>48</v>
          </cell>
          <cell r="AI51">
            <v>128000</v>
          </cell>
          <cell r="AJ51">
            <v>228000</v>
          </cell>
          <cell r="AK51">
            <v>266000</v>
          </cell>
          <cell r="AL51">
            <v>296000</v>
          </cell>
          <cell r="AM51">
            <v>324000</v>
          </cell>
          <cell r="AN51">
            <v>342000</v>
          </cell>
          <cell r="AO51">
            <v>0</v>
          </cell>
          <cell r="AP51">
            <v>48</v>
          </cell>
          <cell r="AQ51">
            <v>345000</v>
          </cell>
          <cell r="AR51">
            <v>613000</v>
          </cell>
          <cell r="AS51">
            <v>717000</v>
          </cell>
          <cell r="AT51">
            <v>797000</v>
          </cell>
          <cell r="AU51">
            <v>873000</v>
          </cell>
          <cell r="AV51">
            <v>919000</v>
          </cell>
          <cell r="AW51">
            <v>0</v>
          </cell>
          <cell r="AX51">
            <v>48</v>
          </cell>
          <cell r="AY51">
            <v>557000</v>
          </cell>
          <cell r="AZ51">
            <v>991000</v>
          </cell>
          <cell r="BA51">
            <v>1159000</v>
          </cell>
          <cell r="BB51">
            <v>1288000</v>
          </cell>
          <cell r="BC51">
            <v>1412000</v>
          </cell>
          <cell r="BD51">
            <v>1486000</v>
          </cell>
        </row>
        <row r="52">
          <cell r="B52">
            <v>49</v>
          </cell>
          <cell r="C52">
            <v>153000</v>
          </cell>
          <cell r="D52">
            <v>273000</v>
          </cell>
          <cell r="E52">
            <v>319000</v>
          </cell>
          <cell r="F52">
            <v>355000</v>
          </cell>
          <cell r="G52">
            <v>389000</v>
          </cell>
          <cell r="H52">
            <v>409000</v>
          </cell>
          <cell r="I52">
            <v>0</v>
          </cell>
          <cell r="J52">
            <v>49</v>
          </cell>
          <cell r="K52">
            <v>199000</v>
          </cell>
          <cell r="L52">
            <v>354000</v>
          </cell>
          <cell r="M52">
            <v>414000</v>
          </cell>
          <cell r="N52">
            <v>460000</v>
          </cell>
          <cell r="O52">
            <v>504000</v>
          </cell>
          <cell r="P52">
            <v>531000</v>
          </cell>
          <cell r="Q52">
            <v>0</v>
          </cell>
          <cell r="R52">
            <v>49</v>
          </cell>
          <cell r="S52">
            <v>123000</v>
          </cell>
          <cell r="T52">
            <v>219000</v>
          </cell>
          <cell r="U52">
            <v>257000</v>
          </cell>
          <cell r="V52">
            <v>285000</v>
          </cell>
          <cell r="W52">
            <v>313000</v>
          </cell>
          <cell r="X52">
            <v>329000</v>
          </cell>
          <cell r="Y52">
            <v>0</v>
          </cell>
          <cell r="Z52">
            <v>49</v>
          </cell>
          <cell r="AA52">
            <v>224000</v>
          </cell>
          <cell r="AB52">
            <v>398000</v>
          </cell>
          <cell r="AC52">
            <v>466000</v>
          </cell>
          <cell r="AD52">
            <v>518000</v>
          </cell>
          <cell r="AE52">
            <v>568000</v>
          </cell>
          <cell r="AF52">
            <v>597000</v>
          </cell>
          <cell r="AG52">
            <v>0</v>
          </cell>
          <cell r="AH52">
            <v>49</v>
          </cell>
          <cell r="AI52">
            <v>141000</v>
          </cell>
          <cell r="AJ52">
            <v>250000</v>
          </cell>
          <cell r="AK52">
            <v>293000</v>
          </cell>
          <cell r="AL52">
            <v>326000</v>
          </cell>
          <cell r="AM52">
            <v>357000</v>
          </cell>
          <cell r="AN52">
            <v>376000</v>
          </cell>
          <cell r="AO52">
            <v>0</v>
          </cell>
          <cell r="AP52">
            <v>49</v>
          </cell>
          <cell r="AQ52">
            <v>379000</v>
          </cell>
          <cell r="AR52">
            <v>674000</v>
          </cell>
          <cell r="AS52">
            <v>789000</v>
          </cell>
          <cell r="AT52">
            <v>876000</v>
          </cell>
          <cell r="AU52">
            <v>961000</v>
          </cell>
          <cell r="AV52">
            <v>1011000</v>
          </cell>
          <cell r="AW52">
            <v>0</v>
          </cell>
          <cell r="AX52">
            <v>49</v>
          </cell>
          <cell r="AY52">
            <v>613000</v>
          </cell>
          <cell r="AZ52">
            <v>1090000</v>
          </cell>
          <cell r="BA52">
            <v>1275000</v>
          </cell>
          <cell r="BB52">
            <v>1417000</v>
          </cell>
          <cell r="BC52">
            <v>1553000</v>
          </cell>
          <cell r="BD52">
            <v>1635000</v>
          </cell>
        </row>
        <row r="53">
          <cell r="B53">
            <v>50</v>
          </cell>
          <cell r="C53">
            <v>169000</v>
          </cell>
          <cell r="D53">
            <v>300000</v>
          </cell>
          <cell r="E53">
            <v>351000</v>
          </cell>
          <cell r="F53">
            <v>390000</v>
          </cell>
          <cell r="G53">
            <v>427000</v>
          </cell>
          <cell r="H53">
            <v>450000</v>
          </cell>
          <cell r="I53">
            <v>0</v>
          </cell>
          <cell r="J53">
            <v>50</v>
          </cell>
          <cell r="K53">
            <v>219000</v>
          </cell>
          <cell r="L53">
            <v>389000</v>
          </cell>
          <cell r="M53">
            <v>455000</v>
          </cell>
          <cell r="N53">
            <v>506000</v>
          </cell>
          <cell r="O53">
            <v>555000</v>
          </cell>
          <cell r="P53">
            <v>584000</v>
          </cell>
          <cell r="Q53">
            <v>0</v>
          </cell>
          <cell r="R53">
            <v>50</v>
          </cell>
          <cell r="S53">
            <v>136000</v>
          </cell>
          <cell r="T53">
            <v>241000</v>
          </cell>
          <cell r="U53">
            <v>282000</v>
          </cell>
          <cell r="V53">
            <v>314000</v>
          </cell>
          <cell r="W53">
            <v>344000</v>
          </cell>
          <cell r="X53">
            <v>362000</v>
          </cell>
          <cell r="Y53">
            <v>0</v>
          </cell>
          <cell r="Z53">
            <v>50</v>
          </cell>
          <cell r="AA53">
            <v>246000</v>
          </cell>
          <cell r="AB53">
            <v>438000</v>
          </cell>
          <cell r="AC53">
            <v>512000</v>
          </cell>
          <cell r="AD53">
            <v>569000</v>
          </cell>
          <cell r="AE53">
            <v>624000</v>
          </cell>
          <cell r="AF53">
            <v>657000</v>
          </cell>
          <cell r="AG53">
            <v>0</v>
          </cell>
          <cell r="AH53">
            <v>50</v>
          </cell>
          <cell r="AI53">
            <v>155000</v>
          </cell>
          <cell r="AJ53">
            <v>276000</v>
          </cell>
          <cell r="AK53">
            <v>322000</v>
          </cell>
          <cell r="AL53">
            <v>358000</v>
          </cell>
          <cell r="AM53">
            <v>393000</v>
          </cell>
          <cell r="AN53">
            <v>413000</v>
          </cell>
          <cell r="AO53">
            <v>0</v>
          </cell>
          <cell r="AP53">
            <v>50</v>
          </cell>
          <cell r="AQ53">
            <v>417000</v>
          </cell>
          <cell r="AR53">
            <v>742000</v>
          </cell>
          <cell r="AS53">
            <v>868000</v>
          </cell>
          <cell r="AT53">
            <v>964000</v>
          </cell>
          <cell r="AU53">
            <v>1057000</v>
          </cell>
          <cell r="AV53">
            <v>1112000</v>
          </cell>
          <cell r="AW53">
            <v>0</v>
          </cell>
          <cell r="AX53">
            <v>50</v>
          </cell>
          <cell r="AY53">
            <v>674000</v>
          </cell>
          <cell r="AZ53">
            <v>1199000</v>
          </cell>
          <cell r="BA53">
            <v>1403000</v>
          </cell>
          <cell r="BB53">
            <v>1559000</v>
          </cell>
          <cell r="BC53">
            <v>1708000</v>
          </cell>
          <cell r="BD53">
            <v>1798000</v>
          </cell>
        </row>
        <row r="54">
          <cell r="B54">
            <v>51</v>
          </cell>
          <cell r="C54">
            <v>186000</v>
          </cell>
          <cell r="D54">
            <v>330000</v>
          </cell>
          <cell r="E54">
            <v>386000</v>
          </cell>
          <cell r="F54">
            <v>429000</v>
          </cell>
          <cell r="G54">
            <v>470000</v>
          </cell>
          <cell r="H54">
            <v>495000</v>
          </cell>
          <cell r="I54">
            <v>0</v>
          </cell>
          <cell r="J54">
            <v>51</v>
          </cell>
          <cell r="K54">
            <v>241000</v>
          </cell>
          <cell r="L54">
            <v>428000</v>
          </cell>
          <cell r="M54">
            <v>501000</v>
          </cell>
          <cell r="N54">
            <v>556000</v>
          </cell>
          <cell r="O54">
            <v>610000</v>
          </cell>
          <cell r="P54">
            <v>642000</v>
          </cell>
          <cell r="Q54">
            <v>0</v>
          </cell>
          <cell r="R54">
            <v>51</v>
          </cell>
          <cell r="S54">
            <v>149000</v>
          </cell>
          <cell r="T54">
            <v>266000</v>
          </cell>
          <cell r="U54">
            <v>311000</v>
          </cell>
          <cell r="V54">
            <v>345000</v>
          </cell>
          <cell r="W54">
            <v>378000</v>
          </cell>
          <cell r="X54">
            <v>398000</v>
          </cell>
          <cell r="Y54">
            <v>0</v>
          </cell>
          <cell r="Z54">
            <v>51</v>
          </cell>
          <cell r="AA54">
            <v>271000</v>
          </cell>
          <cell r="AB54">
            <v>482000</v>
          </cell>
          <cell r="AC54">
            <v>564000</v>
          </cell>
          <cell r="AD54">
            <v>626000</v>
          </cell>
          <cell r="AE54">
            <v>687000</v>
          </cell>
          <cell r="AF54">
            <v>723000</v>
          </cell>
          <cell r="AG54">
            <v>0</v>
          </cell>
          <cell r="AH54">
            <v>51</v>
          </cell>
          <cell r="AI54">
            <v>170000</v>
          </cell>
          <cell r="AJ54">
            <v>303000</v>
          </cell>
          <cell r="AK54">
            <v>355000</v>
          </cell>
          <cell r="AL54">
            <v>394000</v>
          </cell>
          <cell r="AM54">
            <v>432000</v>
          </cell>
          <cell r="AN54">
            <v>455000</v>
          </cell>
          <cell r="AO54">
            <v>0</v>
          </cell>
          <cell r="AP54">
            <v>51</v>
          </cell>
          <cell r="AQ54">
            <v>459000</v>
          </cell>
          <cell r="AR54">
            <v>816000</v>
          </cell>
          <cell r="AS54">
            <v>955000</v>
          </cell>
          <cell r="AT54">
            <v>1061000</v>
          </cell>
          <cell r="AU54">
            <v>1163000</v>
          </cell>
          <cell r="AV54">
            <v>1224000</v>
          </cell>
          <cell r="AW54">
            <v>0</v>
          </cell>
          <cell r="AX54">
            <v>51</v>
          </cell>
          <cell r="AY54">
            <v>742000</v>
          </cell>
          <cell r="AZ54">
            <v>1319000</v>
          </cell>
          <cell r="BA54">
            <v>1543000</v>
          </cell>
          <cell r="BB54">
            <v>1714000</v>
          </cell>
          <cell r="BC54">
            <v>1879000</v>
          </cell>
          <cell r="BD54">
            <v>1978000</v>
          </cell>
        </row>
        <row r="55">
          <cell r="B55">
            <v>52</v>
          </cell>
          <cell r="C55">
            <v>204000</v>
          </cell>
          <cell r="D55">
            <v>363000</v>
          </cell>
          <cell r="E55">
            <v>425000</v>
          </cell>
          <cell r="F55">
            <v>472000</v>
          </cell>
          <cell r="G55">
            <v>517000</v>
          </cell>
          <cell r="H55">
            <v>544000</v>
          </cell>
          <cell r="I55">
            <v>0</v>
          </cell>
          <cell r="J55">
            <v>52</v>
          </cell>
          <cell r="K55">
            <v>265000</v>
          </cell>
          <cell r="L55">
            <v>471000</v>
          </cell>
          <cell r="M55">
            <v>551000</v>
          </cell>
          <cell r="N55">
            <v>612000</v>
          </cell>
          <cell r="O55">
            <v>671000</v>
          </cell>
          <cell r="P55">
            <v>706000</v>
          </cell>
          <cell r="Q55">
            <v>0</v>
          </cell>
          <cell r="R55">
            <v>52</v>
          </cell>
          <cell r="S55">
            <v>164000</v>
          </cell>
          <cell r="T55">
            <v>292000</v>
          </cell>
          <cell r="U55">
            <v>342000</v>
          </cell>
          <cell r="V55">
            <v>380000</v>
          </cell>
          <cell r="W55">
            <v>416000</v>
          </cell>
          <cell r="X55">
            <v>438000</v>
          </cell>
          <cell r="Y55">
            <v>0</v>
          </cell>
          <cell r="Z55">
            <v>52</v>
          </cell>
          <cell r="AA55">
            <v>298000</v>
          </cell>
          <cell r="AB55">
            <v>530000</v>
          </cell>
          <cell r="AC55">
            <v>620000</v>
          </cell>
          <cell r="AD55">
            <v>689000</v>
          </cell>
          <cell r="AE55">
            <v>755000</v>
          </cell>
          <cell r="AF55">
            <v>795000</v>
          </cell>
          <cell r="AG55">
            <v>0</v>
          </cell>
          <cell r="AH55">
            <v>52</v>
          </cell>
          <cell r="AI55">
            <v>187000</v>
          </cell>
          <cell r="AJ55">
            <v>333000</v>
          </cell>
          <cell r="AK55">
            <v>390000</v>
          </cell>
          <cell r="AL55">
            <v>433000</v>
          </cell>
          <cell r="AM55">
            <v>475000</v>
          </cell>
          <cell r="AN55">
            <v>500000</v>
          </cell>
          <cell r="AO55">
            <v>0</v>
          </cell>
          <cell r="AP55">
            <v>52</v>
          </cell>
          <cell r="AQ55">
            <v>505000</v>
          </cell>
          <cell r="AR55">
            <v>897000</v>
          </cell>
          <cell r="AS55">
            <v>1050000</v>
          </cell>
          <cell r="AT55">
            <v>1167000</v>
          </cell>
          <cell r="AU55">
            <v>1279000</v>
          </cell>
          <cell r="AV55">
            <v>1346000</v>
          </cell>
          <cell r="AW55">
            <v>0</v>
          </cell>
          <cell r="AX55">
            <v>52</v>
          </cell>
          <cell r="AY55">
            <v>816000</v>
          </cell>
          <cell r="AZ55">
            <v>1451000</v>
          </cell>
          <cell r="BA55">
            <v>1697000</v>
          </cell>
          <cell r="BB55">
            <v>1886000</v>
          </cell>
          <cell r="BC55">
            <v>2067000</v>
          </cell>
          <cell r="BD55">
            <v>2176000</v>
          </cell>
        </row>
        <row r="56">
          <cell r="B56">
            <v>53</v>
          </cell>
          <cell r="C56">
            <v>225000</v>
          </cell>
          <cell r="D56">
            <v>399000</v>
          </cell>
          <cell r="E56">
            <v>467000</v>
          </cell>
          <cell r="F56">
            <v>519000</v>
          </cell>
          <cell r="G56">
            <v>569000</v>
          </cell>
          <cell r="H56">
            <v>599000</v>
          </cell>
          <cell r="I56">
            <v>0</v>
          </cell>
          <cell r="J56">
            <v>53</v>
          </cell>
          <cell r="K56">
            <v>291000</v>
          </cell>
          <cell r="L56">
            <v>518000</v>
          </cell>
          <cell r="M56">
            <v>606000</v>
          </cell>
          <cell r="N56">
            <v>673000</v>
          </cell>
          <cell r="O56">
            <v>738000</v>
          </cell>
          <cell r="P56">
            <v>777000</v>
          </cell>
          <cell r="Q56">
            <v>0</v>
          </cell>
          <cell r="R56">
            <v>53</v>
          </cell>
          <cell r="S56">
            <v>181000</v>
          </cell>
          <cell r="T56">
            <v>321000</v>
          </cell>
          <cell r="U56">
            <v>376000</v>
          </cell>
          <cell r="V56">
            <v>418000</v>
          </cell>
          <cell r="W56">
            <v>458000</v>
          </cell>
          <cell r="X56">
            <v>482000</v>
          </cell>
          <cell r="Y56">
            <v>0</v>
          </cell>
          <cell r="Z56">
            <v>53</v>
          </cell>
          <cell r="AA56">
            <v>328000</v>
          </cell>
          <cell r="AB56">
            <v>583000</v>
          </cell>
          <cell r="AC56">
            <v>682000</v>
          </cell>
          <cell r="AD56">
            <v>758000</v>
          </cell>
          <cell r="AE56">
            <v>831000</v>
          </cell>
          <cell r="AF56">
            <v>875000</v>
          </cell>
          <cell r="AG56">
            <v>0</v>
          </cell>
          <cell r="AH56">
            <v>53</v>
          </cell>
          <cell r="AI56">
            <v>206000</v>
          </cell>
          <cell r="AJ56">
            <v>367000</v>
          </cell>
          <cell r="AK56">
            <v>429000</v>
          </cell>
          <cell r="AL56">
            <v>477000</v>
          </cell>
          <cell r="AM56">
            <v>523000</v>
          </cell>
          <cell r="AN56">
            <v>550000</v>
          </cell>
          <cell r="AO56">
            <v>0</v>
          </cell>
          <cell r="AP56">
            <v>53</v>
          </cell>
          <cell r="AQ56">
            <v>555000</v>
          </cell>
          <cell r="AR56">
            <v>987000</v>
          </cell>
          <cell r="AS56">
            <v>1155000</v>
          </cell>
          <cell r="AT56">
            <v>1283000</v>
          </cell>
          <cell r="AU56">
            <v>1407000</v>
          </cell>
          <cell r="AV56">
            <v>1481000</v>
          </cell>
          <cell r="AW56">
            <v>0</v>
          </cell>
          <cell r="AX56">
            <v>53</v>
          </cell>
          <cell r="AY56">
            <v>898000</v>
          </cell>
          <cell r="AZ56">
            <v>1596000</v>
          </cell>
          <cell r="BA56">
            <v>1867000</v>
          </cell>
          <cell r="BB56">
            <v>2074000</v>
          </cell>
          <cell r="BC56">
            <v>2274000</v>
          </cell>
          <cell r="BD56">
            <v>2394000</v>
          </cell>
        </row>
        <row r="57">
          <cell r="B57">
            <v>54</v>
          </cell>
          <cell r="C57">
            <v>247000</v>
          </cell>
          <cell r="D57">
            <v>439000</v>
          </cell>
          <cell r="E57">
            <v>514000</v>
          </cell>
          <cell r="F57">
            <v>571000</v>
          </cell>
          <cell r="G57">
            <v>626000</v>
          </cell>
          <cell r="H57">
            <v>659000</v>
          </cell>
          <cell r="I57">
            <v>0</v>
          </cell>
          <cell r="J57">
            <v>54</v>
          </cell>
          <cell r="K57">
            <v>321000</v>
          </cell>
          <cell r="L57">
            <v>570000</v>
          </cell>
          <cell r="M57">
            <v>667000</v>
          </cell>
          <cell r="N57">
            <v>741000</v>
          </cell>
          <cell r="O57">
            <v>812000</v>
          </cell>
          <cell r="P57">
            <v>855000</v>
          </cell>
          <cell r="Q57">
            <v>0</v>
          </cell>
          <cell r="R57">
            <v>54</v>
          </cell>
          <cell r="S57">
            <v>199000</v>
          </cell>
          <cell r="T57">
            <v>353000</v>
          </cell>
          <cell r="U57">
            <v>413000</v>
          </cell>
          <cell r="V57">
            <v>459000</v>
          </cell>
          <cell r="W57">
            <v>503000</v>
          </cell>
          <cell r="X57">
            <v>530000</v>
          </cell>
          <cell r="Y57">
            <v>0</v>
          </cell>
          <cell r="Z57">
            <v>54</v>
          </cell>
          <cell r="AA57">
            <v>361000</v>
          </cell>
          <cell r="AB57">
            <v>641000</v>
          </cell>
          <cell r="AC57">
            <v>750000</v>
          </cell>
          <cell r="AD57">
            <v>834000</v>
          </cell>
          <cell r="AE57">
            <v>914000</v>
          </cell>
          <cell r="AF57">
            <v>962000</v>
          </cell>
          <cell r="AG57">
            <v>0</v>
          </cell>
          <cell r="AH57">
            <v>54</v>
          </cell>
          <cell r="AI57">
            <v>227000</v>
          </cell>
          <cell r="AJ57">
            <v>403000</v>
          </cell>
          <cell r="AK57">
            <v>472000</v>
          </cell>
          <cell r="AL57">
            <v>524000</v>
          </cell>
          <cell r="AM57">
            <v>575000</v>
          </cell>
          <cell r="AN57">
            <v>605000</v>
          </cell>
          <cell r="AO57">
            <v>0</v>
          </cell>
          <cell r="AP57">
            <v>54</v>
          </cell>
          <cell r="AQ57">
            <v>611000</v>
          </cell>
          <cell r="AR57">
            <v>1086000</v>
          </cell>
          <cell r="AS57">
            <v>1270000</v>
          </cell>
          <cell r="AT57">
            <v>1412000</v>
          </cell>
          <cell r="AU57">
            <v>1547000</v>
          </cell>
          <cell r="AV57">
            <v>1629000</v>
          </cell>
          <cell r="AW57">
            <v>0</v>
          </cell>
          <cell r="AX57">
            <v>54</v>
          </cell>
          <cell r="AY57">
            <v>987000</v>
          </cell>
          <cell r="AZ57">
            <v>1755000</v>
          </cell>
          <cell r="BA57">
            <v>2054000</v>
          </cell>
          <cell r="BB57">
            <v>2282000</v>
          </cell>
          <cell r="BC57">
            <v>2501000</v>
          </cell>
          <cell r="BD57">
            <v>2633000</v>
          </cell>
        </row>
        <row r="58">
          <cell r="B58">
            <v>55</v>
          </cell>
          <cell r="C58">
            <v>272000</v>
          </cell>
          <cell r="D58">
            <v>483000</v>
          </cell>
          <cell r="E58">
            <v>565000</v>
          </cell>
          <cell r="F58">
            <v>628000</v>
          </cell>
          <cell r="G58">
            <v>688000</v>
          </cell>
          <cell r="H58">
            <v>725000</v>
          </cell>
          <cell r="I58">
            <v>0</v>
          </cell>
          <cell r="J58">
            <v>55</v>
          </cell>
          <cell r="K58">
            <v>353000</v>
          </cell>
          <cell r="L58">
            <v>627000</v>
          </cell>
          <cell r="M58">
            <v>733000</v>
          </cell>
          <cell r="N58">
            <v>815000</v>
          </cell>
          <cell r="O58">
            <v>893000</v>
          </cell>
          <cell r="P58">
            <v>940000</v>
          </cell>
          <cell r="Q58">
            <v>0</v>
          </cell>
          <cell r="R58">
            <v>55</v>
          </cell>
          <cell r="S58">
            <v>219000</v>
          </cell>
          <cell r="T58">
            <v>389000</v>
          </cell>
          <cell r="U58">
            <v>455000</v>
          </cell>
          <cell r="V58">
            <v>505000</v>
          </cell>
          <cell r="W58">
            <v>554000</v>
          </cell>
          <cell r="X58">
            <v>583000</v>
          </cell>
          <cell r="Y58">
            <v>0</v>
          </cell>
          <cell r="Z58">
            <v>55</v>
          </cell>
          <cell r="AA58">
            <v>397000</v>
          </cell>
          <cell r="AB58">
            <v>705000</v>
          </cell>
          <cell r="AC58">
            <v>825000</v>
          </cell>
          <cell r="AD58">
            <v>917000</v>
          </cell>
          <cell r="AE58">
            <v>1005000</v>
          </cell>
          <cell r="AF58">
            <v>1058000</v>
          </cell>
          <cell r="AG58">
            <v>0</v>
          </cell>
          <cell r="AH58">
            <v>55</v>
          </cell>
          <cell r="AI58">
            <v>250000</v>
          </cell>
          <cell r="AJ58">
            <v>444000</v>
          </cell>
          <cell r="AK58">
            <v>519000</v>
          </cell>
          <cell r="AL58">
            <v>577000</v>
          </cell>
          <cell r="AM58">
            <v>632000</v>
          </cell>
          <cell r="AN58">
            <v>666000</v>
          </cell>
          <cell r="AO58">
            <v>0</v>
          </cell>
          <cell r="AP58">
            <v>55</v>
          </cell>
          <cell r="AQ58">
            <v>672000</v>
          </cell>
          <cell r="AR58">
            <v>1194000</v>
          </cell>
          <cell r="AS58">
            <v>1397000</v>
          </cell>
          <cell r="AT58">
            <v>1553000</v>
          </cell>
          <cell r="AU58">
            <v>1702000</v>
          </cell>
          <cell r="AV58">
            <v>1792000</v>
          </cell>
          <cell r="AW58">
            <v>0</v>
          </cell>
          <cell r="AX58">
            <v>55</v>
          </cell>
          <cell r="AY58">
            <v>1086000</v>
          </cell>
          <cell r="AZ58">
            <v>1931000</v>
          </cell>
          <cell r="BA58">
            <v>2259000</v>
          </cell>
          <cell r="BB58">
            <v>2510000</v>
          </cell>
          <cell r="BC58">
            <v>2751000</v>
          </cell>
          <cell r="BD58">
            <v>2896000</v>
          </cell>
        </row>
        <row r="70">
          <cell r="B70" t="str">
            <v>O´HIGGINS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 t="str">
            <v>MAULE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str">
            <v>BIO BIO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str">
            <v>ARAUCANIA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 t="str">
            <v>VALDIVIA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 t="str">
            <v>OSORNO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 t="str">
            <v>PUERTO MONTT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 t="str">
            <v>AUSTRAL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</row>
        <row r="71">
          <cell r="B71" t="str">
            <v>Bloque</v>
          </cell>
          <cell r="C71" t="str">
            <v>5"</v>
          </cell>
          <cell r="D71" t="str">
            <v>10"</v>
          </cell>
          <cell r="E71" t="str">
            <v>15"</v>
          </cell>
          <cell r="F71" t="str">
            <v>20"</v>
          </cell>
          <cell r="G71" t="str">
            <v>25"</v>
          </cell>
          <cell r="H71" t="str">
            <v>30"</v>
          </cell>
          <cell r="I71">
            <v>0</v>
          </cell>
          <cell r="J71" t="str">
            <v>Bloque</v>
          </cell>
          <cell r="K71" t="str">
            <v>5"</v>
          </cell>
          <cell r="L71" t="str">
            <v>10"</v>
          </cell>
          <cell r="M71" t="str">
            <v>15"</v>
          </cell>
          <cell r="N71" t="str">
            <v>20"</v>
          </cell>
          <cell r="O71" t="str">
            <v>25"</v>
          </cell>
          <cell r="P71" t="str">
            <v>30"</v>
          </cell>
          <cell r="Q71">
            <v>0</v>
          </cell>
          <cell r="R71" t="str">
            <v>Bloque</v>
          </cell>
          <cell r="S71" t="str">
            <v>5"</v>
          </cell>
          <cell r="T71" t="str">
            <v>10"</v>
          </cell>
          <cell r="U71" t="str">
            <v>15"</v>
          </cell>
          <cell r="V71" t="str">
            <v>20"</v>
          </cell>
          <cell r="W71" t="str">
            <v>25"</v>
          </cell>
          <cell r="X71" t="str">
            <v>30"</v>
          </cell>
          <cell r="Y71">
            <v>0</v>
          </cell>
          <cell r="Z71" t="str">
            <v>Bloque</v>
          </cell>
          <cell r="AA71" t="str">
            <v>5"</v>
          </cell>
          <cell r="AB71" t="str">
            <v>10"</v>
          </cell>
          <cell r="AC71" t="str">
            <v>15"</v>
          </cell>
          <cell r="AD71" t="str">
            <v>20"</v>
          </cell>
          <cell r="AE71" t="str">
            <v>25"</v>
          </cell>
          <cell r="AF71" t="str">
            <v>30"</v>
          </cell>
          <cell r="AG71">
            <v>0</v>
          </cell>
          <cell r="AH71" t="str">
            <v>Bloque</v>
          </cell>
          <cell r="AI71" t="str">
            <v>5"</v>
          </cell>
          <cell r="AJ71" t="str">
            <v>10"</v>
          </cell>
          <cell r="AK71" t="str">
            <v>15"</v>
          </cell>
          <cell r="AL71" t="str">
            <v>20"</v>
          </cell>
          <cell r="AM71" t="str">
            <v>25"</v>
          </cell>
          <cell r="AN71" t="str">
            <v>30"</v>
          </cell>
          <cell r="AO71">
            <v>0</v>
          </cell>
          <cell r="AP71" t="str">
            <v>Bloque</v>
          </cell>
          <cell r="AQ71" t="str">
            <v>5"</v>
          </cell>
          <cell r="AR71" t="str">
            <v>10"</v>
          </cell>
          <cell r="AS71" t="str">
            <v>15"</v>
          </cell>
          <cell r="AT71" t="str">
            <v>20"</v>
          </cell>
          <cell r="AU71" t="str">
            <v>25"</v>
          </cell>
          <cell r="AV71" t="str">
            <v>30"</v>
          </cell>
          <cell r="AW71">
            <v>0</v>
          </cell>
          <cell r="AX71" t="str">
            <v>Bloque</v>
          </cell>
          <cell r="AY71" t="str">
            <v>5"</v>
          </cell>
          <cell r="AZ71" t="str">
            <v>10"</v>
          </cell>
          <cell r="BA71" t="str">
            <v>15"</v>
          </cell>
          <cell r="BB71" t="str">
            <v>20"</v>
          </cell>
          <cell r="BC71" t="str">
            <v>25"</v>
          </cell>
          <cell r="BD71" t="str">
            <v>30"</v>
          </cell>
          <cell r="BE71">
            <v>0</v>
          </cell>
          <cell r="BF71" t="str">
            <v>Bloque</v>
          </cell>
          <cell r="BG71" t="str">
            <v>5"</v>
          </cell>
          <cell r="BH71" t="str">
            <v>10"</v>
          </cell>
          <cell r="BI71" t="str">
            <v>15"</v>
          </cell>
          <cell r="BJ71" t="str">
            <v>20"</v>
          </cell>
          <cell r="BK71" t="str">
            <v>25"</v>
          </cell>
          <cell r="BL71" t="str">
            <v>30"</v>
          </cell>
        </row>
        <row r="72">
          <cell r="B72">
            <v>0</v>
          </cell>
          <cell r="C72">
            <v>3000</v>
          </cell>
          <cell r="D72">
            <v>5000</v>
          </cell>
          <cell r="E72">
            <v>6000</v>
          </cell>
          <cell r="F72">
            <v>7000</v>
          </cell>
          <cell r="G72">
            <v>7000</v>
          </cell>
          <cell r="H72">
            <v>8000</v>
          </cell>
          <cell r="I72">
            <v>0</v>
          </cell>
          <cell r="J72">
            <v>0</v>
          </cell>
          <cell r="K72">
            <v>3000</v>
          </cell>
          <cell r="L72">
            <v>6000</v>
          </cell>
          <cell r="M72">
            <v>7000</v>
          </cell>
          <cell r="N72">
            <v>8000</v>
          </cell>
          <cell r="O72">
            <v>8000</v>
          </cell>
          <cell r="P72">
            <v>9000</v>
          </cell>
          <cell r="Q72">
            <v>0</v>
          </cell>
          <cell r="R72">
            <v>0</v>
          </cell>
          <cell r="S72">
            <v>6000</v>
          </cell>
          <cell r="T72">
            <v>12000</v>
          </cell>
          <cell r="U72">
            <v>13000</v>
          </cell>
          <cell r="V72">
            <v>15000</v>
          </cell>
          <cell r="W72">
            <v>16000</v>
          </cell>
          <cell r="X72">
            <v>17000</v>
          </cell>
          <cell r="Y72">
            <v>0</v>
          </cell>
          <cell r="Z72">
            <v>0</v>
          </cell>
          <cell r="AA72">
            <v>3000</v>
          </cell>
          <cell r="AB72">
            <v>5000</v>
          </cell>
          <cell r="AC72">
            <v>6000</v>
          </cell>
          <cell r="AD72">
            <v>7000</v>
          </cell>
          <cell r="AE72">
            <v>7000</v>
          </cell>
          <cell r="AF72">
            <v>8000</v>
          </cell>
          <cell r="AG72">
            <v>0</v>
          </cell>
          <cell r="AH72">
            <v>0</v>
          </cell>
          <cell r="AI72">
            <v>1000</v>
          </cell>
          <cell r="AJ72">
            <v>2000</v>
          </cell>
          <cell r="AK72">
            <v>2000</v>
          </cell>
          <cell r="AL72">
            <v>2000</v>
          </cell>
          <cell r="AM72">
            <v>3000</v>
          </cell>
          <cell r="AN72">
            <v>3000</v>
          </cell>
          <cell r="AO72">
            <v>0</v>
          </cell>
          <cell r="AP72">
            <v>0</v>
          </cell>
          <cell r="AQ72">
            <v>2000</v>
          </cell>
          <cell r="AR72">
            <v>3000</v>
          </cell>
          <cell r="AS72">
            <v>3000</v>
          </cell>
          <cell r="AT72">
            <v>4000</v>
          </cell>
          <cell r="AU72">
            <v>4000</v>
          </cell>
          <cell r="AV72">
            <v>4000</v>
          </cell>
          <cell r="AW72">
            <v>0</v>
          </cell>
          <cell r="AX72">
            <v>0</v>
          </cell>
          <cell r="AY72">
            <v>1000</v>
          </cell>
          <cell r="AZ72">
            <v>2000</v>
          </cell>
          <cell r="BA72">
            <v>3000</v>
          </cell>
          <cell r="BB72">
            <v>3000</v>
          </cell>
          <cell r="BC72">
            <v>3000</v>
          </cell>
          <cell r="BD72">
            <v>4000</v>
          </cell>
          <cell r="BE72">
            <v>0</v>
          </cell>
          <cell r="BF72">
            <v>0</v>
          </cell>
          <cell r="BG72">
            <v>1000</v>
          </cell>
          <cell r="BH72">
            <v>1000</v>
          </cell>
          <cell r="BI72">
            <v>1000</v>
          </cell>
          <cell r="BJ72">
            <v>2000</v>
          </cell>
          <cell r="BK72">
            <v>2000</v>
          </cell>
          <cell r="BL72">
            <v>2000</v>
          </cell>
        </row>
        <row r="73">
          <cell r="B73">
            <v>1</v>
          </cell>
          <cell r="C73">
            <v>4000</v>
          </cell>
          <cell r="D73">
            <v>6000</v>
          </cell>
          <cell r="E73">
            <v>7000</v>
          </cell>
          <cell r="F73">
            <v>8000</v>
          </cell>
          <cell r="G73">
            <v>9000</v>
          </cell>
          <cell r="H73">
            <v>9000</v>
          </cell>
          <cell r="I73">
            <v>0</v>
          </cell>
          <cell r="J73">
            <v>1</v>
          </cell>
          <cell r="K73">
            <v>4000</v>
          </cell>
          <cell r="L73">
            <v>7000</v>
          </cell>
          <cell r="M73">
            <v>8000</v>
          </cell>
          <cell r="N73">
            <v>9000</v>
          </cell>
          <cell r="O73">
            <v>10000</v>
          </cell>
          <cell r="P73">
            <v>11000</v>
          </cell>
          <cell r="Q73">
            <v>0</v>
          </cell>
          <cell r="R73">
            <v>1</v>
          </cell>
          <cell r="S73">
            <v>8000</v>
          </cell>
          <cell r="T73">
            <v>15000</v>
          </cell>
          <cell r="U73">
            <v>17000</v>
          </cell>
          <cell r="V73">
            <v>19000</v>
          </cell>
          <cell r="W73">
            <v>21000</v>
          </cell>
          <cell r="X73">
            <v>22000</v>
          </cell>
          <cell r="Y73">
            <v>0</v>
          </cell>
          <cell r="Z73">
            <v>1</v>
          </cell>
          <cell r="AA73">
            <v>4000</v>
          </cell>
          <cell r="AB73">
            <v>7000</v>
          </cell>
          <cell r="AC73">
            <v>8000</v>
          </cell>
          <cell r="AD73">
            <v>8000</v>
          </cell>
          <cell r="AE73">
            <v>9000</v>
          </cell>
          <cell r="AF73">
            <v>10000</v>
          </cell>
          <cell r="AG73">
            <v>0</v>
          </cell>
          <cell r="AH73">
            <v>1</v>
          </cell>
          <cell r="AI73">
            <v>1000</v>
          </cell>
          <cell r="AJ73">
            <v>2000</v>
          </cell>
          <cell r="AK73">
            <v>3000</v>
          </cell>
          <cell r="AL73">
            <v>3000</v>
          </cell>
          <cell r="AM73">
            <v>3000</v>
          </cell>
          <cell r="AN73">
            <v>3000</v>
          </cell>
          <cell r="AO73">
            <v>0</v>
          </cell>
          <cell r="AP73">
            <v>1</v>
          </cell>
          <cell r="AQ73">
            <v>2000</v>
          </cell>
          <cell r="AR73">
            <v>3000</v>
          </cell>
          <cell r="AS73">
            <v>4000</v>
          </cell>
          <cell r="AT73">
            <v>4000</v>
          </cell>
          <cell r="AU73">
            <v>5000</v>
          </cell>
          <cell r="AV73">
            <v>5000</v>
          </cell>
          <cell r="AW73">
            <v>0</v>
          </cell>
          <cell r="AX73">
            <v>1</v>
          </cell>
          <cell r="AY73">
            <v>2000</v>
          </cell>
          <cell r="AZ73">
            <v>3000</v>
          </cell>
          <cell r="BA73">
            <v>4000</v>
          </cell>
          <cell r="BB73">
            <v>4000</v>
          </cell>
          <cell r="BC73">
            <v>4000</v>
          </cell>
          <cell r="BD73">
            <v>5000</v>
          </cell>
          <cell r="BE73">
            <v>0</v>
          </cell>
          <cell r="BF73">
            <v>1</v>
          </cell>
          <cell r="BG73">
            <v>1000</v>
          </cell>
          <cell r="BH73">
            <v>1000</v>
          </cell>
          <cell r="BI73">
            <v>2000</v>
          </cell>
          <cell r="BJ73">
            <v>2000</v>
          </cell>
          <cell r="BK73">
            <v>2000</v>
          </cell>
          <cell r="BL73">
            <v>2000</v>
          </cell>
        </row>
        <row r="74">
          <cell r="B74">
            <v>2</v>
          </cell>
          <cell r="C74">
            <v>4000</v>
          </cell>
          <cell r="D74">
            <v>8000</v>
          </cell>
          <cell r="E74">
            <v>9000</v>
          </cell>
          <cell r="F74">
            <v>10000</v>
          </cell>
          <cell r="G74">
            <v>11000</v>
          </cell>
          <cell r="H74">
            <v>12000</v>
          </cell>
          <cell r="I74">
            <v>0</v>
          </cell>
          <cell r="J74">
            <v>2</v>
          </cell>
          <cell r="K74">
            <v>5000</v>
          </cell>
          <cell r="L74">
            <v>9000</v>
          </cell>
          <cell r="M74">
            <v>11000</v>
          </cell>
          <cell r="N74">
            <v>12000</v>
          </cell>
          <cell r="O74">
            <v>13000</v>
          </cell>
          <cell r="P74">
            <v>14000</v>
          </cell>
          <cell r="Q74">
            <v>0</v>
          </cell>
          <cell r="R74">
            <v>2</v>
          </cell>
          <cell r="S74">
            <v>10000</v>
          </cell>
          <cell r="T74">
            <v>18000</v>
          </cell>
          <cell r="U74">
            <v>21000</v>
          </cell>
          <cell r="V74">
            <v>24000</v>
          </cell>
          <cell r="W74">
            <v>26000</v>
          </cell>
          <cell r="X74">
            <v>27000</v>
          </cell>
          <cell r="Y74">
            <v>0</v>
          </cell>
          <cell r="Z74">
            <v>2</v>
          </cell>
          <cell r="AA74">
            <v>5000</v>
          </cell>
          <cell r="AB74">
            <v>8000</v>
          </cell>
          <cell r="AC74">
            <v>10000</v>
          </cell>
          <cell r="AD74">
            <v>11000</v>
          </cell>
          <cell r="AE74">
            <v>12000</v>
          </cell>
          <cell r="AF74">
            <v>12000</v>
          </cell>
          <cell r="AG74">
            <v>0</v>
          </cell>
          <cell r="AH74">
            <v>2</v>
          </cell>
          <cell r="AI74">
            <v>2000</v>
          </cell>
          <cell r="AJ74">
            <v>3000</v>
          </cell>
          <cell r="AK74">
            <v>3000</v>
          </cell>
          <cell r="AL74">
            <v>4000</v>
          </cell>
          <cell r="AM74">
            <v>4000</v>
          </cell>
          <cell r="AN74">
            <v>4000</v>
          </cell>
          <cell r="AO74">
            <v>0</v>
          </cell>
          <cell r="AP74">
            <v>2</v>
          </cell>
          <cell r="AQ74">
            <v>2000</v>
          </cell>
          <cell r="AR74">
            <v>4000</v>
          </cell>
          <cell r="AS74">
            <v>5000</v>
          </cell>
          <cell r="AT74">
            <v>6000</v>
          </cell>
          <cell r="AU74">
            <v>6000</v>
          </cell>
          <cell r="AV74">
            <v>6000</v>
          </cell>
          <cell r="AW74">
            <v>0</v>
          </cell>
          <cell r="AX74">
            <v>2</v>
          </cell>
          <cell r="AY74">
            <v>2000</v>
          </cell>
          <cell r="AZ74">
            <v>4000</v>
          </cell>
          <cell r="BA74">
            <v>5000</v>
          </cell>
          <cell r="BB74">
            <v>5000</v>
          </cell>
          <cell r="BC74">
            <v>6000</v>
          </cell>
          <cell r="BD74">
            <v>6000</v>
          </cell>
          <cell r="BE74">
            <v>0</v>
          </cell>
          <cell r="BF74">
            <v>2</v>
          </cell>
          <cell r="BG74">
            <v>1000</v>
          </cell>
          <cell r="BH74">
            <v>2000</v>
          </cell>
          <cell r="BI74">
            <v>2000</v>
          </cell>
          <cell r="BJ74">
            <v>2000</v>
          </cell>
          <cell r="BK74">
            <v>3000</v>
          </cell>
          <cell r="BL74">
            <v>3000</v>
          </cell>
        </row>
        <row r="75">
          <cell r="B75">
            <v>3</v>
          </cell>
          <cell r="C75">
            <v>5000</v>
          </cell>
          <cell r="D75">
            <v>9000</v>
          </cell>
          <cell r="E75">
            <v>11000</v>
          </cell>
          <cell r="F75">
            <v>12000</v>
          </cell>
          <cell r="G75">
            <v>13000</v>
          </cell>
          <cell r="H75">
            <v>14000</v>
          </cell>
          <cell r="I75">
            <v>0</v>
          </cell>
          <cell r="J75">
            <v>3</v>
          </cell>
          <cell r="K75">
            <v>6000</v>
          </cell>
          <cell r="L75">
            <v>11000</v>
          </cell>
          <cell r="M75">
            <v>13000</v>
          </cell>
          <cell r="N75">
            <v>14000</v>
          </cell>
          <cell r="O75">
            <v>15000</v>
          </cell>
          <cell r="P75">
            <v>16000</v>
          </cell>
          <cell r="Q75">
            <v>0</v>
          </cell>
          <cell r="R75">
            <v>3</v>
          </cell>
          <cell r="S75">
            <v>12000</v>
          </cell>
          <cell r="T75">
            <v>21000</v>
          </cell>
          <cell r="U75">
            <v>25000</v>
          </cell>
          <cell r="V75">
            <v>28000</v>
          </cell>
          <cell r="W75">
            <v>31000</v>
          </cell>
          <cell r="X75">
            <v>32000</v>
          </cell>
          <cell r="Y75">
            <v>0</v>
          </cell>
          <cell r="Z75">
            <v>3</v>
          </cell>
          <cell r="AA75">
            <v>5000</v>
          </cell>
          <cell r="AB75">
            <v>10000</v>
          </cell>
          <cell r="AC75">
            <v>11000</v>
          </cell>
          <cell r="AD75">
            <v>13000</v>
          </cell>
          <cell r="AE75">
            <v>14000</v>
          </cell>
          <cell r="AF75">
            <v>15000</v>
          </cell>
          <cell r="AG75">
            <v>0</v>
          </cell>
          <cell r="AH75">
            <v>3</v>
          </cell>
          <cell r="AI75">
            <v>2000</v>
          </cell>
          <cell r="AJ75">
            <v>3000</v>
          </cell>
          <cell r="AK75">
            <v>4000</v>
          </cell>
          <cell r="AL75">
            <v>4000</v>
          </cell>
          <cell r="AM75">
            <v>5000</v>
          </cell>
          <cell r="AN75">
            <v>5000</v>
          </cell>
          <cell r="AO75">
            <v>0</v>
          </cell>
          <cell r="AP75">
            <v>3</v>
          </cell>
          <cell r="AQ75">
            <v>3000</v>
          </cell>
          <cell r="AR75">
            <v>5000</v>
          </cell>
          <cell r="AS75">
            <v>6000</v>
          </cell>
          <cell r="AT75">
            <v>7000</v>
          </cell>
          <cell r="AU75">
            <v>7000</v>
          </cell>
          <cell r="AV75">
            <v>8000</v>
          </cell>
          <cell r="AW75">
            <v>0</v>
          </cell>
          <cell r="AX75">
            <v>3</v>
          </cell>
          <cell r="AY75">
            <v>3000</v>
          </cell>
          <cell r="AZ75">
            <v>5000</v>
          </cell>
          <cell r="BA75">
            <v>5000</v>
          </cell>
          <cell r="BB75">
            <v>6000</v>
          </cell>
          <cell r="BC75">
            <v>7000</v>
          </cell>
          <cell r="BD75">
            <v>7000</v>
          </cell>
          <cell r="BE75">
            <v>0</v>
          </cell>
          <cell r="BF75">
            <v>3</v>
          </cell>
          <cell r="BG75">
            <v>1000</v>
          </cell>
          <cell r="BH75">
            <v>2000</v>
          </cell>
          <cell r="BI75">
            <v>3000</v>
          </cell>
          <cell r="BJ75">
            <v>3000</v>
          </cell>
          <cell r="BK75">
            <v>3000</v>
          </cell>
          <cell r="BL75">
            <v>3000</v>
          </cell>
        </row>
        <row r="76">
          <cell r="B76">
            <v>4</v>
          </cell>
          <cell r="C76">
            <v>6000</v>
          </cell>
          <cell r="D76">
            <v>10000</v>
          </cell>
          <cell r="E76">
            <v>12000</v>
          </cell>
          <cell r="F76">
            <v>13000</v>
          </cell>
          <cell r="G76">
            <v>15000</v>
          </cell>
          <cell r="H76">
            <v>15000</v>
          </cell>
          <cell r="I76">
            <v>0</v>
          </cell>
          <cell r="J76">
            <v>4</v>
          </cell>
          <cell r="K76">
            <v>7000</v>
          </cell>
          <cell r="L76">
            <v>12000</v>
          </cell>
          <cell r="M76">
            <v>14000</v>
          </cell>
          <cell r="N76">
            <v>15000</v>
          </cell>
          <cell r="O76">
            <v>17000</v>
          </cell>
          <cell r="P76">
            <v>18000</v>
          </cell>
          <cell r="Q76">
            <v>0</v>
          </cell>
          <cell r="R76">
            <v>4</v>
          </cell>
          <cell r="S76">
            <v>13000</v>
          </cell>
          <cell r="T76">
            <v>23000</v>
          </cell>
          <cell r="U76">
            <v>28000</v>
          </cell>
          <cell r="V76">
            <v>31000</v>
          </cell>
          <cell r="W76">
            <v>33000</v>
          </cell>
          <cell r="X76">
            <v>35000</v>
          </cell>
          <cell r="Y76">
            <v>0</v>
          </cell>
          <cell r="Z76">
            <v>4</v>
          </cell>
          <cell r="AA76">
            <v>6000</v>
          </cell>
          <cell r="AB76">
            <v>11000</v>
          </cell>
          <cell r="AC76">
            <v>12000</v>
          </cell>
          <cell r="AD76">
            <v>14000</v>
          </cell>
          <cell r="AE76">
            <v>15000</v>
          </cell>
          <cell r="AF76">
            <v>16000</v>
          </cell>
          <cell r="AG76">
            <v>0</v>
          </cell>
          <cell r="AH76">
            <v>4</v>
          </cell>
          <cell r="AI76">
            <v>2000</v>
          </cell>
          <cell r="AJ76">
            <v>4000</v>
          </cell>
          <cell r="AK76">
            <v>4000</v>
          </cell>
          <cell r="AL76">
            <v>5000</v>
          </cell>
          <cell r="AM76">
            <v>5000</v>
          </cell>
          <cell r="AN76">
            <v>6000</v>
          </cell>
          <cell r="AO76">
            <v>0</v>
          </cell>
          <cell r="AP76">
            <v>4</v>
          </cell>
          <cell r="AQ76">
            <v>3000</v>
          </cell>
          <cell r="AR76">
            <v>6000</v>
          </cell>
          <cell r="AS76">
            <v>6000</v>
          </cell>
          <cell r="AT76">
            <v>7000</v>
          </cell>
          <cell r="AU76">
            <v>8000</v>
          </cell>
          <cell r="AV76">
            <v>8000</v>
          </cell>
          <cell r="AW76">
            <v>0</v>
          </cell>
          <cell r="AX76">
            <v>4</v>
          </cell>
          <cell r="AY76">
            <v>3000</v>
          </cell>
          <cell r="AZ76">
            <v>5000</v>
          </cell>
          <cell r="BA76">
            <v>6000</v>
          </cell>
          <cell r="BB76">
            <v>6000</v>
          </cell>
          <cell r="BC76">
            <v>7000</v>
          </cell>
          <cell r="BD76">
            <v>8000</v>
          </cell>
          <cell r="BE76">
            <v>0</v>
          </cell>
          <cell r="BF76">
            <v>4</v>
          </cell>
          <cell r="BG76">
            <v>1000</v>
          </cell>
          <cell r="BH76">
            <v>2000</v>
          </cell>
          <cell r="BI76">
            <v>3000</v>
          </cell>
          <cell r="BJ76">
            <v>3000</v>
          </cell>
          <cell r="BK76">
            <v>3000</v>
          </cell>
          <cell r="BL76">
            <v>4000</v>
          </cell>
        </row>
        <row r="77">
          <cell r="B77">
            <v>5</v>
          </cell>
          <cell r="C77">
            <v>6000</v>
          </cell>
          <cell r="D77">
            <v>11000</v>
          </cell>
          <cell r="E77">
            <v>13000</v>
          </cell>
          <cell r="F77">
            <v>15000</v>
          </cell>
          <cell r="G77">
            <v>16000</v>
          </cell>
          <cell r="H77">
            <v>17000</v>
          </cell>
          <cell r="I77">
            <v>0</v>
          </cell>
          <cell r="J77">
            <v>5</v>
          </cell>
          <cell r="K77">
            <v>7000</v>
          </cell>
          <cell r="L77">
            <v>13000</v>
          </cell>
          <cell r="M77">
            <v>15000</v>
          </cell>
          <cell r="N77">
            <v>17000</v>
          </cell>
          <cell r="O77">
            <v>18000</v>
          </cell>
          <cell r="P77">
            <v>19000</v>
          </cell>
          <cell r="Q77">
            <v>0</v>
          </cell>
          <cell r="R77">
            <v>5</v>
          </cell>
          <cell r="S77">
            <v>15000</v>
          </cell>
          <cell r="T77">
            <v>26000</v>
          </cell>
          <cell r="U77">
            <v>30000</v>
          </cell>
          <cell r="V77">
            <v>34000</v>
          </cell>
          <cell r="W77">
            <v>37000</v>
          </cell>
          <cell r="X77">
            <v>39000</v>
          </cell>
          <cell r="Y77">
            <v>0</v>
          </cell>
          <cell r="Z77">
            <v>5</v>
          </cell>
          <cell r="AA77">
            <v>7000</v>
          </cell>
          <cell r="AB77">
            <v>12000</v>
          </cell>
          <cell r="AC77">
            <v>14000</v>
          </cell>
          <cell r="AD77">
            <v>15000</v>
          </cell>
          <cell r="AE77">
            <v>17000</v>
          </cell>
          <cell r="AF77">
            <v>18000</v>
          </cell>
          <cell r="AG77">
            <v>0</v>
          </cell>
          <cell r="AH77">
            <v>5</v>
          </cell>
          <cell r="AI77">
            <v>2000</v>
          </cell>
          <cell r="AJ77">
            <v>4000</v>
          </cell>
          <cell r="AK77">
            <v>5000</v>
          </cell>
          <cell r="AL77">
            <v>5000</v>
          </cell>
          <cell r="AM77">
            <v>6000</v>
          </cell>
          <cell r="AN77">
            <v>6000</v>
          </cell>
          <cell r="AO77">
            <v>0</v>
          </cell>
          <cell r="AP77">
            <v>5</v>
          </cell>
          <cell r="AQ77">
            <v>3000</v>
          </cell>
          <cell r="AR77">
            <v>6000</v>
          </cell>
          <cell r="AS77">
            <v>7000</v>
          </cell>
          <cell r="AT77">
            <v>8000</v>
          </cell>
          <cell r="AU77">
            <v>9000</v>
          </cell>
          <cell r="AV77">
            <v>9000</v>
          </cell>
          <cell r="AW77">
            <v>0</v>
          </cell>
          <cell r="AX77">
            <v>5</v>
          </cell>
          <cell r="AY77">
            <v>3000</v>
          </cell>
          <cell r="AZ77">
            <v>6000</v>
          </cell>
          <cell r="BA77">
            <v>6000</v>
          </cell>
          <cell r="BB77">
            <v>7000</v>
          </cell>
          <cell r="BC77">
            <v>8000</v>
          </cell>
          <cell r="BD77">
            <v>8000</v>
          </cell>
          <cell r="BE77">
            <v>0</v>
          </cell>
          <cell r="BF77">
            <v>5</v>
          </cell>
          <cell r="BG77">
            <v>1000</v>
          </cell>
          <cell r="BH77">
            <v>3000</v>
          </cell>
          <cell r="BI77">
            <v>3000</v>
          </cell>
          <cell r="BJ77">
            <v>3000</v>
          </cell>
          <cell r="BK77">
            <v>4000</v>
          </cell>
          <cell r="BL77">
            <v>4000</v>
          </cell>
        </row>
        <row r="78">
          <cell r="B78">
            <v>6</v>
          </cell>
          <cell r="C78">
            <v>7000</v>
          </cell>
          <cell r="D78">
            <v>12000</v>
          </cell>
          <cell r="E78">
            <v>15000</v>
          </cell>
          <cell r="F78">
            <v>16000</v>
          </cell>
          <cell r="G78">
            <v>18000</v>
          </cell>
          <cell r="H78">
            <v>19000</v>
          </cell>
          <cell r="I78">
            <v>0</v>
          </cell>
          <cell r="J78">
            <v>6</v>
          </cell>
          <cell r="K78">
            <v>8000</v>
          </cell>
          <cell r="L78">
            <v>14000</v>
          </cell>
          <cell r="M78">
            <v>17000</v>
          </cell>
          <cell r="N78">
            <v>18000</v>
          </cell>
          <cell r="O78">
            <v>20000</v>
          </cell>
          <cell r="P78">
            <v>21000</v>
          </cell>
          <cell r="Q78">
            <v>0</v>
          </cell>
          <cell r="R78">
            <v>6</v>
          </cell>
          <cell r="S78">
            <v>16000</v>
          </cell>
          <cell r="T78">
            <v>28000</v>
          </cell>
          <cell r="U78">
            <v>33000</v>
          </cell>
          <cell r="V78">
            <v>37000</v>
          </cell>
          <cell r="W78">
            <v>40000</v>
          </cell>
          <cell r="X78">
            <v>43000</v>
          </cell>
          <cell r="Y78">
            <v>0</v>
          </cell>
          <cell r="Z78">
            <v>6</v>
          </cell>
          <cell r="AA78">
            <v>7000</v>
          </cell>
          <cell r="AB78">
            <v>13000</v>
          </cell>
          <cell r="AC78">
            <v>15000</v>
          </cell>
          <cell r="AD78">
            <v>17000</v>
          </cell>
          <cell r="AE78">
            <v>18000</v>
          </cell>
          <cell r="AF78">
            <v>19000</v>
          </cell>
          <cell r="AG78">
            <v>0</v>
          </cell>
          <cell r="AH78">
            <v>6</v>
          </cell>
          <cell r="AI78">
            <v>3000</v>
          </cell>
          <cell r="AJ78">
            <v>4000</v>
          </cell>
          <cell r="AK78">
            <v>5000</v>
          </cell>
          <cell r="AL78">
            <v>6000</v>
          </cell>
          <cell r="AM78">
            <v>6000</v>
          </cell>
          <cell r="AN78">
            <v>7000</v>
          </cell>
          <cell r="AO78">
            <v>0</v>
          </cell>
          <cell r="AP78">
            <v>6</v>
          </cell>
          <cell r="AQ78">
            <v>4000</v>
          </cell>
          <cell r="AR78">
            <v>7000</v>
          </cell>
          <cell r="AS78">
            <v>8000</v>
          </cell>
          <cell r="AT78">
            <v>9000</v>
          </cell>
          <cell r="AU78">
            <v>10000</v>
          </cell>
          <cell r="AV78">
            <v>10000</v>
          </cell>
          <cell r="AW78">
            <v>0</v>
          </cell>
          <cell r="AX78">
            <v>6</v>
          </cell>
          <cell r="AY78">
            <v>3000</v>
          </cell>
          <cell r="AZ78">
            <v>6000</v>
          </cell>
          <cell r="BA78">
            <v>7000</v>
          </cell>
          <cell r="BB78">
            <v>8000</v>
          </cell>
          <cell r="BC78">
            <v>9000</v>
          </cell>
          <cell r="BD78">
            <v>9000</v>
          </cell>
          <cell r="BE78">
            <v>0</v>
          </cell>
          <cell r="BF78">
            <v>6</v>
          </cell>
          <cell r="BG78">
            <v>2000</v>
          </cell>
          <cell r="BH78">
            <v>3000</v>
          </cell>
          <cell r="BI78">
            <v>3000</v>
          </cell>
          <cell r="BJ78">
            <v>4000</v>
          </cell>
          <cell r="BK78">
            <v>4000</v>
          </cell>
          <cell r="BL78">
            <v>4000</v>
          </cell>
        </row>
        <row r="79">
          <cell r="B79">
            <v>7</v>
          </cell>
          <cell r="C79">
            <v>8000</v>
          </cell>
          <cell r="D79">
            <v>14000</v>
          </cell>
          <cell r="E79">
            <v>16000</v>
          </cell>
          <cell r="F79">
            <v>18000</v>
          </cell>
          <cell r="G79">
            <v>19000</v>
          </cell>
          <cell r="H79">
            <v>20000</v>
          </cell>
          <cell r="I79">
            <v>0</v>
          </cell>
          <cell r="J79">
            <v>7</v>
          </cell>
          <cell r="K79">
            <v>9000</v>
          </cell>
          <cell r="L79">
            <v>16000</v>
          </cell>
          <cell r="M79">
            <v>18000</v>
          </cell>
          <cell r="N79">
            <v>20000</v>
          </cell>
          <cell r="O79">
            <v>22000</v>
          </cell>
          <cell r="P79">
            <v>23000</v>
          </cell>
          <cell r="Q79">
            <v>0</v>
          </cell>
          <cell r="R79">
            <v>7</v>
          </cell>
          <cell r="S79">
            <v>18000</v>
          </cell>
          <cell r="T79">
            <v>31000</v>
          </cell>
          <cell r="U79">
            <v>37000</v>
          </cell>
          <cell r="V79">
            <v>41000</v>
          </cell>
          <cell r="W79">
            <v>45000</v>
          </cell>
          <cell r="X79">
            <v>47000</v>
          </cell>
          <cell r="Y79">
            <v>0</v>
          </cell>
          <cell r="Z79">
            <v>7</v>
          </cell>
          <cell r="AA79">
            <v>8000</v>
          </cell>
          <cell r="AB79">
            <v>14000</v>
          </cell>
          <cell r="AC79">
            <v>16000</v>
          </cell>
          <cell r="AD79">
            <v>18000</v>
          </cell>
          <cell r="AE79">
            <v>20000</v>
          </cell>
          <cell r="AF79">
            <v>21000</v>
          </cell>
          <cell r="AG79">
            <v>0</v>
          </cell>
          <cell r="AH79">
            <v>7</v>
          </cell>
          <cell r="AI79">
            <v>3000</v>
          </cell>
          <cell r="AJ79">
            <v>5000</v>
          </cell>
          <cell r="AK79">
            <v>6000</v>
          </cell>
          <cell r="AL79">
            <v>6000</v>
          </cell>
          <cell r="AM79">
            <v>7000</v>
          </cell>
          <cell r="AN79">
            <v>7000</v>
          </cell>
          <cell r="AO79">
            <v>0</v>
          </cell>
          <cell r="AP79">
            <v>7</v>
          </cell>
          <cell r="AQ79">
            <v>4000</v>
          </cell>
          <cell r="AR79">
            <v>7000</v>
          </cell>
          <cell r="AS79">
            <v>9000</v>
          </cell>
          <cell r="AT79">
            <v>10000</v>
          </cell>
          <cell r="AU79">
            <v>11000</v>
          </cell>
          <cell r="AV79">
            <v>11000</v>
          </cell>
          <cell r="AW79">
            <v>0</v>
          </cell>
          <cell r="AX79">
            <v>7</v>
          </cell>
          <cell r="AY79">
            <v>4000</v>
          </cell>
          <cell r="AZ79">
            <v>7000</v>
          </cell>
          <cell r="BA79">
            <v>8000</v>
          </cell>
          <cell r="BB79">
            <v>9000</v>
          </cell>
          <cell r="BC79">
            <v>9000</v>
          </cell>
          <cell r="BD79">
            <v>10000</v>
          </cell>
          <cell r="BE79">
            <v>0</v>
          </cell>
          <cell r="BF79">
            <v>7</v>
          </cell>
          <cell r="BG79">
            <v>2000</v>
          </cell>
          <cell r="BH79">
            <v>3000</v>
          </cell>
          <cell r="BI79">
            <v>4000</v>
          </cell>
          <cell r="BJ79">
            <v>4000</v>
          </cell>
          <cell r="BK79">
            <v>5000</v>
          </cell>
          <cell r="BL79">
            <v>5000</v>
          </cell>
        </row>
        <row r="80">
          <cell r="B80">
            <v>8</v>
          </cell>
          <cell r="C80">
            <v>8000</v>
          </cell>
          <cell r="D80">
            <v>15000</v>
          </cell>
          <cell r="E80">
            <v>18000</v>
          </cell>
          <cell r="F80">
            <v>20000</v>
          </cell>
          <cell r="G80">
            <v>21000</v>
          </cell>
          <cell r="H80">
            <v>23000</v>
          </cell>
          <cell r="I80">
            <v>0</v>
          </cell>
          <cell r="J80">
            <v>8</v>
          </cell>
          <cell r="K80">
            <v>10000</v>
          </cell>
          <cell r="L80">
            <v>17000</v>
          </cell>
          <cell r="M80">
            <v>20000</v>
          </cell>
          <cell r="N80">
            <v>22000</v>
          </cell>
          <cell r="O80">
            <v>25000</v>
          </cell>
          <cell r="P80">
            <v>26000</v>
          </cell>
          <cell r="Q80">
            <v>0</v>
          </cell>
          <cell r="R80">
            <v>8</v>
          </cell>
          <cell r="S80">
            <v>19000</v>
          </cell>
          <cell r="T80">
            <v>34000</v>
          </cell>
          <cell r="U80">
            <v>40000</v>
          </cell>
          <cell r="V80">
            <v>45000</v>
          </cell>
          <cell r="W80">
            <v>49000</v>
          </cell>
          <cell r="X80">
            <v>52000</v>
          </cell>
          <cell r="Y80">
            <v>0</v>
          </cell>
          <cell r="Z80">
            <v>8</v>
          </cell>
          <cell r="AA80">
            <v>9000</v>
          </cell>
          <cell r="AB80">
            <v>16000</v>
          </cell>
          <cell r="AC80">
            <v>18000</v>
          </cell>
          <cell r="AD80">
            <v>20000</v>
          </cell>
          <cell r="AE80">
            <v>22000</v>
          </cell>
          <cell r="AF80">
            <v>23000</v>
          </cell>
          <cell r="AG80">
            <v>0</v>
          </cell>
          <cell r="AH80">
            <v>8</v>
          </cell>
          <cell r="AI80">
            <v>3000</v>
          </cell>
          <cell r="AJ80">
            <v>6000</v>
          </cell>
          <cell r="AK80">
            <v>6000</v>
          </cell>
          <cell r="AL80">
            <v>7000</v>
          </cell>
          <cell r="AM80">
            <v>8000</v>
          </cell>
          <cell r="AN80">
            <v>8000</v>
          </cell>
          <cell r="AO80">
            <v>0</v>
          </cell>
          <cell r="AP80">
            <v>8</v>
          </cell>
          <cell r="AQ80">
            <v>5000</v>
          </cell>
          <cell r="AR80">
            <v>8000</v>
          </cell>
          <cell r="AS80">
            <v>9000</v>
          </cell>
          <cell r="AT80">
            <v>11000</v>
          </cell>
          <cell r="AU80">
            <v>12000</v>
          </cell>
          <cell r="AV80">
            <v>12000</v>
          </cell>
          <cell r="AW80">
            <v>0</v>
          </cell>
          <cell r="AX80">
            <v>8</v>
          </cell>
          <cell r="AY80">
            <v>4000</v>
          </cell>
          <cell r="AZ80">
            <v>7000</v>
          </cell>
          <cell r="BA80">
            <v>9000</v>
          </cell>
          <cell r="BB80">
            <v>9000</v>
          </cell>
          <cell r="BC80">
            <v>10000</v>
          </cell>
          <cell r="BD80">
            <v>11000</v>
          </cell>
          <cell r="BE80">
            <v>0</v>
          </cell>
          <cell r="BF80">
            <v>8</v>
          </cell>
          <cell r="BG80">
            <v>2000</v>
          </cell>
          <cell r="BH80">
            <v>4000</v>
          </cell>
          <cell r="BI80">
            <v>4000</v>
          </cell>
          <cell r="BJ80">
            <v>5000</v>
          </cell>
          <cell r="BK80">
            <v>5000</v>
          </cell>
          <cell r="BL80">
            <v>5000</v>
          </cell>
        </row>
        <row r="81">
          <cell r="B81">
            <v>9</v>
          </cell>
          <cell r="C81">
            <v>9000</v>
          </cell>
          <cell r="D81">
            <v>16000</v>
          </cell>
          <cell r="E81">
            <v>19000</v>
          </cell>
          <cell r="F81">
            <v>21000</v>
          </cell>
          <cell r="G81">
            <v>23000</v>
          </cell>
          <cell r="H81">
            <v>25000</v>
          </cell>
          <cell r="I81">
            <v>0</v>
          </cell>
          <cell r="J81">
            <v>9</v>
          </cell>
          <cell r="K81">
            <v>11000</v>
          </cell>
          <cell r="L81">
            <v>19000</v>
          </cell>
          <cell r="M81">
            <v>22000</v>
          </cell>
          <cell r="N81">
            <v>25000</v>
          </cell>
          <cell r="O81">
            <v>27000</v>
          </cell>
          <cell r="P81">
            <v>28000</v>
          </cell>
          <cell r="Q81">
            <v>0</v>
          </cell>
          <cell r="R81">
            <v>9</v>
          </cell>
          <cell r="S81">
            <v>21000</v>
          </cell>
          <cell r="T81">
            <v>38000</v>
          </cell>
          <cell r="U81">
            <v>44000</v>
          </cell>
          <cell r="V81">
            <v>49000</v>
          </cell>
          <cell r="W81">
            <v>54000</v>
          </cell>
          <cell r="X81">
            <v>57000</v>
          </cell>
          <cell r="Y81">
            <v>0</v>
          </cell>
          <cell r="Z81">
            <v>9</v>
          </cell>
          <cell r="AA81">
            <v>10000</v>
          </cell>
          <cell r="AB81">
            <v>17000</v>
          </cell>
          <cell r="AC81">
            <v>20000</v>
          </cell>
          <cell r="AD81">
            <v>22000</v>
          </cell>
          <cell r="AE81">
            <v>24000</v>
          </cell>
          <cell r="AF81">
            <v>25000</v>
          </cell>
          <cell r="AG81">
            <v>0</v>
          </cell>
          <cell r="AH81">
            <v>9</v>
          </cell>
          <cell r="AI81">
            <v>3000</v>
          </cell>
          <cell r="AJ81">
            <v>6000</v>
          </cell>
          <cell r="AK81">
            <v>7000</v>
          </cell>
          <cell r="AL81">
            <v>8000</v>
          </cell>
          <cell r="AM81">
            <v>9000</v>
          </cell>
          <cell r="AN81">
            <v>9000</v>
          </cell>
          <cell r="AO81">
            <v>0</v>
          </cell>
          <cell r="AP81">
            <v>9</v>
          </cell>
          <cell r="AQ81">
            <v>5000</v>
          </cell>
          <cell r="AR81">
            <v>9000</v>
          </cell>
          <cell r="AS81">
            <v>11000</v>
          </cell>
          <cell r="AT81">
            <v>12000</v>
          </cell>
          <cell r="AU81">
            <v>13000</v>
          </cell>
          <cell r="AV81">
            <v>13000</v>
          </cell>
          <cell r="AW81">
            <v>0</v>
          </cell>
          <cell r="AX81">
            <v>9</v>
          </cell>
          <cell r="AY81">
            <v>5000</v>
          </cell>
          <cell r="AZ81">
            <v>8000</v>
          </cell>
          <cell r="BA81">
            <v>9000</v>
          </cell>
          <cell r="BB81">
            <v>11000</v>
          </cell>
          <cell r="BC81">
            <v>11000</v>
          </cell>
          <cell r="BD81">
            <v>12000</v>
          </cell>
          <cell r="BE81">
            <v>0</v>
          </cell>
          <cell r="BF81">
            <v>9</v>
          </cell>
          <cell r="BG81">
            <v>2000</v>
          </cell>
          <cell r="BH81">
            <v>4000</v>
          </cell>
          <cell r="BI81">
            <v>5000</v>
          </cell>
          <cell r="BJ81">
            <v>5000</v>
          </cell>
          <cell r="BK81">
            <v>6000</v>
          </cell>
          <cell r="BL81">
            <v>6000</v>
          </cell>
        </row>
        <row r="82">
          <cell r="B82">
            <v>10</v>
          </cell>
          <cell r="C82">
            <v>10000</v>
          </cell>
          <cell r="D82">
            <v>18000</v>
          </cell>
          <cell r="E82">
            <v>21000</v>
          </cell>
          <cell r="F82">
            <v>24000</v>
          </cell>
          <cell r="G82">
            <v>26000</v>
          </cell>
          <cell r="H82">
            <v>27000</v>
          </cell>
          <cell r="I82">
            <v>0</v>
          </cell>
          <cell r="J82">
            <v>10</v>
          </cell>
          <cell r="K82">
            <v>12000</v>
          </cell>
          <cell r="L82">
            <v>21000</v>
          </cell>
          <cell r="M82">
            <v>24000</v>
          </cell>
          <cell r="N82">
            <v>27000</v>
          </cell>
          <cell r="O82">
            <v>30000</v>
          </cell>
          <cell r="P82">
            <v>31000</v>
          </cell>
          <cell r="Q82">
            <v>0</v>
          </cell>
          <cell r="R82">
            <v>10</v>
          </cell>
          <cell r="S82">
            <v>23000</v>
          </cell>
          <cell r="T82">
            <v>42000</v>
          </cell>
          <cell r="U82">
            <v>49000</v>
          </cell>
          <cell r="V82">
            <v>54000</v>
          </cell>
          <cell r="W82">
            <v>59000</v>
          </cell>
          <cell r="X82">
            <v>62000</v>
          </cell>
          <cell r="Y82">
            <v>0</v>
          </cell>
          <cell r="Z82">
            <v>10</v>
          </cell>
          <cell r="AA82">
            <v>11000</v>
          </cell>
          <cell r="AB82">
            <v>19000</v>
          </cell>
          <cell r="AC82">
            <v>22000</v>
          </cell>
          <cell r="AD82">
            <v>24000</v>
          </cell>
          <cell r="AE82">
            <v>27000</v>
          </cell>
          <cell r="AF82">
            <v>28000</v>
          </cell>
          <cell r="AG82">
            <v>0</v>
          </cell>
          <cell r="AH82">
            <v>10</v>
          </cell>
          <cell r="AI82">
            <v>4000</v>
          </cell>
          <cell r="AJ82">
            <v>7000</v>
          </cell>
          <cell r="AK82">
            <v>8000</v>
          </cell>
          <cell r="AL82">
            <v>9000</v>
          </cell>
          <cell r="AM82">
            <v>9000</v>
          </cell>
          <cell r="AN82">
            <v>10000</v>
          </cell>
          <cell r="AO82">
            <v>0</v>
          </cell>
          <cell r="AP82">
            <v>10</v>
          </cell>
          <cell r="AQ82">
            <v>6000</v>
          </cell>
          <cell r="AR82">
            <v>10000</v>
          </cell>
          <cell r="AS82">
            <v>12000</v>
          </cell>
          <cell r="AT82">
            <v>13000</v>
          </cell>
          <cell r="AU82">
            <v>14000</v>
          </cell>
          <cell r="AV82">
            <v>15000</v>
          </cell>
          <cell r="AW82">
            <v>0</v>
          </cell>
          <cell r="AX82">
            <v>10</v>
          </cell>
          <cell r="AY82">
            <v>5000</v>
          </cell>
          <cell r="AZ82">
            <v>9000</v>
          </cell>
          <cell r="BA82">
            <v>10000</v>
          </cell>
          <cell r="BB82">
            <v>11000</v>
          </cell>
          <cell r="BC82">
            <v>13000</v>
          </cell>
          <cell r="BD82">
            <v>13000</v>
          </cell>
          <cell r="BE82">
            <v>0</v>
          </cell>
          <cell r="BF82">
            <v>10</v>
          </cell>
          <cell r="BG82">
            <v>2000</v>
          </cell>
          <cell r="BH82">
            <v>4000</v>
          </cell>
          <cell r="BI82">
            <v>5000</v>
          </cell>
          <cell r="BJ82">
            <v>6000</v>
          </cell>
          <cell r="BK82">
            <v>6000</v>
          </cell>
          <cell r="BL82">
            <v>6000</v>
          </cell>
        </row>
        <row r="83">
          <cell r="B83">
            <v>11</v>
          </cell>
          <cell r="C83">
            <v>11000</v>
          </cell>
          <cell r="D83">
            <v>20000</v>
          </cell>
          <cell r="E83">
            <v>23000</v>
          </cell>
          <cell r="F83">
            <v>26000</v>
          </cell>
          <cell r="G83">
            <v>28000</v>
          </cell>
          <cell r="H83">
            <v>30000</v>
          </cell>
          <cell r="I83">
            <v>0</v>
          </cell>
          <cell r="J83">
            <v>11</v>
          </cell>
          <cell r="K83">
            <v>13000</v>
          </cell>
          <cell r="L83">
            <v>23000</v>
          </cell>
          <cell r="M83">
            <v>27000</v>
          </cell>
          <cell r="N83">
            <v>30000</v>
          </cell>
          <cell r="O83">
            <v>33000</v>
          </cell>
          <cell r="P83">
            <v>34000</v>
          </cell>
          <cell r="Q83">
            <v>0</v>
          </cell>
          <cell r="R83">
            <v>11</v>
          </cell>
          <cell r="S83">
            <v>26000</v>
          </cell>
          <cell r="T83">
            <v>46000</v>
          </cell>
          <cell r="U83">
            <v>54000</v>
          </cell>
          <cell r="V83">
            <v>59000</v>
          </cell>
          <cell r="W83">
            <v>65000</v>
          </cell>
          <cell r="X83">
            <v>69000</v>
          </cell>
          <cell r="Y83">
            <v>0</v>
          </cell>
          <cell r="Z83">
            <v>11</v>
          </cell>
          <cell r="AA83">
            <v>12000</v>
          </cell>
          <cell r="AB83">
            <v>21000</v>
          </cell>
          <cell r="AC83">
            <v>24000</v>
          </cell>
          <cell r="AD83">
            <v>27000</v>
          </cell>
          <cell r="AE83">
            <v>29000</v>
          </cell>
          <cell r="AF83">
            <v>31000</v>
          </cell>
          <cell r="AG83">
            <v>0</v>
          </cell>
          <cell r="AH83">
            <v>11</v>
          </cell>
          <cell r="AI83">
            <v>4000</v>
          </cell>
          <cell r="AJ83">
            <v>7000</v>
          </cell>
          <cell r="AK83">
            <v>8000</v>
          </cell>
          <cell r="AL83">
            <v>9000</v>
          </cell>
          <cell r="AM83">
            <v>10000</v>
          </cell>
          <cell r="AN83">
            <v>11000</v>
          </cell>
          <cell r="AO83">
            <v>0</v>
          </cell>
          <cell r="AP83">
            <v>11</v>
          </cell>
          <cell r="AQ83">
            <v>6000</v>
          </cell>
          <cell r="AR83">
            <v>11000</v>
          </cell>
          <cell r="AS83">
            <v>13000</v>
          </cell>
          <cell r="AT83">
            <v>14000</v>
          </cell>
          <cell r="AU83">
            <v>15000</v>
          </cell>
          <cell r="AV83">
            <v>16000</v>
          </cell>
          <cell r="AW83">
            <v>0</v>
          </cell>
          <cell r="AX83">
            <v>11</v>
          </cell>
          <cell r="AY83">
            <v>6000</v>
          </cell>
          <cell r="AZ83">
            <v>10000</v>
          </cell>
          <cell r="BA83">
            <v>11000</v>
          </cell>
          <cell r="BB83">
            <v>13000</v>
          </cell>
          <cell r="BC83">
            <v>14000</v>
          </cell>
          <cell r="BD83">
            <v>15000</v>
          </cell>
          <cell r="BE83">
            <v>0</v>
          </cell>
          <cell r="BF83">
            <v>11</v>
          </cell>
          <cell r="BG83">
            <v>3000</v>
          </cell>
          <cell r="BH83">
            <v>5000</v>
          </cell>
          <cell r="BI83">
            <v>5000</v>
          </cell>
          <cell r="BJ83">
            <v>6000</v>
          </cell>
          <cell r="BK83">
            <v>7000</v>
          </cell>
          <cell r="BL83">
            <v>7000</v>
          </cell>
        </row>
        <row r="84">
          <cell r="B84">
            <v>12</v>
          </cell>
          <cell r="C84">
            <v>12000</v>
          </cell>
          <cell r="D84">
            <v>22000</v>
          </cell>
          <cell r="E84">
            <v>26000</v>
          </cell>
          <cell r="F84">
            <v>29000</v>
          </cell>
          <cell r="G84">
            <v>31000</v>
          </cell>
          <cell r="H84">
            <v>33000</v>
          </cell>
          <cell r="I84">
            <v>0</v>
          </cell>
          <cell r="J84">
            <v>12</v>
          </cell>
          <cell r="K84">
            <v>14000</v>
          </cell>
          <cell r="L84">
            <v>25000</v>
          </cell>
          <cell r="M84">
            <v>29000</v>
          </cell>
          <cell r="N84">
            <v>33000</v>
          </cell>
          <cell r="O84">
            <v>36000</v>
          </cell>
          <cell r="P84">
            <v>38000</v>
          </cell>
          <cell r="Q84">
            <v>0</v>
          </cell>
          <cell r="R84">
            <v>12</v>
          </cell>
          <cell r="S84">
            <v>28000</v>
          </cell>
          <cell r="T84">
            <v>50000</v>
          </cell>
          <cell r="U84">
            <v>59000</v>
          </cell>
          <cell r="V84">
            <v>66000</v>
          </cell>
          <cell r="W84">
            <v>72000</v>
          </cell>
          <cell r="X84">
            <v>76000</v>
          </cell>
          <cell r="Y84">
            <v>0</v>
          </cell>
          <cell r="Z84">
            <v>12</v>
          </cell>
          <cell r="AA84">
            <v>13000</v>
          </cell>
          <cell r="AB84">
            <v>23000</v>
          </cell>
          <cell r="AC84">
            <v>27000</v>
          </cell>
          <cell r="AD84">
            <v>30000</v>
          </cell>
          <cell r="AE84">
            <v>32000</v>
          </cell>
          <cell r="AF84">
            <v>34000</v>
          </cell>
          <cell r="AG84">
            <v>0</v>
          </cell>
          <cell r="AH84">
            <v>12</v>
          </cell>
          <cell r="AI84">
            <v>4000</v>
          </cell>
          <cell r="AJ84">
            <v>8000</v>
          </cell>
          <cell r="AK84">
            <v>9000</v>
          </cell>
          <cell r="AL84">
            <v>10000</v>
          </cell>
          <cell r="AM84">
            <v>11000</v>
          </cell>
          <cell r="AN84">
            <v>12000</v>
          </cell>
          <cell r="AO84">
            <v>0</v>
          </cell>
          <cell r="AP84">
            <v>12</v>
          </cell>
          <cell r="AQ84">
            <v>7000</v>
          </cell>
          <cell r="AR84">
            <v>12000</v>
          </cell>
          <cell r="AS84">
            <v>14000</v>
          </cell>
          <cell r="AT84">
            <v>16000</v>
          </cell>
          <cell r="AU84">
            <v>17000</v>
          </cell>
          <cell r="AV84">
            <v>18000</v>
          </cell>
          <cell r="AW84">
            <v>0</v>
          </cell>
          <cell r="AX84">
            <v>12</v>
          </cell>
          <cell r="AY84">
            <v>6000</v>
          </cell>
          <cell r="AZ84">
            <v>11000</v>
          </cell>
          <cell r="BA84">
            <v>13000</v>
          </cell>
          <cell r="BB84">
            <v>14000</v>
          </cell>
          <cell r="BC84">
            <v>15000</v>
          </cell>
          <cell r="BD84">
            <v>16000</v>
          </cell>
          <cell r="BE84">
            <v>0</v>
          </cell>
          <cell r="BF84">
            <v>12</v>
          </cell>
          <cell r="BG84">
            <v>3000</v>
          </cell>
          <cell r="BH84">
            <v>5000</v>
          </cell>
          <cell r="BI84">
            <v>6000</v>
          </cell>
          <cell r="BJ84">
            <v>7000</v>
          </cell>
          <cell r="BK84">
            <v>7000</v>
          </cell>
          <cell r="BL84">
            <v>8000</v>
          </cell>
        </row>
        <row r="85">
          <cell r="B85">
            <v>13</v>
          </cell>
          <cell r="C85">
            <v>14000</v>
          </cell>
          <cell r="D85">
            <v>24000</v>
          </cell>
          <cell r="E85">
            <v>28000</v>
          </cell>
          <cell r="F85">
            <v>31000</v>
          </cell>
          <cell r="G85">
            <v>34000</v>
          </cell>
          <cell r="H85">
            <v>36000</v>
          </cell>
          <cell r="I85">
            <v>0</v>
          </cell>
          <cell r="J85">
            <v>13</v>
          </cell>
          <cell r="K85">
            <v>16000</v>
          </cell>
          <cell r="L85">
            <v>28000</v>
          </cell>
          <cell r="M85">
            <v>32000</v>
          </cell>
          <cell r="N85">
            <v>36000</v>
          </cell>
          <cell r="O85">
            <v>39000</v>
          </cell>
          <cell r="P85">
            <v>41000</v>
          </cell>
          <cell r="Q85">
            <v>0</v>
          </cell>
          <cell r="R85">
            <v>13</v>
          </cell>
          <cell r="S85">
            <v>31000</v>
          </cell>
          <cell r="T85">
            <v>55000</v>
          </cell>
          <cell r="U85">
            <v>65000</v>
          </cell>
          <cell r="V85">
            <v>72000</v>
          </cell>
          <cell r="W85">
            <v>79000</v>
          </cell>
          <cell r="X85">
            <v>83000</v>
          </cell>
          <cell r="Y85">
            <v>0</v>
          </cell>
          <cell r="Z85">
            <v>13</v>
          </cell>
          <cell r="AA85">
            <v>14000</v>
          </cell>
          <cell r="AB85">
            <v>25000</v>
          </cell>
          <cell r="AC85">
            <v>29000</v>
          </cell>
          <cell r="AD85">
            <v>32000</v>
          </cell>
          <cell r="AE85">
            <v>35000</v>
          </cell>
          <cell r="AF85">
            <v>37000</v>
          </cell>
          <cell r="AG85">
            <v>0</v>
          </cell>
          <cell r="AH85">
            <v>13</v>
          </cell>
          <cell r="AI85">
            <v>5000</v>
          </cell>
          <cell r="AJ85">
            <v>9000</v>
          </cell>
          <cell r="AK85">
            <v>10000</v>
          </cell>
          <cell r="AL85">
            <v>11000</v>
          </cell>
          <cell r="AM85">
            <v>13000</v>
          </cell>
          <cell r="AN85">
            <v>13000</v>
          </cell>
          <cell r="AO85">
            <v>0</v>
          </cell>
          <cell r="AP85">
            <v>13</v>
          </cell>
          <cell r="AQ85">
            <v>7000</v>
          </cell>
          <cell r="AR85">
            <v>13000</v>
          </cell>
          <cell r="AS85">
            <v>15000</v>
          </cell>
          <cell r="AT85">
            <v>17000</v>
          </cell>
          <cell r="AU85">
            <v>19000</v>
          </cell>
          <cell r="AV85">
            <v>20000</v>
          </cell>
          <cell r="AW85">
            <v>0</v>
          </cell>
          <cell r="AX85">
            <v>13</v>
          </cell>
          <cell r="AY85">
            <v>7000</v>
          </cell>
          <cell r="AZ85">
            <v>12000</v>
          </cell>
          <cell r="BA85">
            <v>14000</v>
          </cell>
          <cell r="BB85">
            <v>15000</v>
          </cell>
          <cell r="BC85">
            <v>17000</v>
          </cell>
          <cell r="BD85">
            <v>18000</v>
          </cell>
          <cell r="BE85">
            <v>0</v>
          </cell>
          <cell r="BF85">
            <v>13</v>
          </cell>
          <cell r="BG85">
            <v>3000</v>
          </cell>
          <cell r="BH85">
            <v>6000</v>
          </cell>
          <cell r="BI85">
            <v>7000</v>
          </cell>
          <cell r="BJ85">
            <v>7000</v>
          </cell>
          <cell r="BK85">
            <v>8000</v>
          </cell>
          <cell r="BL85">
            <v>9000</v>
          </cell>
        </row>
        <row r="86">
          <cell r="B86">
            <v>14</v>
          </cell>
          <cell r="C86">
            <v>15000</v>
          </cell>
          <cell r="D86">
            <v>27000</v>
          </cell>
          <cell r="E86">
            <v>31000</v>
          </cell>
          <cell r="F86">
            <v>35000</v>
          </cell>
          <cell r="G86">
            <v>38000</v>
          </cell>
          <cell r="H86">
            <v>40000</v>
          </cell>
          <cell r="I86">
            <v>0</v>
          </cell>
          <cell r="J86">
            <v>14</v>
          </cell>
          <cell r="K86">
            <v>17000</v>
          </cell>
          <cell r="L86">
            <v>30000</v>
          </cell>
          <cell r="M86">
            <v>36000</v>
          </cell>
          <cell r="N86">
            <v>40000</v>
          </cell>
          <cell r="O86">
            <v>43000</v>
          </cell>
          <cell r="P86">
            <v>46000</v>
          </cell>
          <cell r="Q86">
            <v>0</v>
          </cell>
          <cell r="R86">
            <v>14</v>
          </cell>
          <cell r="S86">
            <v>34000</v>
          </cell>
          <cell r="T86">
            <v>61000</v>
          </cell>
          <cell r="U86">
            <v>71000</v>
          </cell>
          <cell r="V86">
            <v>79000</v>
          </cell>
          <cell r="W86">
            <v>87000</v>
          </cell>
          <cell r="X86">
            <v>91000</v>
          </cell>
          <cell r="Y86">
            <v>0</v>
          </cell>
          <cell r="Z86">
            <v>14</v>
          </cell>
          <cell r="AA86">
            <v>15000</v>
          </cell>
          <cell r="AB86">
            <v>27000</v>
          </cell>
          <cell r="AC86">
            <v>32000</v>
          </cell>
          <cell r="AD86">
            <v>36000</v>
          </cell>
          <cell r="AE86">
            <v>39000</v>
          </cell>
          <cell r="AF86">
            <v>41000</v>
          </cell>
          <cell r="AG86">
            <v>0</v>
          </cell>
          <cell r="AH86">
            <v>14</v>
          </cell>
          <cell r="AI86">
            <v>5000</v>
          </cell>
          <cell r="AJ86">
            <v>10000</v>
          </cell>
          <cell r="AK86">
            <v>11000</v>
          </cell>
          <cell r="AL86">
            <v>13000</v>
          </cell>
          <cell r="AM86">
            <v>14000</v>
          </cell>
          <cell r="AN86">
            <v>15000</v>
          </cell>
          <cell r="AO86">
            <v>0</v>
          </cell>
          <cell r="AP86">
            <v>14</v>
          </cell>
          <cell r="AQ86">
            <v>8000</v>
          </cell>
          <cell r="AR86">
            <v>14000</v>
          </cell>
          <cell r="AS86">
            <v>17000</v>
          </cell>
          <cell r="AT86">
            <v>19000</v>
          </cell>
          <cell r="AU86">
            <v>21000</v>
          </cell>
          <cell r="AV86">
            <v>22000</v>
          </cell>
          <cell r="AW86">
            <v>0</v>
          </cell>
          <cell r="AX86">
            <v>14</v>
          </cell>
          <cell r="AY86">
            <v>7000</v>
          </cell>
          <cell r="AZ86">
            <v>13000</v>
          </cell>
          <cell r="BA86">
            <v>15000</v>
          </cell>
          <cell r="BB86">
            <v>17000</v>
          </cell>
          <cell r="BC86">
            <v>19000</v>
          </cell>
          <cell r="BD86">
            <v>20000</v>
          </cell>
          <cell r="BE86">
            <v>0</v>
          </cell>
          <cell r="BF86">
            <v>14</v>
          </cell>
          <cell r="BG86">
            <v>4000</v>
          </cell>
          <cell r="BH86">
            <v>6000</v>
          </cell>
          <cell r="BI86">
            <v>7000</v>
          </cell>
          <cell r="BJ86">
            <v>8000</v>
          </cell>
          <cell r="BK86">
            <v>9000</v>
          </cell>
          <cell r="BL86">
            <v>9000</v>
          </cell>
        </row>
        <row r="87">
          <cell r="B87">
            <v>15</v>
          </cell>
          <cell r="C87">
            <v>16000</v>
          </cell>
          <cell r="D87">
            <v>29000</v>
          </cell>
          <cell r="E87">
            <v>34000</v>
          </cell>
          <cell r="F87">
            <v>38000</v>
          </cell>
          <cell r="G87">
            <v>42000</v>
          </cell>
          <cell r="H87">
            <v>44000</v>
          </cell>
          <cell r="I87">
            <v>0</v>
          </cell>
          <cell r="J87">
            <v>15</v>
          </cell>
          <cell r="K87">
            <v>19000</v>
          </cell>
          <cell r="L87">
            <v>33000</v>
          </cell>
          <cell r="M87">
            <v>39000</v>
          </cell>
          <cell r="N87">
            <v>44000</v>
          </cell>
          <cell r="O87">
            <v>48000</v>
          </cell>
          <cell r="P87">
            <v>50000</v>
          </cell>
          <cell r="Q87">
            <v>0</v>
          </cell>
          <cell r="R87">
            <v>15</v>
          </cell>
          <cell r="S87">
            <v>38000</v>
          </cell>
          <cell r="T87">
            <v>67000</v>
          </cell>
          <cell r="U87">
            <v>79000</v>
          </cell>
          <cell r="V87">
            <v>87000</v>
          </cell>
          <cell r="W87">
            <v>96000</v>
          </cell>
          <cell r="X87">
            <v>101000</v>
          </cell>
          <cell r="Y87">
            <v>0</v>
          </cell>
          <cell r="Z87">
            <v>15</v>
          </cell>
          <cell r="AA87">
            <v>17000</v>
          </cell>
          <cell r="AB87">
            <v>30000</v>
          </cell>
          <cell r="AC87">
            <v>35000</v>
          </cell>
          <cell r="AD87">
            <v>39000</v>
          </cell>
          <cell r="AE87">
            <v>43000</v>
          </cell>
          <cell r="AF87">
            <v>45000</v>
          </cell>
          <cell r="AG87">
            <v>0</v>
          </cell>
          <cell r="AH87">
            <v>15</v>
          </cell>
          <cell r="AI87">
            <v>6000</v>
          </cell>
          <cell r="AJ87">
            <v>11000</v>
          </cell>
          <cell r="AK87">
            <v>12000</v>
          </cell>
          <cell r="AL87">
            <v>14000</v>
          </cell>
          <cell r="AM87">
            <v>15000</v>
          </cell>
          <cell r="AN87">
            <v>16000</v>
          </cell>
          <cell r="AO87">
            <v>0</v>
          </cell>
          <cell r="AP87">
            <v>15</v>
          </cell>
          <cell r="AQ87">
            <v>9000</v>
          </cell>
          <cell r="AR87">
            <v>16000</v>
          </cell>
          <cell r="AS87">
            <v>19000</v>
          </cell>
          <cell r="AT87">
            <v>21000</v>
          </cell>
          <cell r="AU87">
            <v>23000</v>
          </cell>
          <cell r="AV87">
            <v>24000</v>
          </cell>
          <cell r="AW87">
            <v>0</v>
          </cell>
          <cell r="AX87">
            <v>15</v>
          </cell>
          <cell r="AY87">
            <v>8000</v>
          </cell>
          <cell r="AZ87">
            <v>14000</v>
          </cell>
          <cell r="BA87">
            <v>17000</v>
          </cell>
          <cell r="BB87">
            <v>19000</v>
          </cell>
          <cell r="BC87">
            <v>20000</v>
          </cell>
          <cell r="BD87">
            <v>21000</v>
          </cell>
          <cell r="BE87">
            <v>0</v>
          </cell>
          <cell r="BF87">
            <v>15</v>
          </cell>
          <cell r="BG87">
            <v>4000</v>
          </cell>
          <cell r="BH87">
            <v>7000</v>
          </cell>
          <cell r="BI87">
            <v>8000</v>
          </cell>
          <cell r="BJ87">
            <v>9000</v>
          </cell>
          <cell r="BK87">
            <v>10000</v>
          </cell>
          <cell r="BL87">
            <v>10000</v>
          </cell>
        </row>
        <row r="88">
          <cell r="B88">
            <v>16</v>
          </cell>
          <cell r="C88">
            <v>18000</v>
          </cell>
          <cell r="D88">
            <v>32000</v>
          </cell>
          <cell r="E88">
            <v>38000</v>
          </cell>
          <cell r="F88">
            <v>42000</v>
          </cell>
          <cell r="G88">
            <v>46000</v>
          </cell>
          <cell r="H88">
            <v>48000</v>
          </cell>
          <cell r="I88">
            <v>0</v>
          </cell>
          <cell r="J88">
            <v>16</v>
          </cell>
          <cell r="K88">
            <v>21000</v>
          </cell>
          <cell r="L88">
            <v>37000</v>
          </cell>
          <cell r="M88">
            <v>43000</v>
          </cell>
          <cell r="N88">
            <v>48000</v>
          </cell>
          <cell r="O88">
            <v>52000</v>
          </cell>
          <cell r="P88">
            <v>55000</v>
          </cell>
          <cell r="Q88">
            <v>0</v>
          </cell>
          <cell r="R88">
            <v>16</v>
          </cell>
          <cell r="S88">
            <v>41000</v>
          </cell>
          <cell r="T88">
            <v>74000</v>
          </cell>
          <cell r="U88">
            <v>86000</v>
          </cell>
          <cell r="V88">
            <v>96000</v>
          </cell>
          <cell r="W88">
            <v>105000</v>
          </cell>
          <cell r="X88">
            <v>110000</v>
          </cell>
          <cell r="Y88">
            <v>0</v>
          </cell>
          <cell r="Z88">
            <v>16</v>
          </cell>
          <cell r="AA88">
            <v>19000</v>
          </cell>
          <cell r="AB88">
            <v>33000</v>
          </cell>
          <cell r="AC88">
            <v>39000</v>
          </cell>
          <cell r="AD88">
            <v>43000</v>
          </cell>
          <cell r="AE88">
            <v>47000</v>
          </cell>
          <cell r="AF88">
            <v>50000</v>
          </cell>
          <cell r="AG88">
            <v>0</v>
          </cell>
          <cell r="AH88">
            <v>16</v>
          </cell>
          <cell r="AI88">
            <v>7000</v>
          </cell>
          <cell r="AJ88">
            <v>12000</v>
          </cell>
          <cell r="AK88">
            <v>14000</v>
          </cell>
          <cell r="AL88">
            <v>15000</v>
          </cell>
          <cell r="AM88">
            <v>17000</v>
          </cell>
          <cell r="AN88">
            <v>18000</v>
          </cell>
          <cell r="AO88">
            <v>0</v>
          </cell>
          <cell r="AP88">
            <v>16</v>
          </cell>
          <cell r="AQ88">
            <v>10000</v>
          </cell>
          <cell r="AR88">
            <v>17000</v>
          </cell>
          <cell r="AS88">
            <v>20000</v>
          </cell>
          <cell r="AT88">
            <v>23000</v>
          </cell>
          <cell r="AU88">
            <v>25000</v>
          </cell>
          <cell r="AV88">
            <v>26000</v>
          </cell>
          <cell r="AW88">
            <v>0</v>
          </cell>
          <cell r="AX88">
            <v>16</v>
          </cell>
          <cell r="AY88">
            <v>9000</v>
          </cell>
          <cell r="AZ88">
            <v>16000</v>
          </cell>
          <cell r="BA88">
            <v>18000</v>
          </cell>
          <cell r="BB88">
            <v>20000</v>
          </cell>
          <cell r="BC88">
            <v>22000</v>
          </cell>
          <cell r="BD88">
            <v>24000</v>
          </cell>
          <cell r="BE88">
            <v>0</v>
          </cell>
          <cell r="BF88">
            <v>16</v>
          </cell>
          <cell r="BG88">
            <v>4000</v>
          </cell>
          <cell r="BH88">
            <v>8000</v>
          </cell>
          <cell r="BI88">
            <v>9000</v>
          </cell>
          <cell r="BJ88">
            <v>10000</v>
          </cell>
          <cell r="BK88">
            <v>11000</v>
          </cell>
          <cell r="BL88">
            <v>11000</v>
          </cell>
        </row>
        <row r="89">
          <cell r="B89">
            <v>17</v>
          </cell>
          <cell r="C89">
            <v>20000</v>
          </cell>
          <cell r="D89">
            <v>35000</v>
          </cell>
          <cell r="E89">
            <v>41000</v>
          </cell>
          <cell r="F89">
            <v>46000</v>
          </cell>
          <cell r="G89">
            <v>50000</v>
          </cell>
          <cell r="H89">
            <v>53000</v>
          </cell>
          <cell r="I89">
            <v>0</v>
          </cell>
          <cell r="J89">
            <v>17</v>
          </cell>
          <cell r="K89">
            <v>23000</v>
          </cell>
          <cell r="L89">
            <v>41000</v>
          </cell>
          <cell r="M89">
            <v>47000</v>
          </cell>
          <cell r="N89">
            <v>53000</v>
          </cell>
          <cell r="O89">
            <v>58000</v>
          </cell>
          <cell r="P89">
            <v>61000</v>
          </cell>
          <cell r="Q89">
            <v>0</v>
          </cell>
          <cell r="R89">
            <v>17</v>
          </cell>
          <cell r="S89">
            <v>46000</v>
          </cell>
          <cell r="T89">
            <v>81000</v>
          </cell>
          <cell r="U89">
            <v>95000</v>
          </cell>
          <cell r="V89">
            <v>106000</v>
          </cell>
          <cell r="W89">
            <v>116000</v>
          </cell>
          <cell r="X89">
            <v>122000</v>
          </cell>
          <cell r="Y89">
            <v>0</v>
          </cell>
          <cell r="Z89">
            <v>17</v>
          </cell>
          <cell r="AA89">
            <v>21000</v>
          </cell>
          <cell r="AB89">
            <v>37000</v>
          </cell>
          <cell r="AC89">
            <v>43000</v>
          </cell>
          <cell r="AD89">
            <v>48000</v>
          </cell>
          <cell r="AE89">
            <v>52000</v>
          </cell>
          <cell r="AF89">
            <v>55000</v>
          </cell>
          <cell r="AG89">
            <v>0</v>
          </cell>
          <cell r="AH89">
            <v>17</v>
          </cell>
          <cell r="AI89">
            <v>7000</v>
          </cell>
          <cell r="AJ89">
            <v>13000</v>
          </cell>
          <cell r="AK89">
            <v>15000</v>
          </cell>
          <cell r="AL89">
            <v>17000</v>
          </cell>
          <cell r="AM89">
            <v>18000</v>
          </cell>
          <cell r="AN89">
            <v>19000</v>
          </cell>
          <cell r="AO89">
            <v>0</v>
          </cell>
          <cell r="AP89">
            <v>17</v>
          </cell>
          <cell r="AQ89">
            <v>11000</v>
          </cell>
          <cell r="AR89">
            <v>19000</v>
          </cell>
          <cell r="AS89">
            <v>23000</v>
          </cell>
          <cell r="AT89">
            <v>25000</v>
          </cell>
          <cell r="AU89">
            <v>27000</v>
          </cell>
          <cell r="AV89">
            <v>29000</v>
          </cell>
          <cell r="AW89">
            <v>0</v>
          </cell>
          <cell r="AX89">
            <v>17</v>
          </cell>
          <cell r="AY89">
            <v>10000</v>
          </cell>
          <cell r="AZ89">
            <v>17000</v>
          </cell>
          <cell r="BA89">
            <v>20000</v>
          </cell>
          <cell r="BB89">
            <v>23000</v>
          </cell>
          <cell r="BC89">
            <v>25000</v>
          </cell>
          <cell r="BD89">
            <v>26000</v>
          </cell>
          <cell r="BE89">
            <v>0</v>
          </cell>
          <cell r="BF89">
            <v>17</v>
          </cell>
          <cell r="BG89">
            <v>5000</v>
          </cell>
          <cell r="BH89">
            <v>8000</v>
          </cell>
          <cell r="BI89">
            <v>10000</v>
          </cell>
          <cell r="BJ89">
            <v>11000</v>
          </cell>
          <cell r="BK89">
            <v>12000</v>
          </cell>
          <cell r="BL89">
            <v>13000</v>
          </cell>
        </row>
        <row r="90">
          <cell r="B90">
            <v>18</v>
          </cell>
          <cell r="C90">
            <v>22000</v>
          </cell>
          <cell r="D90">
            <v>39000</v>
          </cell>
          <cell r="E90">
            <v>46000</v>
          </cell>
          <cell r="F90">
            <v>51000</v>
          </cell>
          <cell r="G90">
            <v>56000</v>
          </cell>
          <cell r="H90">
            <v>59000</v>
          </cell>
          <cell r="I90">
            <v>0</v>
          </cell>
          <cell r="J90">
            <v>18</v>
          </cell>
          <cell r="K90">
            <v>25000</v>
          </cell>
          <cell r="L90">
            <v>45000</v>
          </cell>
          <cell r="M90">
            <v>52000</v>
          </cell>
          <cell r="N90">
            <v>58000</v>
          </cell>
          <cell r="O90">
            <v>64000</v>
          </cell>
          <cell r="P90">
            <v>67000</v>
          </cell>
          <cell r="Q90">
            <v>0</v>
          </cell>
          <cell r="R90">
            <v>18</v>
          </cell>
          <cell r="S90">
            <v>50000</v>
          </cell>
          <cell r="T90">
            <v>89000</v>
          </cell>
          <cell r="U90">
            <v>105000</v>
          </cell>
          <cell r="V90">
            <v>116000</v>
          </cell>
          <cell r="W90">
            <v>127000</v>
          </cell>
          <cell r="X90">
            <v>134000</v>
          </cell>
          <cell r="Y90">
            <v>0</v>
          </cell>
          <cell r="Z90">
            <v>18</v>
          </cell>
          <cell r="AA90">
            <v>23000</v>
          </cell>
          <cell r="AB90">
            <v>40000</v>
          </cell>
          <cell r="AC90">
            <v>47000</v>
          </cell>
          <cell r="AD90">
            <v>52000</v>
          </cell>
          <cell r="AE90">
            <v>57000</v>
          </cell>
          <cell r="AF90">
            <v>60000</v>
          </cell>
          <cell r="AG90">
            <v>0</v>
          </cell>
          <cell r="AH90">
            <v>18</v>
          </cell>
          <cell r="AI90">
            <v>8000</v>
          </cell>
          <cell r="AJ90">
            <v>14000</v>
          </cell>
          <cell r="AK90">
            <v>17000</v>
          </cell>
          <cell r="AL90">
            <v>18000</v>
          </cell>
          <cell r="AM90">
            <v>20000</v>
          </cell>
          <cell r="AN90">
            <v>21000</v>
          </cell>
          <cell r="AO90">
            <v>0</v>
          </cell>
          <cell r="AP90">
            <v>18</v>
          </cell>
          <cell r="AQ90">
            <v>12000</v>
          </cell>
          <cell r="AR90">
            <v>21000</v>
          </cell>
          <cell r="AS90">
            <v>25000</v>
          </cell>
          <cell r="AT90">
            <v>28000</v>
          </cell>
          <cell r="AU90">
            <v>30000</v>
          </cell>
          <cell r="AV90">
            <v>32000</v>
          </cell>
          <cell r="AW90">
            <v>0</v>
          </cell>
          <cell r="AX90">
            <v>18</v>
          </cell>
          <cell r="AY90">
            <v>11000</v>
          </cell>
          <cell r="AZ90">
            <v>19000</v>
          </cell>
          <cell r="BA90">
            <v>22000</v>
          </cell>
          <cell r="BB90">
            <v>25000</v>
          </cell>
          <cell r="BC90">
            <v>27000</v>
          </cell>
          <cell r="BD90">
            <v>29000</v>
          </cell>
          <cell r="BE90">
            <v>0</v>
          </cell>
          <cell r="BF90">
            <v>18</v>
          </cell>
          <cell r="BG90">
            <v>5000</v>
          </cell>
          <cell r="BH90">
            <v>9000</v>
          </cell>
          <cell r="BI90">
            <v>11000</v>
          </cell>
          <cell r="BJ90">
            <v>12000</v>
          </cell>
          <cell r="BK90">
            <v>13000</v>
          </cell>
          <cell r="BL90">
            <v>14000</v>
          </cell>
        </row>
        <row r="91">
          <cell r="B91">
            <v>19</v>
          </cell>
          <cell r="C91">
            <v>24000</v>
          </cell>
          <cell r="D91">
            <v>43000</v>
          </cell>
          <cell r="E91">
            <v>50000</v>
          </cell>
          <cell r="F91">
            <v>56000</v>
          </cell>
          <cell r="G91">
            <v>61000</v>
          </cell>
          <cell r="H91">
            <v>64000</v>
          </cell>
          <cell r="I91">
            <v>0</v>
          </cell>
          <cell r="J91">
            <v>19</v>
          </cell>
          <cell r="K91">
            <v>28000</v>
          </cell>
          <cell r="L91">
            <v>49000</v>
          </cell>
          <cell r="M91">
            <v>57000</v>
          </cell>
          <cell r="N91">
            <v>64000</v>
          </cell>
          <cell r="O91">
            <v>70000</v>
          </cell>
          <cell r="P91">
            <v>74000</v>
          </cell>
          <cell r="Q91">
            <v>0</v>
          </cell>
          <cell r="R91">
            <v>19</v>
          </cell>
          <cell r="S91">
            <v>55000</v>
          </cell>
          <cell r="T91">
            <v>98000</v>
          </cell>
          <cell r="U91">
            <v>115000</v>
          </cell>
          <cell r="V91">
            <v>128000</v>
          </cell>
          <cell r="W91">
            <v>140000</v>
          </cell>
          <cell r="X91">
            <v>147000</v>
          </cell>
          <cell r="Y91">
            <v>0</v>
          </cell>
          <cell r="Z91">
            <v>19</v>
          </cell>
          <cell r="AA91">
            <v>25000</v>
          </cell>
          <cell r="AB91">
            <v>44000</v>
          </cell>
          <cell r="AC91">
            <v>52000</v>
          </cell>
          <cell r="AD91">
            <v>57000</v>
          </cell>
          <cell r="AE91">
            <v>63000</v>
          </cell>
          <cell r="AF91">
            <v>66000</v>
          </cell>
          <cell r="AG91">
            <v>0</v>
          </cell>
          <cell r="AH91">
            <v>19</v>
          </cell>
          <cell r="AI91">
            <v>9000</v>
          </cell>
          <cell r="AJ91">
            <v>16000</v>
          </cell>
          <cell r="AK91">
            <v>18000</v>
          </cell>
          <cell r="AL91">
            <v>20000</v>
          </cell>
          <cell r="AM91">
            <v>22000</v>
          </cell>
          <cell r="AN91">
            <v>23000</v>
          </cell>
          <cell r="AO91">
            <v>0</v>
          </cell>
          <cell r="AP91">
            <v>19</v>
          </cell>
          <cell r="AQ91">
            <v>13000</v>
          </cell>
          <cell r="AR91">
            <v>23000</v>
          </cell>
          <cell r="AS91">
            <v>27000</v>
          </cell>
          <cell r="AT91">
            <v>30000</v>
          </cell>
          <cell r="AU91">
            <v>33000</v>
          </cell>
          <cell r="AV91">
            <v>35000</v>
          </cell>
          <cell r="AW91">
            <v>0</v>
          </cell>
          <cell r="AX91">
            <v>19</v>
          </cell>
          <cell r="AY91">
            <v>12000</v>
          </cell>
          <cell r="AZ91">
            <v>21000</v>
          </cell>
          <cell r="BA91">
            <v>25000</v>
          </cell>
          <cell r="BB91">
            <v>27000</v>
          </cell>
          <cell r="BC91">
            <v>30000</v>
          </cell>
          <cell r="BD91">
            <v>31000</v>
          </cell>
          <cell r="BE91">
            <v>0</v>
          </cell>
          <cell r="BF91">
            <v>19</v>
          </cell>
          <cell r="BG91">
            <v>6000</v>
          </cell>
          <cell r="BH91">
            <v>10000</v>
          </cell>
          <cell r="BI91">
            <v>12000</v>
          </cell>
          <cell r="BJ91">
            <v>13000</v>
          </cell>
          <cell r="BK91">
            <v>14000</v>
          </cell>
          <cell r="BL91">
            <v>15000</v>
          </cell>
        </row>
        <row r="92">
          <cell r="B92">
            <v>20</v>
          </cell>
          <cell r="C92">
            <v>26000</v>
          </cell>
          <cell r="D92">
            <v>47000</v>
          </cell>
          <cell r="E92">
            <v>55000</v>
          </cell>
          <cell r="F92">
            <v>61000</v>
          </cell>
          <cell r="G92">
            <v>67000</v>
          </cell>
          <cell r="H92">
            <v>71000</v>
          </cell>
          <cell r="I92">
            <v>0</v>
          </cell>
          <cell r="J92">
            <v>20</v>
          </cell>
          <cell r="K92">
            <v>30000</v>
          </cell>
          <cell r="L92">
            <v>54000</v>
          </cell>
          <cell r="M92">
            <v>63000</v>
          </cell>
          <cell r="N92">
            <v>70000</v>
          </cell>
          <cell r="O92">
            <v>77000</v>
          </cell>
          <cell r="P92">
            <v>81000</v>
          </cell>
          <cell r="Q92">
            <v>0</v>
          </cell>
          <cell r="R92">
            <v>20</v>
          </cell>
          <cell r="S92">
            <v>61000</v>
          </cell>
          <cell r="T92">
            <v>108000</v>
          </cell>
          <cell r="U92">
            <v>126000</v>
          </cell>
          <cell r="V92">
            <v>140000</v>
          </cell>
          <cell r="W92">
            <v>154000</v>
          </cell>
          <cell r="X92">
            <v>162000</v>
          </cell>
          <cell r="Y92">
            <v>0</v>
          </cell>
          <cell r="Z92">
            <v>20</v>
          </cell>
          <cell r="AA92">
            <v>27000</v>
          </cell>
          <cell r="AB92">
            <v>49000</v>
          </cell>
          <cell r="AC92">
            <v>57000</v>
          </cell>
          <cell r="AD92">
            <v>63000</v>
          </cell>
          <cell r="AE92">
            <v>69000</v>
          </cell>
          <cell r="AF92">
            <v>73000</v>
          </cell>
          <cell r="AG92">
            <v>0</v>
          </cell>
          <cell r="AH92">
            <v>20</v>
          </cell>
          <cell r="AI92">
            <v>10000</v>
          </cell>
          <cell r="AJ92">
            <v>17000</v>
          </cell>
          <cell r="AK92">
            <v>20000</v>
          </cell>
          <cell r="AL92">
            <v>22000</v>
          </cell>
          <cell r="AM92">
            <v>24000</v>
          </cell>
          <cell r="AN92">
            <v>26000</v>
          </cell>
          <cell r="AO92">
            <v>0</v>
          </cell>
          <cell r="AP92">
            <v>20</v>
          </cell>
          <cell r="AQ92">
            <v>14000</v>
          </cell>
          <cell r="AR92">
            <v>26000</v>
          </cell>
          <cell r="AS92">
            <v>30000</v>
          </cell>
          <cell r="AT92">
            <v>33000</v>
          </cell>
          <cell r="AU92">
            <v>37000</v>
          </cell>
          <cell r="AV92">
            <v>38000</v>
          </cell>
          <cell r="AW92">
            <v>0</v>
          </cell>
          <cell r="AX92">
            <v>20</v>
          </cell>
          <cell r="AY92">
            <v>13000</v>
          </cell>
          <cell r="AZ92">
            <v>23000</v>
          </cell>
          <cell r="BA92">
            <v>27000</v>
          </cell>
          <cell r="BB92">
            <v>30000</v>
          </cell>
          <cell r="BC92">
            <v>33000</v>
          </cell>
          <cell r="BD92">
            <v>35000</v>
          </cell>
          <cell r="BE92">
            <v>0</v>
          </cell>
          <cell r="BF92">
            <v>20</v>
          </cell>
          <cell r="BG92">
            <v>6000</v>
          </cell>
          <cell r="BH92">
            <v>11000</v>
          </cell>
          <cell r="BI92">
            <v>13000</v>
          </cell>
          <cell r="BJ92">
            <v>14000</v>
          </cell>
          <cell r="BK92">
            <v>16000</v>
          </cell>
          <cell r="BL92">
            <v>17000</v>
          </cell>
        </row>
        <row r="93">
          <cell r="B93">
            <v>21</v>
          </cell>
          <cell r="C93">
            <v>29000</v>
          </cell>
          <cell r="D93">
            <v>52000</v>
          </cell>
          <cell r="E93">
            <v>61000</v>
          </cell>
          <cell r="F93">
            <v>68000</v>
          </cell>
          <cell r="G93">
            <v>74000</v>
          </cell>
          <cell r="H93">
            <v>78000</v>
          </cell>
          <cell r="I93">
            <v>0</v>
          </cell>
          <cell r="J93">
            <v>21</v>
          </cell>
          <cell r="K93">
            <v>33000</v>
          </cell>
          <cell r="L93">
            <v>59000</v>
          </cell>
          <cell r="M93">
            <v>69000</v>
          </cell>
          <cell r="N93">
            <v>77000</v>
          </cell>
          <cell r="O93">
            <v>85000</v>
          </cell>
          <cell r="P93">
            <v>89000</v>
          </cell>
          <cell r="Q93">
            <v>0</v>
          </cell>
          <cell r="R93">
            <v>21</v>
          </cell>
          <cell r="S93">
            <v>67000</v>
          </cell>
          <cell r="T93">
            <v>119000</v>
          </cell>
          <cell r="U93">
            <v>139000</v>
          </cell>
          <cell r="V93">
            <v>155000</v>
          </cell>
          <cell r="W93">
            <v>169000</v>
          </cell>
          <cell r="X93">
            <v>178000</v>
          </cell>
          <cell r="Y93">
            <v>0</v>
          </cell>
          <cell r="Z93">
            <v>21</v>
          </cell>
          <cell r="AA93">
            <v>30000</v>
          </cell>
          <cell r="AB93">
            <v>54000</v>
          </cell>
          <cell r="AC93">
            <v>63000</v>
          </cell>
          <cell r="AD93">
            <v>69000</v>
          </cell>
          <cell r="AE93">
            <v>76000</v>
          </cell>
          <cell r="AF93">
            <v>80000</v>
          </cell>
          <cell r="AG93">
            <v>0</v>
          </cell>
          <cell r="AH93">
            <v>21</v>
          </cell>
          <cell r="AI93">
            <v>11000</v>
          </cell>
          <cell r="AJ93">
            <v>19000</v>
          </cell>
          <cell r="AK93">
            <v>22000</v>
          </cell>
          <cell r="AL93">
            <v>25000</v>
          </cell>
          <cell r="AM93">
            <v>27000</v>
          </cell>
          <cell r="AN93">
            <v>28000</v>
          </cell>
          <cell r="AO93">
            <v>0</v>
          </cell>
          <cell r="AP93">
            <v>21</v>
          </cell>
          <cell r="AQ93">
            <v>16000</v>
          </cell>
          <cell r="AR93">
            <v>28000</v>
          </cell>
          <cell r="AS93">
            <v>33000</v>
          </cell>
          <cell r="AT93">
            <v>37000</v>
          </cell>
          <cell r="AU93">
            <v>40000</v>
          </cell>
          <cell r="AV93">
            <v>42000</v>
          </cell>
          <cell r="AW93">
            <v>0</v>
          </cell>
          <cell r="AX93">
            <v>21</v>
          </cell>
          <cell r="AY93">
            <v>14000</v>
          </cell>
          <cell r="AZ93">
            <v>25000</v>
          </cell>
          <cell r="BA93">
            <v>30000</v>
          </cell>
          <cell r="BB93">
            <v>33000</v>
          </cell>
          <cell r="BC93">
            <v>36000</v>
          </cell>
          <cell r="BD93">
            <v>38000</v>
          </cell>
          <cell r="BE93">
            <v>0</v>
          </cell>
          <cell r="BF93">
            <v>21</v>
          </cell>
          <cell r="BG93">
            <v>7000</v>
          </cell>
          <cell r="BH93">
            <v>12000</v>
          </cell>
          <cell r="BI93">
            <v>14000</v>
          </cell>
          <cell r="BJ93">
            <v>16000</v>
          </cell>
          <cell r="BK93">
            <v>17000</v>
          </cell>
          <cell r="BL93">
            <v>18000</v>
          </cell>
        </row>
        <row r="94">
          <cell r="B94">
            <v>22</v>
          </cell>
          <cell r="C94">
            <v>32000</v>
          </cell>
          <cell r="D94">
            <v>57000</v>
          </cell>
          <cell r="E94">
            <v>67000</v>
          </cell>
          <cell r="F94">
            <v>74000</v>
          </cell>
          <cell r="G94">
            <v>81000</v>
          </cell>
          <cell r="H94">
            <v>86000</v>
          </cell>
          <cell r="I94">
            <v>0</v>
          </cell>
          <cell r="J94">
            <v>22</v>
          </cell>
          <cell r="K94">
            <v>37000</v>
          </cell>
          <cell r="L94">
            <v>65000</v>
          </cell>
          <cell r="M94">
            <v>76000</v>
          </cell>
          <cell r="N94">
            <v>85000</v>
          </cell>
          <cell r="O94">
            <v>93000</v>
          </cell>
          <cell r="P94">
            <v>98000</v>
          </cell>
          <cell r="Q94">
            <v>0</v>
          </cell>
          <cell r="R94">
            <v>22</v>
          </cell>
          <cell r="S94">
            <v>74000</v>
          </cell>
          <cell r="T94">
            <v>131000</v>
          </cell>
          <cell r="U94">
            <v>153000</v>
          </cell>
          <cell r="V94">
            <v>170000</v>
          </cell>
          <cell r="W94">
            <v>186000</v>
          </cell>
          <cell r="X94">
            <v>196000</v>
          </cell>
          <cell r="Y94">
            <v>0</v>
          </cell>
          <cell r="Z94">
            <v>22</v>
          </cell>
          <cell r="AA94">
            <v>33000</v>
          </cell>
          <cell r="AB94">
            <v>59000</v>
          </cell>
          <cell r="AC94">
            <v>69000</v>
          </cell>
          <cell r="AD94">
            <v>76000</v>
          </cell>
          <cell r="AE94">
            <v>84000</v>
          </cell>
          <cell r="AF94">
            <v>88000</v>
          </cell>
          <cell r="AG94">
            <v>0</v>
          </cell>
          <cell r="AH94">
            <v>22</v>
          </cell>
          <cell r="AI94">
            <v>12000</v>
          </cell>
          <cell r="AJ94">
            <v>21000</v>
          </cell>
          <cell r="AK94">
            <v>24000</v>
          </cell>
          <cell r="AL94">
            <v>27000</v>
          </cell>
          <cell r="AM94">
            <v>30000</v>
          </cell>
          <cell r="AN94">
            <v>31000</v>
          </cell>
          <cell r="AO94">
            <v>0</v>
          </cell>
          <cell r="AP94">
            <v>22</v>
          </cell>
          <cell r="AQ94">
            <v>17000</v>
          </cell>
          <cell r="AR94">
            <v>31000</v>
          </cell>
          <cell r="AS94">
            <v>36000</v>
          </cell>
          <cell r="AT94">
            <v>40000</v>
          </cell>
          <cell r="AU94">
            <v>44000</v>
          </cell>
          <cell r="AV94">
            <v>46000</v>
          </cell>
          <cell r="AW94">
            <v>0</v>
          </cell>
          <cell r="AX94">
            <v>22</v>
          </cell>
          <cell r="AY94">
            <v>16000</v>
          </cell>
          <cell r="AZ94">
            <v>28000</v>
          </cell>
          <cell r="BA94">
            <v>33000</v>
          </cell>
          <cell r="BB94">
            <v>36000</v>
          </cell>
          <cell r="BC94">
            <v>40000</v>
          </cell>
          <cell r="BD94">
            <v>42000</v>
          </cell>
          <cell r="BE94">
            <v>0</v>
          </cell>
          <cell r="BF94">
            <v>22</v>
          </cell>
          <cell r="BG94">
            <v>8000</v>
          </cell>
          <cell r="BH94">
            <v>13000</v>
          </cell>
          <cell r="BI94">
            <v>16000</v>
          </cell>
          <cell r="BJ94">
            <v>17000</v>
          </cell>
          <cell r="BK94">
            <v>19000</v>
          </cell>
          <cell r="BL94">
            <v>20000</v>
          </cell>
        </row>
        <row r="95">
          <cell r="B95">
            <v>23</v>
          </cell>
          <cell r="C95">
            <v>35000</v>
          </cell>
          <cell r="D95">
            <v>63000</v>
          </cell>
          <cell r="E95">
            <v>73000</v>
          </cell>
          <cell r="F95">
            <v>81000</v>
          </cell>
          <cell r="G95">
            <v>89000</v>
          </cell>
          <cell r="H95">
            <v>94000</v>
          </cell>
          <cell r="I95">
            <v>0</v>
          </cell>
          <cell r="J95">
            <v>23</v>
          </cell>
          <cell r="K95">
            <v>40000</v>
          </cell>
          <cell r="L95">
            <v>72000</v>
          </cell>
          <cell r="M95">
            <v>84000</v>
          </cell>
          <cell r="N95">
            <v>93000</v>
          </cell>
          <cell r="O95">
            <v>102000</v>
          </cell>
          <cell r="P95">
            <v>108000</v>
          </cell>
          <cell r="Q95">
            <v>0</v>
          </cell>
          <cell r="R95">
            <v>23</v>
          </cell>
          <cell r="S95">
            <v>81000</v>
          </cell>
          <cell r="T95">
            <v>144000</v>
          </cell>
          <cell r="U95">
            <v>168000</v>
          </cell>
          <cell r="V95">
            <v>187000</v>
          </cell>
          <cell r="W95">
            <v>205000</v>
          </cell>
          <cell r="X95">
            <v>216000</v>
          </cell>
          <cell r="Y95">
            <v>0</v>
          </cell>
          <cell r="Z95">
            <v>23</v>
          </cell>
          <cell r="AA95">
            <v>36000</v>
          </cell>
          <cell r="AB95">
            <v>65000</v>
          </cell>
          <cell r="AC95">
            <v>76000</v>
          </cell>
          <cell r="AD95">
            <v>84000</v>
          </cell>
          <cell r="AE95">
            <v>92000</v>
          </cell>
          <cell r="AF95">
            <v>97000</v>
          </cell>
          <cell r="AG95">
            <v>0</v>
          </cell>
          <cell r="AH95">
            <v>23</v>
          </cell>
          <cell r="AI95">
            <v>13000</v>
          </cell>
          <cell r="AJ95">
            <v>23000</v>
          </cell>
          <cell r="AK95">
            <v>27000</v>
          </cell>
          <cell r="AL95">
            <v>30000</v>
          </cell>
          <cell r="AM95">
            <v>33000</v>
          </cell>
          <cell r="AN95">
            <v>34000</v>
          </cell>
          <cell r="AO95">
            <v>0</v>
          </cell>
          <cell r="AP95">
            <v>23</v>
          </cell>
          <cell r="AQ95">
            <v>19000</v>
          </cell>
          <cell r="AR95">
            <v>34000</v>
          </cell>
          <cell r="AS95">
            <v>40000</v>
          </cell>
          <cell r="AT95">
            <v>44000</v>
          </cell>
          <cell r="AU95">
            <v>49000</v>
          </cell>
          <cell r="AV95">
            <v>51000</v>
          </cell>
          <cell r="AW95">
            <v>0</v>
          </cell>
          <cell r="AX95">
            <v>23</v>
          </cell>
          <cell r="AY95">
            <v>17000</v>
          </cell>
          <cell r="AZ95">
            <v>31000</v>
          </cell>
          <cell r="BA95">
            <v>36000</v>
          </cell>
          <cell r="BB95">
            <v>40000</v>
          </cell>
          <cell r="BC95">
            <v>44000</v>
          </cell>
          <cell r="BD95">
            <v>46000</v>
          </cell>
          <cell r="BE95">
            <v>0</v>
          </cell>
          <cell r="BF95">
            <v>23</v>
          </cell>
          <cell r="BG95">
            <v>8000</v>
          </cell>
          <cell r="BH95">
            <v>15000</v>
          </cell>
          <cell r="BI95">
            <v>17000</v>
          </cell>
          <cell r="BJ95">
            <v>19000</v>
          </cell>
          <cell r="BK95">
            <v>21000</v>
          </cell>
          <cell r="BL95">
            <v>22000</v>
          </cell>
        </row>
        <row r="96">
          <cell r="B96">
            <v>24</v>
          </cell>
          <cell r="C96">
            <v>39000</v>
          </cell>
          <cell r="D96">
            <v>69000</v>
          </cell>
          <cell r="E96">
            <v>81000</v>
          </cell>
          <cell r="F96">
            <v>90000</v>
          </cell>
          <cell r="G96">
            <v>98000</v>
          </cell>
          <cell r="H96">
            <v>103000</v>
          </cell>
          <cell r="I96">
            <v>0</v>
          </cell>
          <cell r="J96">
            <v>24</v>
          </cell>
          <cell r="K96">
            <v>44000</v>
          </cell>
          <cell r="L96">
            <v>79000</v>
          </cell>
          <cell r="M96">
            <v>92000</v>
          </cell>
          <cell r="N96">
            <v>103000</v>
          </cell>
          <cell r="O96">
            <v>113000</v>
          </cell>
          <cell r="P96">
            <v>119000</v>
          </cell>
          <cell r="Q96">
            <v>0</v>
          </cell>
          <cell r="R96">
            <v>24</v>
          </cell>
          <cell r="S96">
            <v>89000</v>
          </cell>
          <cell r="T96">
            <v>158000</v>
          </cell>
          <cell r="U96">
            <v>185000</v>
          </cell>
          <cell r="V96">
            <v>206000</v>
          </cell>
          <cell r="W96">
            <v>225000</v>
          </cell>
          <cell r="X96">
            <v>237000</v>
          </cell>
          <cell r="Y96">
            <v>0</v>
          </cell>
          <cell r="Z96">
            <v>24</v>
          </cell>
          <cell r="AA96">
            <v>40000</v>
          </cell>
          <cell r="AB96">
            <v>71000</v>
          </cell>
          <cell r="AC96">
            <v>83000</v>
          </cell>
          <cell r="AD96">
            <v>93000</v>
          </cell>
          <cell r="AE96">
            <v>102000</v>
          </cell>
          <cell r="AF96">
            <v>107000</v>
          </cell>
          <cell r="AG96">
            <v>0</v>
          </cell>
          <cell r="AH96">
            <v>24</v>
          </cell>
          <cell r="AI96">
            <v>14000</v>
          </cell>
          <cell r="AJ96">
            <v>25000</v>
          </cell>
          <cell r="AK96">
            <v>29000</v>
          </cell>
          <cell r="AL96">
            <v>33000</v>
          </cell>
          <cell r="AM96">
            <v>36000</v>
          </cell>
          <cell r="AN96">
            <v>38000</v>
          </cell>
          <cell r="AO96">
            <v>0</v>
          </cell>
          <cell r="AP96">
            <v>24</v>
          </cell>
          <cell r="AQ96">
            <v>21000</v>
          </cell>
          <cell r="AR96">
            <v>37000</v>
          </cell>
          <cell r="AS96">
            <v>44000</v>
          </cell>
          <cell r="AT96">
            <v>49000</v>
          </cell>
          <cell r="AU96">
            <v>53000</v>
          </cell>
          <cell r="AV96">
            <v>56000</v>
          </cell>
          <cell r="AW96">
            <v>0</v>
          </cell>
          <cell r="AX96">
            <v>24</v>
          </cell>
          <cell r="AY96">
            <v>19000</v>
          </cell>
          <cell r="AZ96">
            <v>34000</v>
          </cell>
          <cell r="BA96">
            <v>39000</v>
          </cell>
          <cell r="BB96">
            <v>44000</v>
          </cell>
          <cell r="BC96">
            <v>48000</v>
          </cell>
          <cell r="BD96">
            <v>51000</v>
          </cell>
          <cell r="BE96">
            <v>0</v>
          </cell>
          <cell r="BF96">
            <v>24</v>
          </cell>
          <cell r="BG96">
            <v>9000</v>
          </cell>
          <cell r="BH96">
            <v>16000</v>
          </cell>
          <cell r="BI96">
            <v>19000</v>
          </cell>
          <cell r="BJ96">
            <v>21000</v>
          </cell>
          <cell r="BK96">
            <v>23000</v>
          </cell>
          <cell r="BL96">
            <v>24000</v>
          </cell>
        </row>
        <row r="97">
          <cell r="B97">
            <v>25</v>
          </cell>
          <cell r="C97">
            <v>43000</v>
          </cell>
          <cell r="D97">
            <v>76000</v>
          </cell>
          <cell r="E97">
            <v>89000</v>
          </cell>
          <cell r="F97">
            <v>99000</v>
          </cell>
          <cell r="G97">
            <v>108000</v>
          </cell>
          <cell r="H97">
            <v>114000</v>
          </cell>
          <cell r="I97">
            <v>0</v>
          </cell>
          <cell r="J97">
            <v>25</v>
          </cell>
          <cell r="K97">
            <v>49000</v>
          </cell>
          <cell r="L97">
            <v>87000</v>
          </cell>
          <cell r="M97">
            <v>102000</v>
          </cell>
          <cell r="N97">
            <v>113000</v>
          </cell>
          <cell r="O97">
            <v>124000</v>
          </cell>
          <cell r="P97">
            <v>130000</v>
          </cell>
          <cell r="Q97">
            <v>0</v>
          </cell>
          <cell r="R97">
            <v>25</v>
          </cell>
          <cell r="S97">
            <v>98000</v>
          </cell>
          <cell r="T97">
            <v>174000</v>
          </cell>
          <cell r="U97">
            <v>204000</v>
          </cell>
          <cell r="V97">
            <v>226000</v>
          </cell>
          <cell r="W97">
            <v>248000</v>
          </cell>
          <cell r="X97">
            <v>261000</v>
          </cell>
          <cell r="Y97">
            <v>0</v>
          </cell>
          <cell r="Z97">
            <v>25</v>
          </cell>
          <cell r="AA97">
            <v>44000</v>
          </cell>
          <cell r="AB97">
            <v>78000</v>
          </cell>
          <cell r="AC97">
            <v>92000</v>
          </cell>
          <cell r="AD97">
            <v>102000</v>
          </cell>
          <cell r="AE97">
            <v>112000</v>
          </cell>
          <cell r="AF97">
            <v>117000</v>
          </cell>
          <cell r="AG97">
            <v>0</v>
          </cell>
          <cell r="AH97">
            <v>25</v>
          </cell>
          <cell r="AI97">
            <v>16000</v>
          </cell>
          <cell r="AJ97">
            <v>28000</v>
          </cell>
          <cell r="AK97">
            <v>32000</v>
          </cell>
          <cell r="AL97">
            <v>36000</v>
          </cell>
          <cell r="AM97">
            <v>39000</v>
          </cell>
          <cell r="AN97">
            <v>41000</v>
          </cell>
          <cell r="AO97">
            <v>0</v>
          </cell>
          <cell r="AP97">
            <v>25</v>
          </cell>
          <cell r="AQ97">
            <v>23000</v>
          </cell>
          <cell r="AR97">
            <v>41000</v>
          </cell>
          <cell r="AS97">
            <v>48000</v>
          </cell>
          <cell r="AT97">
            <v>54000</v>
          </cell>
          <cell r="AU97">
            <v>59000</v>
          </cell>
          <cell r="AV97">
            <v>62000</v>
          </cell>
          <cell r="AW97">
            <v>0</v>
          </cell>
          <cell r="AX97">
            <v>25</v>
          </cell>
          <cell r="AY97">
            <v>21000</v>
          </cell>
          <cell r="AZ97">
            <v>37000</v>
          </cell>
          <cell r="BA97">
            <v>43000</v>
          </cell>
          <cell r="BB97">
            <v>48000</v>
          </cell>
          <cell r="BC97">
            <v>53000</v>
          </cell>
          <cell r="BD97">
            <v>56000</v>
          </cell>
          <cell r="BE97">
            <v>0</v>
          </cell>
          <cell r="BF97">
            <v>25</v>
          </cell>
          <cell r="BG97">
            <v>10000</v>
          </cell>
          <cell r="BH97">
            <v>18000</v>
          </cell>
          <cell r="BI97">
            <v>21000</v>
          </cell>
          <cell r="BJ97">
            <v>23000</v>
          </cell>
          <cell r="BK97">
            <v>25000</v>
          </cell>
          <cell r="BL97">
            <v>27000</v>
          </cell>
        </row>
        <row r="98">
          <cell r="B98">
            <v>26</v>
          </cell>
          <cell r="C98">
            <v>47000</v>
          </cell>
          <cell r="D98">
            <v>84000</v>
          </cell>
          <cell r="E98">
            <v>98000</v>
          </cell>
          <cell r="F98">
            <v>109000</v>
          </cell>
          <cell r="G98">
            <v>119000</v>
          </cell>
          <cell r="H98">
            <v>125000</v>
          </cell>
          <cell r="I98">
            <v>0</v>
          </cell>
          <cell r="J98">
            <v>26</v>
          </cell>
          <cell r="K98">
            <v>54000</v>
          </cell>
          <cell r="L98">
            <v>96000</v>
          </cell>
          <cell r="M98">
            <v>112000</v>
          </cell>
          <cell r="N98">
            <v>124000</v>
          </cell>
          <cell r="O98">
            <v>136000</v>
          </cell>
          <cell r="P98">
            <v>143000</v>
          </cell>
          <cell r="Q98">
            <v>0</v>
          </cell>
          <cell r="R98">
            <v>26</v>
          </cell>
          <cell r="S98">
            <v>108000</v>
          </cell>
          <cell r="T98">
            <v>191000</v>
          </cell>
          <cell r="U98">
            <v>224000</v>
          </cell>
          <cell r="V98">
            <v>249000</v>
          </cell>
          <cell r="W98">
            <v>273000</v>
          </cell>
          <cell r="X98">
            <v>287000</v>
          </cell>
          <cell r="Y98">
            <v>0</v>
          </cell>
          <cell r="Z98">
            <v>26</v>
          </cell>
          <cell r="AA98">
            <v>49000</v>
          </cell>
          <cell r="AB98">
            <v>86000</v>
          </cell>
          <cell r="AC98">
            <v>101000</v>
          </cell>
          <cell r="AD98">
            <v>112000</v>
          </cell>
          <cell r="AE98">
            <v>123000</v>
          </cell>
          <cell r="AF98">
            <v>129000</v>
          </cell>
          <cell r="AG98">
            <v>0</v>
          </cell>
          <cell r="AH98">
            <v>26</v>
          </cell>
          <cell r="AI98">
            <v>17000</v>
          </cell>
          <cell r="AJ98">
            <v>30000</v>
          </cell>
          <cell r="AK98">
            <v>36000</v>
          </cell>
          <cell r="AL98">
            <v>40000</v>
          </cell>
          <cell r="AM98">
            <v>43000</v>
          </cell>
          <cell r="AN98">
            <v>46000</v>
          </cell>
          <cell r="AO98">
            <v>0</v>
          </cell>
          <cell r="AP98">
            <v>26</v>
          </cell>
          <cell r="AQ98">
            <v>26000</v>
          </cell>
          <cell r="AR98">
            <v>45000</v>
          </cell>
          <cell r="AS98">
            <v>53000</v>
          </cell>
          <cell r="AT98">
            <v>59000</v>
          </cell>
          <cell r="AU98">
            <v>65000</v>
          </cell>
          <cell r="AV98">
            <v>68000</v>
          </cell>
          <cell r="AW98">
            <v>0</v>
          </cell>
          <cell r="AX98">
            <v>26</v>
          </cell>
          <cell r="AY98">
            <v>23000</v>
          </cell>
          <cell r="AZ98">
            <v>41000</v>
          </cell>
          <cell r="BA98">
            <v>48000</v>
          </cell>
          <cell r="BB98">
            <v>53000</v>
          </cell>
          <cell r="BC98">
            <v>58000</v>
          </cell>
          <cell r="BD98">
            <v>61000</v>
          </cell>
          <cell r="BE98">
            <v>0</v>
          </cell>
          <cell r="BF98">
            <v>26</v>
          </cell>
          <cell r="BG98">
            <v>11000</v>
          </cell>
          <cell r="BH98">
            <v>20000</v>
          </cell>
          <cell r="BI98">
            <v>23000</v>
          </cell>
          <cell r="BJ98">
            <v>25000</v>
          </cell>
          <cell r="BK98">
            <v>28000</v>
          </cell>
          <cell r="BL98">
            <v>29000</v>
          </cell>
        </row>
        <row r="99">
          <cell r="B99">
            <v>27</v>
          </cell>
          <cell r="C99">
            <v>52000</v>
          </cell>
          <cell r="D99">
            <v>92000</v>
          </cell>
          <cell r="E99">
            <v>107000</v>
          </cell>
          <cell r="F99">
            <v>119000</v>
          </cell>
          <cell r="G99">
            <v>131000</v>
          </cell>
          <cell r="H99">
            <v>138000</v>
          </cell>
          <cell r="I99">
            <v>0</v>
          </cell>
          <cell r="J99">
            <v>27</v>
          </cell>
          <cell r="K99">
            <v>59000</v>
          </cell>
          <cell r="L99">
            <v>105000</v>
          </cell>
          <cell r="M99">
            <v>123000</v>
          </cell>
          <cell r="N99">
            <v>137000</v>
          </cell>
          <cell r="O99">
            <v>150000</v>
          </cell>
          <cell r="P99">
            <v>158000</v>
          </cell>
          <cell r="Q99">
            <v>0</v>
          </cell>
          <cell r="R99">
            <v>27</v>
          </cell>
          <cell r="S99">
            <v>118000</v>
          </cell>
          <cell r="T99">
            <v>210000</v>
          </cell>
          <cell r="U99">
            <v>246000</v>
          </cell>
          <cell r="V99">
            <v>274000</v>
          </cell>
          <cell r="W99">
            <v>300000</v>
          </cell>
          <cell r="X99">
            <v>316000</v>
          </cell>
          <cell r="Y99">
            <v>0</v>
          </cell>
          <cell r="Z99">
            <v>27</v>
          </cell>
          <cell r="AA99">
            <v>53000</v>
          </cell>
          <cell r="AB99">
            <v>95000</v>
          </cell>
          <cell r="AC99">
            <v>111000</v>
          </cell>
          <cell r="AD99">
            <v>123000</v>
          </cell>
          <cell r="AE99">
            <v>135000</v>
          </cell>
          <cell r="AF99">
            <v>142000</v>
          </cell>
          <cell r="AG99">
            <v>0</v>
          </cell>
          <cell r="AH99">
            <v>27</v>
          </cell>
          <cell r="AI99">
            <v>19000</v>
          </cell>
          <cell r="AJ99">
            <v>33000</v>
          </cell>
          <cell r="AK99">
            <v>39000</v>
          </cell>
          <cell r="AL99">
            <v>44000</v>
          </cell>
          <cell r="AM99">
            <v>48000</v>
          </cell>
          <cell r="AN99">
            <v>50000</v>
          </cell>
          <cell r="AO99">
            <v>0</v>
          </cell>
          <cell r="AP99">
            <v>27</v>
          </cell>
          <cell r="AQ99">
            <v>28000</v>
          </cell>
          <cell r="AR99">
            <v>50000</v>
          </cell>
          <cell r="AS99">
            <v>58000</v>
          </cell>
          <cell r="AT99">
            <v>65000</v>
          </cell>
          <cell r="AU99">
            <v>71000</v>
          </cell>
          <cell r="AV99">
            <v>75000</v>
          </cell>
          <cell r="AW99">
            <v>0</v>
          </cell>
          <cell r="AX99">
            <v>27</v>
          </cell>
          <cell r="AY99">
            <v>25000</v>
          </cell>
          <cell r="AZ99">
            <v>45000</v>
          </cell>
          <cell r="BA99">
            <v>52000</v>
          </cell>
          <cell r="BB99">
            <v>58000</v>
          </cell>
          <cell r="BC99">
            <v>64000</v>
          </cell>
          <cell r="BD99">
            <v>67000</v>
          </cell>
          <cell r="BE99">
            <v>0</v>
          </cell>
          <cell r="BF99">
            <v>27</v>
          </cell>
          <cell r="BG99">
            <v>12000</v>
          </cell>
          <cell r="BH99">
            <v>22000</v>
          </cell>
          <cell r="BI99">
            <v>25000</v>
          </cell>
          <cell r="BJ99">
            <v>28000</v>
          </cell>
          <cell r="BK99">
            <v>31000</v>
          </cell>
          <cell r="BL99">
            <v>32000</v>
          </cell>
        </row>
        <row r="100">
          <cell r="B100">
            <v>28</v>
          </cell>
          <cell r="C100">
            <v>57000</v>
          </cell>
          <cell r="D100">
            <v>101000</v>
          </cell>
          <cell r="E100">
            <v>118000</v>
          </cell>
          <cell r="F100">
            <v>131000</v>
          </cell>
          <cell r="G100">
            <v>144000</v>
          </cell>
          <cell r="H100">
            <v>152000</v>
          </cell>
          <cell r="I100">
            <v>0</v>
          </cell>
          <cell r="J100">
            <v>28</v>
          </cell>
          <cell r="K100">
            <v>65000</v>
          </cell>
          <cell r="L100">
            <v>116000</v>
          </cell>
          <cell r="M100">
            <v>135000</v>
          </cell>
          <cell r="N100">
            <v>150000</v>
          </cell>
          <cell r="O100">
            <v>165000</v>
          </cell>
          <cell r="P100">
            <v>174000</v>
          </cell>
          <cell r="Q100">
            <v>0</v>
          </cell>
          <cell r="R100">
            <v>28</v>
          </cell>
          <cell r="S100">
            <v>130000</v>
          </cell>
          <cell r="T100">
            <v>232000</v>
          </cell>
          <cell r="U100">
            <v>271000</v>
          </cell>
          <cell r="V100">
            <v>301000</v>
          </cell>
          <cell r="W100">
            <v>330000</v>
          </cell>
          <cell r="X100">
            <v>347000</v>
          </cell>
          <cell r="Y100">
            <v>0</v>
          </cell>
          <cell r="Z100">
            <v>28</v>
          </cell>
          <cell r="AA100">
            <v>59000</v>
          </cell>
          <cell r="AB100">
            <v>104000</v>
          </cell>
          <cell r="AC100">
            <v>122000</v>
          </cell>
          <cell r="AD100">
            <v>136000</v>
          </cell>
          <cell r="AE100">
            <v>149000</v>
          </cell>
          <cell r="AF100">
            <v>156000</v>
          </cell>
          <cell r="AG100">
            <v>0</v>
          </cell>
          <cell r="AH100">
            <v>28</v>
          </cell>
          <cell r="AI100">
            <v>21000</v>
          </cell>
          <cell r="AJ100">
            <v>37000</v>
          </cell>
          <cell r="AK100">
            <v>43000</v>
          </cell>
          <cell r="AL100">
            <v>48000</v>
          </cell>
          <cell r="AM100">
            <v>52000</v>
          </cell>
          <cell r="AN100">
            <v>55000</v>
          </cell>
          <cell r="AO100">
            <v>0</v>
          </cell>
          <cell r="AP100">
            <v>28</v>
          </cell>
          <cell r="AQ100">
            <v>31000</v>
          </cell>
          <cell r="AR100">
            <v>55000</v>
          </cell>
          <cell r="AS100">
            <v>64000</v>
          </cell>
          <cell r="AT100">
            <v>71000</v>
          </cell>
          <cell r="AU100">
            <v>78000</v>
          </cell>
          <cell r="AV100">
            <v>82000</v>
          </cell>
          <cell r="AW100">
            <v>0</v>
          </cell>
          <cell r="AX100">
            <v>28</v>
          </cell>
          <cell r="AY100">
            <v>28000</v>
          </cell>
          <cell r="AZ100">
            <v>49000</v>
          </cell>
          <cell r="BA100">
            <v>58000</v>
          </cell>
          <cell r="BB100">
            <v>64000</v>
          </cell>
          <cell r="BC100">
            <v>70000</v>
          </cell>
          <cell r="BD100">
            <v>74000</v>
          </cell>
          <cell r="BE100">
            <v>0</v>
          </cell>
          <cell r="BF100">
            <v>28</v>
          </cell>
          <cell r="BG100">
            <v>13000</v>
          </cell>
          <cell r="BH100">
            <v>24000</v>
          </cell>
          <cell r="BI100">
            <v>28000</v>
          </cell>
          <cell r="BJ100">
            <v>31000</v>
          </cell>
          <cell r="BK100">
            <v>34000</v>
          </cell>
          <cell r="BL100">
            <v>36000</v>
          </cell>
        </row>
        <row r="101">
          <cell r="B101">
            <v>29</v>
          </cell>
          <cell r="C101">
            <v>62000</v>
          </cell>
          <cell r="D101">
            <v>111000</v>
          </cell>
          <cell r="E101">
            <v>130000</v>
          </cell>
          <cell r="F101">
            <v>144000</v>
          </cell>
          <cell r="G101">
            <v>158000</v>
          </cell>
          <cell r="H101">
            <v>167000</v>
          </cell>
          <cell r="I101">
            <v>0</v>
          </cell>
          <cell r="J101">
            <v>29</v>
          </cell>
          <cell r="K101">
            <v>72000</v>
          </cell>
          <cell r="L101">
            <v>127000</v>
          </cell>
          <cell r="M101">
            <v>149000</v>
          </cell>
          <cell r="N101">
            <v>165000</v>
          </cell>
          <cell r="O101">
            <v>181000</v>
          </cell>
          <cell r="P101">
            <v>191000</v>
          </cell>
          <cell r="Q101">
            <v>0</v>
          </cell>
          <cell r="R101">
            <v>29</v>
          </cell>
          <cell r="S101">
            <v>143000</v>
          </cell>
          <cell r="T101">
            <v>255000</v>
          </cell>
          <cell r="U101">
            <v>298000</v>
          </cell>
          <cell r="V101">
            <v>331000</v>
          </cell>
          <cell r="W101">
            <v>363000</v>
          </cell>
          <cell r="X101">
            <v>382000</v>
          </cell>
          <cell r="Y101">
            <v>0</v>
          </cell>
          <cell r="Z101">
            <v>29</v>
          </cell>
          <cell r="AA101">
            <v>64000</v>
          </cell>
          <cell r="AB101">
            <v>115000</v>
          </cell>
          <cell r="AC101">
            <v>134000</v>
          </cell>
          <cell r="AD101">
            <v>149000</v>
          </cell>
          <cell r="AE101">
            <v>163000</v>
          </cell>
          <cell r="AF101">
            <v>172000</v>
          </cell>
          <cell r="AG101">
            <v>0</v>
          </cell>
          <cell r="AH101">
            <v>29</v>
          </cell>
          <cell r="AI101">
            <v>23000</v>
          </cell>
          <cell r="AJ101">
            <v>40000</v>
          </cell>
          <cell r="AK101">
            <v>47000</v>
          </cell>
          <cell r="AL101">
            <v>53000</v>
          </cell>
          <cell r="AM101">
            <v>58000</v>
          </cell>
          <cell r="AN101">
            <v>61000</v>
          </cell>
          <cell r="AO101">
            <v>0</v>
          </cell>
          <cell r="AP101">
            <v>29</v>
          </cell>
          <cell r="AQ101">
            <v>34000</v>
          </cell>
          <cell r="AR101">
            <v>60000</v>
          </cell>
          <cell r="AS101">
            <v>71000</v>
          </cell>
          <cell r="AT101">
            <v>78000</v>
          </cell>
          <cell r="AU101">
            <v>86000</v>
          </cell>
          <cell r="AV101">
            <v>91000</v>
          </cell>
          <cell r="AW101">
            <v>0</v>
          </cell>
          <cell r="AX101">
            <v>29</v>
          </cell>
          <cell r="AY101">
            <v>31000</v>
          </cell>
          <cell r="AZ101">
            <v>54000</v>
          </cell>
          <cell r="BA101">
            <v>64000</v>
          </cell>
          <cell r="BB101">
            <v>71000</v>
          </cell>
          <cell r="BC101">
            <v>77000</v>
          </cell>
          <cell r="BD101">
            <v>81000</v>
          </cell>
          <cell r="BE101">
            <v>0</v>
          </cell>
          <cell r="BF101">
            <v>29</v>
          </cell>
          <cell r="BG101">
            <v>15000</v>
          </cell>
          <cell r="BH101">
            <v>26000</v>
          </cell>
          <cell r="BI101">
            <v>31000</v>
          </cell>
          <cell r="BJ101">
            <v>34000</v>
          </cell>
          <cell r="BK101">
            <v>37000</v>
          </cell>
          <cell r="BL101">
            <v>39000</v>
          </cell>
        </row>
        <row r="102">
          <cell r="B102">
            <v>30</v>
          </cell>
          <cell r="C102">
            <v>69000</v>
          </cell>
          <cell r="D102">
            <v>122000</v>
          </cell>
          <cell r="E102">
            <v>143000</v>
          </cell>
          <cell r="F102">
            <v>159000</v>
          </cell>
          <cell r="G102">
            <v>174000</v>
          </cell>
          <cell r="H102">
            <v>183000</v>
          </cell>
          <cell r="I102">
            <v>0</v>
          </cell>
          <cell r="J102">
            <v>30</v>
          </cell>
          <cell r="K102">
            <v>79000</v>
          </cell>
          <cell r="L102">
            <v>140000</v>
          </cell>
          <cell r="M102">
            <v>164000</v>
          </cell>
          <cell r="N102">
            <v>182000</v>
          </cell>
          <cell r="O102">
            <v>199000</v>
          </cell>
          <cell r="P102">
            <v>210000</v>
          </cell>
          <cell r="Q102">
            <v>0</v>
          </cell>
          <cell r="R102">
            <v>30</v>
          </cell>
          <cell r="S102">
            <v>158000</v>
          </cell>
          <cell r="T102">
            <v>280000</v>
          </cell>
          <cell r="U102">
            <v>328000</v>
          </cell>
          <cell r="V102">
            <v>364000</v>
          </cell>
          <cell r="W102">
            <v>399000</v>
          </cell>
          <cell r="X102">
            <v>420000</v>
          </cell>
          <cell r="Y102">
            <v>0</v>
          </cell>
          <cell r="Z102">
            <v>30</v>
          </cell>
          <cell r="AA102">
            <v>71000</v>
          </cell>
          <cell r="AB102">
            <v>126000</v>
          </cell>
          <cell r="AC102">
            <v>148000</v>
          </cell>
          <cell r="AD102">
            <v>164000</v>
          </cell>
          <cell r="AE102">
            <v>180000</v>
          </cell>
          <cell r="AF102">
            <v>189000</v>
          </cell>
          <cell r="AG102">
            <v>0</v>
          </cell>
          <cell r="AH102">
            <v>30</v>
          </cell>
          <cell r="AI102">
            <v>25000</v>
          </cell>
          <cell r="AJ102">
            <v>45000</v>
          </cell>
          <cell r="AK102">
            <v>52000</v>
          </cell>
          <cell r="AL102">
            <v>58000</v>
          </cell>
          <cell r="AM102">
            <v>63000</v>
          </cell>
          <cell r="AN102">
            <v>67000</v>
          </cell>
          <cell r="AO102">
            <v>0</v>
          </cell>
          <cell r="AP102">
            <v>30</v>
          </cell>
          <cell r="AQ102">
            <v>37000</v>
          </cell>
          <cell r="AR102">
            <v>66000</v>
          </cell>
          <cell r="AS102">
            <v>78000</v>
          </cell>
          <cell r="AT102">
            <v>86000</v>
          </cell>
          <cell r="AU102">
            <v>95000</v>
          </cell>
          <cell r="AV102">
            <v>100000</v>
          </cell>
          <cell r="AW102">
            <v>0</v>
          </cell>
          <cell r="AX102">
            <v>30</v>
          </cell>
          <cell r="AY102">
            <v>34000</v>
          </cell>
          <cell r="AZ102">
            <v>60000</v>
          </cell>
          <cell r="BA102">
            <v>70000</v>
          </cell>
          <cell r="BB102">
            <v>78000</v>
          </cell>
          <cell r="BC102">
            <v>85000</v>
          </cell>
          <cell r="BD102">
            <v>90000</v>
          </cell>
          <cell r="BE102">
            <v>0</v>
          </cell>
          <cell r="BF102">
            <v>30</v>
          </cell>
          <cell r="BG102">
            <v>16000</v>
          </cell>
          <cell r="BH102">
            <v>29000</v>
          </cell>
          <cell r="BI102">
            <v>34000</v>
          </cell>
          <cell r="BJ102">
            <v>37000</v>
          </cell>
          <cell r="BK102">
            <v>41000</v>
          </cell>
          <cell r="BL102">
            <v>43000</v>
          </cell>
        </row>
        <row r="103">
          <cell r="B103">
            <v>31</v>
          </cell>
          <cell r="C103">
            <v>76000</v>
          </cell>
          <cell r="D103">
            <v>134000</v>
          </cell>
          <cell r="E103">
            <v>157000</v>
          </cell>
          <cell r="F103">
            <v>175000</v>
          </cell>
          <cell r="G103">
            <v>192000</v>
          </cell>
          <cell r="H103">
            <v>202000</v>
          </cell>
          <cell r="I103">
            <v>0</v>
          </cell>
          <cell r="J103">
            <v>31</v>
          </cell>
          <cell r="K103">
            <v>87000</v>
          </cell>
          <cell r="L103">
            <v>154000</v>
          </cell>
          <cell r="M103">
            <v>180000</v>
          </cell>
          <cell r="N103">
            <v>200000</v>
          </cell>
          <cell r="O103">
            <v>219000</v>
          </cell>
          <cell r="P103">
            <v>231000</v>
          </cell>
          <cell r="Q103">
            <v>0</v>
          </cell>
          <cell r="R103">
            <v>31</v>
          </cell>
          <cell r="S103">
            <v>173000</v>
          </cell>
          <cell r="T103">
            <v>308000</v>
          </cell>
          <cell r="U103">
            <v>361000</v>
          </cell>
          <cell r="V103">
            <v>401000</v>
          </cell>
          <cell r="W103">
            <v>439000</v>
          </cell>
          <cell r="X103">
            <v>462000</v>
          </cell>
          <cell r="Y103">
            <v>0</v>
          </cell>
          <cell r="Z103">
            <v>31</v>
          </cell>
          <cell r="AA103">
            <v>78000</v>
          </cell>
          <cell r="AB103">
            <v>139000</v>
          </cell>
          <cell r="AC103">
            <v>162000</v>
          </cell>
          <cell r="AD103">
            <v>180000</v>
          </cell>
          <cell r="AE103">
            <v>198000</v>
          </cell>
          <cell r="AF103">
            <v>208000</v>
          </cell>
          <cell r="AG103">
            <v>0</v>
          </cell>
          <cell r="AH103">
            <v>31</v>
          </cell>
          <cell r="AI103">
            <v>28000</v>
          </cell>
          <cell r="AJ103">
            <v>49000</v>
          </cell>
          <cell r="AK103">
            <v>57000</v>
          </cell>
          <cell r="AL103">
            <v>64000</v>
          </cell>
          <cell r="AM103">
            <v>70000</v>
          </cell>
          <cell r="AN103">
            <v>73000</v>
          </cell>
          <cell r="AO103">
            <v>0</v>
          </cell>
          <cell r="AP103">
            <v>31</v>
          </cell>
          <cell r="AQ103">
            <v>41000</v>
          </cell>
          <cell r="AR103">
            <v>73000</v>
          </cell>
          <cell r="AS103">
            <v>85000</v>
          </cell>
          <cell r="AT103">
            <v>95000</v>
          </cell>
          <cell r="AU103">
            <v>104000</v>
          </cell>
          <cell r="AV103">
            <v>109000</v>
          </cell>
          <cell r="AW103">
            <v>0</v>
          </cell>
          <cell r="AX103">
            <v>31</v>
          </cell>
          <cell r="AY103">
            <v>37000</v>
          </cell>
          <cell r="AZ103">
            <v>66000</v>
          </cell>
          <cell r="BA103">
            <v>77000</v>
          </cell>
          <cell r="BB103">
            <v>85000</v>
          </cell>
          <cell r="BC103">
            <v>94000</v>
          </cell>
          <cell r="BD103">
            <v>99000</v>
          </cell>
          <cell r="BE103">
            <v>0</v>
          </cell>
          <cell r="BF103">
            <v>31</v>
          </cell>
          <cell r="BG103">
            <v>18000</v>
          </cell>
          <cell r="BH103">
            <v>32000</v>
          </cell>
          <cell r="BI103">
            <v>37000</v>
          </cell>
          <cell r="BJ103">
            <v>41000</v>
          </cell>
          <cell r="BK103">
            <v>45000</v>
          </cell>
          <cell r="BL103">
            <v>47000</v>
          </cell>
        </row>
        <row r="104">
          <cell r="B104">
            <v>32</v>
          </cell>
          <cell r="C104">
            <v>83000</v>
          </cell>
          <cell r="D104">
            <v>148000</v>
          </cell>
          <cell r="E104">
            <v>173000</v>
          </cell>
          <cell r="F104">
            <v>192000</v>
          </cell>
          <cell r="G104">
            <v>211000</v>
          </cell>
          <cell r="H104">
            <v>222000</v>
          </cell>
          <cell r="I104">
            <v>0</v>
          </cell>
          <cell r="J104">
            <v>32</v>
          </cell>
          <cell r="K104">
            <v>95000</v>
          </cell>
          <cell r="L104">
            <v>169000</v>
          </cell>
          <cell r="M104">
            <v>198000</v>
          </cell>
          <cell r="N104">
            <v>220000</v>
          </cell>
          <cell r="O104">
            <v>241000</v>
          </cell>
          <cell r="P104">
            <v>254000</v>
          </cell>
          <cell r="Q104">
            <v>0</v>
          </cell>
          <cell r="R104">
            <v>32</v>
          </cell>
          <cell r="S104">
            <v>191000</v>
          </cell>
          <cell r="T104">
            <v>339000</v>
          </cell>
          <cell r="U104">
            <v>397000</v>
          </cell>
          <cell r="V104">
            <v>441000</v>
          </cell>
          <cell r="W104">
            <v>483000</v>
          </cell>
          <cell r="X104">
            <v>509000</v>
          </cell>
          <cell r="Y104">
            <v>0</v>
          </cell>
          <cell r="Z104">
            <v>32</v>
          </cell>
          <cell r="AA104">
            <v>86000</v>
          </cell>
          <cell r="AB104">
            <v>153000</v>
          </cell>
          <cell r="AC104">
            <v>179000</v>
          </cell>
          <cell r="AD104">
            <v>199000</v>
          </cell>
          <cell r="AE104">
            <v>218000</v>
          </cell>
          <cell r="AF104">
            <v>229000</v>
          </cell>
          <cell r="AG104">
            <v>0</v>
          </cell>
          <cell r="AH104">
            <v>32</v>
          </cell>
          <cell r="AI104">
            <v>30000</v>
          </cell>
          <cell r="AJ104">
            <v>54000</v>
          </cell>
          <cell r="AK104">
            <v>63000</v>
          </cell>
          <cell r="AL104">
            <v>70000</v>
          </cell>
          <cell r="AM104">
            <v>77000</v>
          </cell>
          <cell r="AN104">
            <v>81000</v>
          </cell>
          <cell r="AO104">
            <v>0</v>
          </cell>
          <cell r="AP104">
            <v>32</v>
          </cell>
          <cell r="AQ104">
            <v>45000</v>
          </cell>
          <cell r="AR104">
            <v>80000</v>
          </cell>
          <cell r="AS104">
            <v>94000</v>
          </cell>
          <cell r="AT104">
            <v>104000</v>
          </cell>
          <cell r="AU104">
            <v>114000</v>
          </cell>
          <cell r="AV104">
            <v>121000</v>
          </cell>
          <cell r="AW104">
            <v>0</v>
          </cell>
          <cell r="AX104">
            <v>32</v>
          </cell>
          <cell r="AY104">
            <v>41000</v>
          </cell>
          <cell r="AZ104">
            <v>72000</v>
          </cell>
          <cell r="BA104">
            <v>85000</v>
          </cell>
          <cell r="BB104">
            <v>94000</v>
          </cell>
          <cell r="BC104">
            <v>103000</v>
          </cell>
          <cell r="BD104">
            <v>108000</v>
          </cell>
          <cell r="BE104">
            <v>0</v>
          </cell>
          <cell r="BF104">
            <v>32</v>
          </cell>
          <cell r="BG104">
            <v>20000</v>
          </cell>
          <cell r="BH104">
            <v>35000</v>
          </cell>
          <cell r="BI104">
            <v>41000</v>
          </cell>
          <cell r="BJ104">
            <v>45000</v>
          </cell>
          <cell r="BK104">
            <v>50000</v>
          </cell>
          <cell r="BL104">
            <v>52000</v>
          </cell>
        </row>
        <row r="105">
          <cell r="B105">
            <v>33</v>
          </cell>
          <cell r="C105">
            <v>92000</v>
          </cell>
          <cell r="D105">
            <v>163000</v>
          </cell>
          <cell r="E105">
            <v>190000</v>
          </cell>
          <cell r="F105">
            <v>212000</v>
          </cell>
          <cell r="G105">
            <v>232000</v>
          </cell>
          <cell r="H105">
            <v>244000</v>
          </cell>
          <cell r="I105">
            <v>0</v>
          </cell>
          <cell r="J105">
            <v>33</v>
          </cell>
          <cell r="K105">
            <v>105000</v>
          </cell>
          <cell r="L105">
            <v>186000</v>
          </cell>
          <cell r="M105">
            <v>218000</v>
          </cell>
          <cell r="N105">
            <v>242000</v>
          </cell>
          <cell r="O105">
            <v>266000</v>
          </cell>
          <cell r="P105">
            <v>280000</v>
          </cell>
          <cell r="Q105">
            <v>0</v>
          </cell>
          <cell r="R105">
            <v>33</v>
          </cell>
          <cell r="S105">
            <v>210000</v>
          </cell>
          <cell r="T105">
            <v>373000</v>
          </cell>
          <cell r="U105">
            <v>436000</v>
          </cell>
          <cell r="V105">
            <v>485000</v>
          </cell>
          <cell r="W105">
            <v>531000</v>
          </cell>
          <cell r="X105">
            <v>559000</v>
          </cell>
          <cell r="Y105">
            <v>0</v>
          </cell>
          <cell r="Z105">
            <v>33</v>
          </cell>
          <cell r="AA105">
            <v>95000</v>
          </cell>
          <cell r="AB105">
            <v>168000</v>
          </cell>
          <cell r="AC105">
            <v>197000</v>
          </cell>
          <cell r="AD105">
            <v>218000</v>
          </cell>
          <cell r="AE105">
            <v>239000</v>
          </cell>
          <cell r="AF105">
            <v>252000</v>
          </cell>
          <cell r="AG105">
            <v>0</v>
          </cell>
          <cell r="AH105">
            <v>33</v>
          </cell>
          <cell r="AI105">
            <v>33000</v>
          </cell>
          <cell r="AJ105">
            <v>59000</v>
          </cell>
          <cell r="AK105">
            <v>69000</v>
          </cell>
          <cell r="AL105">
            <v>77000</v>
          </cell>
          <cell r="AM105">
            <v>84000</v>
          </cell>
          <cell r="AN105">
            <v>89000</v>
          </cell>
          <cell r="AO105">
            <v>0</v>
          </cell>
          <cell r="AP105">
            <v>33</v>
          </cell>
          <cell r="AQ105">
            <v>50000</v>
          </cell>
          <cell r="AR105">
            <v>88000</v>
          </cell>
          <cell r="AS105">
            <v>103000</v>
          </cell>
          <cell r="AT105">
            <v>115000</v>
          </cell>
          <cell r="AU105">
            <v>126000</v>
          </cell>
          <cell r="AV105">
            <v>132000</v>
          </cell>
          <cell r="AW105">
            <v>0</v>
          </cell>
          <cell r="AX105">
            <v>33</v>
          </cell>
          <cell r="AY105">
            <v>45000</v>
          </cell>
          <cell r="AZ105">
            <v>79000</v>
          </cell>
          <cell r="BA105">
            <v>93000</v>
          </cell>
          <cell r="BB105">
            <v>103000</v>
          </cell>
          <cell r="BC105">
            <v>113000</v>
          </cell>
          <cell r="BD105">
            <v>119000</v>
          </cell>
          <cell r="BE105">
            <v>0</v>
          </cell>
          <cell r="BF105">
            <v>33</v>
          </cell>
          <cell r="BG105">
            <v>21000</v>
          </cell>
          <cell r="BH105">
            <v>38000</v>
          </cell>
          <cell r="BI105">
            <v>45000</v>
          </cell>
          <cell r="BJ105">
            <v>50000</v>
          </cell>
          <cell r="BK105">
            <v>55000</v>
          </cell>
          <cell r="BL105">
            <v>57000</v>
          </cell>
        </row>
        <row r="106">
          <cell r="B106">
            <v>34</v>
          </cell>
          <cell r="C106">
            <v>101000</v>
          </cell>
          <cell r="D106">
            <v>179000</v>
          </cell>
          <cell r="E106">
            <v>209000</v>
          </cell>
          <cell r="F106">
            <v>233000</v>
          </cell>
          <cell r="G106">
            <v>255000</v>
          </cell>
          <cell r="H106">
            <v>268000</v>
          </cell>
          <cell r="I106">
            <v>0</v>
          </cell>
          <cell r="J106">
            <v>34</v>
          </cell>
          <cell r="K106">
            <v>115000</v>
          </cell>
          <cell r="L106">
            <v>205000</v>
          </cell>
          <cell r="M106">
            <v>240000</v>
          </cell>
          <cell r="N106">
            <v>266000</v>
          </cell>
          <cell r="O106">
            <v>292000</v>
          </cell>
          <cell r="P106">
            <v>307000</v>
          </cell>
          <cell r="Q106">
            <v>0</v>
          </cell>
          <cell r="R106">
            <v>34</v>
          </cell>
          <cell r="S106">
            <v>231000</v>
          </cell>
          <cell r="T106">
            <v>410000</v>
          </cell>
          <cell r="U106">
            <v>480000</v>
          </cell>
          <cell r="V106">
            <v>533000</v>
          </cell>
          <cell r="W106">
            <v>585000</v>
          </cell>
          <cell r="X106">
            <v>615000</v>
          </cell>
          <cell r="Y106">
            <v>0</v>
          </cell>
          <cell r="Z106">
            <v>34</v>
          </cell>
          <cell r="AA106">
            <v>104000</v>
          </cell>
          <cell r="AB106">
            <v>185000</v>
          </cell>
          <cell r="AC106">
            <v>216000</v>
          </cell>
          <cell r="AD106">
            <v>240000</v>
          </cell>
          <cell r="AE106">
            <v>263000</v>
          </cell>
          <cell r="AF106">
            <v>277000</v>
          </cell>
          <cell r="AG106">
            <v>0</v>
          </cell>
          <cell r="AH106">
            <v>34</v>
          </cell>
          <cell r="AI106">
            <v>37000</v>
          </cell>
          <cell r="AJ106">
            <v>65000</v>
          </cell>
          <cell r="AK106">
            <v>76000</v>
          </cell>
          <cell r="AL106">
            <v>85000</v>
          </cell>
          <cell r="AM106">
            <v>93000</v>
          </cell>
          <cell r="AN106">
            <v>98000</v>
          </cell>
          <cell r="AO106">
            <v>0</v>
          </cell>
          <cell r="AP106">
            <v>34</v>
          </cell>
          <cell r="AQ106">
            <v>55000</v>
          </cell>
          <cell r="AR106">
            <v>97000</v>
          </cell>
          <cell r="AS106">
            <v>114000</v>
          </cell>
          <cell r="AT106">
            <v>126000</v>
          </cell>
          <cell r="AU106">
            <v>138000</v>
          </cell>
          <cell r="AV106">
            <v>146000</v>
          </cell>
          <cell r="AW106">
            <v>0</v>
          </cell>
          <cell r="AX106">
            <v>34</v>
          </cell>
          <cell r="AY106">
            <v>49000</v>
          </cell>
          <cell r="AZ106">
            <v>87000</v>
          </cell>
          <cell r="BA106">
            <v>102000</v>
          </cell>
          <cell r="BB106">
            <v>114000</v>
          </cell>
          <cell r="BC106">
            <v>125000</v>
          </cell>
          <cell r="BD106">
            <v>131000</v>
          </cell>
          <cell r="BE106">
            <v>0</v>
          </cell>
          <cell r="BF106">
            <v>34</v>
          </cell>
          <cell r="BG106">
            <v>24000</v>
          </cell>
          <cell r="BH106">
            <v>42000</v>
          </cell>
          <cell r="BI106">
            <v>49000</v>
          </cell>
          <cell r="BJ106">
            <v>55000</v>
          </cell>
          <cell r="BK106">
            <v>60000</v>
          </cell>
          <cell r="BL106">
            <v>63000</v>
          </cell>
        </row>
        <row r="107">
          <cell r="B107">
            <v>35</v>
          </cell>
          <cell r="C107">
            <v>111000</v>
          </cell>
          <cell r="D107">
            <v>197000</v>
          </cell>
          <cell r="E107">
            <v>230000</v>
          </cell>
          <cell r="F107">
            <v>256000</v>
          </cell>
          <cell r="G107">
            <v>281000</v>
          </cell>
          <cell r="H107">
            <v>295000</v>
          </cell>
          <cell r="I107">
            <v>0</v>
          </cell>
          <cell r="J107">
            <v>35</v>
          </cell>
          <cell r="K107">
            <v>127000</v>
          </cell>
          <cell r="L107">
            <v>225000</v>
          </cell>
          <cell r="M107">
            <v>264000</v>
          </cell>
          <cell r="N107">
            <v>293000</v>
          </cell>
          <cell r="O107">
            <v>321000</v>
          </cell>
          <cell r="P107">
            <v>338000</v>
          </cell>
          <cell r="Q107">
            <v>0</v>
          </cell>
          <cell r="R107">
            <v>35</v>
          </cell>
          <cell r="S107">
            <v>254000</v>
          </cell>
          <cell r="T107">
            <v>451000</v>
          </cell>
          <cell r="U107">
            <v>528000</v>
          </cell>
          <cell r="V107">
            <v>587000</v>
          </cell>
          <cell r="W107">
            <v>643000</v>
          </cell>
          <cell r="X107">
            <v>677000</v>
          </cell>
          <cell r="Y107">
            <v>0</v>
          </cell>
          <cell r="Z107">
            <v>35</v>
          </cell>
          <cell r="AA107">
            <v>114000</v>
          </cell>
          <cell r="AB107">
            <v>203000</v>
          </cell>
          <cell r="AC107">
            <v>238000</v>
          </cell>
          <cell r="AD107">
            <v>264000</v>
          </cell>
          <cell r="AE107">
            <v>290000</v>
          </cell>
          <cell r="AF107">
            <v>305000</v>
          </cell>
          <cell r="AG107">
            <v>0</v>
          </cell>
          <cell r="AH107">
            <v>35</v>
          </cell>
          <cell r="AI107">
            <v>40000</v>
          </cell>
          <cell r="AJ107">
            <v>72000</v>
          </cell>
          <cell r="AK107">
            <v>84000</v>
          </cell>
          <cell r="AL107">
            <v>93000</v>
          </cell>
          <cell r="AM107">
            <v>102000</v>
          </cell>
          <cell r="AN107">
            <v>107000</v>
          </cell>
          <cell r="AO107">
            <v>0</v>
          </cell>
          <cell r="AP107">
            <v>35</v>
          </cell>
          <cell r="AQ107">
            <v>60000</v>
          </cell>
          <cell r="AR107">
            <v>107000</v>
          </cell>
          <cell r="AS107">
            <v>125000</v>
          </cell>
          <cell r="AT107">
            <v>139000</v>
          </cell>
          <cell r="AU107">
            <v>152000</v>
          </cell>
          <cell r="AV107">
            <v>160000</v>
          </cell>
          <cell r="AW107">
            <v>0</v>
          </cell>
          <cell r="AX107">
            <v>35</v>
          </cell>
          <cell r="AY107">
            <v>54000</v>
          </cell>
          <cell r="AZ107">
            <v>96000</v>
          </cell>
          <cell r="BA107">
            <v>113000</v>
          </cell>
          <cell r="BB107">
            <v>125000</v>
          </cell>
          <cell r="BC107">
            <v>137000</v>
          </cell>
          <cell r="BD107">
            <v>144000</v>
          </cell>
          <cell r="BE107">
            <v>0</v>
          </cell>
          <cell r="BF107">
            <v>35</v>
          </cell>
          <cell r="BG107">
            <v>26000</v>
          </cell>
          <cell r="BH107">
            <v>46000</v>
          </cell>
          <cell r="BI107">
            <v>54000</v>
          </cell>
          <cell r="BJ107">
            <v>60000</v>
          </cell>
          <cell r="BK107">
            <v>66000</v>
          </cell>
          <cell r="BL107">
            <v>69000</v>
          </cell>
        </row>
        <row r="108">
          <cell r="B108">
            <v>36</v>
          </cell>
          <cell r="C108">
            <v>122000</v>
          </cell>
          <cell r="D108">
            <v>217000</v>
          </cell>
          <cell r="E108">
            <v>253000</v>
          </cell>
          <cell r="F108">
            <v>282000</v>
          </cell>
          <cell r="G108">
            <v>309000</v>
          </cell>
          <cell r="H108">
            <v>325000</v>
          </cell>
          <cell r="I108">
            <v>0</v>
          </cell>
          <cell r="J108">
            <v>36</v>
          </cell>
          <cell r="K108">
            <v>139000</v>
          </cell>
          <cell r="L108">
            <v>248000</v>
          </cell>
          <cell r="M108">
            <v>290000</v>
          </cell>
          <cell r="N108">
            <v>322000</v>
          </cell>
          <cell r="O108">
            <v>353000</v>
          </cell>
          <cell r="P108">
            <v>372000</v>
          </cell>
          <cell r="Q108">
            <v>0</v>
          </cell>
          <cell r="R108">
            <v>36</v>
          </cell>
          <cell r="S108">
            <v>279000</v>
          </cell>
          <cell r="T108">
            <v>497000</v>
          </cell>
          <cell r="U108">
            <v>581000</v>
          </cell>
          <cell r="V108">
            <v>645000</v>
          </cell>
          <cell r="W108">
            <v>707000</v>
          </cell>
          <cell r="X108">
            <v>745000</v>
          </cell>
          <cell r="Y108">
            <v>0</v>
          </cell>
          <cell r="Z108">
            <v>36</v>
          </cell>
          <cell r="AA108">
            <v>126000</v>
          </cell>
          <cell r="AB108">
            <v>224000</v>
          </cell>
          <cell r="AC108">
            <v>262000</v>
          </cell>
          <cell r="AD108">
            <v>291000</v>
          </cell>
          <cell r="AE108">
            <v>319000</v>
          </cell>
          <cell r="AF108">
            <v>335000</v>
          </cell>
          <cell r="AG108">
            <v>0</v>
          </cell>
          <cell r="AH108">
            <v>36</v>
          </cell>
          <cell r="AI108">
            <v>44000</v>
          </cell>
          <cell r="AJ108">
            <v>79000</v>
          </cell>
          <cell r="AK108">
            <v>92000</v>
          </cell>
          <cell r="AL108">
            <v>103000</v>
          </cell>
          <cell r="AM108">
            <v>112000</v>
          </cell>
          <cell r="AN108">
            <v>118000</v>
          </cell>
          <cell r="AO108">
            <v>0</v>
          </cell>
          <cell r="AP108">
            <v>36</v>
          </cell>
          <cell r="AQ108">
            <v>66000</v>
          </cell>
          <cell r="AR108">
            <v>118000</v>
          </cell>
          <cell r="AS108">
            <v>138000</v>
          </cell>
          <cell r="AT108">
            <v>153000</v>
          </cell>
          <cell r="AU108">
            <v>168000</v>
          </cell>
          <cell r="AV108">
            <v>176000</v>
          </cell>
          <cell r="AW108">
            <v>0</v>
          </cell>
          <cell r="AX108">
            <v>36</v>
          </cell>
          <cell r="AY108">
            <v>60000</v>
          </cell>
          <cell r="AZ108">
            <v>106000</v>
          </cell>
          <cell r="BA108">
            <v>124000</v>
          </cell>
          <cell r="BB108">
            <v>138000</v>
          </cell>
          <cell r="BC108">
            <v>151000</v>
          </cell>
          <cell r="BD108">
            <v>159000</v>
          </cell>
          <cell r="BE108">
            <v>0</v>
          </cell>
          <cell r="BF108">
            <v>36</v>
          </cell>
          <cell r="BG108">
            <v>29000</v>
          </cell>
          <cell r="BH108">
            <v>51000</v>
          </cell>
          <cell r="BI108">
            <v>60000</v>
          </cell>
          <cell r="BJ108">
            <v>66000</v>
          </cell>
          <cell r="BK108">
            <v>73000</v>
          </cell>
          <cell r="BL108">
            <v>76000</v>
          </cell>
        </row>
        <row r="109">
          <cell r="B109">
            <v>37</v>
          </cell>
          <cell r="C109">
            <v>134000</v>
          </cell>
          <cell r="D109">
            <v>238000</v>
          </cell>
          <cell r="E109">
            <v>279000</v>
          </cell>
          <cell r="F109">
            <v>310000</v>
          </cell>
          <cell r="G109">
            <v>340000</v>
          </cell>
          <cell r="H109">
            <v>357000</v>
          </cell>
          <cell r="I109">
            <v>0</v>
          </cell>
          <cell r="J109">
            <v>37</v>
          </cell>
          <cell r="K109">
            <v>153000</v>
          </cell>
          <cell r="L109">
            <v>273000</v>
          </cell>
          <cell r="M109">
            <v>319000</v>
          </cell>
          <cell r="N109">
            <v>355000</v>
          </cell>
          <cell r="O109">
            <v>389000</v>
          </cell>
          <cell r="P109">
            <v>409000</v>
          </cell>
          <cell r="Q109">
            <v>0</v>
          </cell>
          <cell r="R109">
            <v>37</v>
          </cell>
          <cell r="S109">
            <v>307000</v>
          </cell>
          <cell r="T109">
            <v>546000</v>
          </cell>
          <cell r="U109">
            <v>639000</v>
          </cell>
          <cell r="V109">
            <v>710000</v>
          </cell>
          <cell r="W109">
            <v>778000</v>
          </cell>
          <cell r="X109">
            <v>819000</v>
          </cell>
          <cell r="Y109">
            <v>0</v>
          </cell>
          <cell r="Z109">
            <v>37</v>
          </cell>
          <cell r="AA109">
            <v>138000</v>
          </cell>
          <cell r="AB109">
            <v>246000</v>
          </cell>
          <cell r="AC109">
            <v>288000</v>
          </cell>
          <cell r="AD109">
            <v>320000</v>
          </cell>
          <cell r="AE109">
            <v>350000</v>
          </cell>
          <cell r="AF109">
            <v>369000</v>
          </cell>
          <cell r="AG109">
            <v>0</v>
          </cell>
          <cell r="AH109">
            <v>37</v>
          </cell>
          <cell r="AI109">
            <v>49000</v>
          </cell>
          <cell r="AJ109">
            <v>87000</v>
          </cell>
          <cell r="AK109">
            <v>102000</v>
          </cell>
          <cell r="AL109">
            <v>113000</v>
          </cell>
          <cell r="AM109">
            <v>124000</v>
          </cell>
          <cell r="AN109">
            <v>130000</v>
          </cell>
          <cell r="AO109">
            <v>0</v>
          </cell>
          <cell r="AP109">
            <v>37</v>
          </cell>
          <cell r="AQ109">
            <v>73000</v>
          </cell>
          <cell r="AR109">
            <v>129000</v>
          </cell>
          <cell r="AS109">
            <v>151000</v>
          </cell>
          <cell r="AT109">
            <v>168000</v>
          </cell>
          <cell r="AU109">
            <v>184000</v>
          </cell>
          <cell r="AV109">
            <v>194000</v>
          </cell>
          <cell r="AW109">
            <v>0</v>
          </cell>
          <cell r="AX109">
            <v>37</v>
          </cell>
          <cell r="AY109">
            <v>66000</v>
          </cell>
          <cell r="AZ109">
            <v>116000</v>
          </cell>
          <cell r="BA109">
            <v>136000</v>
          </cell>
          <cell r="BB109">
            <v>151000</v>
          </cell>
          <cell r="BC109">
            <v>166000</v>
          </cell>
          <cell r="BD109">
            <v>175000</v>
          </cell>
          <cell r="BE109">
            <v>0</v>
          </cell>
          <cell r="BF109">
            <v>37</v>
          </cell>
          <cell r="BG109">
            <v>32000</v>
          </cell>
          <cell r="BH109">
            <v>56000</v>
          </cell>
          <cell r="BI109">
            <v>66000</v>
          </cell>
          <cell r="BJ109">
            <v>73000</v>
          </cell>
          <cell r="BK109">
            <v>80000</v>
          </cell>
          <cell r="BL109">
            <v>84000</v>
          </cell>
        </row>
        <row r="110">
          <cell r="B110">
            <v>38</v>
          </cell>
          <cell r="C110">
            <v>147000</v>
          </cell>
          <cell r="D110">
            <v>262000</v>
          </cell>
          <cell r="E110">
            <v>307000</v>
          </cell>
          <cell r="F110">
            <v>341000</v>
          </cell>
          <cell r="G110">
            <v>374000</v>
          </cell>
          <cell r="H110">
            <v>393000</v>
          </cell>
          <cell r="I110">
            <v>0</v>
          </cell>
          <cell r="J110">
            <v>38</v>
          </cell>
          <cell r="K110">
            <v>169000</v>
          </cell>
          <cell r="L110">
            <v>300000</v>
          </cell>
          <cell r="M110">
            <v>351000</v>
          </cell>
          <cell r="N110">
            <v>390000</v>
          </cell>
          <cell r="O110">
            <v>428000</v>
          </cell>
          <cell r="P110">
            <v>450000</v>
          </cell>
          <cell r="Q110">
            <v>0</v>
          </cell>
          <cell r="R110">
            <v>38</v>
          </cell>
          <cell r="S110">
            <v>338000</v>
          </cell>
          <cell r="T110">
            <v>601000</v>
          </cell>
          <cell r="U110">
            <v>703000</v>
          </cell>
          <cell r="V110">
            <v>781000</v>
          </cell>
          <cell r="W110">
            <v>856000</v>
          </cell>
          <cell r="X110">
            <v>901000</v>
          </cell>
          <cell r="Y110">
            <v>0</v>
          </cell>
          <cell r="Z110">
            <v>38</v>
          </cell>
          <cell r="AA110">
            <v>152000</v>
          </cell>
          <cell r="AB110">
            <v>271000</v>
          </cell>
          <cell r="AC110">
            <v>316000</v>
          </cell>
          <cell r="AD110">
            <v>352000</v>
          </cell>
          <cell r="AE110">
            <v>385000</v>
          </cell>
          <cell r="AF110">
            <v>406000</v>
          </cell>
          <cell r="AG110">
            <v>0</v>
          </cell>
          <cell r="AH110">
            <v>38</v>
          </cell>
          <cell r="AI110">
            <v>54000</v>
          </cell>
          <cell r="AJ110">
            <v>95000</v>
          </cell>
          <cell r="AK110">
            <v>112000</v>
          </cell>
          <cell r="AL110">
            <v>124000</v>
          </cell>
          <cell r="AM110">
            <v>136000</v>
          </cell>
          <cell r="AN110">
            <v>143000</v>
          </cell>
          <cell r="AO110">
            <v>0</v>
          </cell>
          <cell r="AP110">
            <v>38</v>
          </cell>
          <cell r="AQ110">
            <v>80000</v>
          </cell>
          <cell r="AR110">
            <v>142000</v>
          </cell>
          <cell r="AS110">
            <v>167000</v>
          </cell>
          <cell r="AT110">
            <v>185000</v>
          </cell>
          <cell r="AU110">
            <v>203000</v>
          </cell>
          <cell r="AV110">
            <v>213000</v>
          </cell>
          <cell r="AW110">
            <v>0</v>
          </cell>
          <cell r="AX110">
            <v>38</v>
          </cell>
          <cell r="AY110">
            <v>72000</v>
          </cell>
          <cell r="AZ110">
            <v>128000</v>
          </cell>
          <cell r="BA110">
            <v>150000</v>
          </cell>
          <cell r="BB110">
            <v>167000</v>
          </cell>
          <cell r="BC110">
            <v>182000</v>
          </cell>
          <cell r="BD110">
            <v>192000</v>
          </cell>
          <cell r="BE110">
            <v>0</v>
          </cell>
          <cell r="BF110">
            <v>38</v>
          </cell>
          <cell r="BG110">
            <v>35000</v>
          </cell>
          <cell r="BH110">
            <v>62000</v>
          </cell>
          <cell r="BI110">
            <v>72000</v>
          </cell>
          <cell r="BJ110">
            <v>80000</v>
          </cell>
          <cell r="BK110">
            <v>88000</v>
          </cell>
          <cell r="BL110">
            <v>92000</v>
          </cell>
        </row>
        <row r="111">
          <cell r="B111">
            <v>39</v>
          </cell>
          <cell r="C111">
            <v>162000</v>
          </cell>
          <cell r="D111">
            <v>288000</v>
          </cell>
          <cell r="E111">
            <v>337000</v>
          </cell>
          <cell r="F111">
            <v>375000</v>
          </cell>
          <cell r="G111">
            <v>411000</v>
          </cell>
          <cell r="H111">
            <v>432000</v>
          </cell>
          <cell r="I111">
            <v>0</v>
          </cell>
          <cell r="J111">
            <v>39</v>
          </cell>
          <cell r="K111">
            <v>186000</v>
          </cell>
          <cell r="L111">
            <v>330000</v>
          </cell>
          <cell r="M111">
            <v>386000</v>
          </cell>
          <cell r="N111">
            <v>429000</v>
          </cell>
          <cell r="O111">
            <v>470000</v>
          </cell>
          <cell r="P111">
            <v>495000</v>
          </cell>
          <cell r="Q111">
            <v>0</v>
          </cell>
          <cell r="R111">
            <v>39</v>
          </cell>
          <cell r="S111">
            <v>372000</v>
          </cell>
          <cell r="T111">
            <v>661000</v>
          </cell>
          <cell r="U111">
            <v>773000</v>
          </cell>
          <cell r="V111">
            <v>859000</v>
          </cell>
          <cell r="W111">
            <v>942000</v>
          </cell>
          <cell r="X111">
            <v>991000</v>
          </cell>
          <cell r="Y111">
            <v>0</v>
          </cell>
          <cell r="Z111">
            <v>39</v>
          </cell>
          <cell r="AA111">
            <v>167000</v>
          </cell>
          <cell r="AB111">
            <v>297000</v>
          </cell>
          <cell r="AC111">
            <v>348000</v>
          </cell>
          <cell r="AD111">
            <v>387000</v>
          </cell>
          <cell r="AE111">
            <v>424000</v>
          </cell>
          <cell r="AF111">
            <v>446000</v>
          </cell>
          <cell r="AG111">
            <v>0</v>
          </cell>
          <cell r="AH111">
            <v>39</v>
          </cell>
          <cell r="AI111">
            <v>59000</v>
          </cell>
          <cell r="AJ111">
            <v>105000</v>
          </cell>
          <cell r="AK111">
            <v>123000</v>
          </cell>
          <cell r="AL111">
            <v>136000</v>
          </cell>
          <cell r="AM111">
            <v>150000</v>
          </cell>
          <cell r="AN111">
            <v>157000</v>
          </cell>
          <cell r="AO111">
            <v>0</v>
          </cell>
          <cell r="AP111">
            <v>39</v>
          </cell>
          <cell r="AQ111">
            <v>88000</v>
          </cell>
          <cell r="AR111">
            <v>156000</v>
          </cell>
          <cell r="AS111">
            <v>183000</v>
          </cell>
          <cell r="AT111">
            <v>203000</v>
          </cell>
          <cell r="AU111">
            <v>223000</v>
          </cell>
          <cell r="AV111">
            <v>235000</v>
          </cell>
          <cell r="AW111">
            <v>0</v>
          </cell>
          <cell r="AX111">
            <v>39</v>
          </cell>
          <cell r="AY111">
            <v>79000</v>
          </cell>
          <cell r="AZ111">
            <v>141000</v>
          </cell>
          <cell r="BA111">
            <v>165000</v>
          </cell>
          <cell r="BB111">
            <v>183000</v>
          </cell>
          <cell r="BC111">
            <v>201000</v>
          </cell>
          <cell r="BD111">
            <v>211000</v>
          </cell>
          <cell r="BE111">
            <v>0</v>
          </cell>
          <cell r="BF111">
            <v>39</v>
          </cell>
          <cell r="BG111">
            <v>38000</v>
          </cell>
          <cell r="BH111">
            <v>68000</v>
          </cell>
          <cell r="BI111">
            <v>79000</v>
          </cell>
          <cell r="BJ111">
            <v>88000</v>
          </cell>
          <cell r="BK111">
            <v>97000</v>
          </cell>
          <cell r="BL111">
            <v>102000</v>
          </cell>
        </row>
        <row r="112">
          <cell r="B112">
            <v>40</v>
          </cell>
          <cell r="C112">
            <v>178000</v>
          </cell>
          <cell r="D112">
            <v>317000</v>
          </cell>
          <cell r="E112">
            <v>371000</v>
          </cell>
          <cell r="F112">
            <v>412000</v>
          </cell>
          <cell r="G112">
            <v>452000</v>
          </cell>
          <cell r="H112">
            <v>476000</v>
          </cell>
          <cell r="I112">
            <v>0</v>
          </cell>
          <cell r="J112">
            <v>40</v>
          </cell>
          <cell r="K112">
            <v>204000</v>
          </cell>
          <cell r="L112">
            <v>363000</v>
          </cell>
          <cell r="M112">
            <v>425000</v>
          </cell>
          <cell r="N112">
            <v>472000</v>
          </cell>
          <cell r="O112">
            <v>517000</v>
          </cell>
          <cell r="P112">
            <v>545000</v>
          </cell>
          <cell r="Q112">
            <v>0</v>
          </cell>
          <cell r="R112">
            <v>40</v>
          </cell>
          <cell r="S112">
            <v>409000</v>
          </cell>
          <cell r="T112">
            <v>727000</v>
          </cell>
          <cell r="U112">
            <v>850000</v>
          </cell>
          <cell r="V112">
            <v>945000</v>
          </cell>
          <cell r="W112">
            <v>1036000</v>
          </cell>
          <cell r="X112">
            <v>1090000</v>
          </cell>
          <cell r="Y112">
            <v>0</v>
          </cell>
          <cell r="Z112">
            <v>40</v>
          </cell>
          <cell r="AA112">
            <v>184000</v>
          </cell>
          <cell r="AB112">
            <v>327000</v>
          </cell>
          <cell r="AC112">
            <v>383000</v>
          </cell>
          <cell r="AD112">
            <v>425000</v>
          </cell>
          <cell r="AE112">
            <v>466000</v>
          </cell>
          <cell r="AF112">
            <v>491000</v>
          </cell>
          <cell r="AG112">
            <v>0</v>
          </cell>
          <cell r="AH112">
            <v>40</v>
          </cell>
          <cell r="AI112">
            <v>65000</v>
          </cell>
          <cell r="AJ112">
            <v>115000</v>
          </cell>
          <cell r="AK112">
            <v>135000</v>
          </cell>
          <cell r="AL112">
            <v>150000</v>
          </cell>
          <cell r="AM112">
            <v>164000</v>
          </cell>
          <cell r="AN112">
            <v>173000</v>
          </cell>
          <cell r="AO112">
            <v>0</v>
          </cell>
          <cell r="AP112">
            <v>40</v>
          </cell>
          <cell r="AQ112">
            <v>97000</v>
          </cell>
          <cell r="AR112">
            <v>172000</v>
          </cell>
          <cell r="AS112">
            <v>201000</v>
          </cell>
          <cell r="AT112">
            <v>224000</v>
          </cell>
          <cell r="AU112">
            <v>245000</v>
          </cell>
          <cell r="AV112">
            <v>258000</v>
          </cell>
          <cell r="AW112">
            <v>0</v>
          </cell>
          <cell r="AX112">
            <v>40</v>
          </cell>
          <cell r="AY112">
            <v>87000</v>
          </cell>
          <cell r="AZ112">
            <v>155000</v>
          </cell>
          <cell r="BA112">
            <v>181000</v>
          </cell>
          <cell r="BB112">
            <v>201000</v>
          </cell>
          <cell r="BC112">
            <v>221000</v>
          </cell>
          <cell r="BD112">
            <v>232000</v>
          </cell>
          <cell r="BE112">
            <v>0</v>
          </cell>
          <cell r="BF112">
            <v>40</v>
          </cell>
          <cell r="BG112">
            <v>42000</v>
          </cell>
          <cell r="BH112">
            <v>74000</v>
          </cell>
          <cell r="BI112">
            <v>87000</v>
          </cell>
          <cell r="BJ112">
            <v>97000</v>
          </cell>
          <cell r="BK112">
            <v>106000</v>
          </cell>
          <cell r="BL112">
            <v>112000</v>
          </cell>
        </row>
        <row r="113">
          <cell r="B113">
            <v>41</v>
          </cell>
          <cell r="C113">
            <v>196000</v>
          </cell>
          <cell r="D113">
            <v>349000</v>
          </cell>
          <cell r="E113">
            <v>408000</v>
          </cell>
          <cell r="F113">
            <v>453000</v>
          </cell>
          <cell r="G113">
            <v>497000</v>
          </cell>
          <cell r="H113">
            <v>523000</v>
          </cell>
          <cell r="I113">
            <v>0</v>
          </cell>
          <cell r="J113">
            <v>41</v>
          </cell>
          <cell r="K113">
            <v>225000</v>
          </cell>
          <cell r="L113">
            <v>399000</v>
          </cell>
          <cell r="M113">
            <v>467000</v>
          </cell>
          <cell r="N113">
            <v>519000</v>
          </cell>
          <cell r="O113">
            <v>569000</v>
          </cell>
          <cell r="P113">
            <v>599000</v>
          </cell>
          <cell r="Q113">
            <v>0</v>
          </cell>
          <cell r="R113">
            <v>41</v>
          </cell>
          <cell r="S113">
            <v>450000</v>
          </cell>
          <cell r="T113">
            <v>799000</v>
          </cell>
          <cell r="U113">
            <v>935000</v>
          </cell>
          <cell r="V113">
            <v>1039000</v>
          </cell>
          <cell r="W113">
            <v>1139000</v>
          </cell>
          <cell r="X113">
            <v>1199000</v>
          </cell>
          <cell r="Y113">
            <v>0</v>
          </cell>
          <cell r="Z113">
            <v>41</v>
          </cell>
          <cell r="AA113">
            <v>203000</v>
          </cell>
          <cell r="AB113">
            <v>360000</v>
          </cell>
          <cell r="AC113">
            <v>421000</v>
          </cell>
          <cell r="AD113">
            <v>468000</v>
          </cell>
          <cell r="AE113">
            <v>513000</v>
          </cell>
          <cell r="AF113">
            <v>540000</v>
          </cell>
          <cell r="AG113">
            <v>0</v>
          </cell>
          <cell r="AH113">
            <v>41</v>
          </cell>
          <cell r="AI113">
            <v>71000</v>
          </cell>
          <cell r="AJ113">
            <v>127000</v>
          </cell>
          <cell r="AK113">
            <v>149000</v>
          </cell>
          <cell r="AL113">
            <v>165000</v>
          </cell>
          <cell r="AM113">
            <v>181000</v>
          </cell>
          <cell r="AN113">
            <v>190000</v>
          </cell>
          <cell r="AO113">
            <v>0</v>
          </cell>
          <cell r="AP113">
            <v>41</v>
          </cell>
          <cell r="AQ113">
            <v>107000</v>
          </cell>
          <cell r="AR113">
            <v>189000</v>
          </cell>
          <cell r="AS113">
            <v>221000</v>
          </cell>
          <cell r="AT113">
            <v>246000</v>
          </cell>
          <cell r="AU113">
            <v>270000</v>
          </cell>
          <cell r="AV113">
            <v>284000</v>
          </cell>
          <cell r="AW113">
            <v>91900</v>
          </cell>
          <cell r="AX113">
            <v>41</v>
          </cell>
          <cell r="AY113">
            <v>96000</v>
          </cell>
          <cell r="AZ113">
            <v>170000</v>
          </cell>
          <cell r="BA113">
            <v>199000</v>
          </cell>
          <cell r="BB113">
            <v>221000</v>
          </cell>
          <cell r="BC113">
            <v>243000</v>
          </cell>
          <cell r="BD113">
            <v>256000</v>
          </cell>
          <cell r="BE113">
            <v>0</v>
          </cell>
          <cell r="BF113">
            <v>41</v>
          </cell>
          <cell r="BG113">
            <v>46000</v>
          </cell>
          <cell r="BH113">
            <v>82000</v>
          </cell>
          <cell r="BI113">
            <v>96000</v>
          </cell>
          <cell r="BJ113">
            <v>107000</v>
          </cell>
          <cell r="BK113">
            <v>117000</v>
          </cell>
          <cell r="BL113">
            <v>123000</v>
          </cell>
        </row>
        <row r="114">
          <cell r="B114">
            <v>42</v>
          </cell>
          <cell r="C114">
            <v>216000</v>
          </cell>
          <cell r="D114">
            <v>384000</v>
          </cell>
          <cell r="E114">
            <v>449000</v>
          </cell>
          <cell r="F114">
            <v>499000</v>
          </cell>
          <cell r="G114">
            <v>547000</v>
          </cell>
          <cell r="H114">
            <v>576000</v>
          </cell>
          <cell r="I114">
            <v>0</v>
          </cell>
          <cell r="J114">
            <v>42</v>
          </cell>
          <cell r="K114">
            <v>247000</v>
          </cell>
          <cell r="L114">
            <v>439000</v>
          </cell>
          <cell r="M114">
            <v>514000</v>
          </cell>
          <cell r="N114">
            <v>571000</v>
          </cell>
          <cell r="O114">
            <v>626000</v>
          </cell>
          <cell r="P114">
            <v>659000</v>
          </cell>
          <cell r="Q114">
            <v>0</v>
          </cell>
          <cell r="R114">
            <v>42</v>
          </cell>
          <cell r="S114">
            <v>495000</v>
          </cell>
          <cell r="T114">
            <v>880000</v>
          </cell>
          <cell r="U114">
            <v>1029000</v>
          </cell>
          <cell r="V114">
            <v>1143000</v>
          </cell>
          <cell r="W114">
            <v>1253000</v>
          </cell>
          <cell r="X114">
            <v>1319000</v>
          </cell>
          <cell r="Y114">
            <v>0</v>
          </cell>
          <cell r="Z114">
            <v>42</v>
          </cell>
          <cell r="AA114">
            <v>223000</v>
          </cell>
          <cell r="AB114">
            <v>396000</v>
          </cell>
          <cell r="AC114">
            <v>463000</v>
          </cell>
          <cell r="AD114">
            <v>515000</v>
          </cell>
          <cell r="AE114">
            <v>564000</v>
          </cell>
          <cell r="AF114">
            <v>594000</v>
          </cell>
          <cell r="AG114">
            <v>0</v>
          </cell>
          <cell r="AH114">
            <v>42</v>
          </cell>
          <cell r="AI114">
            <v>79000</v>
          </cell>
          <cell r="AJ114">
            <v>140000</v>
          </cell>
          <cell r="AK114">
            <v>163000</v>
          </cell>
          <cell r="AL114">
            <v>182000</v>
          </cell>
          <cell r="AM114">
            <v>199000</v>
          </cell>
          <cell r="AN114">
            <v>209000</v>
          </cell>
          <cell r="AO114">
            <v>0</v>
          </cell>
          <cell r="AP114">
            <v>42</v>
          </cell>
          <cell r="AQ114">
            <v>117000</v>
          </cell>
          <cell r="AR114">
            <v>208000</v>
          </cell>
          <cell r="AS114">
            <v>244000</v>
          </cell>
          <cell r="AT114">
            <v>271000</v>
          </cell>
          <cell r="AU114">
            <v>297000</v>
          </cell>
          <cell r="AV114">
            <v>312000</v>
          </cell>
          <cell r="AW114">
            <v>101100</v>
          </cell>
          <cell r="AX114">
            <v>42</v>
          </cell>
          <cell r="AY114">
            <v>105000</v>
          </cell>
          <cell r="AZ114">
            <v>187000</v>
          </cell>
          <cell r="BA114">
            <v>219000</v>
          </cell>
          <cell r="BB114">
            <v>244000</v>
          </cell>
          <cell r="BC114">
            <v>267000</v>
          </cell>
          <cell r="BD114">
            <v>281000</v>
          </cell>
          <cell r="BE114">
            <v>0</v>
          </cell>
          <cell r="BF114">
            <v>42</v>
          </cell>
          <cell r="BG114">
            <v>51000</v>
          </cell>
          <cell r="BH114">
            <v>90000</v>
          </cell>
          <cell r="BI114">
            <v>105000</v>
          </cell>
          <cell r="BJ114">
            <v>117000</v>
          </cell>
          <cell r="BK114">
            <v>128000</v>
          </cell>
          <cell r="BL114">
            <v>135000</v>
          </cell>
        </row>
        <row r="115">
          <cell r="B115">
            <v>43</v>
          </cell>
          <cell r="C115">
            <v>237000</v>
          </cell>
          <cell r="D115">
            <v>422000</v>
          </cell>
          <cell r="E115">
            <v>494000</v>
          </cell>
          <cell r="F115">
            <v>549000</v>
          </cell>
          <cell r="G115">
            <v>601000</v>
          </cell>
          <cell r="H115">
            <v>633000</v>
          </cell>
          <cell r="I115">
            <v>0</v>
          </cell>
          <cell r="J115">
            <v>43</v>
          </cell>
          <cell r="K115">
            <v>272000</v>
          </cell>
          <cell r="L115">
            <v>483000</v>
          </cell>
          <cell r="M115">
            <v>565000</v>
          </cell>
          <cell r="N115">
            <v>628000</v>
          </cell>
          <cell r="O115">
            <v>689000</v>
          </cell>
          <cell r="P115">
            <v>725000</v>
          </cell>
          <cell r="Q115">
            <v>0</v>
          </cell>
          <cell r="R115">
            <v>43</v>
          </cell>
          <cell r="S115">
            <v>544000</v>
          </cell>
          <cell r="T115">
            <v>967000</v>
          </cell>
          <cell r="U115">
            <v>1132000</v>
          </cell>
          <cell r="V115">
            <v>1258000</v>
          </cell>
          <cell r="W115">
            <v>1379000</v>
          </cell>
          <cell r="X115">
            <v>1451000</v>
          </cell>
          <cell r="Y115">
            <v>0</v>
          </cell>
          <cell r="Z115">
            <v>43</v>
          </cell>
          <cell r="AA115">
            <v>245000</v>
          </cell>
          <cell r="AB115">
            <v>436000</v>
          </cell>
          <cell r="AC115">
            <v>510000</v>
          </cell>
          <cell r="AD115">
            <v>566000</v>
          </cell>
          <cell r="AE115">
            <v>621000</v>
          </cell>
          <cell r="AF115">
            <v>653000</v>
          </cell>
          <cell r="AG115">
            <v>0</v>
          </cell>
          <cell r="AH115">
            <v>43</v>
          </cell>
          <cell r="AI115">
            <v>86000</v>
          </cell>
          <cell r="AJ115">
            <v>154000</v>
          </cell>
          <cell r="AK115">
            <v>180000</v>
          </cell>
          <cell r="AL115">
            <v>200000</v>
          </cell>
          <cell r="AM115">
            <v>219000</v>
          </cell>
          <cell r="AN115">
            <v>230000</v>
          </cell>
          <cell r="AO115">
            <v>0</v>
          </cell>
          <cell r="AP115">
            <v>43</v>
          </cell>
          <cell r="AQ115">
            <v>129000</v>
          </cell>
          <cell r="AR115">
            <v>229000</v>
          </cell>
          <cell r="AS115">
            <v>268000</v>
          </cell>
          <cell r="AT115">
            <v>298000</v>
          </cell>
          <cell r="AU115">
            <v>326000</v>
          </cell>
          <cell r="AV115">
            <v>344000</v>
          </cell>
          <cell r="AW115">
            <v>111200</v>
          </cell>
          <cell r="AX115">
            <v>43</v>
          </cell>
          <cell r="AY115">
            <v>116000</v>
          </cell>
          <cell r="AZ115">
            <v>206000</v>
          </cell>
          <cell r="BA115">
            <v>241000</v>
          </cell>
          <cell r="BB115">
            <v>268000</v>
          </cell>
          <cell r="BC115">
            <v>294000</v>
          </cell>
          <cell r="BD115">
            <v>309000</v>
          </cell>
          <cell r="BE115">
            <v>0</v>
          </cell>
          <cell r="BF115">
            <v>43</v>
          </cell>
          <cell r="BG115">
            <v>56000</v>
          </cell>
          <cell r="BH115">
            <v>99000</v>
          </cell>
          <cell r="BI115">
            <v>116000</v>
          </cell>
          <cell r="BJ115">
            <v>129000</v>
          </cell>
          <cell r="BK115">
            <v>141000</v>
          </cell>
          <cell r="BL115">
            <v>149000</v>
          </cell>
        </row>
        <row r="116">
          <cell r="B116">
            <v>44</v>
          </cell>
          <cell r="C116">
            <v>261000</v>
          </cell>
          <cell r="D116">
            <v>464000</v>
          </cell>
          <cell r="E116">
            <v>543000</v>
          </cell>
          <cell r="F116">
            <v>604000</v>
          </cell>
          <cell r="G116">
            <v>662000</v>
          </cell>
          <cell r="H116">
            <v>696000</v>
          </cell>
          <cell r="I116">
            <v>0</v>
          </cell>
          <cell r="J116">
            <v>44</v>
          </cell>
          <cell r="K116">
            <v>299000</v>
          </cell>
          <cell r="L116">
            <v>532000</v>
          </cell>
          <cell r="M116">
            <v>622000</v>
          </cell>
          <cell r="N116">
            <v>691000</v>
          </cell>
          <cell r="O116">
            <v>758000</v>
          </cell>
          <cell r="P116">
            <v>797000</v>
          </cell>
          <cell r="Q116">
            <v>0</v>
          </cell>
          <cell r="R116">
            <v>44</v>
          </cell>
          <cell r="S116">
            <v>599000</v>
          </cell>
          <cell r="T116">
            <v>1064000</v>
          </cell>
          <cell r="U116">
            <v>1245000</v>
          </cell>
          <cell r="V116">
            <v>1383000</v>
          </cell>
          <cell r="W116">
            <v>1516000</v>
          </cell>
          <cell r="X116">
            <v>1596000</v>
          </cell>
          <cell r="Y116">
            <v>0</v>
          </cell>
          <cell r="Z116">
            <v>44</v>
          </cell>
          <cell r="AA116">
            <v>269000</v>
          </cell>
          <cell r="AB116">
            <v>479000</v>
          </cell>
          <cell r="AC116">
            <v>561000</v>
          </cell>
          <cell r="AD116">
            <v>623000</v>
          </cell>
          <cell r="AE116">
            <v>683000</v>
          </cell>
          <cell r="AF116">
            <v>719000</v>
          </cell>
          <cell r="AG116">
            <v>0</v>
          </cell>
          <cell r="AH116">
            <v>44</v>
          </cell>
          <cell r="AI116">
            <v>95000</v>
          </cell>
          <cell r="AJ116">
            <v>169000</v>
          </cell>
          <cell r="AK116">
            <v>198000</v>
          </cell>
          <cell r="AL116">
            <v>220000</v>
          </cell>
          <cell r="AM116">
            <v>241000</v>
          </cell>
          <cell r="AN116">
            <v>253000</v>
          </cell>
          <cell r="AO116">
            <v>0</v>
          </cell>
          <cell r="AP116">
            <v>44</v>
          </cell>
          <cell r="AQ116">
            <v>142000</v>
          </cell>
          <cell r="AR116">
            <v>252000</v>
          </cell>
          <cell r="AS116">
            <v>295000</v>
          </cell>
          <cell r="AT116">
            <v>328000</v>
          </cell>
          <cell r="AU116">
            <v>359000</v>
          </cell>
          <cell r="AV116">
            <v>378000</v>
          </cell>
          <cell r="AW116">
            <v>122300</v>
          </cell>
          <cell r="AX116">
            <v>44</v>
          </cell>
          <cell r="AY116">
            <v>128000</v>
          </cell>
          <cell r="AZ116">
            <v>227000</v>
          </cell>
          <cell r="BA116">
            <v>265000</v>
          </cell>
          <cell r="BB116">
            <v>295000</v>
          </cell>
          <cell r="BC116">
            <v>323000</v>
          </cell>
          <cell r="BD116">
            <v>340000</v>
          </cell>
          <cell r="BE116">
            <v>0</v>
          </cell>
          <cell r="BF116">
            <v>44</v>
          </cell>
          <cell r="BG116">
            <v>61000</v>
          </cell>
          <cell r="BH116">
            <v>109000</v>
          </cell>
          <cell r="BI116">
            <v>128000</v>
          </cell>
          <cell r="BJ116">
            <v>142000</v>
          </cell>
          <cell r="BK116">
            <v>155000</v>
          </cell>
          <cell r="BL116">
            <v>164000</v>
          </cell>
        </row>
        <row r="117">
          <cell r="B117">
            <v>45</v>
          </cell>
          <cell r="C117">
            <v>287000</v>
          </cell>
          <cell r="D117">
            <v>511000</v>
          </cell>
          <cell r="E117">
            <v>597000</v>
          </cell>
          <cell r="F117">
            <v>664000</v>
          </cell>
          <cell r="G117">
            <v>728000</v>
          </cell>
          <cell r="H117">
            <v>766000</v>
          </cell>
          <cell r="I117">
            <v>0</v>
          </cell>
          <cell r="J117">
            <v>45</v>
          </cell>
          <cell r="K117">
            <v>329000</v>
          </cell>
          <cell r="L117">
            <v>585000</v>
          </cell>
          <cell r="M117">
            <v>684000</v>
          </cell>
          <cell r="N117">
            <v>760000</v>
          </cell>
          <cell r="O117">
            <v>833000</v>
          </cell>
          <cell r="P117">
            <v>877000</v>
          </cell>
          <cell r="Q117">
            <v>0</v>
          </cell>
          <cell r="R117">
            <v>45</v>
          </cell>
          <cell r="S117">
            <v>658000</v>
          </cell>
          <cell r="T117">
            <v>1170000</v>
          </cell>
          <cell r="U117">
            <v>1370000</v>
          </cell>
          <cell r="V117">
            <v>1522000</v>
          </cell>
          <cell r="W117">
            <v>1668000</v>
          </cell>
          <cell r="X117">
            <v>1756000</v>
          </cell>
          <cell r="Y117">
            <v>0</v>
          </cell>
          <cell r="Z117">
            <v>45</v>
          </cell>
          <cell r="AA117">
            <v>297000</v>
          </cell>
          <cell r="AB117">
            <v>527000</v>
          </cell>
          <cell r="AC117">
            <v>617000</v>
          </cell>
          <cell r="AD117">
            <v>685000</v>
          </cell>
          <cell r="AE117">
            <v>751000</v>
          </cell>
          <cell r="AF117">
            <v>791000</v>
          </cell>
          <cell r="AG117">
            <v>0</v>
          </cell>
          <cell r="AH117">
            <v>45</v>
          </cell>
          <cell r="AI117">
            <v>105000</v>
          </cell>
          <cell r="AJ117">
            <v>186000</v>
          </cell>
          <cell r="AK117">
            <v>217000</v>
          </cell>
          <cell r="AL117">
            <v>242000</v>
          </cell>
          <cell r="AM117">
            <v>265000</v>
          </cell>
          <cell r="AN117">
            <v>279000</v>
          </cell>
          <cell r="AO117">
            <v>0</v>
          </cell>
          <cell r="AP117">
            <v>45</v>
          </cell>
          <cell r="AQ117">
            <v>156000</v>
          </cell>
          <cell r="AR117">
            <v>277000</v>
          </cell>
          <cell r="AS117">
            <v>324000</v>
          </cell>
          <cell r="AT117">
            <v>360000</v>
          </cell>
          <cell r="AU117">
            <v>395000</v>
          </cell>
          <cell r="AV117">
            <v>416000</v>
          </cell>
          <cell r="AW117">
            <v>134500</v>
          </cell>
          <cell r="AX117">
            <v>45</v>
          </cell>
          <cell r="AY117">
            <v>140000</v>
          </cell>
          <cell r="AZ117">
            <v>249000</v>
          </cell>
          <cell r="BA117">
            <v>292000</v>
          </cell>
          <cell r="BB117">
            <v>324000</v>
          </cell>
          <cell r="BC117">
            <v>356000</v>
          </cell>
          <cell r="BD117">
            <v>374000</v>
          </cell>
          <cell r="BE117">
            <v>0</v>
          </cell>
          <cell r="BF117">
            <v>45</v>
          </cell>
          <cell r="BG117">
            <v>68000</v>
          </cell>
          <cell r="BH117">
            <v>120000</v>
          </cell>
          <cell r="BI117">
            <v>140000</v>
          </cell>
          <cell r="BJ117">
            <v>156000</v>
          </cell>
          <cell r="BK117">
            <v>171000</v>
          </cell>
          <cell r="BL117">
            <v>180000</v>
          </cell>
        </row>
        <row r="118">
          <cell r="B118">
            <v>46</v>
          </cell>
          <cell r="C118">
            <v>316000</v>
          </cell>
          <cell r="D118">
            <v>562000</v>
          </cell>
          <cell r="E118">
            <v>657000</v>
          </cell>
          <cell r="F118">
            <v>730000</v>
          </cell>
          <cell r="G118">
            <v>801000</v>
          </cell>
          <cell r="H118">
            <v>843000</v>
          </cell>
          <cell r="I118">
            <v>0</v>
          </cell>
          <cell r="J118">
            <v>46</v>
          </cell>
          <cell r="K118">
            <v>362000</v>
          </cell>
          <cell r="L118">
            <v>643000</v>
          </cell>
          <cell r="M118">
            <v>753000</v>
          </cell>
          <cell r="N118">
            <v>836000</v>
          </cell>
          <cell r="O118">
            <v>917000</v>
          </cell>
          <cell r="P118">
            <v>965000</v>
          </cell>
          <cell r="Q118">
            <v>0</v>
          </cell>
          <cell r="R118">
            <v>46</v>
          </cell>
          <cell r="S118">
            <v>724000</v>
          </cell>
          <cell r="T118">
            <v>1288000</v>
          </cell>
          <cell r="U118">
            <v>1506000</v>
          </cell>
          <cell r="V118">
            <v>1674000</v>
          </cell>
          <cell r="W118">
            <v>1835000</v>
          </cell>
          <cell r="X118">
            <v>1931000</v>
          </cell>
          <cell r="Y118">
            <v>0</v>
          </cell>
          <cell r="Z118">
            <v>46</v>
          </cell>
          <cell r="AA118">
            <v>326000</v>
          </cell>
          <cell r="AB118">
            <v>580000</v>
          </cell>
          <cell r="AC118">
            <v>678000</v>
          </cell>
          <cell r="AD118">
            <v>754000</v>
          </cell>
          <cell r="AE118">
            <v>826000</v>
          </cell>
          <cell r="AF118">
            <v>870000</v>
          </cell>
          <cell r="AG118">
            <v>0</v>
          </cell>
          <cell r="AH118">
            <v>46</v>
          </cell>
          <cell r="AI118">
            <v>115000</v>
          </cell>
          <cell r="AJ118">
            <v>204000</v>
          </cell>
          <cell r="AK118">
            <v>239000</v>
          </cell>
          <cell r="AL118">
            <v>266000</v>
          </cell>
          <cell r="AM118">
            <v>291000</v>
          </cell>
          <cell r="AN118">
            <v>307000</v>
          </cell>
          <cell r="AO118">
            <v>0</v>
          </cell>
          <cell r="AP118">
            <v>46</v>
          </cell>
          <cell r="AQ118">
            <v>172000</v>
          </cell>
          <cell r="AR118">
            <v>305000</v>
          </cell>
          <cell r="AS118">
            <v>357000</v>
          </cell>
          <cell r="AT118">
            <v>396000</v>
          </cell>
          <cell r="AU118">
            <v>435000</v>
          </cell>
          <cell r="AV118">
            <v>457000</v>
          </cell>
          <cell r="AW118">
            <v>148000</v>
          </cell>
          <cell r="AX118">
            <v>46</v>
          </cell>
          <cell r="AY118">
            <v>154000</v>
          </cell>
          <cell r="AZ118">
            <v>274000</v>
          </cell>
          <cell r="BA118">
            <v>321000</v>
          </cell>
          <cell r="BB118">
            <v>357000</v>
          </cell>
          <cell r="BC118">
            <v>391000</v>
          </cell>
          <cell r="BD118">
            <v>412000</v>
          </cell>
          <cell r="BE118">
            <v>0</v>
          </cell>
          <cell r="BF118">
            <v>46</v>
          </cell>
          <cell r="BG118">
            <v>74000</v>
          </cell>
          <cell r="BH118">
            <v>132000</v>
          </cell>
          <cell r="BI118">
            <v>154000</v>
          </cell>
          <cell r="BJ118">
            <v>172000</v>
          </cell>
          <cell r="BK118">
            <v>188000</v>
          </cell>
          <cell r="BL118">
            <v>198000</v>
          </cell>
        </row>
        <row r="119">
          <cell r="B119">
            <v>47</v>
          </cell>
          <cell r="C119">
            <v>348000</v>
          </cell>
          <cell r="D119">
            <v>618000</v>
          </cell>
          <cell r="E119">
            <v>723000</v>
          </cell>
          <cell r="F119">
            <v>803000</v>
          </cell>
          <cell r="G119">
            <v>881000</v>
          </cell>
          <cell r="H119">
            <v>927000</v>
          </cell>
          <cell r="I119">
            <v>0</v>
          </cell>
          <cell r="J119">
            <v>47</v>
          </cell>
          <cell r="K119">
            <v>398000</v>
          </cell>
          <cell r="L119">
            <v>708000</v>
          </cell>
          <cell r="M119">
            <v>828000</v>
          </cell>
          <cell r="N119">
            <v>920000</v>
          </cell>
          <cell r="O119">
            <v>1008000</v>
          </cell>
          <cell r="P119">
            <v>1061000</v>
          </cell>
          <cell r="Q119">
            <v>0</v>
          </cell>
          <cell r="R119">
            <v>47</v>
          </cell>
          <cell r="S119">
            <v>797000</v>
          </cell>
          <cell r="T119">
            <v>1416000</v>
          </cell>
          <cell r="U119">
            <v>1657000</v>
          </cell>
          <cell r="V119">
            <v>1841000</v>
          </cell>
          <cell r="W119">
            <v>2018000</v>
          </cell>
          <cell r="X119">
            <v>2124000</v>
          </cell>
          <cell r="Y119">
            <v>0</v>
          </cell>
          <cell r="Z119">
            <v>47</v>
          </cell>
          <cell r="AA119">
            <v>359000</v>
          </cell>
          <cell r="AB119">
            <v>638000</v>
          </cell>
          <cell r="AC119">
            <v>746000</v>
          </cell>
          <cell r="AD119">
            <v>829000</v>
          </cell>
          <cell r="AE119">
            <v>909000</v>
          </cell>
          <cell r="AF119">
            <v>957000</v>
          </cell>
          <cell r="AG119">
            <v>0</v>
          </cell>
          <cell r="AH119">
            <v>47</v>
          </cell>
          <cell r="AI119">
            <v>127000</v>
          </cell>
          <cell r="AJ119">
            <v>225000</v>
          </cell>
          <cell r="AK119">
            <v>263000</v>
          </cell>
          <cell r="AL119">
            <v>292000</v>
          </cell>
          <cell r="AM119">
            <v>321000</v>
          </cell>
          <cell r="AN119">
            <v>337000</v>
          </cell>
          <cell r="AO119">
            <v>0</v>
          </cell>
          <cell r="AP119">
            <v>47</v>
          </cell>
          <cell r="AQ119">
            <v>189000</v>
          </cell>
          <cell r="AR119">
            <v>335000</v>
          </cell>
          <cell r="AS119">
            <v>392000</v>
          </cell>
          <cell r="AT119">
            <v>436000</v>
          </cell>
          <cell r="AU119">
            <v>478000</v>
          </cell>
          <cell r="AV119">
            <v>503000</v>
          </cell>
          <cell r="AW119">
            <v>162800</v>
          </cell>
          <cell r="AX119">
            <v>47</v>
          </cell>
          <cell r="AY119">
            <v>170000</v>
          </cell>
          <cell r="AZ119">
            <v>302000</v>
          </cell>
          <cell r="BA119">
            <v>353000</v>
          </cell>
          <cell r="BB119">
            <v>392000</v>
          </cell>
          <cell r="BC119">
            <v>430000</v>
          </cell>
          <cell r="BD119">
            <v>453000</v>
          </cell>
          <cell r="BE119">
            <v>0</v>
          </cell>
          <cell r="BF119">
            <v>47</v>
          </cell>
          <cell r="BG119">
            <v>82000</v>
          </cell>
          <cell r="BH119">
            <v>145000</v>
          </cell>
          <cell r="BI119">
            <v>170000</v>
          </cell>
          <cell r="BJ119">
            <v>189000</v>
          </cell>
          <cell r="BK119">
            <v>207000</v>
          </cell>
          <cell r="BL119">
            <v>218000</v>
          </cell>
        </row>
        <row r="120">
          <cell r="B120">
            <v>48</v>
          </cell>
          <cell r="C120">
            <v>382000</v>
          </cell>
          <cell r="D120">
            <v>680000</v>
          </cell>
          <cell r="E120">
            <v>795000</v>
          </cell>
          <cell r="F120">
            <v>884000</v>
          </cell>
          <cell r="G120">
            <v>969000</v>
          </cell>
          <cell r="H120">
            <v>1020000</v>
          </cell>
          <cell r="I120">
            <v>0</v>
          </cell>
          <cell r="J120">
            <v>48</v>
          </cell>
          <cell r="K120">
            <v>438000</v>
          </cell>
          <cell r="L120">
            <v>778000</v>
          </cell>
          <cell r="M120">
            <v>911000</v>
          </cell>
          <cell r="N120">
            <v>1012000</v>
          </cell>
          <cell r="O120">
            <v>1109000</v>
          </cell>
          <cell r="P120">
            <v>1167000</v>
          </cell>
          <cell r="Q120">
            <v>0</v>
          </cell>
          <cell r="R120">
            <v>48</v>
          </cell>
          <cell r="S120">
            <v>876000</v>
          </cell>
          <cell r="T120">
            <v>1558000</v>
          </cell>
          <cell r="U120">
            <v>1823000</v>
          </cell>
          <cell r="V120">
            <v>2025000</v>
          </cell>
          <cell r="W120">
            <v>2220000</v>
          </cell>
          <cell r="X120">
            <v>2337000</v>
          </cell>
          <cell r="Y120">
            <v>0</v>
          </cell>
          <cell r="Z120">
            <v>48</v>
          </cell>
          <cell r="AA120">
            <v>395000</v>
          </cell>
          <cell r="AB120">
            <v>702000</v>
          </cell>
          <cell r="AC120">
            <v>821000</v>
          </cell>
          <cell r="AD120">
            <v>912000</v>
          </cell>
          <cell r="AE120">
            <v>1000000</v>
          </cell>
          <cell r="AF120">
            <v>1052000</v>
          </cell>
          <cell r="AG120">
            <v>0</v>
          </cell>
          <cell r="AH120">
            <v>48</v>
          </cell>
          <cell r="AI120">
            <v>139000</v>
          </cell>
          <cell r="AJ120">
            <v>247000</v>
          </cell>
          <cell r="AK120">
            <v>289000</v>
          </cell>
          <cell r="AL120">
            <v>322000</v>
          </cell>
          <cell r="AM120">
            <v>353000</v>
          </cell>
          <cell r="AN120">
            <v>371000</v>
          </cell>
          <cell r="AO120">
            <v>0</v>
          </cell>
          <cell r="AP120">
            <v>48</v>
          </cell>
          <cell r="AQ120">
            <v>208000</v>
          </cell>
          <cell r="AR120">
            <v>369000</v>
          </cell>
          <cell r="AS120">
            <v>432000</v>
          </cell>
          <cell r="AT120">
            <v>480000</v>
          </cell>
          <cell r="AU120">
            <v>526000</v>
          </cell>
          <cell r="AV120">
            <v>553000</v>
          </cell>
          <cell r="AW120">
            <v>179000</v>
          </cell>
          <cell r="AX120">
            <v>48</v>
          </cell>
          <cell r="AY120">
            <v>187000</v>
          </cell>
          <cell r="AZ120">
            <v>332000</v>
          </cell>
          <cell r="BA120">
            <v>389000</v>
          </cell>
          <cell r="BB120">
            <v>432000</v>
          </cell>
          <cell r="BC120">
            <v>473000</v>
          </cell>
          <cell r="BD120">
            <v>498000</v>
          </cell>
          <cell r="BE120">
            <v>0</v>
          </cell>
          <cell r="BF120">
            <v>48</v>
          </cell>
          <cell r="BG120">
            <v>90000</v>
          </cell>
          <cell r="BH120">
            <v>160000</v>
          </cell>
          <cell r="BI120">
            <v>187000</v>
          </cell>
          <cell r="BJ120">
            <v>208000</v>
          </cell>
          <cell r="BK120">
            <v>228000</v>
          </cell>
          <cell r="BL120">
            <v>240000</v>
          </cell>
        </row>
        <row r="121">
          <cell r="B121">
            <v>49</v>
          </cell>
          <cell r="C121">
            <v>421000</v>
          </cell>
          <cell r="D121">
            <v>748000</v>
          </cell>
          <cell r="E121">
            <v>875000</v>
          </cell>
          <cell r="F121">
            <v>972000</v>
          </cell>
          <cell r="G121">
            <v>1066000</v>
          </cell>
          <cell r="H121">
            <v>1122000</v>
          </cell>
          <cell r="I121">
            <v>0</v>
          </cell>
          <cell r="J121">
            <v>49</v>
          </cell>
          <cell r="K121">
            <v>482000</v>
          </cell>
          <cell r="L121">
            <v>856000</v>
          </cell>
          <cell r="M121">
            <v>1002000</v>
          </cell>
          <cell r="N121">
            <v>1113000</v>
          </cell>
          <cell r="O121">
            <v>1220000</v>
          </cell>
          <cell r="P121">
            <v>1284000</v>
          </cell>
          <cell r="Q121">
            <v>0</v>
          </cell>
          <cell r="R121">
            <v>49</v>
          </cell>
          <cell r="S121">
            <v>964000</v>
          </cell>
          <cell r="T121">
            <v>1714000</v>
          </cell>
          <cell r="U121">
            <v>2005000</v>
          </cell>
          <cell r="V121">
            <v>2228000</v>
          </cell>
          <cell r="W121">
            <v>2442000</v>
          </cell>
          <cell r="X121">
            <v>2571000</v>
          </cell>
          <cell r="Y121">
            <v>0</v>
          </cell>
          <cell r="Z121">
            <v>49</v>
          </cell>
          <cell r="AA121">
            <v>434000</v>
          </cell>
          <cell r="AB121">
            <v>772000</v>
          </cell>
          <cell r="AC121">
            <v>903000</v>
          </cell>
          <cell r="AD121">
            <v>1003000</v>
          </cell>
          <cell r="AE121">
            <v>1100000</v>
          </cell>
          <cell r="AF121">
            <v>1158000</v>
          </cell>
          <cell r="AG121">
            <v>0</v>
          </cell>
          <cell r="AH121">
            <v>49</v>
          </cell>
          <cell r="AI121">
            <v>153000</v>
          </cell>
          <cell r="AJ121">
            <v>272000</v>
          </cell>
          <cell r="AK121">
            <v>318000</v>
          </cell>
          <cell r="AL121">
            <v>354000</v>
          </cell>
          <cell r="AM121">
            <v>388000</v>
          </cell>
          <cell r="AN121">
            <v>408000</v>
          </cell>
          <cell r="AO121">
            <v>0</v>
          </cell>
          <cell r="AP121">
            <v>49</v>
          </cell>
          <cell r="AQ121">
            <v>228000</v>
          </cell>
          <cell r="AR121">
            <v>406000</v>
          </cell>
          <cell r="AS121">
            <v>475000</v>
          </cell>
          <cell r="AT121">
            <v>528000</v>
          </cell>
          <cell r="AU121">
            <v>578000</v>
          </cell>
          <cell r="AV121">
            <v>609000</v>
          </cell>
          <cell r="AW121">
            <v>197000</v>
          </cell>
          <cell r="AX121">
            <v>49</v>
          </cell>
          <cell r="AY121">
            <v>206000</v>
          </cell>
          <cell r="AZ121">
            <v>365000</v>
          </cell>
          <cell r="BA121">
            <v>427000</v>
          </cell>
          <cell r="BB121">
            <v>475000</v>
          </cell>
          <cell r="BC121">
            <v>521000</v>
          </cell>
          <cell r="BD121">
            <v>548000</v>
          </cell>
          <cell r="BE121">
            <v>0</v>
          </cell>
          <cell r="BF121">
            <v>49</v>
          </cell>
          <cell r="BG121">
            <v>99000</v>
          </cell>
          <cell r="BH121">
            <v>176000</v>
          </cell>
          <cell r="BI121">
            <v>206000</v>
          </cell>
          <cell r="BJ121">
            <v>228000</v>
          </cell>
          <cell r="BK121">
            <v>250000</v>
          </cell>
          <cell r="BL121">
            <v>263000</v>
          </cell>
        </row>
        <row r="122">
          <cell r="B122">
            <v>50</v>
          </cell>
          <cell r="C122">
            <v>463000</v>
          </cell>
          <cell r="D122">
            <v>822000</v>
          </cell>
          <cell r="E122">
            <v>962000</v>
          </cell>
          <cell r="F122">
            <v>1069000</v>
          </cell>
          <cell r="G122">
            <v>1172000</v>
          </cell>
          <cell r="H122">
            <v>1234000</v>
          </cell>
          <cell r="I122">
            <v>0</v>
          </cell>
          <cell r="J122">
            <v>50</v>
          </cell>
          <cell r="K122">
            <v>530000</v>
          </cell>
          <cell r="L122">
            <v>942000</v>
          </cell>
          <cell r="M122">
            <v>1102000</v>
          </cell>
          <cell r="N122">
            <v>1224000</v>
          </cell>
          <cell r="O122">
            <v>1342000</v>
          </cell>
          <cell r="P122">
            <v>1413000</v>
          </cell>
          <cell r="Q122">
            <v>0</v>
          </cell>
          <cell r="R122">
            <v>50</v>
          </cell>
          <cell r="S122">
            <v>1060000</v>
          </cell>
          <cell r="T122">
            <v>1885000</v>
          </cell>
          <cell r="U122">
            <v>2206000</v>
          </cell>
          <cell r="V122">
            <v>2451000</v>
          </cell>
          <cell r="W122">
            <v>2686000</v>
          </cell>
          <cell r="X122">
            <v>2828000</v>
          </cell>
          <cell r="Y122">
            <v>0</v>
          </cell>
          <cell r="Z122">
            <v>50</v>
          </cell>
          <cell r="AA122">
            <v>478000</v>
          </cell>
          <cell r="AB122">
            <v>849000</v>
          </cell>
          <cell r="AC122">
            <v>993000</v>
          </cell>
          <cell r="AD122">
            <v>1103000</v>
          </cell>
          <cell r="AE122">
            <v>1210000</v>
          </cell>
          <cell r="AF122">
            <v>1273000</v>
          </cell>
          <cell r="AG122">
            <v>0</v>
          </cell>
          <cell r="AH122">
            <v>50</v>
          </cell>
          <cell r="AI122">
            <v>168000</v>
          </cell>
          <cell r="AJ122">
            <v>299000</v>
          </cell>
          <cell r="AK122">
            <v>350000</v>
          </cell>
          <cell r="AL122">
            <v>389000</v>
          </cell>
          <cell r="AM122">
            <v>427000</v>
          </cell>
          <cell r="AN122">
            <v>449000</v>
          </cell>
          <cell r="AO122">
            <v>0</v>
          </cell>
          <cell r="AP122">
            <v>50</v>
          </cell>
          <cell r="AQ122">
            <v>251000</v>
          </cell>
          <cell r="AR122">
            <v>446000</v>
          </cell>
          <cell r="AS122">
            <v>522000</v>
          </cell>
          <cell r="AT122">
            <v>580000</v>
          </cell>
          <cell r="AU122">
            <v>636000</v>
          </cell>
          <cell r="AV122">
            <v>670000</v>
          </cell>
          <cell r="AW122">
            <v>216600</v>
          </cell>
          <cell r="AX122">
            <v>50</v>
          </cell>
          <cell r="AY122">
            <v>226000</v>
          </cell>
          <cell r="AZ122">
            <v>402000</v>
          </cell>
          <cell r="BA122">
            <v>470000</v>
          </cell>
          <cell r="BB122">
            <v>522000</v>
          </cell>
          <cell r="BC122">
            <v>573000</v>
          </cell>
          <cell r="BD122">
            <v>603000</v>
          </cell>
          <cell r="BE122">
            <v>0</v>
          </cell>
          <cell r="BF122">
            <v>50</v>
          </cell>
          <cell r="BG122">
            <v>109000</v>
          </cell>
          <cell r="BH122">
            <v>193000</v>
          </cell>
          <cell r="BI122">
            <v>226000</v>
          </cell>
          <cell r="BJ122">
            <v>251000</v>
          </cell>
          <cell r="BK122">
            <v>275000</v>
          </cell>
          <cell r="BL122">
            <v>290000</v>
          </cell>
        </row>
        <row r="123">
          <cell r="B123">
            <v>51</v>
          </cell>
          <cell r="C123">
            <v>509000</v>
          </cell>
          <cell r="D123">
            <v>905000</v>
          </cell>
          <cell r="E123">
            <v>1058000</v>
          </cell>
          <cell r="F123">
            <v>1176000</v>
          </cell>
          <cell r="G123">
            <v>1289000</v>
          </cell>
          <cell r="H123">
            <v>1357000</v>
          </cell>
          <cell r="I123">
            <v>0</v>
          </cell>
          <cell r="J123">
            <v>51</v>
          </cell>
          <cell r="K123">
            <v>583000</v>
          </cell>
          <cell r="L123">
            <v>1036000</v>
          </cell>
          <cell r="M123">
            <v>1212000</v>
          </cell>
          <cell r="N123">
            <v>1347000</v>
          </cell>
          <cell r="O123">
            <v>1476000</v>
          </cell>
          <cell r="P123">
            <v>1554000</v>
          </cell>
          <cell r="Q123">
            <v>0</v>
          </cell>
          <cell r="R123">
            <v>51</v>
          </cell>
          <cell r="S123">
            <v>1166000</v>
          </cell>
          <cell r="T123">
            <v>2074000</v>
          </cell>
          <cell r="U123">
            <v>2426000</v>
          </cell>
          <cell r="V123">
            <v>2696000</v>
          </cell>
          <cell r="W123">
            <v>2955000</v>
          </cell>
          <cell r="X123">
            <v>3110000</v>
          </cell>
          <cell r="Y123">
            <v>0</v>
          </cell>
          <cell r="Z123">
            <v>51</v>
          </cell>
          <cell r="AA123">
            <v>525000</v>
          </cell>
          <cell r="AB123">
            <v>934000</v>
          </cell>
          <cell r="AC123">
            <v>1092000</v>
          </cell>
          <cell r="AD123">
            <v>1214000</v>
          </cell>
          <cell r="AE123">
            <v>1330000</v>
          </cell>
          <cell r="AF123">
            <v>1400000</v>
          </cell>
          <cell r="AG123">
            <v>0</v>
          </cell>
          <cell r="AH123">
            <v>51</v>
          </cell>
          <cell r="AI123">
            <v>185000</v>
          </cell>
          <cell r="AJ123">
            <v>329000</v>
          </cell>
          <cell r="AK123">
            <v>385000</v>
          </cell>
          <cell r="AL123">
            <v>428000</v>
          </cell>
          <cell r="AM123">
            <v>469000</v>
          </cell>
          <cell r="AN123">
            <v>494000</v>
          </cell>
          <cell r="AO123">
            <v>0</v>
          </cell>
          <cell r="AP123">
            <v>51</v>
          </cell>
          <cell r="AQ123">
            <v>276000</v>
          </cell>
          <cell r="AR123">
            <v>491000</v>
          </cell>
          <cell r="AS123">
            <v>575000</v>
          </cell>
          <cell r="AT123">
            <v>638000</v>
          </cell>
          <cell r="AU123">
            <v>700000</v>
          </cell>
          <cell r="AV123">
            <v>737000</v>
          </cell>
          <cell r="AW123">
            <v>238300</v>
          </cell>
          <cell r="AX123">
            <v>51</v>
          </cell>
          <cell r="AY123">
            <v>249000</v>
          </cell>
          <cell r="AZ123">
            <v>442000</v>
          </cell>
          <cell r="BA123">
            <v>517000</v>
          </cell>
          <cell r="BB123">
            <v>575000</v>
          </cell>
          <cell r="BC123">
            <v>630000</v>
          </cell>
          <cell r="BD123">
            <v>663000</v>
          </cell>
          <cell r="BE123">
            <v>0</v>
          </cell>
          <cell r="BF123">
            <v>51</v>
          </cell>
          <cell r="BG123">
            <v>120000</v>
          </cell>
          <cell r="BH123">
            <v>213000</v>
          </cell>
          <cell r="BI123">
            <v>249000</v>
          </cell>
          <cell r="BJ123">
            <v>276000</v>
          </cell>
          <cell r="BK123">
            <v>303000</v>
          </cell>
          <cell r="BL123">
            <v>319000</v>
          </cell>
        </row>
        <row r="124">
          <cell r="B124">
            <v>52</v>
          </cell>
          <cell r="C124">
            <v>560000</v>
          </cell>
          <cell r="D124">
            <v>995000</v>
          </cell>
          <cell r="E124">
            <v>1164000</v>
          </cell>
          <cell r="F124">
            <v>1294000</v>
          </cell>
          <cell r="G124">
            <v>1418000</v>
          </cell>
          <cell r="H124">
            <v>1493000</v>
          </cell>
          <cell r="I124">
            <v>0</v>
          </cell>
          <cell r="J124">
            <v>52</v>
          </cell>
          <cell r="K124">
            <v>641000</v>
          </cell>
          <cell r="L124">
            <v>1139000</v>
          </cell>
          <cell r="M124">
            <v>1333000</v>
          </cell>
          <cell r="N124">
            <v>1481000</v>
          </cell>
          <cell r="O124">
            <v>1624000</v>
          </cell>
          <cell r="P124">
            <v>1709000</v>
          </cell>
          <cell r="Q124">
            <v>0</v>
          </cell>
          <cell r="R124">
            <v>52</v>
          </cell>
          <cell r="S124">
            <v>1283000</v>
          </cell>
          <cell r="T124">
            <v>2281000</v>
          </cell>
          <cell r="U124">
            <v>2669000</v>
          </cell>
          <cell r="V124">
            <v>2965000</v>
          </cell>
          <cell r="W124">
            <v>3250000</v>
          </cell>
          <cell r="X124">
            <v>3421000</v>
          </cell>
          <cell r="Y124">
            <v>0</v>
          </cell>
          <cell r="Z124">
            <v>52</v>
          </cell>
          <cell r="AA124">
            <v>578000</v>
          </cell>
          <cell r="AB124">
            <v>1027000</v>
          </cell>
          <cell r="AC124">
            <v>1202000</v>
          </cell>
          <cell r="AD124">
            <v>1335000</v>
          </cell>
          <cell r="AE124">
            <v>1464000</v>
          </cell>
          <cell r="AF124">
            <v>1541000</v>
          </cell>
          <cell r="AG124">
            <v>0</v>
          </cell>
          <cell r="AH124">
            <v>52</v>
          </cell>
          <cell r="AI124">
            <v>204000</v>
          </cell>
          <cell r="AJ124">
            <v>362000</v>
          </cell>
          <cell r="AK124">
            <v>424000</v>
          </cell>
          <cell r="AL124">
            <v>471000</v>
          </cell>
          <cell r="AM124">
            <v>516000</v>
          </cell>
          <cell r="AN124">
            <v>543000</v>
          </cell>
          <cell r="AO124">
            <v>0</v>
          </cell>
          <cell r="AP124">
            <v>52</v>
          </cell>
          <cell r="AQ124">
            <v>304000</v>
          </cell>
          <cell r="AR124">
            <v>540000</v>
          </cell>
          <cell r="AS124">
            <v>632000</v>
          </cell>
          <cell r="AT124">
            <v>702000</v>
          </cell>
          <cell r="AU124">
            <v>770000</v>
          </cell>
          <cell r="AV124">
            <v>810000</v>
          </cell>
          <cell r="AW124">
            <v>262100</v>
          </cell>
          <cell r="AX124">
            <v>52</v>
          </cell>
          <cell r="AY124">
            <v>273000</v>
          </cell>
          <cell r="AZ124">
            <v>486000</v>
          </cell>
          <cell r="BA124">
            <v>569000</v>
          </cell>
          <cell r="BB124">
            <v>632000</v>
          </cell>
          <cell r="BC124">
            <v>693000</v>
          </cell>
          <cell r="BD124">
            <v>729000</v>
          </cell>
          <cell r="BE124">
            <v>0</v>
          </cell>
          <cell r="BF124">
            <v>52</v>
          </cell>
          <cell r="BG124">
            <v>131000</v>
          </cell>
          <cell r="BH124">
            <v>234000</v>
          </cell>
          <cell r="BI124">
            <v>274000</v>
          </cell>
          <cell r="BJ124">
            <v>304000</v>
          </cell>
          <cell r="BK124">
            <v>333000</v>
          </cell>
          <cell r="BL124">
            <v>351000</v>
          </cell>
        </row>
        <row r="125">
          <cell r="B125">
            <v>53</v>
          </cell>
          <cell r="C125">
            <v>616000</v>
          </cell>
          <cell r="D125">
            <v>1095000</v>
          </cell>
          <cell r="E125">
            <v>1281000</v>
          </cell>
          <cell r="F125">
            <v>1423000</v>
          </cell>
          <cell r="G125">
            <v>1560000</v>
          </cell>
          <cell r="H125">
            <v>1642000</v>
          </cell>
          <cell r="I125">
            <v>0</v>
          </cell>
          <cell r="J125">
            <v>53</v>
          </cell>
          <cell r="K125">
            <v>705000</v>
          </cell>
          <cell r="L125">
            <v>1254000</v>
          </cell>
          <cell r="M125">
            <v>1467000</v>
          </cell>
          <cell r="N125">
            <v>1630000</v>
          </cell>
          <cell r="O125">
            <v>1786000</v>
          </cell>
          <cell r="P125">
            <v>1880000</v>
          </cell>
          <cell r="Q125">
            <v>0</v>
          </cell>
          <cell r="R125">
            <v>53</v>
          </cell>
          <cell r="S125">
            <v>1411000</v>
          </cell>
          <cell r="T125">
            <v>2509000</v>
          </cell>
          <cell r="U125">
            <v>2936000</v>
          </cell>
          <cell r="V125">
            <v>3262000</v>
          </cell>
          <cell r="W125">
            <v>3576000</v>
          </cell>
          <cell r="X125">
            <v>3764000</v>
          </cell>
          <cell r="Y125">
            <v>0</v>
          </cell>
          <cell r="Z125">
            <v>53</v>
          </cell>
          <cell r="AA125">
            <v>636000</v>
          </cell>
          <cell r="AB125">
            <v>1130000</v>
          </cell>
          <cell r="AC125">
            <v>1322000</v>
          </cell>
          <cell r="AD125">
            <v>1469000</v>
          </cell>
          <cell r="AE125">
            <v>1610000</v>
          </cell>
          <cell r="AF125">
            <v>1695000</v>
          </cell>
          <cell r="AG125">
            <v>0</v>
          </cell>
          <cell r="AH125">
            <v>53</v>
          </cell>
          <cell r="AI125">
            <v>224000</v>
          </cell>
          <cell r="AJ125">
            <v>398000</v>
          </cell>
          <cell r="AK125">
            <v>466000</v>
          </cell>
          <cell r="AL125">
            <v>518000</v>
          </cell>
          <cell r="AM125">
            <v>568000</v>
          </cell>
          <cell r="AN125">
            <v>598000</v>
          </cell>
          <cell r="AO125">
            <v>0</v>
          </cell>
          <cell r="AP125">
            <v>53</v>
          </cell>
          <cell r="AQ125">
            <v>334000</v>
          </cell>
          <cell r="AR125">
            <v>594000</v>
          </cell>
          <cell r="AS125">
            <v>695000</v>
          </cell>
          <cell r="AT125">
            <v>773000</v>
          </cell>
          <cell r="AU125">
            <v>847000</v>
          </cell>
          <cell r="AV125">
            <v>891000</v>
          </cell>
          <cell r="AW125">
            <v>288400</v>
          </cell>
          <cell r="AX125">
            <v>53</v>
          </cell>
          <cell r="AY125">
            <v>301000</v>
          </cell>
          <cell r="AZ125">
            <v>535000</v>
          </cell>
          <cell r="BA125">
            <v>626000</v>
          </cell>
          <cell r="BB125">
            <v>695000</v>
          </cell>
          <cell r="BC125">
            <v>762000</v>
          </cell>
          <cell r="BD125">
            <v>802000</v>
          </cell>
          <cell r="BE125">
            <v>0</v>
          </cell>
          <cell r="BF125">
            <v>53</v>
          </cell>
          <cell r="BG125">
            <v>145000</v>
          </cell>
          <cell r="BH125">
            <v>257000</v>
          </cell>
          <cell r="BI125">
            <v>301000</v>
          </cell>
          <cell r="BJ125">
            <v>334000</v>
          </cell>
          <cell r="BK125">
            <v>366000</v>
          </cell>
          <cell r="BL125">
            <v>386000</v>
          </cell>
        </row>
        <row r="126">
          <cell r="B126">
            <v>54</v>
          </cell>
          <cell r="C126">
            <v>677000</v>
          </cell>
          <cell r="D126">
            <v>1204000</v>
          </cell>
          <cell r="E126">
            <v>1409000</v>
          </cell>
          <cell r="F126">
            <v>1565000</v>
          </cell>
          <cell r="G126">
            <v>1716000</v>
          </cell>
          <cell r="H126">
            <v>1806000</v>
          </cell>
          <cell r="I126">
            <v>0</v>
          </cell>
          <cell r="J126">
            <v>54</v>
          </cell>
          <cell r="K126">
            <v>776000</v>
          </cell>
          <cell r="L126">
            <v>1379000</v>
          </cell>
          <cell r="M126">
            <v>1613000</v>
          </cell>
          <cell r="N126">
            <v>1792000</v>
          </cell>
          <cell r="O126">
            <v>1965000</v>
          </cell>
          <cell r="P126">
            <v>2068000</v>
          </cell>
          <cell r="Q126">
            <v>0</v>
          </cell>
          <cell r="R126">
            <v>54</v>
          </cell>
          <cell r="S126">
            <v>1552000</v>
          </cell>
          <cell r="T126">
            <v>2760000</v>
          </cell>
          <cell r="U126">
            <v>3229000</v>
          </cell>
          <cell r="V126">
            <v>3588000</v>
          </cell>
          <cell r="W126">
            <v>3933000</v>
          </cell>
          <cell r="X126">
            <v>4140000</v>
          </cell>
          <cell r="Y126">
            <v>0</v>
          </cell>
          <cell r="Z126">
            <v>54</v>
          </cell>
          <cell r="AA126">
            <v>699000</v>
          </cell>
          <cell r="AB126">
            <v>1243000</v>
          </cell>
          <cell r="AC126">
            <v>1454000</v>
          </cell>
          <cell r="AD126">
            <v>1616000</v>
          </cell>
          <cell r="AE126">
            <v>1771000</v>
          </cell>
          <cell r="AF126">
            <v>1864000</v>
          </cell>
          <cell r="AG126">
            <v>0</v>
          </cell>
          <cell r="AH126">
            <v>54</v>
          </cell>
          <cell r="AI126">
            <v>247000</v>
          </cell>
          <cell r="AJ126">
            <v>438000</v>
          </cell>
          <cell r="AK126">
            <v>513000</v>
          </cell>
          <cell r="AL126">
            <v>570000</v>
          </cell>
          <cell r="AM126">
            <v>625000</v>
          </cell>
          <cell r="AN126">
            <v>657000</v>
          </cell>
          <cell r="AO126">
            <v>0</v>
          </cell>
          <cell r="AP126">
            <v>54</v>
          </cell>
          <cell r="AQ126">
            <v>368000</v>
          </cell>
          <cell r="AR126">
            <v>654000</v>
          </cell>
          <cell r="AS126">
            <v>765000</v>
          </cell>
          <cell r="AT126">
            <v>850000</v>
          </cell>
          <cell r="AU126">
            <v>931000</v>
          </cell>
          <cell r="AV126">
            <v>980000</v>
          </cell>
          <cell r="AW126">
            <v>317200</v>
          </cell>
          <cell r="AX126">
            <v>54</v>
          </cell>
          <cell r="AY126">
            <v>331000</v>
          </cell>
          <cell r="AZ126">
            <v>588000</v>
          </cell>
          <cell r="BA126">
            <v>688000</v>
          </cell>
          <cell r="BB126">
            <v>765000</v>
          </cell>
          <cell r="BC126">
            <v>838000</v>
          </cell>
          <cell r="BD126">
            <v>882000</v>
          </cell>
          <cell r="BE126">
            <v>0</v>
          </cell>
          <cell r="BF126">
            <v>54</v>
          </cell>
          <cell r="BG126">
            <v>159000</v>
          </cell>
          <cell r="BH126">
            <v>283000</v>
          </cell>
          <cell r="BI126">
            <v>331000</v>
          </cell>
          <cell r="BJ126">
            <v>368000</v>
          </cell>
          <cell r="BK126">
            <v>403000</v>
          </cell>
          <cell r="BL126">
            <v>424000</v>
          </cell>
        </row>
        <row r="127">
          <cell r="B127">
            <v>55</v>
          </cell>
          <cell r="C127">
            <v>745000</v>
          </cell>
          <cell r="D127">
            <v>1324000</v>
          </cell>
          <cell r="E127">
            <v>1550000</v>
          </cell>
          <cell r="F127">
            <v>1722000</v>
          </cell>
          <cell r="G127">
            <v>1887000</v>
          </cell>
          <cell r="H127">
            <v>1987000</v>
          </cell>
          <cell r="I127">
            <v>0</v>
          </cell>
          <cell r="J127">
            <v>55</v>
          </cell>
          <cell r="K127">
            <v>853000</v>
          </cell>
          <cell r="L127">
            <v>1517000</v>
          </cell>
          <cell r="M127">
            <v>1775000</v>
          </cell>
          <cell r="N127">
            <v>1972000</v>
          </cell>
          <cell r="O127">
            <v>2161000</v>
          </cell>
          <cell r="P127">
            <v>2275000</v>
          </cell>
          <cell r="Q127">
            <v>0</v>
          </cell>
          <cell r="R127">
            <v>55</v>
          </cell>
          <cell r="S127">
            <v>1708000</v>
          </cell>
          <cell r="T127">
            <v>3036000</v>
          </cell>
          <cell r="U127">
            <v>3552000</v>
          </cell>
          <cell r="V127">
            <v>3947000</v>
          </cell>
          <cell r="W127">
            <v>4326000</v>
          </cell>
          <cell r="X127">
            <v>4554000</v>
          </cell>
          <cell r="Y127">
            <v>0</v>
          </cell>
          <cell r="Z127">
            <v>55</v>
          </cell>
          <cell r="AA127">
            <v>769000</v>
          </cell>
          <cell r="AB127">
            <v>1367000</v>
          </cell>
          <cell r="AC127">
            <v>1599000</v>
          </cell>
          <cell r="AD127">
            <v>1777000</v>
          </cell>
          <cell r="AE127">
            <v>1948000</v>
          </cell>
          <cell r="AF127">
            <v>2050000</v>
          </cell>
          <cell r="AG127">
            <v>0</v>
          </cell>
          <cell r="AH127">
            <v>55</v>
          </cell>
          <cell r="AI127">
            <v>271000</v>
          </cell>
          <cell r="AJ127">
            <v>482000</v>
          </cell>
          <cell r="AK127">
            <v>564000</v>
          </cell>
          <cell r="AL127">
            <v>627000</v>
          </cell>
          <cell r="AM127">
            <v>687000</v>
          </cell>
          <cell r="AN127">
            <v>723000</v>
          </cell>
          <cell r="AO127">
            <v>0</v>
          </cell>
          <cell r="AP127">
            <v>55</v>
          </cell>
          <cell r="AQ127">
            <v>404000</v>
          </cell>
          <cell r="AR127">
            <v>719000</v>
          </cell>
          <cell r="AS127">
            <v>841000</v>
          </cell>
          <cell r="AT127">
            <v>935000</v>
          </cell>
          <cell r="AU127">
            <v>1025000</v>
          </cell>
          <cell r="AV127">
            <v>1079000</v>
          </cell>
          <cell r="AW127">
            <v>348900</v>
          </cell>
          <cell r="AX127">
            <v>55</v>
          </cell>
          <cell r="AY127">
            <v>364000</v>
          </cell>
          <cell r="AZ127">
            <v>647000</v>
          </cell>
          <cell r="BA127">
            <v>757000</v>
          </cell>
          <cell r="BB127">
            <v>841000</v>
          </cell>
          <cell r="BC127">
            <v>922000</v>
          </cell>
          <cell r="BD127">
            <v>971000</v>
          </cell>
          <cell r="BE127">
            <v>0</v>
          </cell>
          <cell r="BF127">
            <v>55</v>
          </cell>
          <cell r="BG127">
            <v>175000</v>
          </cell>
          <cell r="BH127">
            <v>311000</v>
          </cell>
          <cell r="BI127">
            <v>364000</v>
          </cell>
          <cell r="BJ127">
            <v>404000</v>
          </cell>
          <cell r="BK127">
            <v>443000</v>
          </cell>
          <cell r="BL127">
            <v>467000</v>
          </cell>
        </row>
        <row r="128">
          <cell r="B128" t="str">
            <v>TVN se reserva el derecho de exhibir publicidad competitiva dentro de cada tanda.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 t="str">
            <v>TVN se reserva el derecho de exhibir publicidad competitiva dentro de cada tanda.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str">
            <v>TVN se reserva el derecho de exhibir publicidad competitiva dentro de cada tanda.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 t="str">
            <v>TVN se reserva el derecho de exhibir publicidad competitiva dentro de cada tanda.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 t="str">
            <v>TVN se reserva el derecho de exhibir publicidad competitiva dentro de cada tanda.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 t="str">
            <v>TVN se reserva el derecho de exhibir publicidad competitiva dentro de cada tanda.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 t="str">
            <v>TVN se reserva el derecho de exhibir publicidad competitiva dentro de cada tanda.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 t="str">
            <v>TVN se reserva el derecho de exhibir publicidad competitiva dentro de cada tanda.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B3">
            <v>0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">
          <cell r="B3">
            <v>0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3">
          <cell r="B3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3">
          <cell r="B3">
            <v>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>
        <row r="3">
          <cell r="B3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>
        <row r="3">
          <cell r="B3">
            <v>0</v>
          </cell>
        </row>
      </sheetData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3">
          <cell r="B3">
            <v>0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3">
          <cell r="B3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3">
          <cell r="B3">
            <v>0</v>
          </cell>
        </row>
      </sheetData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>
        <row r="3">
          <cell r="B3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TP"/>
      <sheetName val="Cuantificador TP"/>
      <sheetName val="Datos por región"/>
      <sheetName val="Datos"/>
      <sheetName val="Cuantificador"/>
      <sheetName val="Cuantificador Total país"/>
      <sheetName val="RATGA"/>
      <sheetName val="an-r"/>
      <sheetName val="RD제품개발투자비(매가)"/>
      <sheetName val="PROGRAMAS"/>
      <sheetName val="ratingj"/>
      <sheetName val="ratingP"/>
      <sheetName val="Cuantificador_TP"/>
      <sheetName val="Datos_por_región"/>
      <sheetName val="Cuantificador_Total_país"/>
      <sheetName val="대외공문"/>
      <sheetName val="Rk"/>
      <sheetName val="Analisis"/>
      <sheetName val="Cuantificador_TP1"/>
      <sheetName val="Datos_por_región1"/>
      <sheetName val="Cuantificador_Total_país1"/>
      <sheetName val="계실5-1"/>
      <sheetName val="HCCE01"/>
      <sheetName val="actual Nov02"/>
      <sheetName val="Pauta"/>
      <sheetName val="Sheet1"/>
      <sheetName val="Cuantificador_TP2"/>
      <sheetName val="Datos_por_región2"/>
      <sheetName val="Cuantificador_Total_país2"/>
      <sheetName val="actual_Nov02"/>
      <sheetName val="Cuantificador%20Total%20país.xl"/>
      <sheetName val="POST PAUTA TOTAL Rat Canales "/>
      <sheetName val="Cuantificador%20Total%20pa%C3%A"/>
      <sheetName val="Ranking"/>
      <sheetName val="RD???????(??)"/>
      <sheetName val="????"/>
      <sheetName val="Cuantificador_TP3"/>
      <sheetName val="Datos_por_región3"/>
      <sheetName val="Cuantificador_Total_país3"/>
      <sheetName val="actual_Nov021"/>
      <sheetName val="Cuantificador%20Total%20país_xl"/>
      <sheetName val="a-rad"/>
      <sheetName val="ChanGr_cfg"/>
      <sheetName val="Cities_cfg"/>
      <sheetName val="Предлож_СПб"/>
      <sheetName val="Cuantificador_TP4"/>
      <sheetName val="Datos_por_región4"/>
      <sheetName val="Cuantificador_Total_país4"/>
      <sheetName val="actual_Nov022"/>
      <sheetName val="Cuantificador%20Total%20país_x1"/>
      <sheetName val="POST_PAUTA_TOTAL_Rat_Canales_"/>
      <sheetName val="Cuantificador_TP6"/>
      <sheetName val="Datos_por_región6"/>
      <sheetName val="Cuantificador_Total_país6"/>
      <sheetName val="actual_Nov024"/>
      <sheetName val="Cuantificador%20Total%20país_x3"/>
      <sheetName val="POST_PAUTA_TOTAL_Rat_Canales_2"/>
      <sheetName val="Cuantificador_TP5"/>
      <sheetName val="Datos_por_región5"/>
      <sheetName val="Cuantificador_Total_país5"/>
      <sheetName val="actual_Nov023"/>
      <sheetName val="Cuantificador%20Total%20país_x2"/>
      <sheetName val="POST_PAUTA_TOTAL_Rat_Canales_1"/>
      <sheetName val="Cuantificador_TP7"/>
      <sheetName val="Datos_por_región7"/>
      <sheetName val="Cuantificador_Total_país7"/>
      <sheetName val="actual_Nov025"/>
      <sheetName val="Cuantificador%20Total%20país_x4"/>
      <sheetName val="POST_PAUTA_TOTAL_Rat_Canales_3"/>
      <sheetName val="Cuantificador_TP8"/>
      <sheetName val="Datos_por_región8"/>
      <sheetName val="Cuantificador_Total_país8"/>
      <sheetName val="actual_Nov026"/>
      <sheetName val="Cuantificador%20Total%20país_x5"/>
      <sheetName val="POST_PAUTA_TOTAL_Rat_Canales_4"/>
      <sheetName val="Budgets"/>
      <sheetName val=""/>
      <sheetName val="Rk Tv II"/>
      <sheetName val="Cuantificador_TP9"/>
      <sheetName val="Datos_por_región9"/>
      <sheetName val="Cuantificador_Total_país9"/>
      <sheetName val="actual_Nov027"/>
      <sheetName val="Cuantificador%20Total%20país_x6"/>
      <sheetName val="POST_PAUTA_TOTAL_Rat_Canales_5"/>
      <sheetName val="tapa"/>
      <sheetName val="Rat M25-64C2C3"/>
      <sheetName val="Rat H25-64ABCD"/>
      <sheetName val="Rat HM18-24ABC"/>
      <sheetName val="Rat HM25-49ABC1C2"/>
      <sheetName val="Rat HM25-64ABC"/>
      <sheetName val="Rat M25-64ABC"/>
      <sheetName val="Rat HM25-64ABCD"/>
      <sheetName val="RANGOS"/>
      <sheetName val="res rat"/>
      <sheetName val="계열사현황종합"/>
      <sheetName val="생산"/>
      <sheetName val="진도현황"/>
      <sheetName val="Flow"/>
      <sheetName val="."/>
      <sheetName val="Hoja1"/>
      <sheetName val="Img"/>
      <sheetName val="RESUMEN"/>
      <sheetName val="CONSOLIDADO VARIABLES"/>
      <sheetName val="Listas"/>
      <sheetName val="RESUMEN "/>
      <sheetName val="CONSUMOS DE MEDIOS "/>
      <sheetName val="Rankeo TV"/>
      <sheetName val="TV"/>
      <sheetName val="Hoja3"/>
      <sheetName val="TV NACIONAL"/>
      <sheetName val="PRENSA"/>
      <sheetName val="RK.PR"/>
      <sheetName val="Hoja5"/>
      <sheetName val="Rankeos Radio"/>
      <sheetName val="REVISTAS"/>
      <sheetName val="PARADEROS"/>
      <sheetName val="VALLAS"/>
      <sheetName val="Hoja2"/>
      <sheetName val="Dependencias"/>
      <sheetName val="TREND"/>
      <sheetName val="Vehicles"/>
      <sheetName val="Auxiliar"/>
      <sheetName val="Tarifas Febrero 2013"/>
      <sheetName val="RESUMEN FLOW"/>
      <sheetName val="TV "/>
      <sheetName val="CABLE"/>
      <sheetName val="FALABELLA"/>
      <sheetName val="HUAWEI"/>
      <sheetName val="SAMSUNG"/>
      <sheetName val="APPLE"/>
      <sheetName val="Rankeo Radio Ciudades"/>
      <sheetName val="Cuantificador_TP10"/>
      <sheetName val="Datos_por_región10"/>
      <sheetName val="Cuantificador_Total_país10"/>
      <sheetName val="actual_Nov028"/>
      <sheetName val="Cuantificador%20Total%20país_x7"/>
      <sheetName val="POST_PAUTA_TOTAL_Rat_Canales_6"/>
      <sheetName val="Rk_Tv_II"/>
      <sheetName val="Inversióm"/>
      <sheetName val="Rat_M25-64C2C3"/>
      <sheetName val="Rat_H25-64ABCD"/>
      <sheetName val="Rat_HM18-24ABC"/>
      <sheetName val="Rat_HM25-49ABC1C2"/>
      <sheetName val="Rat_HM25-64ABC"/>
      <sheetName val="Rat_M25-64ABC"/>
      <sheetName val="Rat_HM25-64ABCD"/>
      <sheetName val="res_rat"/>
      <sheetName val="_"/>
      <sheetName val="CONSOLIDADO_VARIABLES"/>
      <sheetName val="RESUMEN_"/>
      <sheetName val="CONSUMOS_DE_MEDIOS_"/>
      <sheetName val="Rankeo_TV"/>
      <sheetName val="TV_NACIONAL"/>
      <sheetName val="RK_PR"/>
      <sheetName val="Rankeos_Radio"/>
      <sheetName val="Tarifas_Febrero_2013"/>
      <sheetName val="negociaciones1"/>
      <sheetName val="Cuantificador_TP11"/>
      <sheetName val="Datos_por_región11"/>
      <sheetName val="Cuantificador_Total_país11"/>
      <sheetName val="actual_Nov029"/>
      <sheetName val="Cuantificador%20Total%20país_x8"/>
      <sheetName val="POST_PAUTA_TOTAL_Rat_Canales_7"/>
      <sheetName val="Rk_Tv_II1"/>
      <sheetName val="_1"/>
      <sheetName val="CONSOLIDADO_VARIABLES1"/>
      <sheetName val="RESUMEN_1"/>
      <sheetName val="CONSUMOS_DE_MEDIOS_1"/>
      <sheetName val="Rankeo_TV1"/>
      <sheetName val="TV_NACIONAL1"/>
      <sheetName val="RK_PR1"/>
      <sheetName val="Rankeos_Radio1"/>
      <sheetName val="PARAMETROS"/>
      <sheetName val="channel"/>
      <sheetName val="CPM (2)"/>
      <sheetName val="CPM"/>
      <sheetName val="Cuantificador_TP12"/>
      <sheetName val="Datos_por_región12"/>
      <sheetName val="Cuantificador_Total_país12"/>
      <sheetName val="actual_Nov0210"/>
      <sheetName val="Cuantificador%20Total%20país_x9"/>
      <sheetName val="POST_PAUTA_TOTAL_Rat_Canales_8"/>
      <sheetName val="Rk_Tv_II2"/>
      <sheetName val="_2"/>
      <sheetName val="CONSOLIDADO_VARIABLES2"/>
      <sheetName val="RESUMEN_2"/>
      <sheetName val="CONSUMOS_DE_MEDIOS_2"/>
      <sheetName val="Rankeo_TV2"/>
      <sheetName val="TV_NACIONAL2"/>
      <sheetName val="RK_PR2"/>
      <sheetName val="Rankeos_Radio2"/>
      <sheetName val="RESUMEN_FLOW"/>
      <sheetName val="TV_"/>
      <sheetName val="Rankeo_Radio_Ciudades"/>
      <sheetName val="Channel Mix"/>
      <sheetName val="RESUMEN_FLOW1"/>
      <sheetName val="TV_1"/>
      <sheetName val="Rankeo_Radio_Ciudades1"/>
      <sheetName val="Rat_M25-64C2C32"/>
      <sheetName val="Rat_H25-64ABCD2"/>
      <sheetName val="Rat_HM18-24ABC2"/>
      <sheetName val="Rat_HM25-49ABC1C22"/>
      <sheetName val="Rat_HM25-64ABC2"/>
      <sheetName val="Rat_M25-64ABC2"/>
      <sheetName val="Rat_HM25-64ABCD2"/>
      <sheetName val="res_rat2"/>
      <sheetName val="Tarifas_Febrero_20132"/>
      <sheetName val="Rat_M25-64C2C31"/>
      <sheetName val="Rat_H25-64ABCD1"/>
      <sheetName val="Rat_HM18-24ABC1"/>
      <sheetName val="Rat_HM25-49ABC1C21"/>
      <sheetName val="Rat_HM25-64ABC1"/>
      <sheetName val="Rat_M25-64ABC1"/>
      <sheetName val="Rat_HM25-64ABCD1"/>
      <sheetName val="res_rat1"/>
      <sheetName val="Tarifas_Febrero_20131"/>
      <sheetName val="ESTADO"/>
      <sheetName val="#G.O."/>
      <sheetName val="Cuantificador_TP13"/>
      <sheetName val="Datos_por_región13"/>
      <sheetName val="Cuantificador_Total_país13"/>
      <sheetName val="actual_Nov0211"/>
      <sheetName val="Cuantificador%20Total%20país_10"/>
      <sheetName val="POST_PAUTA_TOTAL_Rat_Canales_9"/>
      <sheetName val="Rk_Tv_II3"/>
      <sheetName val="_3"/>
      <sheetName val="CONSOLIDADO_VARIABLES3"/>
      <sheetName val="RESUMEN_3"/>
      <sheetName val="CONSUMOS_DE_MEDIOS_3"/>
      <sheetName val="Rankeo_TV3"/>
      <sheetName val="TV_NACIONAL3"/>
      <sheetName val="RK_PR3"/>
      <sheetName val="Rankeos_Radio3"/>
      <sheetName val="CPM_(2)"/>
      <sheetName val="#G_O_"/>
      <sheetName val="Cuantificador_TP14"/>
      <sheetName val="Datos_por_región14"/>
      <sheetName val="Cuantificador_Total_país14"/>
      <sheetName val="actual_Nov0212"/>
      <sheetName val="Cuantificador%20Total%20país_11"/>
      <sheetName val="POST_PAUTA_TOTAL_Rat_Canales_10"/>
      <sheetName val="Rk_Tv_II4"/>
      <sheetName val="_4"/>
      <sheetName val="CONSOLIDADO_VARIABLES4"/>
      <sheetName val="RESUMEN_4"/>
      <sheetName val="CONSUMOS_DE_MEDIOS_4"/>
      <sheetName val="Rankeo_TV4"/>
      <sheetName val="TV_NACIONAL4"/>
      <sheetName val="RK_PR4"/>
      <sheetName val="Rankeos_Radio4"/>
      <sheetName val="RESUMEN_FLOW2"/>
      <sheetName val="TV_2"/>
      <sheetName val="Rankeo_Radio_Ciudades2"/>
      <sheetName val="CPM_(2)1"/>
      <sheetName val="#G_O_1"/>
      <sheetName val="Cuantificador_TP15"/>
      <sheetName val="Datos_por_región15"/>
      <sheetName val="Cuantificador_Total_país15"/>
      <sheetName val="actual_Nov0213"/>
      <sheetName val="Cuantificador%20Total%20país_12"/>
      <sheetName val="POST_PAUTA_TOTAL_Rat_Canales_11"/>
      <sheetName val="Rk_Tv_II5"/>
      <sheetName val="_5"/>
      <sheetName val="CONSOLIDADO_VARIABLES5"/>
      <sheetName val="RESUMEN_5"/>
      <sheetName val="CONSUMOS_DE_MEDIOS_5"/>
      <sheetName val="Rankeo_TV5"/>
      <sheetName val="TV_NACIONAL5"/>
      <sheetName val="RK_PR5"/>
      <sheetName val="Rankeos_Radio5"/>
      <sheetName val="Rat_M25-64C2C33"/>
      <sheetName val="Rat_H25-64ABCD3"/>
      <sheetName val="Rat_HM18-24ABC3"/>
      <sheetName val="Rat_HM25-49ABC1C23"/>
      <sheetName val="Rat_HM25-64ABC3"/>
      <sheetName val="Rat_M25-64ABC3"/>
      <sheetName val="Rat_HM25-64ABCD3"/>
      <sheetName val="res_rat3"/>
      <sheetName val="Tarifas_Febrero_20133"/>
      <sheetName val="RESUMEN_FLOW3"/>
      <sheetName val="TV_3"/>
      <sheetName val="Rankeo_Radio_Ciudades3"/>
      <sheetName val="CPM_(2)2"/>
      <sheetName val="#G_O_2"/>
      <sheetName val="VPS"/>
      <sheetName val="Channel_Mix"/>
      <sheetName val="Cuantificador_TP16"/>
      <sheetName val="Datos_por_región16"/>
      <sheetName val="Cuantificador_Total_país16"/>
      <sheetName val="actual_Nov0214"/>
      <sheetName val="Cuantificador%20Total%20país_13"/>
      <sheetName val="POST_PAUTA_TOTAL_Rat_Canales_12"/>
      <sheetName val="Rk_Tv_II6"/>
      <sheetName val="_6"/>
      <sheetName val="CONSOLIDADO_VARIABLES6"/>
      <sheetName val="RESUMEN_6"/>
      <sheetName val="CONSUMOS_DE_MEDIOS_6"/>
      <sheetName val="Rankeo_TV6"/>
      <sheetName val="TV_NACIONAL6"/>
      <sheetName val="RK_PR6"/>
      <sheetName val="Rankeos_Radio6"/>
      <sheetName val="Rat_M25-64C2C34"/>
      <sheetName val="Rat_H25-64ABCD4"/>
      <sheetName val="Rat_HM18-24ABC4"/>
      <sheetName val="Rat_HM25-49ABC1C24"/>
      <sheetName val="Rat_HM25-64ABC4"/>
      <sheetName val="Rat_M25-64ABC4"/>
      <sheetName val="Rat_HM25-64ABCD4"/>
      <sheetName val="res_rat4"/>
      <sheetName val="Tarifas_Febrero_20134"/>
      <sheetName val="RESUMEN_FLOW4"/>
      <sheetName val="TV_4"/>
      <sheetName val="Rankeo_Radio_Ciudades4"/>
      <sheetName val="CPM_(2)3"/>
      <sheetName val="#G_O_3"/>
      <sheetName val="Cuantificador_TP17"/>
      <sheetName val="Datos_por_región17"/>
      <sheetName val="Cuantificador_Total_país17"/>
      <sheetName val="actual_Nov0215"/>
      <sheetName val="Cuantificador%20Total%20país_14"/>
      <sheetName val="POST_PAUTA_TOTAL_Rat_Canales_13"/>
      <sheetName val="Rk_Tv_II7"/>
      <sheetName val="_7"/>
      <sheetName val="CONSOLIDADO_VARIABLES7"/>
      <sheetName val="RESUMEN_7"/>
      <sheetName val="CONSUMOS_DE_MEDIOS_7"/>
      <sheetName val="Rankeo_TV7"/>
      <sheetName val="TV_NACIONAL7"/>
      <sheetName val="RK_PR7"/>
      <sheetName val="Rankeos_Radio7"/>
      <sheetName val="Rat_M25-64C2C35"/>
      <sheetName val="Rat_H25-64ABCD5"/>
      <sheetName val="Rat_HM18-24ABC5"/>
      <sheetName val="Rat_HM25-49ABC1C25"/>
      <sheetName val="Rat_HM25-64ABC5"/>
      <sheetName val="Rat_M25-64ABC5"/>
      <sheetName val="Rat_HM25-64ABCD5"/>
      <sheetName val="res_rat5"/>
      <sheetName val="Tarifas_Febrero_20135"/>
      <sheetName val="RESUMEN_FLOW5"/>
      <sheetName val="TV_5"/>
      <sheetName val="Rankeo_Radio_Ciudades5"/>
      <sheetName val="CPM_(2)4"/>
      <sheetName val="#G_O_4"/>
      <sheetName val="Channel_Mix1"/>
    </sheetNames>
    <sheetDataSet>
      <sheetData sheetId="0" refreshError="1">
        <row r="5">
          <cell r="C5" t="str">
            <v>Total país</v>
          </cell>
          <cell r="D5" t="str">
            <v>0</v>
          </cell>
          <cell r="E5" t="str">
            <v>4</v>
          </cell>
          <cell r="F5">
            <v>1151076</v>
          </cell>
          <cell r="G5">
            <v>7.6147319126500398E-2</v>
          </cell>
          <cell r="H5">
            <v>585999</v>
          </cell>
          <cell r="I5">
            <v>7.8681927764227722E-2</v>
          </cell>
          <cell r="J5">
            <v>565077</v>
          </cell>
          <cell r="K5">
            <v>7.3685768457399783E-2</v>
          </cell>
        </row>
        <row r="6">
          <cell r="C6" t="str">
            <v>Total país</v>
          </cell>
          <cell r="D6">
            <v>5</v>
          </cell>
          <cell r="E6">
            <v>9</v>
          </cell>
          <cell r="F6">
            <v>1316598</v>
          </cell>
          <cell r="G6">
            <v>8.7097123098137885E-2</v>
          </cell>
          <cell r="H6">
            <v>670674</v>
          </cell>
          <cell r="I6">
            <v>9.0051217188673816E-2</v>
          </cell>
          <cell r="J6">
            <v>645924</v>
          </cell>
          <cell r="K6">
            <v>8.4228178292653028E-2</v>
          </cell>
        </row>
        <row r="7">
          <cell r="C7" t="str">
            <v>Total país</v>
          </cell>
          <cell r="D7">
            <v>10</v>
          </cell>
          <cell r="E7">
            <v>14</v>
          </cell>
          <cell r="F7">
            <v>1422452</v>
          </cell>
          <cell r="G7">
            <v>9.4099700094632102E-2</v>
          </cell>
          <cell r="H7">
            <v>725364</v>
          </cell>
          <cell r="I7">
            <v>9.7394428746075123E-2</v>
          </cell>
          <cell r="J7">
            <v>697088</v>
          </cell>
          <cell r="K7">
            <v>9.0899939233824598E-2</v>
          </cell>
        </row>
        <row r="8">
          <cell r="C8" t="str">
            <v>Total país</v>
          </cell>
          <cell r="D8">
            <v>15</v>
          </cell>
          <cell r="E8">
            <v>19</v>
          </cell>
          <cell r="F8">
            <v>1280089</v>
          </cell>
          <cell r="G8">
            <v>8.4681937242478134E-2</v>
          </cell>
          <cell r="H8">
            <v>651713</v>
          </cell>
          <cell r="I8">
            <v>8.7505328829926579E-2</v>
          </cell>
          <cell r="J8">
            <v>628376</v>
          </cell>
          <cell r="K8">
            <v>8.1939927550027769E-2</v>
          </cell>
        </row>
        <row r="9">
          <cell r="C9" t="str">
            <v>Total país</v>
          </cell>
          <cell r="D9">
            <v>20</v>
          </cell>
          <cell r="E9">
            <v>24</v>
          </cell>
          <cell r="F9">
            <v>1201426</v>
          </cell>
          <cell r="G9">
            <v>7.9478130921741802E-2</v>
          </cell>
          <cell r="H9">
            <v>605430</v>
          </cell>
          <cell r="I9">
            <v>8.129092289627865E-2</v>
          </cell>
          <cell r="J9">
            <v>595996</v>
          </cell>
          <cell r="K9">
            <v>7.7717591155783083E-2</v>
          </cell>
        </row>
        <row r="10">
          <cell r="C10" t="str">
            <v>Total país</v>
          </cell>
          <cell r="D10">
            <v>25</v>
          </cell>
          <cell r="E10">
            <v>29</v>
          </cell>
          <cell r="F10">
            <v>1192724</v>
          </cell>
          <cell r="G10">
            <v>7.8902466090715176E-2</v>
          </cell>
          <cell r="H10">
            <v>593539</v>
          </cell>
          <cell r="I10">
            <v>7.9694321531695381E-2</v>
          </cell>
          <cell r="J10">
            <v>599185</v>
          </cell>
          <cell r="K10">
            <v>7.8133435218823433E-2</v>
          </cell>
        </row>
        <row r="11">
          <cell r="C11" t="str">
            <v>Total país</v>
          </cell>
          <cell r="D11">
            <v>30</v>
          </cell>
          <cell r="E11">
            <v>34</v>
          </cell>
          <cell r="F11">
            <v>1200191</v>
          </cell>
          <cell r="G11">
            <v>7.9396431764500036E-2</v>
          </cell>
          <cell r="H11">
            <v>594484</v>
          </cell>
          <cell r="I11">
            <v>7.9821206426954922E-2</v>
          </cell>
          <cell r="J11">
            <v>605707</v>
          </cell>
          <cell r="K11">
            <v>7.8983900875502361E-2</v>
          </cell>
        </row>
        <row r="12">
          <cell r="C12" t="str">
            <v>Total país</v>
          </cell>
          <cell r="D12">
            <v>35</v>
          </cell>
          <cell r="E12">
            <v>39</v>
          </cell>
          <cell r="F12">
            <v>1235000</v>
          </cell>
          <cell r="G12">
            <v>8.1699157241770293E-2</v>
          </cell>
          <cell r="H12">
            <v>605957</v>
          </cell>
          <cell r="I12">
            <v>8.1361683044217037E-2</v>
          </cell>
          <cell r="J12">
            <v>629043</v>
          </cell>
          <cell r="K12">
            <v>8.2026904028562705E-2</v>
          </cell>
        </row>
        <row r="13">
          <cell r="C13" t="str">
            <v>Total país</v>
          </cell>
          <cell r="D13">
            <v>40</v>
          </cell>
          <cell r="E13">
            <v>44</v>
          </cell>
          <cell r="F13">
            <v>1131758</v>
          </cell>
          <cell r="G13">
            <v>7.4869372309013332E-2</v>
          </cell>
          <cell r="H13">
            <v>552928</v>
          </cell>
          <cell r="I13">
            <v>7.4241493509065559E-2</v>
          </cell>
          <cell r="J13">
            <v>578830</v>
          </cell>
          <cell r="K13">
            <v>7.5479153029050408E-2</v>
          </cell>
        </row>
        <row r="14">
          <cell r="C14" t="str">
            <v>Total país</v>
          </cell>
          <cell r="D14">
            <v>45</v>
          </cell>
          <cell r="E14">
            <v>49</v>
          </cell>
          <cell r="F14">
            <v>904666</v>
          </cell>
          <cell r="G14">
            <v>5.9846518044763861E-2</v>
          </cell>
          <cell r="H14">
            <v>441756</v>
          </cell>
          <cell r="I14">
            <v>5.9314459037326316E-2</v>
          </cell>
          <cell r="J14">
            <v>462910</v>
          </cell>
          <cell r="K14">
            <v>6.0363240897461645E-2</v>
          </cell>
        </row>
        <row r="15">
          <cell r="C15" t="str">
            <v>Total país</v>
          </cell>
          <cell r="D15">
            <v>50</v>
          </cell>
          <cell r="E15">
            <v>54</v>
          </cell>
          <cell r="F15">
            <v>759003</v>
          </cell>
          <cell r="G15">
            <v>5.0210449752206787E-2</v>
          </cell>
          <cell r="H15">
            <v>369400</v>
          </cell>
          <cell r="I15">
            <v>4.9599238422088979E-2</v>
          </cell>
          <cell r="J15">
            <v>389603</v>
          </cell>
          <cell r="K15">
            <v>5.0804043428255487E-2</v>
          </cell>
        </row>
        <row r="16">
          <cell r="C16" t="str">
            <v>Total país</v>
          </cell>
          <cell r="D16">
            <v>55</v>
          </cell>
          <cell r="E16">
            <v>59</v>
          </cell>
          <cell r="F16">
            <v>603974</v>
          </cell>
          <cell r="G16">
            <v>3.9954790927887431E-2</v>
          </cell>
          <cell r="H16">
            <v>292402</v>
          </cell>
          <cell r="I16">
            <v>3.9260737718179922E-2</v>
          </cell>
          <cell r="J16">
            <v>311572</v>
          </cell>
          <cell r="K16">
            <v>4.0628838635812403E-2</v>
          </cell>
        </row>
        <row r="17">
          <cell r="C17" t="str">
            <v>Total país</v>
          </cell>
          <cell r="D17">
            <v>60</v>
          </cell>
          <cell r="E17">
            <v>64</v>
          </cell>
          <cell r="F17">
            <v>499902</v>
          </cell>
          <cell r="G17">
            <v>3.3070098869210897E-2</v>
          </cell>
          <cell r="H17">
            <v>235497</v>
          </cell>
          <cell r="I17">
            <v>3.1620118707868676E-2</v>
          </cell>
          <cell r="J17">
            <v>264405</v>
          </cell>
          <cell r="K17">
            <v>3.4478284568260235E-2</v>
          </cell>
        </row>
        <row r="18">
          <cell r="C18" t="str">
            <v>Total país</v>
          </cell>
          <cell r="D18">
            <v>65</v>
          </cell>
          <cell r="E18">
            <v>69</v>
          </cell>
          <cell r="F18">
            <v>399287</v>
          </cell>
          <cell r="G18">
            <v>2.641409829764756E-2</v>
          </cell>
          <cell r="H18">
            <v>184208</v>
          </cell>
          <cell r="I18">
            <v>2.4733558503671271E-2</v>
          </cell>
          <cell r="J18">
            <v>215079</v>
          </cell>
          <cell r="K18">
            <v>2.8046197941252408E-2</v>
          </cell>
        </row>
        <row r="19">
          <cell r="C19" t="str">
            <v>Total país</v>
          </cell>
          <cell r="D19">
            <v>70</v>
          </cell>
          <cell r="E19">
            <v>74</v>
          </cell>
          <cell r="F19">
            <v>348118</v>
          </cell>
          <cell r="G19">
            <v>2.302910706128793E-2</v>
          </cell>
          <cell r="H19">
            <v>153908</v>
          </cell>
          <cell r="I19">
            <v>2.0665185671539986E-2</v>
          </cell>
          <cell r="J19">
            <v>194210</v>
          </cell>
          <cell r="K19">
            <v>2.5324890399205085E-2</v>
          </cell>
        </row>
        <row r="20">
          <cell r="C20" t="str">
            <v>Total país</v>
          </cell>
          <cell r="D20">
            <v>75</v>
          </cell>
          <cell r="E20">
            <v>79</v>
          </cell>
          <cell r="F20">
            <v>219331</v>
          </cell>
          <cell r="G20">
            <v>1.4509439560319613E-2</v>
          </cell>
          <cell r="H20">
            <v>93489</v>
          </cell>
          <cell r="I20">
            <v>1.255274282848586E-2</v>
          </cell>
          <cell r="J20">
            <v>125842</v>
          </cell>
          <cell r="K20">
            <v>1.6409736149615189E-2</v>
          </cell>
        </row>
        <row r="21">
          <cell r="C21" t="str">
            <v>Total país</v>
          </cell>
          <cell r="D21">
            <v>80</v>
          </cell>
          <cell r="E21">
            <v>84</v>
          </cell>
          <cell r="F21">
            <v>137154</v>
          </cell>
          <cell r="G21">
            <v>9.0731710221358414E-3</v>
          </cell>
          <cell r="H21">
            <v>52730</v>
          </cell>
          <cell r="I21">
            <v>7.0800428857519006E-3</v>
          </cell>
          <cell r="J21">
            <v>84424</v>
          </cell>
          <cell r="K21">
            <v>1.1008848911294424E-2</v>
          </cell>
        </row>
        <row r="22">
          <cell r="C22" t="str">
            <v>Total país</v>
          </cell>
          <cell r="D22">
            <v>85</v>
          </cell>
          <cell r="E22">
            <v>89</v>
          </cell>
          <cell r="F22">
            <v>75130</v>
          </cell>
          <cell r="G22">
            <v>4.970087193177492E-3</v>
          </cell>
          <cell r="H22">
            <v>25906</v>
          </cell>
          <cell r="I22">
            <v>3.4783916366070309E-3</v>
          </cell>
          <cell r="J22">
            <v>49224</v>
          </cell>
          <cell r="K22">
            <v>6.4187858761674014E-3</v>
          </cell>
        </row>
        <row r="23">
          <cell r="C23" t="str">
            <v>Total país</v>
          </cell>
          <cell r="D23">
            <v>90</v>
          </cell>
          <cell r="E23">
            <v>94</v>
          </cell>
          <cell r="F23">
            <v>28396</v>
          </cell>
          <cell r="G23">
            <v>1.8784852380868901E-3</v>
          </cell>
          <cell r="H23">
            <v>9022</v>
          </cell>
          <cell r="I23">
            <v>1.2113815079699156E-3</v>
          </cell>
          <cell r="J23">
            <v>19374</v>
          </cell>
          <cell r="K23">
            <v>2.5263602625724695E-3</v>
          </cell>
        </row>
        <row r="24">
          <cell r="C24" t="str">
            <v>Total país</v>
          </cell>
          <cell r="D24">
            <v>95</v>
          </cell>
          <cell r="E24">
            <v>99</v>
          </cell>
          <cell r="F24">
            <v>9019</v>
          </cell>
          <cell r="G24">
            <v>5.9663538393807804E-4</v>
          </cell>
          <cell r="H24">
            <v>2817</v>
          </cell>
          <cell r="I24">
            <v>3.7823783063081935E-4</v>
          </cell>
          <cell r="J24">
            <v>6202</v>
          </cell>
          <cell r="K24">
            <v>8.0873781090505092E-4</v>
          </cell>
        </row>
        <row r="25">
          <cell r="C25" t="str">
            <v>Total país</v>
          </cell>
          <cell r="D25">
            <v>100</v>
          </cell>
          <cell r="E25">
            <v>104</v>
          </cell>
          <cell r="F25">
            <v>813</v>
          </cell>
          <cell r="G25">
            <v>5.378252213567551E-5</v>
          </cell>
          <cell r="H25">
            <v>297</v>
          </cell>
          <cell r="I25">
            <v>3.987810993871258E-5</v>
          </cell>
          <cell r="J25">
            <v>516</v>
          </cell>
          <cell r="K25">
            <v>6.728615131038476E-5</v>
          </cell>
        </row>
        <row r="26">
          <cell r="C26" t="str">
            <v>Total país</v>
          </cell>
          <cell r="D26">
            <v>105</v>
          </cell>
          <cell r="E26">
            <v>109</v>
          </cell>
          <cell r="F26">
            <v>328</v>
          </cell>
          <cell r="G26">
            <v>2.1698237712794054E-5</v>
          </cell>
          <cell r="H26">
            <v>175</v>
          </cell>
          <cell r="I26">
            <v>2.3497202825840747E-5</v>
          </cell>
          <cell r="J26">
            <v>153</v>
          </cell>
          <cell r="K26">
            <v>1.9951126260637341E-5</v>
          </cell>
        </row>
        <row r="27">
          <cell r="C27" t="str">
            <v>Total</v>
          </cell>
          <cell r="F27">
            <v>15116435</v>
          </cell>
          <cell r="H27">
            <v>7447695</v>
          </cell>
          <cell r="J27">
            <v>7668740</v>
          </cell>
        </row>
        <row r="32">
          <cell r="D32" t="str">
            <v>ABC1</v>
          </cell>
          <cell r="E32">
            <v>4.6605270105634568E-2</v>
          </cell>
        </row>
        <row r="33">
          <cell r="D33" t="str">
            <v>ABC1C2</v>
          </cell>
          <cell r="E33">
            <v>0.1607887319091823</v>
          </cell>
        </row>
        <row r="34">
          <cell r="D34" t="str">
            <v>ABC</v>
          </cell>
          <cell r="E34">
            <v>0.43267616959698663</v>
          </cell>
        </row>
        <row r="35">
          <cell r="D35" t="str">
            <v>ABCD</v>
          </cell>
          <cell r="E35">
            <v>0.85988313851773956</v>
          </cell>
        </row>
        <row r="36">
          <cell r="D36" t="str">
            <v>C2</v>
          </cell>
          <cell r="E36">
            <v>0.11418346180354773</v>
          </cell>
        </row>
        <row r="37">
          <cell r="D37" t="str">
            <v>C2C3</v>
          </cell>
          <cell r="E37">
            <v>0.38607089949135209</v>
          </cell>
        </row>
        <row r="38">
          <cell r="D38" t="str">
            <v>C2C3D</v>
          </cell>
          <cell r="E38">
            <v>0.81327786841210492</v>
          </cell>
        </row>
        <row r="39">
          <cell r="D39" t="str">
            <v>C3</v>
          </cell>
          <cell r="E39">
            <v>0.27188743768780432</v>
          </cell>
        </row>
        <row r="40">
          <cell r="D40" t="str">
            <v>C3D</v>
          </cell>
          <cell r="E40">
            <v>0.69909440660855726</v>
          </cell>
        </row>
        <row r="41">
          <cell r="D41" t="str">
            <v>D</v>
          </cell>
          <cell r="E41">
            <v>0.42720696892075288</v>
          </cell>
        </row>
      </sheetData>
      <sheetData sheetId="1" refreshError="1"/>
      <sheetData sheetId="2" refreshError="1"/>
      <sheetData sheetId="3">
        <row r="5">
          <cell r="C5" t="str">
            <v>Total país</v>
          </cell>
        </row>
      </sheetData>
      <sheetData sheetId="4">
        <row r="5">
          <cell r="C5" t="str">
            <v>Total país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C5" t="str">
            <v>Total país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C5" t="str">
            <v>Total país</v>
          </cell>
        </row>
      </sheetData>
      <sheetData sheetId="49">
        <row r="5">
          <cell r="C5" t="str">
            <v>Total país</v>
          </cell>
        </row>
      </sheetData>
      <sheetData sheetId="50">
        <row r="5">
          <cell r="C5" t="str">
            <v>Total país</v>
          </cell>
        </row>
      </sheetData>
      <sheetData sheetId="51">
        <row r="5">
          <cell r="C5" t="str">
            <v>Total país</v>
          </cell>
        </row>
      </sheetData>
      <sheetData sheetId="52">
        <row r="5">
          <cell r="C5" t="str">
            <v>Total país</v>
          </cell>
        </row>
      </sheetData>
      <sheetData sheetId="53">
        <row r="5">
          <cell r="C5" t="str">
            <v>Total país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 t="str">
            <v>Total país</v>
          </cell>
        </row>
      </sheetData>
      <sheetData sheetId="79">
        <row r="5">
          <cell r="C5" t="str">
            <v>Total país</v>
          </cell>
        </row>
      </sheetData>
      <sheetData sheetId="80"/>
      <sheetData sheetId="81">
        <row r="12">
          <cell r="C12">
            <v>0</v>
          </cell>
        </row>
      </sheetData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5">
          <cell r="C5" t="str">
            <v>Total país</v>
          </cell>
        </row>
      </sheetData>
      <sheetData sheetId="99">
        <row r="5">
          <cell r="C5" t="str">
            <v>Total país</v>
          </cell>
        </row>
      </sheetData>
      <sheetData sheetId="100">
        <row r="5">
          <cell r="C5" t="str">
            <v>Total país</v>
          </cell>
        </row>
      </sheetData>
      <sheetData sheetId="101">
        <row r="5">
          <cell r="C5" t="str">
            <v>Total país</v>
          </cell>
        </row>
      </sheetData>
      <sheetData sheetId="102">
        <row r="5">
          <cell r="C5" t="str">
            <v>Total país</v>
          </cell>
        </row>
      </sheetData>
      <sheetData sheetId="103">
        <row r="5">
          <cell r="C5" t="str">
            <v>Total país</v>
          </cell>
        </row>
      </sheetData>
      <sheetData sheetId="104">
        <row r="5">
          <cell r="C5" t="str">
            <v>Total país</v>
          </cell>
        </row>
      </sheetData>
      <sheetData sheetId="105">
        <row r="5">
          <cell r="C5" t="str">
            <v>Total país</v>
          </cell>
        </row>
      </sheetData>
      <sheetData sheetId="106">
        <row r="5">
          <cell r="C5" t="str">
            <v>Total país</v>
          </cell>
        </row>
      </sheetData>
      <sheetData sheetId="107">
        <row r="5">
          <cell r="C5" t="str">
            <v>Total país</v>
          </cell>
        </row>
      </sheetData>
      <sheetData sheetId="108">
        <row r="5">
          <cell r="C5" t="str">
            <v>Total país</v>
          </cell>
        </row>
      </sheetData>
      <sheetData sheetId="109">
        <row r="5">
          <cell r="C5" t="str">
            <v>Total país</v>
          </cell>
        </row>
      </sheetData>
      <sheetData sheetId="110">
        <row r="5">
          <cell r="C5" t="str">
            <v>Total país</v>
          </cell>
        </row>
      </sheetData>
      <sheetData sheetId="111">
        <row r="5">
          <cell r="C5" t="str">
            <v>Total país</v>
          </cell>
        </row>
      </sheetData>
      <sheetData sheetId="112">
        <row r="5">
          <cell r="C5" t="str">
            <v>Total país</v>
          </cell>
        </row>
      </sheetData>
      <sheetData sheetId="113">
        <row r="5">
          <cell r="C5" t="str">
            <v>Total país</v>
          </cell>
        </row>
      </sheetData>
      <sheetData sheetId="114">
        <row r="5">
          <cell r="C5" t="str">
            <v>Total país</v>
          </cell>
        </row>
      </sheetData>
      <sheetData sheetId="115">
        <row r="5">
          <cell r="C5" t="str">
            <v>Total país</v>
          </cell>
        </row>
      </sheetData>
      <sheetData sheetId="116">
        <row r="5">
          <cell r="C5" t="str">
            <v>Total país</v>
          </cell>
        </row>
      </sheetData>
      <sheetData sheetId="117">
        <row r="5">
          <cell r="C5" t="str">
            <v>Total país</v>
          </cell>
        </row>
      </sheetData>
      <sheetData sheetId="118">
        <row r="5">
          <cell r="C5" t="str">
            <v>Total país</v>
          </cell>
        </row>
      </sheetData>
      <sheetData sheetId="119" refreshError="1"/>
      <sheetData sheetId="120" refreshError="1"/>
      <sheetData sheetId="121" refreshError="1"/>
      <sheetData sheetId="122">
        <row r="5">
          <cell r="C5" t="str">
            <v>Total país</v>
          </cell>
        </row>
      </sheetData>
      <sheetData sheetId="123">
        <row r="5">
          <cell r="C5">
            <v>43903</v>
          </cell>
        </row>
      </sheetData>
      <sheetData sheetId="124">
        <row r="5">
          <cell r="C5">
            <v>43903</v>
          </cell>
        </row>
      </sheetData>
      <sheetData sheetId="125">
        <row r="5">
          <cell r="C5" t="str">
            <v>Total país</v>
          </cell>
        </row>
      </sheetData>
      <sheetData sheetId="126">
        <row r="5">
          <cell r="C5" t="str">
            <v>Total país</v>
          </cell>
        </row>
      </sheetData>
      <sheetData sheetId="127">
        <row r="5">
          <cell r="C5" t="str">
            <v>Total país</v>
          </cell>
        </row>
      </sheetData>
      <sheetData sheetId="128">
        <row r="5">
          <cell r="C5" t="str">
            <v>Total país</v>
          </cell>
        </row>
      </sheetData>
      <sheetData sheetId="129">
        <row r="5">
          <cell r="C5" t="str">
            <v>Total país</v>
          </cell>
        </row>
      </sheetData>
      <sheetData sheetId="130">
        <row r="5">
          <cell r="C5" t="str">
            <v>Total país</v>
          </cell>
        </row>
      </sheetData>
      <sheetData sheetId="131">
        <row r="5">
          <cell r="C5" t="str">
            <v>Total país</v>
          </cell>
        </row>
      </sheetData>
      <sheetData sheetId="132">
        <row r="5">
          <cell r="C5" t="str">
            <v>Total país</v>
          </cell>
        </row>
      </sheetData>
      <sheetData sheetId="133">
        <row r="5">
          <cell r="C5" t="str">
            <v>Total país</v>
          </cell>
        </row>
      </sheetData>
      <sheetData sheetId="134">
        <row r="5">
          <cell r="C5" t="str">
            <v>Total país</v>
          </cell>
        </row>
      </sheetData>
      <sheetData sheetId="135">
        <row r="5">
          <cell r="C5" t="str">
            <v>Total país</v>
          </cell>
        </row>
      </sheetData>
      <sheetData sheetId="136">
        <row r="5">
          <cell r="C5" t="str">
            <v>Total país</v>
          </cell>
        </row>
      </sheetData>
      <sheetData sheetId="137">
        <row r="5">
          <cell r="C5" t="str">
            <v>Total país</v>
          </cell>
        </row>
      </sheetData>
      <sheetData sheetId="138" refreshError="1"/>
      <sheetData sheetId="139">
        <row r="5">
          <cell r="C5" t="str">
            <v>Total país</v>
          </cell>
        </row>
      </sheetData>
      <sheetData sheetId="140">
        <row r="5">
          <cell r="C5" t="str">
            <v>Total país</v>
          </cell>
        </row>
      </sheetData>
      <sheetData sheetId="141">
        <row r="5">
          <cell r="C5" t="str">
            <v>Total país</v>
          </cell>
        </row>
      </sheetData>
      <sheetData sheetId="142">
        <row r="5">
          <cell r="C5" t="str">
            <v>Total país</v>
          </cell>
        </row>
      </sheetData>
      <sheetData sheetId="143">
        <row r="5">
          <cell r="C5" t="str">
            <v>Total país</v>
          </cell>
        </row>
      </sheetData>
      <sheetData sheetId="144">
        <row r="5">
          <cell r="C5" t="str">
            <v>Total país</v>
          </cell>
        </row>
      </sheetData>
      <sheetData sheetId="145">
        <row r="5">
          <cell r="C5" t="str">
            <v>Total país</v>
          </cell>
        </row>
      </sheetData>
      <sheetData sheetId="146">
        <row r="5">
          <cell r="C5" t="str">
            <v>Total país</v>
          </cell>
        </row>
      </sheetData>
      <sheetData sheetId="147">
        <row r="5">
          <cell r="C5" t="str">
            <v>Total país</v>
          </cell>
        </row>
      </sheetData>
      <sheetData sheetId="148">
        <row r="5">
          <cell r="C5" t="str">
            <v>Total país</v>
          </cell>
        </row>
      </sheetData>
      <sheetData sheetId="149">
        <row r="5">
          <cell r="C5">
            <v>43903</v>
          </cell>
        </row>
      </sheetData>
      <sheetData sheetId="150">
        <row r="5">
          <cell r="C5">
            <v>43903</v>
          </cell>
        </row>
      </sheetData>
      <sheetData sheetId="151">
        <row r="5">
          <cell r="C5">
            <v>43903</v>
          </cell>
        </row>
      </sheetData>
      <sheetData sheetId="152">
        <row r="5">
          <cell r="C5">
            <v>43903</v>
          </cell>
        </row>
      </sheetData>
      <sheetData sheetId="153">
        <row r="5">
          <cell r="C5">
            <v>43903</v>
          </cell>
        </row>
      </sheetData>
      <sheetData sheetId="154">
        <row r="5">
          <cell r="C5" t="str">
            <v>Total país</v>
          </cell>
        </row>
      </sheetData>
      <sheetData sheetId="155">
        <row r="5">
          <cell r="C5" t="str">
            <v>Total país</v>
          </cell>
        </row>
      </sheetData>
      <sheetData sheetId="156" refreshError="1"/>
      <sheetData sheetId="157">
        <row r="5">
          <cell r="C5">
            <v>43903</v>
          </cell>
        </row>
      </sheetData>
      <sheetData sheetId="158">
        <row r="5">
          <cell r="C5">
            <v>43903</v>
          </cell>
        </row>
      </sheetData>
      <sheetData sheetId="159">
        <row r="5">
          <cell r="C5">
            <v>43903</v>
          </cell>
        </row>
      </sheetData>
      <sheetData sheetId="160">
        <row r="5">
          <cell r="C5">
            <v>43903</v>
          </cell>
        </row>
      </sheetData>
      <sheetData sheetId="161">
        <row r="5">
          <cell r="C5">
            <v>43903</v>
          </cell>
        </row>
      </sheetData>
      <sheetData sheetId="162">
        <row r="5">
          <cell r="C5">
            <v>43903</v>
          </cell>
        </row>
      </sheetData>
      <sheetData sheetId="163">
        <row r="5">
          <cell r="C5">
            <v>43903</v>
          </cell>
        </row>
      </sheetData>
      <sheetData sheetId="164">
        <row r="5">
          <cell r="C5">
            <v>43903</v>
          </cell>
        </row>
      </sheetData>
      <sheetData sheetId="165">
        <row r="5">
          <cell r="C5">
            <v>43903</v>
          </cell>
        </row>
      </sheetData>
      <sheetData sheetId="166">
        <row r="5">
          <cell r="C5">
            <v>43903</v>
          </cell>
        </row>
      </sheetData>
      <sheetData sheetId="167">
        <row r="5">
          <cell r="C5">
            <v>43903</v>
          </cell>
        </row>
      </sheetData>
      <sheetData sheetId="168">
        <row r="5">
          <cell r="C5">
            <v>43903</v>
          </cell>
        </row>
      </sheetData>
      <sheetData sheetId="169">
        <row r="5">
          <cell r="C5">
            <v>43903</v>
          </cell>
        </row>
      </sheetData>
      <sheetData sheetId="170">
        <row r="5">
          <cell r="C5">
            <v>43903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5">
          <cell r="C5" t="str">
            <v>Total país</v>
          </cell>
        </row>
      </sheetData>
      <sheetData sheetId="177">
        <row r="5">
          <cell r="C5" t="str">
            <v>Total país</v>
          </cell>
        </row>
      </sheetData>
      <sheetData sheetId="178"/>
      <sheetData sheetId="179"/>
      <sheetData sheetId="180"/>
      <sheetData sheetId="181">
        <row r="5">
          <cell r="C5" t="str">
            <v>Total país</v>
          </cell>
        </row>
      </sheetData>
      <sheetData sheetId="182"/>
      <sheetData sheetId="183">
        <row r="5">
          <cell r="C5" t="str">
            <v>Total país</v>
          </cell>
        </row>
      </sheetData>
      <sheetData sheetId="184">
        <row r="5">
          <cell r="C5" t="str">
            <v>Total país</v>
          </cell>
        </row>
      </sheetData>
      <sheetData sheetId="185">
        <row r="5">
          <cell r="C5" t="str">
            <v>Total país</v>
          </cell>
        </row>
      </sheetData>
      <sheetData sheetId="186">
        <row r="5">
          <cell r="C5" t="str">
            <v>Total país</v>
          </cell>
        </row>
      </sheetData>
      <sheetData sheetId="187">
        <row r="5">
          <cell r="C5" t="str">
            <v>Total país</v>
          </cell>
        </row>
      </sheetData>
      <sheetData sheetId="188">
        <row r="5">
          <cell r="C5" t="str">
            <v>Total país</v>
          </cell>
        </row>
      </sheetData>
      <sheetData sheetId="189">
        <row r="5">
          <cell r="C5">
            <v>43903</v>
          </cell>
        </row>
      </sheetData>
      <sheetData sheetId="190">
        <row r="5">
          <cell r="C5" t="str">
            <v>Total país</v>
          </cell>
        </row>
      </sheetData>
      <sheetData sheetId="191">
        <row r="5">
          <cell r="C5">
            <v>43903</v>
          </cell>
        </row>
      </sheetData>
      <sheetData sheetId="192">
        <row r="5">
          <cell r="C5">
            <v>43903</v>
          </cell>
        </row>
      </sheetData>
      <sheetData sheetId="193">
        <row r="5">
          <cell r="C5">
            <v>43903</v>
          </cell>
        </row>
      </sheetData>
      <sheetData sheetId="194" refreshError="1"/>
      <sheetData sheetId="195">
        <row r="5">
          <cell r="C5">
            <v>43903</v>
          </cell>
        </row>
      </sheetData>
      <sheetData sheetId="196">
        <row r="5">
          <cell r="C5">
            <v>43903</v>
          </cell>
        </row>
      </sheetData>
      <sheetData sheetId="197">
        <row r="5">
          <cell r="C5">
            <v>43903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5">
          <cell r="C5" t="str">
            <v>Total país</v>
          </cell>
        </row>
      </sheetData>
      <sheetData sheetId="208">
        <row r="5">
          <cell r="C5" t="str">
            <v>Total país</v>
          </cell>
        </row>
      </sheetData>
      <sheetData sheetId="209">
        <row r="5">
          <cell r="C5" t="str">
            <v>Total país</v>
          </cell>
        </row>
      </sheetData>
      <sheetData sheetId="210">
        <row r="5">
          <cell r="C5" t="str">
            <v>Total país</v>
          </cell>
        </row>
      </sheetData>
      <sheetData sheetId="211">
        <row r="5">
          <cell r="C5" t="str">
            <v>Total país</v>
          </cell>
        </row>
      </sheetData>
      <sheetData sheetId="212">
        <row r="5">
          <cell r="C5" t="str">
            <v>Total país</v>
          </cell>
        </row>
      </sheetData>
      <sheetData sheetId="213">
        <row r="5">
          <cell r="C5" t="str">
            <v>Total país</v>
          </cell>
        </row>
      </sheetData>
      <sheetData sheetId="214">
        <row r="5">
          <cell r="C5" t="str">
            <v>Total país</v>
          </cell>
        </row>
      </sheetData>
      <sheetData sheetId="215">
        <row r="5">
          <cell r="C5" t="str">
            <v>Total país</v>
          </cell>
        </row>
      </sheetData>
      <sheetData sheetId="216" refreshError="1"/>
      <sheetData sheetId="217" refreshError="1"/>
      <sheetData sheetId="218">
        <row r="5">
          <cell r="C5" t="str">
            <v>Total país</v>
          </cell>
        </row>
      </sheetData>
      <sheetData sheetId="219">
        <row r="5">
          <cell r="C5" t="str">
            <v>Total país</v>
          </cell>
        </row>
      </sheetData>
      <sheetData sheetId="220"/>
      <sheetData sheetId="221"/>
      <sheetData sheetId="222"/>
      <sheetData sheetId="223">
        <row r="5">
          <cell r="C5" t="str">
            <v>Total país</v>
          </cell>
        </row>
      </sheetData>
      <sheetData sheetId="224"/>
      <sheetData sheetId="225">
        <row r="5">
          <cell r="C5" t="str">
            <v>Total país</v>
          </cell>
        </row>
      </sheetData>
      <sheetData sheetId="226">
        <row r="5">
          <cell r="C5" t="str">
            <v>Total país</v>
          </cell>
        </row>
      </sheetData>
      <sheetData sheetId="227">
        <row r="5">
          <cell r="C5" t="str">
            <v>Total país</v>
          </cell>
        </row>
      </sheetData>
      <sheetData sheetId="228">
        <row r="5">
          <cell r="C5" t="str">
            <v>Total país</v>
          </cell>
        </row>
      </sheetData>
      <sheetData sheetId="229">
        <row r="5">
          <cell r="C5" t="str">
            <v>Total país</v>
          </cell>
        </row>
      </sheetData>
      <sheetData sheetId="230">
        <row r="5">
          <cell r="C5" t="str">
            <v>Total país</v>
          </cell>
        </row>
      </sheetData>
      <sheetData sheetId="231">
        <row r="5">
          <cell r="C5" t="str">
            <v>Total país</v>
          </cell>
        </row>
      </sheetData>
      <sheetData sheetId="232">
        <row r="5">
          <cell r="C5" t="str">
            <v>Total país</v>
          </cell>
        </row>
      </sheetData>
      <sheetData sheetId="233"/>
      <sheetData sheetId="234"/>
      <sheetData sheetId="235">
        <row r="5">
          <cell r="C5" t="str">
            <v>Total país</v>
          </cell>
        </row>
      </sheetData>
      <sheetData sheetId="236">
        <row r="5">
          <cell r="C5" t="str">
            <v>Total país</v>
          </cell>
        </row>
      </sheetData>
      <sheetData sheetId="237"/>
      <sheetData sheetId="238"/>
      <sheetData sheetId="239"/>
      <sheetData sheetId="240">
        <row r="5">
          <cell r="C5" t="str">
            <v>Total país</v>
          </cell>
        </row>
      </sheetData>
      <sheetData sheetId="241"/>
      <sheetData sheetId="242">
        <row r="5">
          <cell r="C5" t="str">
            <v>Total país</v>
          </cell>
        </row>
      </sheetData>
      <sheetData sheetId="243">
        <row r="5">
          <cell r="C5" t="str">
            <v>Total país</v>
          </cell>
        </row>
      </sheetData>
      <sheetData sheetId="244">
        <row r="5">
          <cell r="C5" t="str">
            <v>Total país</v>
          </cell>
        </row>
      </sheetData>
      <sheetData sheetId="245">
        <row r="5">
          <cell r="C5" t="str">
            <v>Total país</v>
          </cell>
        </row>
      </sheetData>
      <sheetData sheetId="246">
        <row r="5">
          <cell r="C5" t="str">
            <v>Total país</v>
          </cell>
        </row>
      </sheetData>
      <sheetData sheetId="247">
        <row r="5">
          <cell r="C5" t="str">
            <v>Total país</v>
          </cell>
        </row>
      </sheetData>
      <sheetData sheetId="248">
        <row r="5">
          <cell r="C5" t="str">
            <v>Total país</v>
          </cell>
        </row>
      </sheetData>
      <sheetData sheetId="249">
        <row r="5">
          <cell r="C5" t="str">
            <v>Total país</v>
          </cell>
        </row>
      </sheetData>
      <sheetData sheetId="250">
        <row r="5">
          <cell r="C5">
            <v>43903</v>
          </cell>
        </row>
      </sheetData>
      <sheetData sheetId="251">
        <row r="5">
          <cell r="C5">
            <v>43903</v>
          </cell>
        </row>
      </sheetData>
      <sheetData sheetId="252">
        <row r="5">
          <cell r="C5" t="str">
            <v>Total país</v>
          </cell>
        </row>
      </sheetData>
      <sheetData sheetId="253"/>
      <sheetData sheetId="254"/>
      <sheetData sheetId="255">
        <row r="5">
          <cell r="C5" t="str">
            <v>Total país</v>
          </cell>
        </row>
      </sheetData>
      <sheetData sheetId="256">
        <row r="5">
          <cell r="C5" t="str">
            <v>Total país</v>
          </cell>
        </row>
      </sheetData>
      <sheetData sheetId="257"/>
      <sheetData sheetId="258"/>
      <sheetData sheetId="259"/>
      <sheetData sheetId="260">
        <row r="5">
          <cell r="C5" t="str">
            <v>Total país</v>
          </cell>
        </row>
      </sheetData>
      <sheetData sheetId="261"/>
      <sheetData sheetId="262">
        <row r="5">
          <cell r="C5" t="str">
            <v>Total país</v>
          </cell>
        </row>
      </sheetData>
      <sheetData sheetId="263">
        <row r="5">
          <cell r="C5" t="str">
            <v>Total país</v>
          </cell>
        </row>
      </sheetData>
      <sheetData sheetId="264">
        <row r="5">
          <cell r="C5" t="str">
            <v>Total país</v>
          </cell>
        </row>
      </sheetData>
      <sheetData sheetId="265">
        <row r="5">
          <cell r="C5" t="str">
            <v>Total país</v>
          </cell>
        </row>
      </sheetData>
      <sheetData sheetId="266">
        <row r="5">
          <cell r="C5" t="str">
            <v>Total país</v>
          </cell>
        </row>
      </sheetData>
      <sheetData sheetId="267">
        <row r="5">
          <cell r="C5" t="str">
            <v>Total país</v>
          </cell>
        </row>
      </sheetData>
      <sheetData sheetId="268">
        <row r="5">
          <cell r="C5" t="str">
            <v>Total país</v>
          </cell>
        </row>
      </sheetData>
      <sheetData sheetId="269">
        <row r="5">
          <cell r="C5" t="str">
            <v>Total país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5">
          <cell r="C5" t="str">
            <v>Total país</v>
          </cell>
        </row>
      </sheetData>
      <sheetData sheetId="279">
        <row r="5">
          <cell r="C5">
            <v>43903</v>
          </cell>
        </row>
      </sheetData>
      <sheetData sheetId="280">
        <row r="5">
          <cell r="C5">
            <v>43903</v>
          </cell>
        </row>
      </sheetData>
      <sheetData sheetId="281">
        <row r="5">
          <cell r="C5">
            <v>43903</v>
          </cell>
        </row>
      </sheetData>
      <sheetData sheetId="282"/>
      <sheetData sheetId="283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>
        <row r="5">
          <cell r="C5" t="str">
            <v>Total país</v>
          </cell>
        </row>
      </sheetData>
      <sheetData sheetId="316">
        <row r="5">
          <cell r="C5" t="str">
            <v>Total país</v>
          </cell>
        </row>
      </sheetData>
      <sheetData sheetId="317"/>
      <sheetData sheetId="318"/>
      <sheetData sheetId="319"/>
      <sheetData sheetId="320">
        <row r="5">
          <cell r="C5" t="str">
            <v>Total país</v>
          </cell>
        </row>
      </sheetData>
      <sheetData sheetId="321"/>
      <sheetData sheetId="322">
        <row r="5">
          <cell r="C5" t="str">
            <v>Total país</v>
          </cell>
        </row>
      </sheetData>
      <sheetData sheetId="323">
        <row r="5">
          <cell r="C5" t="str">
            <v>Total país</v>
          </cell>
        </row>
      </sheetData>
      <sheetData sheetId="324">
        <row r="5">
          <cell r="C5" t="str">
            <v>Total país</v>
          </cell>
        </row>
      </sheetData>
      <sheetData sheetId="325">
        <row r="5">
          <cell r="C5" t="str">
            <v>Total país</v>
          </cell>
        </row>
      </sheetData>
      <sheetData sheetId="326">
        <row r="5">
          <cell r="C5" t="str">
            <v>Total país</v>
          </cell>
        </row>
      </sheetData>
      <sheetData sheetId="327">
        <row r="5">
          <cell r="C5" t="str">
            <v>Total país</v>
          </cell>
        </row>
      </sheetData>
      <sheetData sheetId="328">
        <row r="5">
          <cell r="C5" t="str">
            <v>Total país</v>
          </cell>
        </row>
      </sheetData>
      <sheetData sheetId="329">
        <row r="5">
          <cell r="C5" t="str">
            <v>Total país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5">
          <cell r="C5" t="str">
            <v>Total país</v>
          </cell>
        </row>
      </sheetData>
      <sheetData sheetId="339">
        <row r="5">
          <cell r="C5">
            <v>43903</v>
          </cell>
        </row>
      </sheetData>
      <sheetData sheetId="340">
        <row r="5">
          <cell r="C5">
            <v>43903</v>
          </cell>
        </row>
      </sheetData>
      <sheetData sheetId="341">
        <row r="5">
          <cell r="C5" t="str">
            <v>Total país</v>
          </cell>
        </row>
      </sheetData>
      <sheetData sheetId="342"/>
      <sheetData sheetId="343"/>
      <sheetData sheetId="34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ublisher Ad Specifications"/>
      <sheetName val="#REF"/>
      <sheetName val="Parámetros"/>
      <sheetName val="Resultados 97"/>
      <sheetName val="MATRIZ"/>
      <sheetName val="C2"/>
      <sheetName val="C5"/>
      <sheetName val="C9"/>
      <sheetName val="ORT"/>
      <sheetName val="TODOS"/>
      <sheetName val="Tablas"/>
      <sheetName val="dropdown_lists"/>
      <sheetName val="Currency Rates"/>
      <sheetName val="Exteriores"/>
      <sheetName val="FRANJAS SPOT"/>
      <sheetName val="GRP´S X CANAL"/>
      <sheetName val="MIX INVERSION"/>
      <sheetName val="ESPECIAL_CUSTOMERS"/>
      <sheetName val="FLOW"/>
      <sheetName val="plamarc"/>
      <sheetName val="Pauta"/>
      <sheetName val="Apoio"/>
      <sheetName val="Datos"/>
      <sheetName val="Control"/>
      <sheetName val="Lists_BB"/>
      <sheetName val="Dist costo capl licen julio"/>
      <sheetName val="Esquema Negociacion"/>
      <sheetName val="Propuesta FINAL PISCINERIA"/>
      <sheetName val="Resumen"/>
      <sheetName val="ABRIL MAYO TV"/>
      <sheetName val="NOVIEMBRE DIC TV"/>
      <sheetName val="PROPUESTA RADIOS MEGA"/>
      <sheetName val="DETALLE PROGRAMAS RADIO"/>
      <sheetName val="SERVICIOS LINK"/>
      <sheetName val="Publisher_Ad_Specifications"/>
      <sheetName val="Publisher_Ad_Specifications1"/>
      <sheetName val="Esquema_Negociacion"/>
      <sheetName val="Propuesta_FINAL_PISCINERIA"/>
      <sheetName val="ABRIL_MAYO_TV"/>
      <sheetName val="NOVIEMBRE_DIC_TV"/>
      <sheetName val="PROPUESTA_RADIOS_MEGA"/>
      <sheetName val="DETALLE_PROGRAMAS_RADIO"/>
      <sheetName val="SERVICIOS_LINK"/>
      <sheetName val="Publisher_Ad_Specifications2"/>
      <sheetName val="Esquema_Negociacion2"/>
      <sheetName val="Propuesta_FINAL_PISCINERIA2"/>
      <sheetName val="ABRIL_MAYO_TV2"/>
      <sheetName val="NOVIEMBRE_DIC_TV2"/>
      <sheetName val="PROPUESTA_RADIOS_MEGA2"/>
      <sheetName val="DETALLE_PROGRAMAS_RADIO2"/>
      <sheetName val="SERVICIOS_LINK2"/>
      <sheetName val="Esquema_Negociacion1"/>
      <sheetName val="Propuesta_FINAL_PISCINERIA1"/>
      <sheetName val="ABRIL_MAYO_TV1"/>
      <sheetName val="NOVIEMBRE_DIC_TV1"/>
      <sheetName val="PROPUESTA_RADIOS_MEGA1"/>
      <sheetName val="DETALLE_PROGRAMAS_RADIO1"/>
      <sheetName val="SERVICIOS_LINK1"/>
      <sheetName val="Publisher_Ad_Specifications3"/>
      <sheetName val="Esquema_Negociacion3"/>
      <sheetName val="Propuesta_FINAL_PISCINERIA3"/>
      <sheetName val="ABRIL_MAYO_TV3"/>
      <sheetName val="NOVIEMBRE_DIC_TV3"/>
      <sheetName val="PROPUESTA_RADIOS_MEGA3"/>
      <sheetName val="DETALLE_PROGRAMAS_RADIO3"/>
      <sheetName val="SERVICIOS_LINK3"/>
      <sheetName val="channel"/>
      <sheetName val="Dist_costo_capl_licen_julio"/>
      <sheetName val="Dist_costo_capl_licen_julio1"/>
      <sheetName val="Dist_costo_capl_licen_julio2"/>
      <sheetName val="Resultados_97"/>
      <sheetName val="Currency_Rates"/>
      <sheetName val="FRANJAS_SPOT"/>
      <sheetName val="GRP´S_X_CANAL"/>
      <sheetName val="MIX_INVERSION"/>
      <sheetName val="Dist_costo_capl_licen_julio3"/>
      <sheetName val="Publisher_Ad_Specifications5"/>
      <sheetName val="Dist_costo_capl_licen_julio4"/>
      <sheetName val="Publisher_Ad_Specifications4"/>
      <sheetName val="Publisher_Ad_Specifications6"/>
      <sheetName val="Dist_costo_capl_licen_julio5"/>
      <sheetName val="Plan"/>
      <sheetName val="DatosTP"/>
      <sheetName val="Resultados_971"/>
      <sheetName val="Currency_Rates1"/>
      <sheetName val="FRANJAS_SPOT1"/>
      <sheetName val="GRP´S_X_CANAL1"/>
      <sheetName val="MIX_INVERSION1"/>
    </sheetNames>
    <sheetDataSet>
      <sheetData sheetId="0" refreshError="1">
        <row r="2">
          <cell r="G2" t="str">
            <v>100 Kb</v>
          </cell>
        </row>
        <row r="3">
          <cell r="G3" t="str">
            <v>300 Kb</v>
          </cell>
        </row>
        <row r="4">
          <cell r="G4" t="str">
            <v>Up to 2.2 Mb</v>
          </cell>
        </row>
        <row r="5">
          <cell r="G5" t="str">
            <v>Up to 4.4 Mb</v>
          </cell>
        </row>
      </sheetData>
      <sheetData sheetId="1">
        <row r="2">
          <cell r="G2" t="str">
            <v>100 Kb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G2" t="str">
            <v>100 Kb</v>
          </cell>
        </row>
      </sheetData>
      <sheetData sheetId="36">
        <row r="2">
          <cell r="G2" t="str">
            <v>100 Kb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G2" t="str">
            <v>100 Kb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2">
          <cell r="G2" t="str">
            <v>100 Kb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/>
      <sheetData sheetId="85"/>
      <sheetData sheetId="86"/>
      <sheetData sheetId="87"/>
      <sheetData sheetId="8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SR111001"/>
      <sheetName val="SR111002"/>
      <sheetName val="SR121003"/>
      <sheetName val="SR121004"/>
      <sheetName val="SR121005"/>
      <sheetName val="SR121006"/>
      <sheetName val="SR121007"/>
      <sheetName val="SR121008"/>
      <sheetName val="SR121009"/>
      <sheetName val="SR011110"/>
      <sheetName val="SR011111"/>
      <sheetName val="SR011112"/>
      <sheetName val="SR011113"/>
      <sheetName val="SR011114"/>
      <sheetName val="SR011115"/>
      <sheetName val="SR011116"/>
      <sheetName val="SR011117"/>
      <sheetName val="SR011118"/>
      <sheetName val="SR011119"/>
      <sheetName val="SR021120"/>
      <sheetName val="SR021121"/>
      <sheetName val="SR021122"/>
      <sheetName val="SR021123"/>
      <sheetName val="SR021124"/>
      <sheetName val="SR021125"/>
      <sheetName val="SR021126"/>
      <sheetName val="SR031127"/>
      <sheetName val="SR031128"/>
      <sheetName val="SR031129"/>
      <sheetName val="SR031130"/>
      <sheetName val="SR031131"/>
      <sheetName val="SR031132"/>
      <sheetName val="SR031133"/>
      <sheetName val="SR031134"/>
      <sheetName val="SR031135"/>
      <sheetName val="SR031136"/>
      <sheetName val="SR031137"/>
      <sheetName val="SR031138"/>
      <sheetName val="SR031139"/>
      <sheetName val="SR041140"/>
      <sheetName val="SR041141"/>
      <sheetName val="SR041142"/>
      <sheetName val="SR041143"/>
      <sheetName val="SR041144"/>
      <sheetName val="SR041145"/>
      <sheetName val="SR041146"/>
      <sheetName val="SR041147"/>
      <sheetName val="SR041148"/>
      <sheetName val="SR041149"/>
      <sheetName val="SR051150"/>
      <sheetName val="SR051151"/>
      <sheetName val="SR051152"/>
      <sheetName val="SR051153"/>
      <sheetName val="SR051154"/>
      <sheetName val="SR051155"/>
      <sheetName val="SR051156"/>
      <sheetName val="SR051157"/>
      <sheetName val="SR051158"/>
      <sheetName val="SR051159"/>
      <sheetName val="SR051160"/>
      <sheetName val="SR061161"/>
      <sheetName val="SR061162"/>
      <sheetName val="SR061163"/>
      <sheetName val="SR061164"/>
      <sheetName val="SR061165"/>
      <sheetName val="CopaAmérica"/>
      <sheetName val="Plantilla"/>
      <sheetName val="TODAS"/>
      <sheetName val="Dale Albo"/>
      <sheetName val="Red Gol-Otros"/>
      <sheetName val="SR061166"/>
      <sheetName val="SR061167"/>
      <sheetName val="SR061168"/>
      <sheetName val="SR061169"/>
      <sheetName val="SR061170"/>
      <sheetName val="SR061171"/>
      <sheetName val="SR071172"/>
      <sheetName val="SR071173"/>
      <sheetName val="SR071174"/>
      <sheetName val="SR071175"/>
      <sheetName val="SR071176"/>
      <sheetName val="SR081177"/>
      <sheetName val="SR081178"/>
      <sheetName val="SR081179"/>
      <sheetName val="SR081180"/>
      <sheetName val="SR081181"/>
      <sheetName val="SR081182"/>
      <sheetName val="SR081183"/>
      <sheetName val="SR081184"/>
      <sheetName val="SR081185"/>
      <sheetName val="SR091186"/>
      <sheetName val="SR091187"/>
      <sheetName val="SR091188"/>
      <sheetName val="SR091189"/>
      <sheetName val="SR091190"/>
    </sheetNames>
    <sheetDataSet>
      <sheetData sheetId="0">
        <row r="4">
          <cell r="B4" t="str">
            <v>Dale Albo</v>
          </cell>
        </row>
        <row r="5">
          <cell r="B5" t="str">
            <v>Charla Técnica</v>
          </cell>
        </row>
        <row r="6">
          <cell r="B6" t="str">
            <v>Red Gol</v>
          </cell>
        </row>
        <row r="7">
          <cell r="B7" t="str">
            <v>La Selección</v>
          </cell>
        </row>
        <row r="8">
          <cell r="B8" t="str">
            <v>Vamos Leones</v>
          </cell>
        </row>
        <row r="9">
          <cell r="B9" t="str">
            <v>Ceatolei.cl</v>
          </cell>
        </row>
        <row r="10">
          <cell r="B10" t="str">
            <v>Toda la Red (FSN Chile)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pa"/>
      <sheetName val="Antecedentes"/>
      <sheetName val="Resumen"/>
      <sheetName val="Flow"/>
      <sheetName val="TV Sem Festival"/>
      <sheetName val="CODIGOS CANALES"/>
      <sheetName val="Data Prensa"/>
      <sheetName val="Trp´s y CPR Radio"/>
      <sheetName val="Eva Radio"/>
      <sheetName val="Cobertura Radios"/>
      <sheetName val="Ranking TV Abierta"/>
      <sheetName val="Pauta TV Abierta"/>
      <sheetName val="Pauta Tv Cable"/>
      <sheetName val="Pauta Prensa "/>
      <sheetName val="Pauta Radio"/>
      <sheetName val="Pauta Digital V1"/>
      <sheetName val="Indicadores de Compra DIGITAL"/>
      <sheetName val="La Tercera"/>
      <sheetName val="Emol"/>
      <sheetName val="Twitter"/>
      <sheetName val="Facebook"/>
      <sheetName val="RK Prensa"/>
      <sheetName val="Google Display"/>
      <sheetName val="Resumen Eva Tv"/>
      <sheetName val="Perfil Prensa"/>
      <sheetName val="Analisis Lectoria x Día"/>
      <sheetName val="Eva Prensa"/>
      <sheetName val="Eva Radios "/>
      <sheetName val="Perfil radio"/>
      <sheetName val="data c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uantificador"/>
      <sheetName val="RADIOS"/>
      <sheetName val="Pauta"/>
      <sheetName val="Hoja1"/>
      <sheetName val="DatosTP"/>
      <sheetName val="Base"/>
      <sheetName val="Rk"/>
      <sheetName val="Hoja2"/>
      <sheetName val="BBDD"/>
      <sheetName val="Din_Plan"/>
      <sheetName val="IMPORTANTE LEER CAIDA DE PAUTAS"/>
      <sheetName val="Plan"/>
      <sheetName val="CASTIGO RTG"/>
      <sheetName val="Tarifario"/>
      <sheetName val="Plan TV Data"/>
      <sheetName val="Auxiliar"/>
      <sheetName val="Portada"/>
      <sheetName val="Propuesta"/>
      <sheetName val="Factor "/>
      <sheetName val="Programacion_Mega"/>
      <sheetName val="Resultados_Mega"/>
      <sheetName val="Universos_Mega"/>
      <sheetName val="Resultados_TVP"/>
      <sheetName val="Universos_TVP"/>
      <sheetName val="Resultados_Mega_DDC"/>
      <sheetName val="Universos_Mega_DDC"/>
      <sheetName val="Resultados_TVP_DDC"/>
      <sheetName val="Universos_TVP_DDC"/>
      <sheetName val="IMPORTANTE_LEER_CAIDA_DE_PAUTAS"/>
      <sheetName val="CASTIGO_RTG"/>
      <sheetName val="Plan_TV_Data"/>
      <sheetName val="Factor_"/>
      <sheetName val="Internet"/>
      <sheetName val="Dropdown_Lists"/>
      <sheetName val="IMPORTANTE_LEER_CAIDA_DE_PAUTA1"/>
      <sheetName val="CASTIGO_RTG1"/>
      <sheetName val="Plan_TV_Data1"/>
      <sheetName val="Factor_1"/>
    </sheetNames>
    <sheetDataSet>
      <sheetData sheetId="0" refreshError="1">
        <row r="11">
          <cell r="N11" t="str">
            <v>ABC1</v>
          </cell>
        </row>
        <row r="163">
          <cell r="M163" t="str">
            <v>Hombres y Mujeres</v>
          </cell>
          <cell r="N163" t="str">
            <v>%HM</v>
          </cell>
        </row>
        <row r="164">
          <cell r="M164" t="str">
            <v>Hombres</v>
          </cell>
          <cell r="N164" t="str">
            <v>%H</v>
          </cell>
        </row>
        <row r="165">
          <cell r="M165" t="str">
            <v>Mujeres</v>
          </cell>
          <cell r="N165" t="str">
            <v>%M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63">
          <cell r="M163">
            <v>7.4305555555555555E-2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UTA FULL"/>
      <sheetName val="PAUTA"/>
      <sheetName val="RANKEADOR"/>
      <sheetName val="Tarifa 2"/>
    </sheetNames>
    <sheetDataSet>
      <sheetData sheetId="0"/>
      <sheetData sheetId="1"/>
      <sheetData sheetId="2"/>
      <sheetData sheetId="3"/>
      <sheetData sheetId="4">
        <row r="8">
          <cell r="B8" t="str">
            <v>V01</v>
          </cell>
          <cell r="D8">
            <v>12317</v>
          </cell>
          <cell r="E8">
            <v>20528</v>
          </cell>
          <cell r="F8">
            <v>25659</v>
          </cell>
          <cell r="G8">
            <v>29081</v>
          </cell>
          <cell r="H8">
            <v>31818</v>
          </cell>
          <cell r="I8">
            <v>34213</v>
          </cell>
          <cell r="J8">
            <v>40029</v>
          </cell>
          <cell r="K8">
            <v>45845</v>
          </cell>
          <cell r="L8">
            <v>51661</v>
          </cell>
          <cell r="M8">
            <v>60556</v>
          </cell>
          <cell r="N8">
            <v>69794</v>
          </cell>
          <cell r="O8">
            <v>79715</v>
          </cell>
        </row>
        <row r="9">
          <cell r="B9" t="str">
            <v>V02</v>
          </cell>
          <cell r="D9">
            <v>14994</v>
          </cell>
          <cell r="E9">
            <v>24990</v>
          </cell>
          <cell r="F9">
            <v>31238</v>
          </cell>
          <cell r="G9">
            <v>35403</v>
          </cell>
          <cell r="H9">
            <v>38735</v>
          </cell>
          <cell r="I9">
            <v>41650</v>
          </cell>
          <cell r="J9">
            <v>48731</v>
          </cell>
          <cell r="K9">
            <v>55811</v>
          </cell>
          <cell r="L9">
            <v>62892</v>
          </cell>
          <cell r="M9">
            <v>73721</v>
          </cell>
          <cell r="N9">
            <v>84966</v>
          </cell>
          <cell r="O9">
            <v>97045</v>
          </cell>
        </row>
        <row r="10">
          <cell r="B10" t="str">
            <v>V03</v>
          </cell>
          <cell r="D10">
            <v>18207</v>
          </cell>
          <cell r="E10">
            <v>30345</v>
          </cell>
          <cell r="F10">
            <v>37931</v>
          </cell>
          <cell r="G10">
            <v>42989</v>
          </cell>
          <cell r="H10">
            <v>47035</v>
          </cell>
          <cell r="I10">
            <v>50575</v>
          </cell>
          <cell r="J10">
            <v>59173</v>
          </cell>
          <cell r="K10">
            <v>67771</v>
          </cell>
          <cell r="L10">
            <v>76368</v>
          </cell>
          <cell r="M10">
            <v>89518</v>
          </cell>
          <cell r="N10">
            <v>103173</v>
          </cell>
          <cell r="O10">
            <v>117840</v>
          </cell>
        </row>
        <row r="11">
          <cell r="B11" t="str">
            <v>V04</v>
          </cell>
          <cell r="D11">
            <v>21420</v>
          </cell>
          <cell r="E11">
            <v>35700</v>
          </cell>
          <cell r="F11">
            <v>44625</v>
          </cell>
          <cell r="G11">
            <v>50575</v>
          </cell>
          <cell r="H11">
            <v>55335</v>
          </cell>
          <cell r="I11">
            <v>59500</v>
          </cell>
          <cell r="J11">
            <v>69615</v>
          </cell>
          <cell r="K11">
            <v>79730</v>
          </cell>
          <cell r="L11">
            <v>89845</v>
          </cell>
          <cell r="M11">
            <v>105315</v>
          </cell>
          <cell r="N11">
            <v>121380</v>
          </cell>
          <cell r="O11">
            <v>138635</v>
          </cell>
        </row>
        <row r="12">
          <cell r="B12" t="str">
            <v>V05</v>
          </cell>
          <cell r="D12">
            <v>25704</v>
          </cell>
          <cell r="E12">
            <v>42840</v>
          </cell>
          <cell r="F12">
            <v>53550</v>
          </cell>
          <cell r="G12">
            <v>60690</v>
          </cell>
          <cell r="H12">
            <v>66402</v>
          </cell>
          <cell r="I12">
            <v>71400</v>
          </cell>
          <cell r="J12">
            <v>83538</v>
          </cell>
          <cell r="K12">
            <v>95676</v>
          </cell>
          <cell r="L12">
            <v>107814</v>
          </cell>
          <cell r="M12">
            <v>126378</v>
          </cell>
          <cell r="N12">
            <v>145656</v>
          </cell>
          <cell r="O12">
            <v>166362</v>
          </cell>
        </row>
        <row r="13">
          <cell r="B13" t="str">
            <v>V06</v>
          </cell>
          <cell r="D13">
            <v>31059</v>
          </cell>
          <cell r="E13">
            <v>51765</v>
          </cell>
          <cell r="F13">
            <v>64706</v>
          </cell>
          <cell r="G13">
            <v>73334</v>
          </cell>
          <cell r="H13">
            <v>80236</v>
          </cell>
          <cell r="I13">
            <v>86275</v>
          </cell>
          <cell r="J13">
            <v>100942</v>
          </cell>
          <cell r="K13">
            <v>115609</v>
          </cell>
          <cell r="L13">
            <v>130275</v>
          </cell>
          <cell r="M13">
            <v>152707</v>
          </cell>
          <cell r="N13">
            <v>176001</v>
          </cell>
          <cell r="O13">
            <v>201021</v>
          </cell>
        </row>
        <row r="14">
          <cell r="B14" t="str">
            <v>V07</v>
          </cell>
          <cell r="D14">
            <v>34272</v>
          </cell>
          <cell r="E14">
            <v>57120</v>
          </cell>
          <cell r="F14">
            <v>71400</v>
          </cell>
          <cell r="G14">
            <v>80920</v>
          </cell>
          <cell r="H14">
            <v>88536</v>
          </cell>
          <cell r="I14">
            <v>95200</v>
          </cell>
          <cell r="J14">
            <v>111384</v>
          </cell>
          <cell r="K14">
            <v>127568</v>
          </cell>
          <cell r="L14">
            <v>143752</v>
          </cell>
          <cell r="M14">
            <v>168504</v>
          </cell>
          <cell r="N14">
            <v>194208</v>
          </cell>
          <cell r="O14">
            <v>221816</v>
          </cell>
        </row>
        <row r="15">
          <cell r="B15" t="str">
            <v>V08</v>
          </cell>
          <cell r="D15">
            <v>37485</v>
          </cell>
          <cell r="E15">
            <v>62475</v>
          </cell>
          <cell r="F15">
            <v>78094</v>
          </cell>
          <cell r="G15">
            <v>88506</v>
          </cell>
          <cell r="H15">
            <v>96836</v>
          </cell>
          <cell r="I15">
            <v>104125</v>
          </cell>
          <cell r="J15">
            <v>121826</v>
          </cell>
          <cell r="K15">
            <v>139528</v>
          </cell>
          <cell r="L15">
            <v>157229</v>
          </cell>
          <cell r="M15">
            <v>184301</v>
          </cell>
          <cell r="N15">
            <v>212415</v>
          </cell>
          <cell r="O15">
            <v>242611</v>
          </cell>
        </row>
        <row r="16">
          <cell r="B16" t="str">
            <v>V09</v>
          </cell>
          <cell r="D16">
            <v>41234</v>
          </cell>
          <cell r="E16">
            <v>68723</v>
          </cell>
          <cell r="F16">
            <v>85903</v>
          </cell>
          <cell r="G16">
            <v>97357</v>
          </cell>
          <cell r="H16">
            <v>106520</v>
          </cell>
          <cell r="I16">
            <v>114538</v>
          </cell>
          <cell r="J16">
            <v>134009</v>
          </cell>
          <cell r="K16">
            <v>153480</v>
          </cell>
          <cell r="L16">
            <v>172952</v>
          </cell>
          <cell r="M16">
            <v>202731</v>
          </cell>
          <cell r="N16">
            <v>233657</v>
          </cell>
          <cell r="O16">
            <v>266872</v>
          </cell>
        </row>
        <row r="17">
          <cell r="B17" t="str">
            <v>V10</v>
          </cell>
          <cell r="D17">
            <v>44982</v>
          </cell>
          <cell r="E17">
            <v>74970</v>
          </cell>
          <cell r="F17">
            <v>93713</v>
          </cell>
          <cell r="G17">
            <v>106208</v>
          </cell>
          <cell r="H17">
            <v>116204</v>
          </cell>
          <cell r="I17">
            <v>124950</v>
          </cell>
          <cell r="J17">
            <v>146192</v>
          </cell>
          <cell r="K17">
            <v>167433</v>
          </cell>
          <cell r="L17">
            <v>188675</v>
          </cell>
          <cell r="M17">
            <v>221162</v>
          </cell>
          <cell r="N17">
            <v>254898</v>
          </cell>
          <cell r="O17">
            <v>291134</v>
          </cell>
        </row>
        <row r="18">
          <cell r="B18" t="str">
            <v>V11</v>
          </cell>
          <cell r="D18">
            <v>49802</v>
          </cell>
          <cell r="E18">
            <v>83003</v>
          </cell>
          <cell r="F18">
            <v>103753</v>
          </cell>
          <cell r="G18">
            <v>117587</v>
          </cell>
          <cell r="H18">
            <v>128654</v>
          </cell>
          <cell r="I18">
            <v>138338</v>
          </cell>
          <cell r="J18">
            <v>161855</v>
          </cell>
          <cell r="K18">
            <v>185372</v>
          </cell>
          <cell r="L18">
            <v>208890</v>
          </cell>
          <cell r="M18">
            <v>244857</v>
          </cell>
          <cell r="N18">
            <v>282209</v>
          </cell>
          <cell r="O18">
            <v>322326</v>
          </cell>
        </row>
        <row r="19">
          <cell r="B19" t="str">
            <v>V12</v>
          </cell>
          <cell r="D19">
            <v>54621</v>
          </cell>
          <cell r="E19">
            <v>91035</v>
          </cell>
          <cell r="F19">
            <v>113794</v>
          </cell>
          <cell r="G19">
            <v>128966</v>
          </cell>
          <cell r="H19">
            <v>141104</v>
          </cell>
          <cell r="I19">
            <v>151725</v>
          </cell>
          <cell r="J19">
            <v>177518</v>
          </cell>
          <cell r="K19">
            <v>203312</v>
          </cell>
          <cell r="L19">
            <v>229105</v>
          </cell>
          <cell r="M19">
            <v>268553</v>
          </cell>
          <cell r="N19">
            <v>309519</v>
          </cell>
          <cell r="O19">
            <v>353519</v>
          </cell>
        </row>
        <row r="20">
          <cell r="B20" t="str">
            <v>V13</v>
          </cell>
          <cell r="D20">
            <v>59976</v>
          </cell>
          <cell r="E20">
            <v>99960</v>
          </cell>
          <cell r="F20">
            <v>124950</v>
          </cell>
          <cell r="G20">
            <v>141610</v>
          </cell>
          <cell r="H20">
            <v>154938</v>
          </cell>
          <cell r="I20">
            <v>166600</v>
          </cell>
          <cell r="J20">
            <v>194922</v>
          </cell>
          <cell r="K20">
            <v>223244</v>
          </cell>
          <cell r="L20">
            <v>251566</v>
          </cell>
          <cell r="M20">
            <v>294882</v>
          </cell>
          <cell r="N20">
            <v>339864</v>
          </cell>
          <cell r="O20">
            <v>388178</v>
          </cell>
        </row>
        <row r="21">
          <cell r="B21" t="str">
            <v>V14</v>
          </cell>
          <cell r="D21">
            <v>66402</v>
          </cell>
          <cell r="E21">
            <v>110670</v>
          </cell>
          <cell r="F21">
            <v>138338</v>
          </cell>
          <cell r="G21">
            <v>156783</v>
          </cell>
          <cell r="H21">
            <v>171539</v>
          </cell>
          <cell r="I21">
            <v>184450</v>
          </cell>
          <cell r="J21">
            <v>215807</v>
          </cell>
          <cell r="K21">
            <v>247163</v>
          </cell>
          <cell r="L21">
            <v>278520</v>
          </cell>
          <cell r="M21">
            <v>326477</v>
          </cell>
          <cell r="N21">
            <v>376278</v>
          </cell>
          <cell r="O21">
            <v>429769</v>
          </cell>
        </row>
        <row r="22">
          <cell r="B22" t="str">
            <v>V15</v>
          </cell>
          <cell r="D22">
            <v>72828</v>
          </cell>
          <cell r="E22">
            <v>121380</v>
          </cell>
          <cell r="F22">
            <v>151725</v>
          </cell>
          <cell r="G22">
            <v>171955</v>
          </cell>
          <cell r="H22">
            <v>188139</v>
          </cell>
          <cell r="I22">
            <v>202300</v>
          </cell>
          <cell r="J22">
            <v>236691</v>
          </cell>
          <cell r="K22">
            <v>271082</v>
          </cell>
          <cell r="L22">
            <v>305473</v>
          </cell>
          <cell r="M22">
            <v>358071</v>
          </cell>
          <cell r="N22">
            <v>412692</v>
          </cell>
          <cell r="O22">
            <v>471359</v>
          </cell>
        </row>
        <row r="23">
          <cell r="B23" t="str">
            <v>V16</v>
          </cell>
          <cell r="D23">
            <v>80325</v>
          </cell>
          <cell r="E23">
            <v>133875</v>
          </cell>
          <cell r="F23">
            <v>167344</v>
          </cell>
          <cell r="G23">
            <v>189656</v>
          </cell>
          <cell r="H23">
            <v>207506</v>
          </cell>
          <cell r="I23">
            <v>223125</v>
          </cell>
          <cell r="J23">
            <v>261056</v>
          </cell>
          <cell r="K23">
            <v>298988</v>
          </cell>
          <cell r="L23">
            <v>336919</v>
          </cell>
          <cell r="M23">
            <v>394931</v>
          </cell>
          <cell r="N23">
            <v>455175</v>
          </cell>
          <cell r="O23">
            <v>519881</v>
          </cell>
        </row>
        <row r="24">
          <cell r="B24" t="str">
            <v>V17</v>
          </cell>
          <cell r="D24">
            <v>88358</v>
          </cell>
          <cell r="E24">
            <v>147263</v>
          </cell>
          <cell r="F24">
            <v>184078</v>
          </cell>
          <cell r="G24">
            <v>208622</v>
          </cell>
          <cell r="H24">
            <v>228257</v>
          </cell>
          <cell r="I24">
            <v>245438</v>
          </cell>
          <cell r="J24">
            <v>287162</v>
          </cell>
          <cell r="K24">
            <v>328886</v>
          </cell>
          <cell r="L24">
            <v>370611</v>
          </cell>
          <cell r="M24">
            <v>434424</v>
          </cell>
          <cell r="N24">
            <v>500693</v>
          </cell>
          <cell r="O24">
            <v>571869</v>
          </cell>
        </row>
        <row r="25">
          <cell r="B25" t="str">
            <v>V18</v>
          </cell>
          <cell r="D25">
            <v>96926</v>
          </cell>
          <cell r="E25">
            <v>161543</v>
          </cell>
          <cell r="F25">
            <v>201928</v>
          </cell>
          <cell r="G25">
            <v>228852</v>
          </cell>
          <cell r="H25">
            <v>250391</v>
          </cell>
          <cell r="I25">
            <v>269238</v>
          </cell>
          <cell r="J25">
            <v>315008</v>
          </cell>
          <cell r="K25">
            <v>360778</v>
          </cell>
          <cell r="L25">
            <v>406549</v>
          </cell>
          <cell r="M25">
            <v>476550</v>
          </cell>
          <cell r="N25">
            <v>549245</v>
          </cell>
          <cell r="O25">
            <v>627323</v>
          </cell>
        </row>
        <row r="26">
          <cell r="B26" t="str">
            <v>V19</v>
          </cell>
          <cell r="D26">
            <v>106565</v>
          </cell>
          <cell r="E26">
            <v>177608</v>
          </cell>
          <cell r="F26">
            <v>222009</v>
          </cell>
          <cell r="G26">
            <v>251611</v>
          </cell>
          <cell r="H26">
            <v>275292</v>
          </cell>
          <cell r="I26">
            <v>296013</v>
          </cell>
          <cell r="J26">
            <v>346335</v>
          </cell>
          <cell r="K26">
            <v>396657</v>
          </cell>
          <cell r="L26">
            <v>446979</v>
          </cell>
          <cell r="M26">
            <v>523942</v>
          </cell>
          <cell r="N26">
            <v>603866</v>
          </cell>
          <cell r="O26">
            <v>689709</v>
          </cell>
        </row>
        <row r="27">
          <cell r="B27" t="str">
            <v>V20</v>
          </cell>
          <cell r="D27">
            <v>117275</v>
          </cell>
          <cell r="E27">
            <v>195458</v>
          </cell>
          <cell r="F27">
            <v>244322</v>
          </cell>
          <cell r="G27">
            <v>276898</v>
          </cell>
          <cell r="H27">
            <v>302959</v>
          </cell>
          <cell r="I27">
            <v>325763</v>
          </cell>
          <cell r="J27">
            <v>381142</v>
          </cell>
          <cell r="K27">
            <v>436522</v>
          </cell>
          <cell r="L27">
            <v>491901</v>
          </cell>
          <cell r="M27">
            <v>576600</v>
          </cell>
          <cell r="N27">
            <v>664556</v>
          </cell>
          <cell r="O27">
            <v>759027</v>
          </cell>
        </row>
        <row r="28">
          <cell r="B28" t="str">
            <v>V21</v>
          </cell>
          <cell r="D28">
            <v>129056</v>
          </cell>
          <cell r="E28">
            <v>215093</v>
          </cell>
          <cell r="F28">
            <v>268866</v>
          </cell>
          <cell r="G28">
            <v>304714</v>
          </cell>
          <cell r="H28">
            <v>333393</v>
          </cell>
          <cell r="I28">
            <v>358488</v>
          </cell>
          <cell r="J28">
            <v>419430</v>
          </cell>
          <cell r="K28">
            <v>480373</v>
          </cell>
          <cell r="L28">
            <v>541316</v>
          </cell>
          <cell r="M28">
            <v>634523</v>
          </cell>
          <cell r="N28">
            <v>731315</v>
          </cell>
          <cell r="O28">
            <v>835276</v>
          </cell>
        </row>
        <row r="29">
          <cell r="B29" t="str">
            <v>V22</v>
          </cell>
          <cell r="D29">
            <v>141908</v>
          </cell>
          <cell r="E29">
            <v>236513</v>
          </cell>
          <cell r="F29">
            <v>295641</v>
          </cell>
          <cell r="G29">
            <v>335059</v>
          </cell>
          <cell r="H29">
            <v>366594</v>
          </cell>
          <cell r="I29">
            <v>394188</v>
          </cell>
          <cell r="J29">
            <v>461199</v>
          </cell>
          <cell r="K29">
            <v>528211</v>
          </cell>
          <cell r="L29">
            <v>595223</v>
          </cell>
          <cell r="M29">
            <v>697712</v>
          </cell>
          <cell r="N29">
            <v>804143</v>
          </cell>
          <cell r="O29">
            <v>918457</v>
          </cell>
        </row>
        <row r="30">
          <cell r="B30" t="str">
            <v>V23</v>
          </cell>
          <cell r="D30">
            <v>156366</v>
          </cell>
          <cell r="E30">
            <v>260610</v>
          </cell>
          <cell r="F30">
            <v>325763</v>
          </cell>
          <cell r="G30">
            <v>369198</v>
          </cell>
          <cell r="H30">
            <v>403946</v>
          </cell>
          <cell r="I30">
            <v>434350</v>
          </cell>
          <cell r="J30">
            <v>508190</v>
          </cell>
          <cell r="K30">
            <v>582029</v>
          </cell>
          <cell r="L30">
            <v>655869</v>
          </cell>
          <cell r="M30">
            <v>768800</v>
          </cell>
          <cell r="N30">
            <v>886074</v>
          </cell>
          <cell r="O30">
            <v>1012036</v>
          </cell>
        </row>
        <row r="31">
          <cell r="B31" t="str">
            <v>V24</v>
          </cell>
          <cell r="D31">
            <v>171896</v>
          </cell>
          <cell r="E31">
            <v>286493</v>
          </cell>
          <cell r="F31">
            <v>358116</v>
          </cell>
          <cell r="G31">
            <v>405864</v>
          </cell>
          <cell r="H31">
            <v>444063</v>
          </cell>
          <cell r="I31">
            <v>477488</v>
          </cell>
          <cell r="J31">
            <v>558660</v>
          </cell>
          <cell r="K31">
            <v>639833</v>
          </cell>
          <cell r="L31">
            <v>721006</v>
          </cell>
          <cell r="M31">
            <v>845153</v>
          </cell>
          <cell r="N31">
            <v>974075</v>
          </cell>
          <cell r="O31">
            <v>1112546</v>
          </cell>
        </row>
        <row r="32">
          <cell r="B32" t="str">
            <v>V25</v>
          </cell>
          <cell r="D32">
            <v>180464</v>
          </cell>
          <cell r="E32">
            <v>300773</v>
          </cell>
          <cell r="F32">
            <v>375966</v>
          </cell>
          <cell r="G32">
            <v>426094</v>
          </cell>
          <cell r="H32">
            <v>466197</v>
          </cell>
          <cell r="I32">
            <v>501288</v>
          </cell>
          <cell r="J32">
            <v>586506</v>
          </cell>
          <cell r="K32">
            <v>671725</v>
          </cell>
          <cell r="L32">
            <v>756944</v>
          </cell>
          <cell r="M32">
            <v>887279</v>
          </cell>
          <cell r="N32">
            <v>1022627</v>
          </cell>
          <cell r="O32">
            <v>1168000</v>
          </cell>
        </row>
        <row r="33">
          <cell r="B33" t="str">
            <v>V26</v>
          </cell>
          <cell r="D33">
            <v>189567</v>
          </cell>
          <cell r="E33">
            <v>315945</v>
          </cell>
          <cell r="F33">
            <v>394931</v>
          </cell>
          <cell r="G33">
            <v>447589</v>
          </cell>
          <cell r="H33">
            <v>489715</v>
          </cell>
          <cell r="I33">
            <v>526575</v>
          </cell>
          <cell r="J33">
            <v>616093</v>
          </cell>
          <cell r="K33">
            <v>705611</v>
          </cell>
          <cell r="L33">
            <v>795128</v>
          </cell>
          <cell r="M33">
            <v>932038</v>
          </cell>
          <cell r="N33">
            <v>1074213</v>
          </cell>
          <cell r="O33">
            <v>1226920</v>
          </cell>
        </row>
        <row r="34">
          <cell r="B34" t="str">
            <v>V27</v>
          </cell>
          <cell r="D34">
            <v>198671</v>
          </cell>
          <cell r="E34">
            <v>331118</v>
          </cell>
          <cell r="F34">
            <v>413897</v>
          </cell>
          <cell r="G34">
            <v>469083</v>
          </cell>
          <cell r="H34">
            <v>513232</v>
          </cell>
          <cell r="I34">
            <v>551863</v>
          </cell>
          <cell r="J34">
            <v>645679</v>
          </cell>
          <cell r="K34">
            <v>739496</v>
          </cell>
          <cell r="L34">
            <v>833312</v>
          </cell>
          <cell r="M34">
            <v>976797</v>
          </cell>
          <cell r="N34">
            <v>1125800</v>
          </cell>
          <cell r="O34">
            <v>1285840</v>
          </cell>
        </row>
        <row r="35">
          <cell r="B35" t="str">
            <v>V28</v>
          </cell>
          <cell r="D35">
            <v>208845</v>
          </cell>
          <cell r="E35">
            <v>348075</v>
          </cell>
          <cell r="F35">
            <v>435094</v>
          </cell>
          <cell r="G35">
            <v>493106</v>
          </cell>
          <cell r="H35">
            <v>539516</v>
          </cell>
          <cell r="I35">
            <v>580125</v>
          </cell>
          <cell r="J35">
            <v>678746</v>
          </cell>
          <cell r="K35">
            <v>777368</v>
          </cell>
          <cell r="L35">
            <v>875989</v>
          </cell>
          <cell r="M35">
            <v>1026821</v>
          </cell>
          <cell r="N35">
            <v>1183455</v>
          </cell>
          <cell r="O35">
            <v>1351691</v>
          </cell>
        </row>
        <row r="36">
          <cell r="B36" t="str">
            <v>V29</v>
          </cell>
          <cell r="D36">
            <v>219555</v>
          </cell>
          <cell r="E36">
            <v>365925</v>
          </cell>
          <cell r="F36">
            <v>457406</v>
          </cell>
          <cell r="G36">
            <v>518394</v>
          </cell>
          <cell r="H36">
            <v>567184</v>
          </cell>
          <cell r="I36">
            <v>609875</v>
          </cell>
          <cell r="J36">
            <v>713554</v>
          </cell>
          <cell r="K36">
            <v>817233</v>
          </cell>
          <cell r="L36">
            <v>920911</v>
          </cell>
          <cell r="M36">
            <v>1079479</v>
          </cell>
          <cell r="N36">
            <v>1244145</v>
          </cell>
          <cell r="O36">
            <v>1421009</v>
          </cell>
        </row>
        <row r="37">
          <cell r="B37" t="str">
            <v>V30</v>
          </cell>
          <cell r="D37">
            <v>230265</v>
          </cell>
          <cell r="E37">
            <v>383775</v>
          </cell>
          <cell r="F37">
            <v>479719</v>
          </cell>
          <cell r="G37">
            <v>543681</v>
          </cell>
          <cell r="H37">
            <v>594851</v>
          </cell>
          <cell r="I37">
            <v>639625</v>
          </cell>
          <cell r="J37">
            <v>748361</v>
          </cell>
          <cell r="K37">
            <v>857098</v>
          </cell>
          <cell r="L37">
            <v>965834</v>
          </cell>
          <cell r="M37">
            <v>1132136</v>
          </cell>
          <cell r="N37">
            <v>1304835</v>
          </cell>
          <cell r="O37">
            <v>1490326</v>
          </cell>
        </row>
        <row r="38">
          <cell r="B38" t="str">
            <v>V31</v>
          </cell>
          <cell r="D38">
            <v>242046</v>
          </cell>
          <cell r="E38">
            <v>403410</v>
          </cell>
          <cell r="F38">
            <v>504263</v>
          </cell>
          <cell r="G38">
            <v>571498</v>
          </cell>
          <cell r="H38">
            <v>625286</v>
          </cell>
          <cell r="I38">
            <v>672350</v>
          </cell>
          <cell r="J38">
            <v>786650</v>
          </cell>
          <cell r="K38">
            <v>900949</v>
          </cell>
          <cell r="L38">
            <v>1015249</v>
          </cell>
          <cell r="M38">
            <v>1190060</v>
          </cell>
          <cell r="N38">
            <v>1371594</v>
          </cell>
          <cell r="O38">
            <v>1566576</v>
          </cell>
        </row>
        <row r="39">
          <cell r="B39" t="str">
            <v>V32</v>
          </cell>
          <cell r="D39">
            <v>253827</v>
          </cell>
          <cell r="E39">
            <v>423045</v>
          </cell>
          <cell r="F39">
            <v>528806</v>
          </cell>
          <cell r="G39">
            <v>599314</v>
          </cell>
          <cell r="H39">
            <v>655720</v>
          </cell>
          <cell r="I39">
            <v>705075</v>
          </cell>
          <cell r="J39">
            <v>824938</v>
          </cell>
          <cell r="K39">
            <v>944801</v>
          </cell>
          <cell r="L39">
            <v>1064663</v>
          </cell>
          <cell r="M39">
            <v>1247983</v>
          </cell>
          <cell r="N39">
            <v>1438353</v>
          </cell>
          <cell r="O39">
            <v>1642825</v>
          </cell>
        </row>
        <row r="40">
          <cell r="B40" t="str">
            <v>V33</v>
          </cell>
          <cell r="D40">
            <v>266679</v>
          </cell>
          <cell r="E40">
            <v>444465</v>
          </cell>
          <cell r="F40">
            <v>555581</v>
          </cell>
          <cell r="G40">
            <v>629659</v>
          </cell>
          <cell r="H40">
            <v>688921</v>
          </cell>
          <cell r="I40">
            <v>740775</v>
          </cell>
          <cell r="J40">
            <v>866707</v>
          </cell>
          <cell r="K40">
            <v>992639</v>
          </cell>
          <cell r="L40">
            <v>1118570</v>
          </cell>
          <cell r="M40">
            <v>1311172</v>
          </cell>
          <cell r="N40">
            <v>1511181</v>
          </cell>
          <cell r="O40">
            <v>1726006</v>
          </cell>
        </row>
        <row r="41">
          <cell r="B41" t="str">
            <v>V34</v>
          </cell>
          <cell r="D41">
            <v>280067</v>
          </cell>
          <cell r="E41">
            <v>466778</v>
          </cell>
          <cell r="F41">
            <v>583472</v>
          </cell>
          <cell r="G41">
            <v>661268</v>
          </cell>
          <cell r="H41">
            <v>723505</v>
          </cell>
          <cell r="I41">
            <v>777963</v>
          </cell>
          <cell r="J41">
            <v>910216</v>
          </cell>
          <cell r="K41">
            <v>1042470</v>
          </cell>
          <cell r="L41">
            <v>1174723</v>
          </cell>
          <cell r="M41">
            <v>1376994</v>
          </cell>
          <cell r="N41">
            <v>1587044</v>
          </cell>
          <cell r="O41">
            <v>1812653</v>
          </cell>
        </row>
        <row r="42">
          <cell r="B42" t="str">
            <v>V35</v>
          </cell>
          <cell r="D42">
            <v>293990</v>
          </cell>
          <cell r="E42">
            <v>489983</v>
          </cell>
          <cell r="F42">
            <v>612478</v>
          </cell>
          <cell r="G42">
            <v>694142</v>
          </cell>
          <cell r="H42">
            <v>759473</v>
          </cell>
          <cell r="I42">
            <v>816638</v>
          </cell>
          <cell r="J42">
            <v>955466</v>
          </cell>
          <cell r="K42">
            <v>1094294</v>
          </cell>
          <cell r="L42">
            <v>1233123</v>
          </cell>
          <cell r="M42">
            <v>1445448</v>
          </cell>
          <cell r="N42">
            <v>1665941</v>
          </cell>
          <cell r="O42">
            <v>1902765</v>
          </cell>
        </row>
        <row r="43">
          <cell r="B43" t="str">
            <v>V36</v>
          </cell>
          <cell r="D43">
            <v>308448</v>
          </cell>
          <cell r="E43">
            <v>514080</v>
          </cell>
          <cell r="F43">
            <v>642600</v>
          </cell>
          <cell r="G43">
            <v>728280</v>
          </cell>
          <cell r="H43">
            <v>796824</v>
          </cell>
          <cell r="I43">
            <v>856800</v>
          </cell>
          <cell r="J43">
            <v>1002456</v>
          </cell>
          <cell r="K43">
            <v>1148112</v>
          </cell>
          <cell r="L43">
            <v>1293768</v>
          </cell>
          <cell r="M43">
            <v>1516536</v>
          </cell>
          <cell r="N43">
            <v>1747872</v>
          </cell>
          <cell r="O43">
            <v>1996344</v>
          </cell>
        </row>
        <row r="44">
          <cell r="B44" t="str">
            <v>V37</v>
          </cell>
          <cell r="D44">
            <v>323978</v>
          </cell>
          <cell r="E44">
            <v>539963</v>
          </cell>
          <cell r="F44">
            <v>674953</v>
          </cell>
          <cell r="G44">
            <v>764947</v>
          </cell>
          <cell r="H44">
            <v>836942</v>
          </cell>
          <cell r="I44">
            <v>899938</v>
          </cell>
          <cell r="J44">
            <v>1052927</v>
          </cell>
          <cell r="K44">
            <v>1205916</v>
          </cell>
          <cell r="L44">
            <v>1358906</v>
          </cell>
          <cell r="M44">
            <v>1592889</v>
          </cell>
          <cell r="N44">
            <v>1835873</v>
          </cell>
          <cell r="O44">
            <v>2096854</v>
          </cell>
        </row>
        <row r="45">
          <cell r="B45" t="str">
            <v>V38</v>
          </cell>
          <cell r="D45">
            <v>340043</v>
          </cell>
          <cell r="E45">
            <v>566738</v>
          </cell>
          <cell r="F45">
            <v>708422</v>
          </cell>
          <cell r="G45">
            <v>802878</v>
          </cell>
          <cell r="H45">
            <v>878443</v>
          </cell>
          <cell r="I45">
            <v>944563</v>
          </cell>
          <cell r="J45">
            <v>1105138</v>
          </cell>
          <cell r="K45">
            <v>1265714</v>
          </cell>
          <cell r="L45">
            <v>1426289</v>
          </cell>
          <cell r="M45">
            <v>1671876</v>
          </cell>
          <cell r="N45">
            <v>1926908</v>
          </cell>
          <cell r="O45">
            <v>2200831</v>
          </cell>
        </row>
        <row r="46">
          <cell r="B46" t="str">
            <v>V39</v>
          </cell>
          <cell r="D46">
            <v>357179</v>
          </cell>
          <cell r="E46">
            <v>595298</v>
          </cell>
          <cell r="F46">
            <v>744122</v>
          </cell>
          <cell r="G46">
            <v>843338</v>
          </cell>
          <cell r="H46">
            <v>922711</v>
          </cell>
          <cell r="I46">
            <v>992163</v>
          </cell>
          <cell r="J46">
            <v>1160830</v>
          </cell>
          <cell r="K46">
            <v>1329498</v>
          </cell>
          <cell r="L46">
            <v>1498165</v>
          </cell>
          <cell r="M46">
            <v>1756128</v>
          </cell>
          <cell r="N46">
            <v>2024012</v>
          </cell>
          <cell r="O46">
            <v>2311739</v>
          </cell>
        </row>
        <row r="47">
          <cell r="B47" t="str">
            <v>V40</v>
          </cell>
          <cell r="D47">
            <v>375386</v>
          </cell>
          <cell r="E47">
            <v>625643</v>
          </cell>
          <cell r="F47">
            <v>782053</v>
          </cell>
          <cell r="G47">
            <v>886327</v>
          </cell>
          <cell r="H47">
            <v>969746</v>
          </cell>
          <cell r="I47">
            <v>1042738</v>
          </cell>
          <cell r="J47">
            <v>1220003</v>
          </cell>
          <cell r="K47">
            <v>1397268</v>
          </cell>
          <cell r="L47">
            <v>1574534</v>
          </cell>
          <cell r="M47">
            <v>1845645</v>
          </cell>
          <cell r="N47">
            <v>2127185</v>
          </cell>
          <cell r="O47">
            <v>2429578</v>
          </cell>
        </row>
        <row r="48">
          <cell r="B48" t="str">
            <v>V41</v>
          </cell>
          <cell r="D48">
            <v>394155</v>
          </cell>
          <cell r="E48">
            <v>656925</v>
          </cell>
          <cell r="F48">
            <v>821156</v>
          </cell>
          <cell r="G48">
            <v>930643</v>
          </cell>
          <cell r="H48">
            <v>1018233</v>
          </cell>
          <cell r="I48">
            <v>1094874</v>
          </cell>
          <cell r="J48">
            <v>1281003</v>
          </cell>
          <cell r="K48">
            <v>1467132</v>
          </cell>
          <cell r="L48">
            <v>1653260</v>
          </cell>
          <cell r="M48">
            <v>1937928</v>
          </cell>
          <cell r="N48">
            <v>2233544</v>
          </cell>
          <cell r="O48">
            <v>2551057</v>
          </cell>
        </row>
        <row r="49">
          <cell r="B49" t="str">
            <v>V42</v>
          </cell>
          <cell r="D49">
            <v>413863</v>
          </cell>
          <cell r="E49">
            <v>689771</v>
          </cell>
          <cell r="F49">
            <v>862214</v>
          </cell>
          <cell r="G49">
            <v>977175</v>
          </cell>
          <cell r="H49">
            <v>1069145</v>
          </cell>
          <cell r="I49">
            <v>1149618</v>
          </cell>
          <cell r="J49">
            <v>1345053</v>
          </cell>
          <cell r="K49">
            <v>1540488</v>
          </cell>
          <cell r="L49">
            <v>1735923</v>
          </cell>
          <cell r="M49">
            <v>2034824</v>
          </cell>
          <cell r="N49">
            <v>2345221</v>
          </cell>
          <cell r="O49">
            <v>2678610</v>
          </cell>
        </row>
        <row r="50">
          <cell r="B50" t="str">
            <v>V43</v>
          </cell>
          <cell r="D50">
            <v>434556</v>
          </cell>
          <cell r="E50">
            <v>724259</v>
          </cell>
          <cell r="F50">
            <v>905324</v>
          </cell>
          <cell r="G50">
            <v>1026034</v>
          </cell>
          <cell r="H50">
            <v>1122602</v>
          </cell>
          <cell r="I50">
            <v>1207099</v>
          </cell>
          <cell r="J50">
            <v>1412306</v>
          </cell>
          <cell r="K50">
            <v>1617513</v>
          </cell>
          <cell r="L50">
            <v>1822719</v>
          </cell>
          <cell r="M50">
            <v>2136565</v>
          </cell>
          <cell r="N50">
            <v>2462482</v>
          </cell>
          <cell r="O50">
            <v>2812541</v>
          </cell>
        </row>
        <row r="51">
          <cell r="B51" t="str">
            <v>V44</v>
          </cell>
          <cell r="D51">
            <v>456283</v>
          </cell>
          <cell r="E51">
            <v>760472</v>
          </cell>
          <cell r="F51">
            <v>950590</v>
          </cell>
          <cell r="G51">
            <v>1077336</v>
          </cell>
          <cell r="H51">
            <v>1178732</v>
          </cell>
          <cell r="I51">
            <v>1267454</v>
          </cell>
          <cell r="J51">
            <v>1482921</v>
          </cell>
          <cell r="K51">
            <v>1698388</v>
          </cell>
          <cell r="L51">
            <v>1913855</v>
          </cell>
          <cell r="M51">
            <v>2243393</v>
          </cell>
          <cell r="N51">
            <v>2585606</v>
          </cell>
          <cell r="O51">
            <v>2953168</v>
          </cell>
        </row>
        <row r="52">
          <cell r="B52" t="str">
            <v>V45</v>
          </cell>
          <cell r="D52">
            <v>479098</v>
          </cell>
          <cell r="E52">
            <v>798496</v>
          </cell>
          <cell r="F52">
            <v>998120</v>
          </cell>
          <cell r="G52">
            <v>1131203</v>
          </cell>
          <cell r="H52">
            <v>1237669</v>
          </cell>
          <cell r="I52">
            <v>1330827</v>
          </cell>
          <cell r="J52">
            <v>1557067</v>
          </cell>
          <cell r="K52">
            <v>1783308</v>
          </cell>
          <cell r="L52">
            <v>2009548</v>
          </cell>
          <cell r="M52">
            <v>2355563</v>
          </cell>
          <cell r="N52">
            <v>2714886</v>
          </cell>
          <cell r="O52">
            <v>3100826</v>
          </cell>
        </row>
        <row r="53">
          <cell r="B53" t="str">
            <v>V46</v>
          </cell>
          <cell r="D53">
            <v>503052</v>
          </cell>
          <cell r="E53">
            <v>838421</v>
          </cell>
          <cell r="F53">
            <v>1048026</v>
          </cell>
          <cell r="G53">
            <v>1187763</v>
          </cell>
          <cell r="H53">
            <v>1299552</v>
          </cell>
          <cell r="I53">
            <v>1397368</v>
          </cell>
          <cell r="J53">
            <v>1634921</v>
          </cell>
          <cell r="K53">
            <v>1872473</v>
          </cell>
          <cell r="L53">
            <v>2110026</v>
          </cell>
          <cell r="M53">
            <v>2473341</v>
          </cell>
          <cell r="N53">
            <v>2850631</v>
          </cell>
          <cell r="O53">
            <v>3255867</v>
          </cell>
        </row>
        <row r="54">
          <cell r="B54" t="str">
            <v>V47</v>
          </cell>
          <cell r="D54">
            <v>528205</v>
          </cell>
          <cell r="E54">
            <v>880342</v>
          </cell>
          <cell r="F54">
            <v>1100427</v>
          </cell>
          <cell r="G54">
            <v>1247151</v>
          </cell>
          <cell r="H54">
            <v>1364530</v>
          </cell>
          <cell r="I54">
            <v>1467236</v>
          </cell>
          <cell r="J54">
            <v>1716667</v>
          </cell>
          <cell r="K54">
            <v>1966097</v>
          </cell>
          <cell r="L54">
            <v>2215527</v>
          </cell>
          <cell r="M54">
            <v>2597008</v>
          </cell>
          <cell r="N54">
            <v>2993162</v>
          </cell>
          <cell r="O54">
            <v>3418661</v>
          </cell>
        </row>
        <row r="55">
          <cell r="B55" t="str">
            <v>V48</v>
          </cell>
          <cell r="D55">
            <v>554615</v>
          </cell>
          <cell r="E55">
            <v>924359</v>
          </cell>
          <cell r="F55">
            <v>1155449</v>
          </cell>
          <cell r="G55">
            <v>1309508</v>
          </cell>
          <cell r="H55">
            <v>1432756</v>
          </cell>
          <cell r="I55">
            <v>1540598</v>
          </cell>
          <cell r="J55">
            <v>1802500</v>
          </cell>
          <cell r="K55">
            <v>2064402</v>
          </cell>
          <cell r="L55">
            <v>2326303</v>
          </cell>
          <cell r="M55">
            <v>2726859</v>
          </cell>
          <cell r="N55">
            <v>3142820</v>
          </cell>
          <cell r="O55">
            <v>3589594</v>
          </cell>
        </row>
        <row r="56">
          <cell r="B56" t="str">
            <v>V49</v>
          </cell>
          <cell r="D56">
            <v>582346</v>
          </cell>
          <cell r="E56">
            <v>970577</v>
          </cell>
          <cell r="F56">
            <v>1213221</v>
          </cell>
          <cell r="G56">
            <v>1374984</v>
          </cell>
          <cell r="H56">
            <v>1504394</v>
          </cell>
          <cell r="I56">
            <v>1617628</v>
          </cell>
          <cell r="J56">
            <v>1892625</v>
          </cell>
          <cell r="K56">
            <v>2167622</v>
          </cell>
          <cell r="L56">
            <v>2442618</v>
          </cell>
          <cell r="M56">
            <v>2863202</v>
          </cell>
          <cell r="N56">
            <v>3299961</v>
          </cell>
          <cell r="O56">
            <v>3769073</v>
          </cell>
        </row>
        <row r="57">
          <cell r="B57" t="str">
            <v>V50</v>
          </cell>
          <cell r="D57">
            <v>611463</v>
          </cell>
          <cell r="E57">
            <v>1019106</v>
          </cell>
          <cell r="F57">
            <v>1273882</v>
          </cell>
          <cell r="G57">
            <v>1443733</v>
          </cell>
          <cell r="H57">
            <v>1579614</v>
          </cell>
          <cell r="I57">
            <v>1698510</v>
          </cell>
          <cell r="J57">
            <v>1987256</v>
          </cell>
          <cell r="K57">
            <v>2276003</v>
          </cell>
          <cell r="L57">
            <v>2564749</v>
          </cell>
          <cell r="M57">
            <v>3006362</v>
          </cell>
          <cell r="N57">
            <v>3464959</v>
          </cell>
          <cell r="O57">
            <v>3957527</v>
          </cell>
        </row>
        <row r="58">
          <cell r="B58" t="str">
            <v>V51</v>
          </cell>
          <cell r="D58">
            <v>642037</v>
          </cell>
          <cell r="E58">
            <v>1070061</v>
          </cell>
          <cell r="F58">
            <v>1337576</v>
          </cell>
          <cell r="G58">
            <v>1515920</v>
          </cell>
          <cell r="H58">
            <v>1658595</v>
          </cell>
          <cell r="I58">
            <v>1783435</v>
          </cell>
          <cell r="J58">
            <v>2086619</v>
          </cell>
          <cell r="K58">
            <v>2389803</v>
          </cell>
          <cell r="L58">
            <v>2692987</v>
          </cell>
          <cell r="M58">
            <v>3156680</v>
          </cell>
          <cell r="N58">
            <v>3638207</v>
          </cell>
          <cell r="O58">
            <v>4155404</v>
          </cell>
        </row>
        <row r="59">
          <cell r="B59" t="str">
            <v>V52</v>
          </cell>
          <cell r="D59">
            <v>674138</v>
          </cell>
          <cell r="E59">
            <v>1123564</v>
          </cell>
          <cell r="F59">
            <v>1404455</v>
          </cell>
          <cell r="G59">
            <v>1591716</v>
          </cell>
          <cell r="H59">
            <v>1741524</v>
          </cell>
          <cell r="I59">
            <v>1872607</v>
          </cell>
          <cell r="J59">
            <v>2190950</v>
          </cell>
          <cell r="K59">
            <v>2509293</v>
          </cell>
          <cell r="L59">
            <v>2827636</v>
          </cell>
          <cell r="M59">
            <v>3314514</v>
          </cell>
          <cell r="N59">
            <v>3820118</v>
          </cell>
          <cell r="O59">
            <v>4363174</v>
          </cell>
        </row>
        <row r="60">
          <cell r="B60" t="str">
            <v>V53</v>
          </cell>
          <cell r="D60">
            <v>707845</v>
          </cell>
          <cell r="E60">
            <v>1179742</v>
          </cell>
          <cell r="F60">
            <v>1474678</v>
          </cell>
          <cell r="G60">
            <v>1671302</v>
          </cell>
          <cell r="H60">
            <v>1828600</v>
          </cell>
          <cell r="I60">
            <v>1966237</v>
          </cell>
          <cell r="J60">
            <v>2300497</v>
          </cell>
          <cell r="K60">
            <v>2634758</v>
          </cell>
          <cell r="L60">
            <v>2969018</v>
          </cell>
          <cell r="M60">
            <v>3480240</v>
          </cell>
          <cell r="N60">
            <v>4011124</v>
          </cell>
          <cell r="O60">
            <v>4581332</v>
          </cell>
        </row>
        <row r="61">
          <cell r="B61" t="str">
            <v>V54</v>
          </cell>
          <cell r="D61">
            <v>743238</v>
          </cell>
          <cell r="E61">
            <v>1238729</v>
          </cell>
          <cell r="F61">
            <v>1548412</v>
          </cell>
          <cell r="G61">
            <v>1754867</v>
          </cell>
          <cell r="H61">
            <v>1920031</v>
          </cell>
          <cell r="I61">
            <v>2064549</v>
          </cell>
          <cell r="J61">
            <v>2415522</v>
          </cell>
          <cell r="K61">
            <v>2766496</v>
          </cell>
          <cell r="L61">
            <v>3117469</v>
          </cell>
          <cell r="M61">
            <v>3654252</v>
          </cell>
          <cell r="N61">
            <v>4211680</v>
          </cell>
          <cell r="O61">
            <v>4810399</v>
          </cell>
        </row>
        <row r="62">
          <cell r="B62" t="str">
            <v>V55</v>
          </cell>
          <cell r="D62">
            <v>780399</v>
          </cell>
          <cell r="E62">
            <v>1300666</v>
          </cell>
          <cell r="F62">
            <v>1625832</v>
          </cell>
          <cell r="G62">
            <v>1842610</v>
          </cell>
          <cell r="H62">
            <v>2016032</v>
          </cell>
          <cell r="I62">
            <v>2167776</v>
          </cell>
          <cell r="J62">
            <v>2536298</v>
          </cell>
          <cell r="K62">
            <v>2904820</v>
          </cell>
          <cell r="L62">
            <v>3273342</v>
          </cell>
          <cell r="M62">
            <v>3836964</v>
          </cell>
          <cell r="N62">
            <v>4422264</v>
          </cell>
          <cell r="O62">
            <v>5050919</v>
          </cell>
        </row>
        <row r="63">
          <cell r="B63" t="str">
            <v>V56</v>
          </cell>
          <cell r="D63">
            <v>819419</v>
          </cell>
          <cell r="E63">
            <v>1365699</v>
          </cell>
          <cell r="F63">
            <v>1707124</v>
          </cell>
          <cell r="G63">
            <v>1934740</v>
          </cell>
          <cell r="H63">
            <v>2116834</v>
          </cell>
          <cell r="I63">
            <v>2276165</v>
          </cell>
          <cell r="J63">
            <v>2663113</v>
          </cell>
          <cell r="K63">
            <v>3050061</v>
          </cell>
          <cell r="L63">
            <v>3437009</v>
          </cell>
          <cell r="M63">
            <v>4028812</v>
          </cell>
          <cell r="N63">
            <v>4643377</v>
          </cell>
          <cell r="O63">
            <v>5303465</v>
          </cell>
        </row>
        <row r="64">
          <cell r="B64" t="str">
            <v>V57</v>
          </cell>
          <cell r="D64">
            <v>860390</v>
          </cell>
          <cell r="E64">
            <v>1433984</v>
          </cell>
          <cell r="F64">
            <v>1792480</v>
          </cell>
          <cell r="G64">
            <v>2031477</v>
          </cell>
          <cell r="H64">
            <v>2222675</v>
          </cell>
          <cell r="I64">
            <v>2389973</v>
          </cell>
          <cell r="J64">
            <v>2796269</v>
          </cell>
          <cell r="K64">
            <v>3202564</v>
          </cell>
          <cell r="L64">
            <v>3608860</v>
          </cell>
          <cell r="M64">
            <v>4230253</v>
          </cell>
          <cell r="N64">
            <v>4875546</v>
          </cell>
          <cell r="O64">
            <v>5568638</v>
          </cell>
        </row>
        <row r="65">
          <cell r="B65" t="str">
            <v>V58</v>
          </cell>
          <cell r="D65">
            <v>903410</v>
          </cell>
          <cell r="E65">
            <v>1505683</v>
          </cell>
          <cell r="F65">
            <v>1882104</v>
          </cell>
          <cell r="G65">
            <v>2133051</v>
          </cell>
          <cell r="H65">
            <v>2333809</v>
          </cell>
          <cell r="I65">
            <v>2509472</v>
          </cell>
          <cell r="J65">
            <v>2936082</v>
          </cell>
          <cell r="K65">
            <v>3362693</v>
          </cell>
          <cell r="L65">
            <v>3789303</v>
          </cell>
          <cell r="M65">
            <v>4441766</v>
          </cell>
          <cell r="N65">
            <v>5119323</v>
          </cell>
          <cell r="O65">
            <v>5847070</v>
          </cell>
        </row>
        <row r="66">
          <cell r="B66" t="str">
            <v>V59</v>
          </cell>
          <cell r="D66">
            <v>948580</v>
          </cell>
          <cell r="E66">
            <v>1580967</v>
          </cell>
          <cell r="F66">
            <v>1976209</v>
          </cell>
          <cell r="G66">
            <v>2239704</v>
          </cell>
          <cell r="H66">
            <v>2450500</v>
          </cell>
          <cell r="I66">
            <v>2634946</v>
          </cell>
          <cell r="J66">
            <v>3082887</v>
          </cell>
          <cell r="K66">
            <v>3530827</v>
          </cell>
          <cell r="L66">
            <v>3978768</v>
          </cell>
          <cell r="M66">
            <v>4663854</v>
          </cell>
          <cell r="N66">
            <v>5375289</v>
          </cell>
          <cell r="O66">
            <v>6139424</v>
          </cell>
        </row>
        <row r="67">
          <cell r="B67" t="str">
            <v>V60</v>
          </cell>
          <cell r="D67">
            <v>996009</v>
          </cell>
          <cell r="E67">
            <v>1660016</v>
          </cell>
          <cell r="F67">
            <v>2075020</v>
          </cell>
          <cell r="G67">
            <v>2351689</v>
          </cell>
          <cell r="H67">
            <v>2573025</v>
          </cell>
          <cell r="I67">
            <v>2766693</v>
          </cell>
          <cell r="J67">
            <v>3237031</v>
          </cell>
          <cell r="K67">
            <v>3707369</v>
          </cell>
          <cell r="L67">
            <v>4177706</v>
          </cell>
          <cell r="M67">
            <v>4897047</v>
          </cell>
          <cell r="N67">
            <v>5644054</v>
          </cell>
          <cell r="O67">
            <v>6446395</v>
          </cell>
        </row>
        <row r="68">
          <cell r="B68" t="str">
            <v>V61</v>
          </cell>
          <cell r="D68">
            <v>1045810</v>
          </cell>
          <cell r="E68">
            <v>1743017</v>
          </cell>
          <cell r="F68">
            <v>2178771</v>
          </cell>
          <cell r="G68">
            <v>2469274</v>
          </cell>
          <cell r="H68">
            <v>2701676</v>
          </cell>
          <cell r="I68">
            <v>2905028</v>
          </cell>
          <cell r="J68">
            <v>3398882</v>
          </cell>
          <cell r="K68">
            <v>3892737</v>
          </cell>
          <cell r="L68">
            <v>4386592</v>
          </cell>
          <cell r="M68">
            <v>5141899</v>
          </cell>
          <cell r="N68">
            <v>5926256</v>
          </cell>
          <cell r="O68">
            <v>6768714</v>
          </cell>
        </row>
        <row r="69">
          <cell r="B69" t="str">
            <v>V62</v>
          </cell>
          <cell r="D69">
            <v>1098100</v>
          </cell>
          <cell r="E69">
            <v>1830167</v>
          </cell>
          <cell r="F69">
            <v>2287709</v>
          </cell>
          <cell r="G69">
            <v>2592737</v>
          </cell>
          <cell r="H69">
            <v>2836760</v>
          </cell>
          <cell r="I69">
            <v>3050279</v>
          </cell>
          <cell r="J69">
            <v>3568826</v>
          </cell>
          <cell r="K69">
            <v>4087374</v>
          </cell>
          <cell r="L69">
            <v>4605921</v>
          </cell>
          <cell r="M69">
            <v>5398994</v>
          </cell>
          <cell r="N69">
            <v>6222569</v>
          </cell>
          <cell r="O69">
            <v>7107150</v>
          </cell>
        </row>
        <row r="70">
          <cell r="B70" t="str">
            <v>V63</v>
          </cell>
          <cell r="D70">
            <v>1153005</v>
          </cell>
          <cell r="E70">
            <v>1921676</v>
          </cell>
          <cell r="F70">
            <v>2402095</v>
          </cell>
          <cell r="G70">
            <v>2722374</v>
          </cell>
          <cell r="H70">
            <v>2978597</v>
          </cell>
          <cell r="I70">
            <v>3202793</v>
          </cell>
          <cell r="J70">
            <v>3747268</v>
          </cell>
          <cell r="K70">
            <v>4291743</v>
          </cell>
          <cell r="L70">
            <v>4836217</v>
          </cell>
          <cell r="M70">
            <v>5668944</v>
          </cell>
          <cell r="N70">
            <v>6533698</v>
          </cell>
          <cell r="O70">
            <v>7462508</v>
          </cell>
        </row>
        <row r="71">
          <cell r="B71" t="str">
            <v>V64</v>
          </cell>
          <cell r="D71">
            <v>1210656</v>
          </cell>
          <cell r="E71">
            <v>2017760</v>
          </cell>
          <cell r="F71">
            <v>2522199</v>
          </cell>
          <cell r="G71">
            <v>2858493</v>
          </cell>
          <cell r="H71">
            <v>3127527</v>
          </cell>
          <cell r="I71">
            <v>3362933</v>
          </cell>
          <cell r="J71">
            <v>3934631</v>
          </cell>
          <cell r="K71">
            <v>4506330</v>
          </cell>
          <cell r="L71">
            <v>5078028</v>
          </cell>
          <cell r="M71">
            <v>5952391</v>
          </cell>
          <cell r="N71">
            <v>6860383</v>
          </cell>
          <cell r="O71">
            <v>7835633</v>
          </cell>
        </row>
        <row r="72">
          <cell r="B72" t="str">
            <v>V65</v>
          </cell>
          <cell r="D72">
            <v>1271189</v>
          </cell>
          <cell r="E72">
            <v>2118648</v>
          </cell>
          <cell r="F72">
            <v>2648309</v>
          </cell>
          <cell r="G72">
            <v>3001417</v>
          </cell>
          <cell r="H72">
            <v>3283904</v>
          </cell>
          <cell r="I72">
            <v>3531079</v>
          </cell>
          <cell r="J72">
            <v>4131363</v>
          </cell>
          <cell r="K72">
            <v>4731646</v>
          </cell>
          <cell r="L72">
            <v>5331930</v>
          </cell>
          <cell r="M72">
            <v>6250010</v>
          </cell>
          <cell r="N72">
            <v>7203402</v>
          </cell>
          <cell r="O72">
            <v>8227415</v>
          </cell>
        </row>
        <row r="73">
          <cell r="B73" t="str">
            <v>V66</v>
          </cell>
          <cell r="D73">
            <v>1334748</v>
          </cell>
          <cell r="E73">
            <v>2224580</v>
          </cell>
          <cell r="F73">
            <v>2780725</v>
          </cell>
          <cell r="G73">
            <v>3151488</v>
          </cell>
          <cell r="H73">
            <v>3448099</v>
          </cell>
          <cell r="I73">
            <v>3707633</v>
          </cell>
          <cell r="J73">
            <v>4337931</v>
          </cell>
          <cell r="K73">
            <v>4968229</v>
          </cell>
          <cell r="L73">
            <v>5598526</v>
          </cell>
          <cell r="M73">
            <v>6562511</v>
          </cell>
          <cell r="N73">
            <v>7563572</v>
          </cell>
          <cell r="O73">
            <v>8638785</v>
          </cell>
        </row>
        <row r="74">
          <cell r="B74" t="str">
            <v>V67</v>
          </cell>
          <cell r="D74">
            <v>1401485</v>
          </cell>
          <cell r="E74">
            <v>2335809</v>
          </cell>
          <cell r="F74">
            <v>2919761</v>
          </cell>
          <cell r="G74">
            <v>3309063</v>
          </cell>
          <cell r="H74">
            <v>3620504</v>
          </cell>
          <cell r="I74">
            <v>3893015</v>
          </cell>
          <cell r="J74">
            <v>4554827</v>
          </cell>
          <cell r="K74">
            <v>5216640</v>
          </cell>
          <cell r="L74">
            <v>5878453</v>
          </cell>
          <cell r="M74">
            <v>6890636</v>
          </cell>
          <cell r="N74">
            <v>7941750</v>
          </cell>
          <cell r="O74">
            <v>9070725</v>
          </cell>
        </row>
        <row r="75">
          <cell r="B75" t="str">
            <v>V68</v>
          </cell>
          <cell r="D75">
            <v>1471560</v>
          </cell>
          <cell r="E75">
            <v>2452599</v>
          </cell>
          <cell r="F75">
            <v>3065749</v>
          </cell>
          <cell r="G75">
            <v>3474516</v>
          </cell>
          <cell r="H75">
            <v>3801529</v>
          </cell>
          <cell r="I75">
            <v>4087666</v>
          </cell>
          <cell r="J75">
            <v>4782569</v>
          </cell>
          <cell r="K75">
            <v>5477472</v>
          </cell>
          <cell r="L75">
            <v>6172375</v>
          </cell>
          <cell r="M75">
            <v>7235168</v>
          </cell>
          <cell r="N75">
            <v>8338838</v>
          </cell>
          <cell r="O75">
            <v>9524261</v>
          </cell>
        </row>
        <row r="76">
          <cell r="B76" t="str">
            <v>V69</v>
          </cell>
          <cell r="D76">
            <v>1545138</v>
          </cell>
          <cell r="E76">
            <v>2575229</v>
          </cell>
          <cell r="F76">
            <v>3219037</v>
          </cell>
          <cell r="G76">
            <v>3648242</v>
          </cell>
          <cell r="H76">
            <v>3991606</v>
          </cell>
          <cell r="I76">
            <v>4292049</v>
          </cell>
          <cell r="J76">
            <v>5021697</v>
          </cell>
          <cell r="K76">
            <v>5751346</v>
          </cell>
          <cell r="L76">
            <v>6480994</v>
          </cell>
          <cell r="M76">
            <v>7596927</v>
          </cell>
          <cell r="N76">
            <v>8755780</v>
          </cell>
          <cell r="O76">
            <v>10000474</v>
          </cell>
        </row>
        <row r="77">
          <cell r="B77" t="str">
            <v>V70</v>
          </cell>
          <cell r="D77">
            <v>1622394</v>
          </cell>
          <cell r="E77">
            <v>2703991</v>
          </cell>
          <cell r="F77">
            <v>3379989</v>
          </cell>
          <cell r="G77">
            <v>3830654</v>
          </cell>
          <cell r="H77">
            <v>4191186</v>
          </cell>
          <cell r="I77">
            <v>4506651</v>
          </cell>
          <cell r="J77">
            <v>5272782</v>
          </cell>
          <cell r="K77">
            <v>6038913</v>
          </cell>
          <cell r="L77">
            <v>6805044</v>
          </cell>
          <cell r="M77">
            <v>7976773</v>
          </cell>
          <cell r="N77">
            <v>9193569</v>
          </cell>
          <cell r="O77">
            <v>10500498</v>
          </cell>
        </row>
        <row r="78">
          <cell r="B78" t="str">
            <v>V71</v>
          </cell>
          <cell r="D78">
            <v>1703513.7</v>
          </cell>
          <cell r="E78">
            <v>2839190.55</v>
          </cell>
          <cell r="F78">
            <v>3548988.45</v>
          </cell>
          <cell r="G78">
            <v>4022186.7</v>
          </cell>
          <cell r="H78">
            <v>4400745.3</v>
          </cell>
          <cell r="I78">
            <v>4731983.55</v>
          </cell>
          <cell r="J78">
            <v>5536421.1000000006</v>
          </cell>
          <cell r="K78">
            <v>6340858.6500000004</v>
          </cell>
          <cell r="L78">
            <v>7145296.2000000002</v>
          </cell>
          <cell r="M78">
            <v>8375611.6500000004</v>
          </cell>
          <cell r="N78">
            <v>9653247.4500000011</v>
          </cell>
          <cell r="O78">
            <v>11025522.9</v>
          </cell>
        </row>
        <row r="79">
          <cell r="B79" t="str">
            <v>V72</v>
          </cell>
          <cell r="D79">
            <v>1788689.3850000002</v>
          </cell>
          <cell r="E79">
            <v>2981150.0775000006</v>
          </cell>
          <cell r="F79">
            <v>3726437.8725000005</v>
          </cell>
          <cell r="G79">
            <v>4223296.0350000001</v>
          </cell>
          <cell r="H79">
            <v>4620782.5650000004</v>
          </cell>
          <cell r="I79">
            <v>4968582.7275</v>
          </cell>
          <cell r="J79">
            <v>5813242.1550000012</v>
          </cell>
          <cell r="K79">
            <v>6657901.5825000005</v>
          </cell>
          <cell r="L79">
            <v>7502561.0100000007</v>
          </cell>
          <cell r="M79">
            <v>8794392.2324999999</v>
          </cell>
          <cell r="N79">
            <v>10135909.822500002</v>
          </cell>
          <cell r="O79">
            <v>11576799.045000002</v>
          </cell>
        </row>
        <row r="80">
          <cell r="B80" t="str">
            <v>V73</v>
          </cell>
          <cell r="D80">
            <v>1878123.8542500003</v>
          </cell>
          <cell r="E80">
            <v>3130207.5813750005</v>
          </cell>
          <cell r="F80">
            <v>3912759.7661250005</v>
          </cell>
          <cell r="G80">
            <v>4434460.8367500007</v>
          </cell>
          <cell r="H80">
            <v>4851821.6932500005</v>
          </cell>
          <cell r="I80">
            <v>5217011.8638749998</v>
          </cell>
          <cell r="J80">
            <v>6103904.2627500016</v>
          </cell>
          <cell r="K80">
            <v>6990796.6616250006</v>
          </cell>
          <cell r="L80">
            <v>7877689.0605000015</v>
          </cell>
          <cell r="M80">
            <v>9234111.8441250008</v>
          </cell>
          <cell r="N80">
            <v>10642705.313625002</v>
          </cell>
          <cell r="O80">
            <v>12155638.997250002</v>
          </cell>
        </row>
        <row r="81">
          <cell r="B81" t="str">
            <v>V74</v>
          </cell>
          <cell r="D81">
            <v>1972030.0469625003</v>
          </cell>
          <cell r="E81">
            <v>3286717.9604437505</v>
          </cell>
          <cell r="F81">
            <v>4108397.754431251</v>
          </cell>
          <cell r="G81">
            <v>4656183.8785875011</v>
          </cell>
          <cell r="H81">
            <v>5094412.7779125003</v>
          </cell>
          <cell r="I81">
            <v>5477862.4570687497</v>
          </cell>
          <cell r="J81">
            <v>6409099.4758875016</v>
          </cell>
          <cell r="K81">
            <v>7340336.4947062507</v>
          </cell>
          <cell r="L81">
            <v>8271573.5135250017</v>
          </cell>
          <cell r="M81">
            <v>9695817.4363312516</v>
          </cell>
          <cell r="N81">
            <v>11174840.579306252</v>
          </cell>
          <cell r="O81">
            <v>12763420.947112503</v>
          </cell>
        </row>
        <row r="82">
          <cell r="B82" t="str">
            <v>V75</v>
          </cell>
          <cell r="D82">
            <v>2070631.5493106255</v>
          </cell>
          <cell r="E82">
            <v>3451053.8584659384</v>
          </cell>
          <cell r="F82">
            <v>4313817.6421528133</v>
          </cell>
          <cell r="G82">
            <v>4888993.0725168763</v>
          </cell>
          <cell r="H82">
            <v>5349133.4168081256</v>
          </cell>
          <cell r="I82">
            <v>5751755.5799221871</v>
          </cell>
          <cell r="J82">
            <v>6729554.4496818772</v>
          </cell>
          <cell r="K82">
            <v>7707353.3194415634</v>
          </cell>
          <cell r="L82">
            <v>8685152.1892012525</v>
          </cell>
          <cell r="M82">
            <v>10180608.308147814</v>
          </cell>
          <cell r="N82">
            <v>11733582.608271565</v>
          </cell>
          <cell r="O82">
            <v>13401591.994468128</v>
          </cell>
        </row>
        <row r="83">
          <cell r="B83" t="str">
            <v>V76</v>
          </cell>
          <cell r="D83">
            <v>2174163.1267761569</v>
          </cell>
          <cell r="E83">
            <v>3623606.5513892355</v>
          </cell>
          <cell r="F83">
            <v>4529508.5242604539</v>
          </cell>
          <cell r="G83">
            <v>5133442.7261427203</v>
          </cell>
          <cell r="H83">
            <v>5616590.0876485324</v>
          </cell>
          <cell r="I83">
            <v>6039343.3589182971</v>
          </cell>
          <cell r="J83">
            <v>7066032.1721659712</v>
          </cell>
          <cell r="K83">
            <v>8092720.9854136417</v>
          </cell>
          <cell r="L83">
            <v>9119409.7986613158</v>
          </cell>
          <cell r="M83">
            <v>10689638.723555205</v>
          </cell>
          <cell r="N83">
            <v>12320261.738685144</v>
          </cell>
          <cell r="O83">
            <v>14071671.594191534</v>
          </cell>
        </row>
        <row r="84">
          <cell r="B84" t="str">
            <v>V77</v>
          </cell>
          <cell r="D84">
            <v>2282871.2831149651</v>
          </cell>
          <cell r="E84">
            <v>3804786.8789586974</v>
          </cell>
          <cell r="F84">
            <v>4755983.9504734771</v>
          </cell>
          <cell r="G84">
            <v>5390114.8624498565</v>
          </cell>
          <cell r="H84">
            <v>5897419.5920309592</v>
          </cell>
          <cell r="I84">
            <v>6341310.526864212</v>
          </cell>
          <cell r="J84">
            <v>7419333.7807742702</v>
          </cell>
          <cell r="K84">
            <v>8497357.0346843246</v>
          </cell>
          <cell r="L84">
            <v>9575380.2885943819</v>
          </cell>
          <cell r="M84">
            <v>11224120.659732966</v>
          </cell>
          <cell r="N84">
            <v>12936274.825619401</v>
          </cell>
          <cell r="O84">
            <v>14775255.173901111</v>
          </cell>
        </row>
        <row r="85">
          <cell r="B85" t="str">
            <v>V78</v>
          </cell>
          <cell r="D85">
            <v>2397014.8472707137</v>
          </cell>
          <cell r="E85">
            <v>3995026.2229066323</v>
          </cell>
          <cell r="F85">
            <v>4993783.1479971511</v>
          </cell>
          <cell r="G85">
            <v>5659620.6055723494</v>
          </cell>
          <cell r="H85">
            <v>6192290.5716325073</v>
          </cell>
          <cell r="I85">
            <v>6658376.0532074226</v>
          </cell>
          <cell r="J85">
            <v>7790300.4698129836</v>
          </cell>
          <cell r="K85">
            <v>8922224.8864185419</v>
          </cell>
          <cell r="L85">
            <v>10054149.303024102</v>
          </cell>
          <cell r="M85">
            <v>11785326.692719614</v>
          </cell>
          <cell r="N85">
            <v>13583088.566900373</v>
          </cell>
          <cell r="O85">
            <v>15514017.932596168</v>
          </cell>
        </row>
        <row r="86">
          <cell r="B86" t="str">
            <v>V79</v>
          </cell>
          <cell r="D86">
            <v>2516865.5896342495</v>
          </cell>
          <cell r="E86">
            <v>4194777.5340519641</v>
          </cell>
          <cell r="F86">
            <v>5243472.3053970085</v>
          </cell>
          <cell r="G86">
            <v>5942601.6358509669</v>
          </cell>
          <cell r="H86">
            <v>6501905.100214133</v>
          </cell>
          <cell r="I86">
            <v>6991294.8558677938</v>
          </cell>
          <cell r="J86">
            <v>8179815.4933036333</v>
          </cell>
          <cell r="K86">
            <v>9368336.1307394691</v>
          </cell>
          <cell r="L86">
            <v>10556856.768175308</v>
          </cell>
          <cell r="M86">
            <v>12374593.027355595</v>
          </cell>
          <cell r="N86">
            <v>14262242.995245392</v>
          </cell>
          <cell r="O86">
            <v>16289718.829225976</v>
          </cell>
        </row>
        <row r="87">
          <cell r="B87" t="str">
            <v>V80</v>
          </cell>
          <cell r="D87">
            <v>2642708.8691159622</v>
          </cell>
          <cell r="E87">
            <v>4404516.4107545624</v>
          </cell>
          <cell r="F87">
            <v>5505645.9206668595</v>
          </cell>
          <cell r="G87">
            <v>6239731.7176435152</v>
          </cell>
          <cell r="H87">
            <v>6827000.3552248403</v>
          </cell>
          <cell r="I87">
            <v>7340859.5986611834</v>
          </cell>
          <cell r="J87">
            <v>8588806.2679688148</v>
          </cell>
          <cell r="K87">
            <v>9836752.9372764435</v>
          </cell>
          <cell r="L87">
            <v>11084699.606584074</v>
          </cell>
          <cell r="M87">
            <v>12993322.678723374</v>
          </cell>
          <cell r="N87">
            <v>14975355.145007662</v>
          </cell>
          <cell r="O87">
            <v>17104204.770687275</v>
          </cell>
        </row>
        <row r="88">
          <cell r="B88" t="str">
            <v>V81</v>
          </cell>
          <cell r="D88">
            <v>2774844.3125717603</v>
          </cell>
          <cell r="E88">
            <v>4624742.2312922906</v>
          </cell>
          <cell r="F88">
            <v>5780928.2167002028</v>
          </cell>
          <cell r="G88">
            <v>6551718.3035256909</v>
          </cell>
          <cell r="H88">
            <v>7168350.3729860829</v>
          </cell>
          <cell r="I88">
            <v>7707902.5785942432</v>
          </cell>
          <cell r="J88">
            <v>9018246.5813672561</v>
          </cell>
          <cell r="K88">
            <v>10328590.584140265</v>
          </cell>
          <cell r="L88">
            <v>11638934.586913278</v>
          </cell>
          <cell r="M88">
            <v>13642988.812659543</v>
          </cell>
          <cell r="N88">
            <v>15724122.902258046</v>
          </cell>
          <cell r="O88">
            <v>17959415.009221639</v>
          </cell>
        </row>
        <row r="89">
          <cell r="B89" t="str">
            <v>V82</v>
          </cell>
          <cell r="D89">
            <v>2913586.5282003484</v>
          </cell>
          <cell r="E89">
            <v>4855979.3428569054</v>
          </cell>
          <cell r="F89">
            <v>6069974.6275352128</v>
          </cell>
          <cell r="G89">
            <v>6879304.2187019754</v>
          </cell>
          <cell r="H89">
            <v>7526767.8916353872</v>
          </cell>
          <cell r="I89">
            <v>8093297.707523956</v>
          </cell>
          <cell r="J89">
            <v>9469158.9104356188</v>
          </cell>
          <cell r="K89">
            <v>10845020.113347279</v>
          </cell>
          <cell r="L89">
            <v>12220881.316258943</v>
          </cell>
          <cell r="M89">
            <v>14325138.253292521</v>
          </cell>
          <cell r="N89">
            <v>16510329.04737095</v>
          </cell>
          <cell r="O89">
            <v>18857385.759682722</v>
          </cell>
        </row>
        <row r="90">
          <cell r="B90" t="str">
            <v>V83</v>
          </cell>
          <cell r="D90">
            <v>3059265.8546103658</v>
          </cell>
          <cell r="E90">
            <v>5098778.3099997509</v>
          </cell>
          <cell r="F90">
            <v>6373473.3589119734</v>
          </cell>
          <cell r="G90">
            <v>7223269.4296370745</v>
          </cell>
          <cell r="H90">
            <v>7903106.2862171568</v>
          </cell>
          <cell r="I90">
            <v>8497962.5929001532</v>
          </cell>
          <cell r="J90">
            <v>9942616.8559574001</v>
          </cell>
          <cell r="K90">
            <v>11387271.119014643</v>
          </cell>
          <cell r="L90">
            <v>12831925.38207189</v>
          </cell>
          <cell r="M90">
            <v>15041395.165957147</v>
          </cell>
          <cell r="N90">
            <v>17335845.499739498</v>
          </cell>
          <cell r="O90">
            <v>19800255.047666859</v>
          </cell>
        </row>
        <row r="91">
          <cell r="B91" t="str">
            <v>V84</v>
          </cell>
          <cell r="D91">
            <v>3212229.1473408844</v>
          </cell>
          <cell r="E91">
            <v>5353717.2254997389</v>
          </cell>
          <cell r="F91">
            <v>6692147.0268575726</v>
          </cell>
          <cell r="G91">
            <v>7584432.9011189286</v>
          </cell>
          <cell r="H91">
            <v>8298261.6005280148</v>
          </cell>
          <cell r="I91">
            <v>8922860.7225451618</v>
          </cell>
          <cell r="J91">
            <v>10439747.69875527</v>
          </cell>
          <cell r="K91">
            <v>11956634.674965376</v>
          </cell>
          <cell r="L91">
            <v>13473521.651175486</v>
          </cell>
          <cell r="M91">
            <v>15793464.924255006</v>
          </cell>
          <cell r="N91">
            <v>18202637.774726473</v>
          </cell>
          <cell r="O91">
            <v>20790267.800050203</v>
          </cell>
        </row>
        <row r="92">
          <cell r="B92" t="str">
            <v>V85</v>
          </cell>
          <cell r="D92">
            <v>3372840.6047079288</v>
          </cell>
          <cell r="E92">
            <v>5621403.0867747264</v>
          </cell>
          <cell r="F92">
            <v>7026754.3782004518</v>
          </cell>
          <cell r="G92">
            <v>7963654.5461748755</v>
          </cell>
          <cell r="H92">
            <v>8713174.680554416</v>
          </cell>
          <cell r="I92">
            <v>9369003.7586724199</v>
          </cell>
          <cell r="J92">
            <v>10961735.083693033</v>
          </cell>
          <cell r="K92">
            <v>12554466.408713646</v>
          </cell>
          <cell r="L92">
            <v>14147197.733734261</v>
          </cell>
          <cell r="M92">
            <v>16583138.170467757</v>
          </cell>
          <cell r="N92">
            <v>19112769.663462799</v>
          </cell>
          <cell r="O92">
            <v>21829781.190052714</v>
          </cell>
        </row>
        <row r="93">
          <cell r="B93" t="str">
            <v>V86</v>
          </cell>
          <cell r="D93">
            <v>3541482.6349433255</v>
          </cell>
          <cell r="E93">
            <v>5902473.2411134634</v>
          </cell>
          <cell r="F93">
            <v>7378092.0971104745</v>
          </cell>
          <cell r="G93">
            <v>8361837.27348362</v>
          </cell>
          <cell r="H93">
            <v>9148833.414582137</v>
          </cell>
          <cell r="I93">
            <v>9837453.9466060419</v>
          </cell>
          <cell r="J93">
            <v>11509821.837877685</v>
          </cell>
          <cell r="K93">
            <v>13182189.729149329</v>
          </cell>
          <cell r="L93">
            <v>14854557.620420976</v>
          </cell>
          <cell r="M93">
            <v>17412295.078991145</v>
          </cell>
          <cell r="N93">
            <v>20068408.146635938</v>
          </cell>
          <cell r="O93">
            <v>22921270.249555349</v>
          </cell>
        </row>
        <row r="94">
          <cell r="B94" t="str">
            <v>V87</v>
          </cell>
          <cell r="D94">
            <v>3718556.7666904922</v>
          </cell>
          <cell r="E94">
            <v>6197596.9031691365</v>
          </cell>
          <cell r="F94">
            <v>7746996.7019659989</v>
          </cell>
          <cell r="G94">
            <v>8779929.1371578015</v>
          </cell>
          <cell r="H94">
            <v>9606275.0853112452</v>
          </cell>
          <cell r="I94">
            <v>10329326.643936343</v>
          </cell>
          <cell r="J94">
            <v>12085312.92977157</v>
          </cell>
          <cell r="K94">
            <v>13841299.215606796</v>
          </cell>
          <cell r="L94">
            <v>15597285.501442024</v>
          </cell>
          <cell r="M94">
            <v>18282909.832940701</v>
          </cell>
          <cell r="N94">
            <v>21071828.553967737</v>
          </cell>
          <cell r="O94">
            <v>24067333.762033116</v>
          </cell>
        </row>
        <row r="95">
          <cell r="B95" t="str">
            <v>V88</v>
          </cell>
          <cell r="D95">
            <v>3904484.6050250172</v>
          </cell>
          <cell r="E95">
            <v>6507476.7483275933</v>
          </cell>
          <cell r="F95">
            <v>8134346.537064299</v>
          </cell>
          <cell r="G95">
            <v>9218925.5940156914</v>
          </cell>
          <cell r="H95">
            <v>10086588.839576809</v>
          </cell>
          <cell r="I95">
            <v>10845792.97613316</v>
          </cell>
          <cell r="J95">
            <v>12689578.576260149</v>
          </cell>
          <cell r="K95">
            <v>14533364.176387137</v>
          </cell>
          <cell r="L95">
            <v>16377149.776514126</v>
          </cell>
          <cell r="M95">
            <v>19197055.324587736</v>
          </cell>
          <cell r="N95">
            <v>22125419.981666125</v>
          </cell>
          <cell r="O95">
            <v>25270700.450134773</v>
          </cell>
        </row>
        <row r="96">
          <cell r="B96" t="str">
            <v>V89</v>
          </cell>
          <cell r="D96">
            <v>4099708.8352762684</v>
          </cell>
          <cell r="E96">
            <v>6832850.585743973</v>
          </cell>
          <cell r="F96">
            <v>8541063.8639175147</v>
          </cell>
          <cell r="G96">
            <v>9679871.8737164773</v>
          </cell>
          <cell r="H96">
            <v>10590918.281555649</v>
          </cell>
          <cell r="I96">
            <v>11388082.624939818</v>
          </cell>
          <cell r="J96">
            <v>13324057.505073158</v>
          </cell>
          <cell r="K96">
            <v>15260032.385206494</v>
          </cell>
          <cell r="L96">
            <v>17196007.265339833</v>
          </cell>
          <cell r="M96">
            <v>20156908.090817124</v>
          </cell>
          <cell r="N96">
            <v>23231690.980749432</v>
          </cell>
          <cell r="O96">
            <v>26534235.472641513</v>
          </cell>
        </row>
        <row r="97">
          <cell r="B97" t="str">
            <v>V90</v>
          </cell>
          <cell r="D97">
            <v>4304694.277040082</v>
          </cell>
          <cell r="E97">
            <v>7174493.1150311716</v>
          </cell>
          <cell r="F97">
            <v>8968117.0571133904</v>
          </cell>
          <cell r="G97">
            <v>10163865.467402302</v>
          </cell>
          <cell r="H97">
            <v>11120464.195633432</v>
          </cell>
          <cell r="I97">
            <v>11957486.756186809</v>
          </cell>
          <cell r="J97">
            <v>13990260.380326817</v>
          </cell>
          <cell r="K97">
            <v>16023034.004466821</v>
          </cell>
          <cell r="L97">
            <v>18055807.628606826</v>
          </cell>
          <cell r="M97">
            <v>21164753.495357979</v>
          </cell>
          <cell r="N97">
            <v>24393275.529786903</v>
          </cell>
          <cell r="O97">
            <v>27860947.246273588</v>
          </cell>
        </row>
        <row r="98">
          <cell r="B98" t="str">
            <v>V91</v>
          </cell>
          <cell r="D98">
            <v>4519928.9908920862</v>
          </cell>
          <cell r="E98">
            <v>7533217.7707827305</v>
          </cell>
          <cell r="F98">
            <v>9416522.9099690598</v>
          </cell>
          <cell r="G98">
            <v>10672058.740772417</v>
          </cell>
          <cell r="H98">
            <v>11676487.405415105</v>
          </cell>
          <cell r="I98">
            <v>12555361.09399615</v>
          </cell>
          <cell r="J98">
            <v>14689773.399343159</v>
          </cell>
          <cell r="K98">
            <v>16824185.704690162</v>
          </cell>
          <cell r="L98">
            <v>18958598.010037169</v>
          </cell>
          <cell r="M98">
            <v>22222991.170125879</v>
          </cell>
          <cell r="N98">
            <v>25612939.306276251</v>
          </cell>
          <cell r="O98">
            <v>29253994.608587269</v>
          </cell>
        </row>
        <row r="99">
          <cell r="B99" t="str">
            <v>V92</v>
          </cell>
          <cell r="D99">
            <v>4745925.440436691</v>
          </cell>
          <cell r="E99">
            <v>7909878.6593218679</v>
          </cell>
          <cell r="F99">
            <v>9887349.0554675125</v>
          </cell>
          <cell r="G99">
            <v>11205661.677811038</v>
          </cell>
          <cell r="H99">
            <v>12260311.77568586</v>
          </cell>
          <cell r="I99">
            <v>13183129.148695959</v>
          </cell>
          <cell r="J99">
            <v>15424262.069310317</v>
          </cell>
          <cell r="K99">
            <v>17665394.989924669</v>
          </cell>
          <cell r="L99">
            <v>19906527.910539027</v>
          </cell>
          <cell r="M99">
            <v>23334140.728632174</v>
          </cell>
          <cell r="N99">
            <v>26893586.271590065</v>
          </cell>
          <cell r="O99">
            <v>30716694.339016635</v>
          </cell>
        </row>
        <row r="100">
          <cell r="B100" t="str">
            <v>V93</v>
          </cell>
          <cell r="D100">
            <v>4983221.7124585258</v>
          </cell>
          <cell r="E100">
            <v>8305372.5922879614</v>
          </cell>
          <cell r="F100">
            <v>10381716.508240888</v>
          </cell>
          <cell r="G100">
            <v>11765944.761701589</v>
          </cell>
          <cell r="H100">
            <v>12873327.364470154</v>
          </cell>
          <cell r="I100">
            <v>13842285.606130756</v>
          </cell>
          <cell r="J100">
            <v>16195475.172775833</v>
          </cell>
          <cell r="K100">
            <v>18548664.739420902</v>
          </cell>
          <cell r="L100">
            <v>20901854.30606598</v>
          </cell>
          <cell r="M100">
            <v>24500847.765063785</v>
          </cell>
          <cell r="N100">
            <v>28238265.585169569</v>
          </cell>
          <cell r="O100">
            <v>32252529.055967469</v>
          </cell>
        </row>
        <row r="101">
          <cell r="B101" t="str">
            <v>V94</v>
          </cell>
          <cell r="D101">
            <v>5232382.798081452</v>
          </cell>
          <cell r="E101">
            <v>8720641.2219023593</v>
          </cell>
          <cell r="F101">
            <v>10900802.333652932</v>
          </cell>
          <cell r="G101">
            <v>12354241.999786669</v>
          </cell>
          <cell r="H101">
            <v>13516993.732693663</v>
          </cell>
          <cell r="I101">
            <v>14534399.886437295</v>
          </cell>
          <cell r="J101">
            <v>17005248.931414627</v>
          </cell>
          <cell r="K101">
            <v>19476097.976391949</v>
          </cell>
          <cell r="L101">
            <v>21946947.021369278</v>
          </cell>
          <cell r="M101">
            <v>25725890.153316975</v>
          </cell>
          <cell r="N101">
            <v>29650178.864428047</v>
          </cell>
          <cell r="O101">
            <v>33865155.508765846</v>
          </cell>
        </row>
        <row r="102">
          <cell r="B102" t="str">
            <v>V95</v>
          </cell>
          <cell r="D102">
            <v>5494001.9379855245</v>
          </cell>
          <cell r="E102">
            <v>9156673.2829974778</v>
          </cell>
          <cell r="F102">
            <v>11445842.450335579</v>
          </cell>
          <cell r="G102">
            <v>12971954.099776004</v>
          </cell>
          <cell r="H102">
            <v>14192843.419328347</v>
          </cell>
          <cell r="I102">
            <v>15261119.880759161</v>
          </cell>
          <cell r="J102">
            <v>17855511.377985358</v>
          </cell>
          <cell r="K102">
            <v>20449902.875211548</v>
          </cell>
          <cell r="L102">
            <v>23044294.372437742</v>
          </cell>
          <cell r="M102">
            <v>27012184.660982825</v>
          </cell>
          <cell r="N102">
            <v>31132687.807649452</v>
          </cell>
          <cell r="O102">
            <v>35558413.28420414</v>
          </cell>
        </row>
        <row r="103">
          <cell r="B103" t="str">
            <v>V96</v>
          </cell>
          <cell r="D103">
            <v>5768702.0348848011</v>
          </cell>
          <cell r="E103">
            <v>9614506.9471473526</v>
          </cell>
          <cell r="F103">
            <v>12018134.572852358</v>
          </cell>
          <cell r="G103">
            <v>13620551.804764803</v>
          </cell>
          <cell r="H103">
            <v>14902485.590294765</v>
          </cell>
          <cell r="I103">
            <v>16024175.874797119</v>
          </cell>
          <cell r="J103">
            <v>18748286.946884628</v>
          </cell>
          <cell r="K103">
            <v>21472398.018972125</v>
          </cell>
          <cell r="L103">
            <v>24196509.091059629</v>
          </cell>
          <cell r="M103">
            <v>28362793.894031968</v>
          </cell>
          <cell r="N103">
            <v>32689322.198031925</v>
          </cell>
          <cell r="O103">
            <v>37336333.948414348</v>
          </cell>
        </row>
        <row r="104">
          <cell r="B104" t="str">
            <v>V97</v>
          </cell>
          <cell r="D104">
            <v>6057137.1366290413</v>
          </cell>
          <cell r="E104">
            <v>10095232.294504721</v>
          </cell>
          <cell r="F104">
            <v>12619041.301494977</v>
          </cell>
          <cell r="G104">
            <v>14301579.395003045</v>
          </cell>
          <cell r="H104">
            <v>15647609.869809505</v>
          </cell>
          <cell r="I104">
            <v>16825384.668536976</v>
          </cell>
          <cell r="J104">
            <v>19685701.294228859</v>
          </cell>
          <cell r="K104">
            <v>22546017.919920731</v>
          </cell>
          <cell r="L104">
            <v>25406334.545612611</v>
          </cell>
          <cell r="M104">
            <v>29780933.588733569</v>
          </cell>
          <cell r="N104">
            <v>34323788.307933524</v>
          </cell>
          <cell r="O104">
            <v>39203150.645835064</v>
          </cell>
        </row>
        <row r="105">
          <cell r="B105" t="str">
            <v>V98</v>
          </cell>
          <cell r="D105">
            <v>6359993.9934604932</v>
          </cell>
          <cell r="E105">
            <v>10599993.909229957</v>
          </cell>
          <cell r="F105">
            <v>13249993.366569726</v>
          </cell>
          <cell r="G105">
            <v>15016658.364753198</v>
          </cell>
          <cell r="H105">
            <v>16429990.363299981</v>
          </cell>
          <cell r="I105">
            <v>17666653.901963826</v>
          </cell>
          <cell r="J105">
            <v>20669986.358940303</v>
          </cell>
          <cell r="K105">
            <v>23673318.815916769</v>
          </cell>
          <cell r="L105">
            <v>26676651.272893243</v>
          </cell>
          <cell r="M105">
            <v>31269980.268170249</v>
          </cell>
          <cell r="N105">
            <v>36039977.7233302</v>
          </cell>
          <cell r="O105">
            <v>41163308.178126819</v>
          </cell>
        </row>
        <row r="106">
          <cell r="B106" t="str">
            <v>V99</v>
          </cell>
          <cell r="D106">
            <v>6677993.6931335181</v>
          </cell>
          <cell r="E106">
            <v>11129993.604691455</v>
          </cell>
          <cell r="F106">
            <v>13912493.034898212</v>
          </cell>
          <cell r="G106">
            <v>15767491.282990858</v>
          </cell>
          <cell r="H106">
            <v>17251489.881464981</v>
          </cell>
          <cell r="I106">
            <v>18549986.597062018</v>
          </cell>
          <cell r="J106">
            <v>21703485.676887318</v>
          </cell>
          <cell r="K106">
            <v>24856984.756712608</v>
          </cell>
          <cell r="L106">
            <v>28010483.836537905</v>
          </cell>
          <cell r="M106">
            <v>32833479.281578764</v>
          </cell>
          <cell r="N106">
            <v>37841976.609496713</v>
          </cell>
          <cell r="O106">
            <v>43221473.58703316</v>
          </cell>
        </row>
        <row r="107">
          <cell r="B107" t="str">
            <v>V100</v>
          </cell>
          <cell r="D107">
            <v>7011893.377790194</v>
          </cell>
          <cell r="E107">
            <v>11686493.284926029</v>
          </cell>
          <cell r="F107">
            <v>14608117.686643124</v>
          </cell>
          <cell r="G107">
            <v>16555865.847140402</v>
          </cell>
          <cell r="H107">
            <v>18114064.37553823</v>
          </cell>
          <cell r="I107">
            <v>19477485.92691512</v>
          </cell>
          <cell r="J107">
            <v>22788659.960731685</v>
          </cell>
          <cell r="K107">
            <v>26099833.994548239</v>
          </cell>
          <cell r="L107">
            <v>29411008.0283648</v>
          </cell>
          <cell r="M107">
            <v>34475153.245657705</v>
          </cell>
          <cell r="N107">
            <v>39734075.439971551</v>
          </cell>
          <cell r="O107">
            <v>45382547.266384818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o 03"/>
      <sheetName val="PAUTA PAQUETE"/>
      <sheetName val="Hoja1 (2)"/>
      <sheetName val="ABRIL"/>
      <sheetName val="MAYO"/>
      <sheetName val="Hoja1"/>
      <sheetName val="Datos"/>
      <sheetName val="DatosTP"/>
      <sheetName val="Parámetros"/>
      <sheetName val="tarifa"/>
      <sheetName val="PROGRAMAS"/>
      <sheetName val="Tarifa Mayo 02"/>
      <sheetName val="Rk"/>
      <sheetName val="actual Nov02"/>
      <sheetName val="Mayo_03"/>
      <sheetName val="PAUTA_PAQUETE"/>
      <sheetName val="Hoja1_(2)"/>
      <sheetName val="Tarifa_Mayo_02"/>
      <sheetName val="Mayo_031"/>
      <sheetName val="PAUTA_PAQUETE1"/>
      <sheetName val="Hoja1_(2)1"/>
      <sheetName val="Tarifa_Mayo_021"/>
      <sheetName val="Mayo_032"/>
      <sheetName val="PAUTA_PAQUETE2"/>
      <sheetName val="Hoja1_(2)2"/>
      <sheetName val="Tarifa_Mayo_022"/>
      <sheetName val="Radio"/>
      <sheetName val="channel"/>
      <sheetName val="Mayo_033"/>
      <sheetName val="PAUTA_PAQUETE3"/>
      <sheetName val="Hoja1_(2)3"/>
      <sheetName val="Tarifa_Mayo_023"/>
      <sheetName val="actual_Nov02"/>
      <sheetName val="Mayo_035"/>
      <sheetName val="PAUTA_PAQUETE5"/>
      <sheetName val="Hoja1_(2)5"/>
      <sheetName val="Tarifa_Mayo_025"/>
      <sheetName val="actual_Nov022"/>
      <sheetName val="Mayo_034"/>
      <sheetName val="PAUTA_PAQUETE4"/>
      <sheetName val="Hoja1_(2)4"/>
      <sheetName val="Tarifa_Mayo_024"/>
      <sheetName val="actual_Nov021"/>
      <sheetName val="Mayo_037"/>
      <sheetName val="PAUTA_PAQUETE7"/>
      <sheetName val="Hoja1_(2)7"/>
      <sheetName val="Tarifa_Mayo_027"/>
      <sheetName val="actual_Nov024"/>
      <sheetName val="Mayo_036"/>
      <sheetName val="PAUTA_PAQUETE6"/>
      <sheetName val="Hoja1_(2)6"/>
      <sheetName val="Tarifa_Mayo_026"/>
      <sheetName val="actual_Nov023"/>
      <sheetName val="Mayo_038"/>
      <sheetName val="PAUTA_PAQUETE8"/>
      <sheetName val="Hoja1_(2)8"/>
      <sheetName val="Tarifa_Mayo_028"/>
      <sheetName val="actual_Nov025"/>
      <sheetName val="Mayo_039"/>
      <sheetName val="PAUTA_PAQUETE9"/>
      <sheetName val="Hoja1_(2)9"/>
      <sheetName val="Tarifa_Mayo_029"/>
      <sheetName val="actual_Nov026"/>
      <sheetName val="Mayo_0310"/>
      <sheetName val="parametros"/>
      <sheetName val="matriz sitios"/>
      <sheetName val="Panadol - pauta paquete"/>
      <sheetName val="rat2"/>
      <sheetName val="BBDD"/>
      <sheetName val="Din_Plan"/>
      <sheetName val="IMPORTANTE LEER CAIDA DE PAUTAS"/>
      <sheetName val="Plan"/>
      <sheetName val="CASTIGO RTG"/>
      <sheetName val="Tarifario"/>
      <sheetName val="Plan TV Data"/>
      <sheetName val="Auxiliar"/>
      <sheetName val="Portada"/>
      <sheetName val="Propuesta"/>
      <sheetName val="Factor "/>
      <sheetName val="Programacion_Mega"/>
      <sheetName val="Resultados_Mega"/>
      <sheetName val="Universos_Mega"/>
      <sheetName val="Resultados_TVP"/>
      <sheetName val="Universos_TVP"/>
      <sheetName val="Resultados_Mega_DDC"/>
      <sheetName val="Universos_Mega_DDC"/>
      <sheetName val="Resultados_TVP_DDC"/>
      <sheetName val="Universos_TVP_DDC"/>
      <sheetName val="Esquema Negociacion"/>
      <sheetName val="Propuesta FINAL PISCINERIA"/>
      <sheetName val="Resumen"/>
      <sheetName val="ABRIL MAYO TV"/>
      <sheetName val="NOVIEMBRE DIC TV"/>
      <sheetName val="PROPUESTA RADIOS MEGA"/>
      <sheetName val="DETALLE PROGRAMAS RADIO"/>
      <sheetName val="SERVICIOS LINK"/>
      <sheetName val="Mayo_0311"/>
      <sheetName val="PAUTA_PAQUETE10"/>
      <sheetName val="Hoja1_(2)10"/>
      <sheetName val="Tarifa_Mayo_0210"/>
      <sheetName val="actual_Nov027"/>
      <sheetName val="IMPORTANTE_LEER_CAIDA_DE_PAUTAS"/>
      <sheetName val="CASTIGO_RTG"/>
      <sheetName val="Plan_TV_Data"/>
      <sheetName val="Factor_"/>
      <sheetName val="Esquema_Negociacion"/>
      <sheetName val="Propuesta_FINAL_PISCINERIA"/>
      <sheetName val="ABRIL_MAYO_TV"/>
      <sheetName val="NOVIEMBRE_DIC_TV"/>
      <sheetName val="PROPUESTA_RADIOS_MEGA"/>
      <sheetName val="DETALLE_PROGRAMAS_RADIO"/>
      <sheetName val="SERVICIOS_LINK"/>
      <sheetName val="matriz_sitios"/>
      <sheetName val="Panadol_-_pauta_paquete"/>
      <sheetName val="Mayo_0313"/>
      <sheetName val="PAUTA_PAQUETE12"/>
      <sheetName val="Hoja1_(2)12"/>
      <sheetName val="Tarifa_Mayo_0212"/>
      <sheetName val="actual_Nov029"/>
      <sheetName val="IMPORTANTE_LEER_CAIDA_DE_PAUTA2"/>
      <sheetName val="CASTIGO_RTG2"/>
      <sheetName val="Plan_TV_Data2"/>
      <sheetName val="Factor_2"/>
      <sheetName val="Esquema_Negociacion2"/>
      <sheetName val="Propuesta_FINAL_PISCINERIA2"/>
      <sheetName val="ABRIL_MAYO_TV2"/>
      <sheetName val="NOVIEMBRE_DIC_TV2"/>
      <sheetName val="PROPUESTA_RADIOS_MEGA2"/>
      <sheetName val="DETALLE_PROGRAMAS_RADIO2"/>
      <sheetName val="SERVICIOS_LINK2"/>
      <sheetName val="matriz_sitios2"/>
      <sheetName val="Panadol_-_pauta_paquete2"/>
      <sheetName val="Mayo_0312"/>
      <sheetName val="PAUTA_PAQUETE11"/>
      <sheetName val="Hoja1_(2)11"/>
      <sheetName val="Tarifa_Mayo_0211"/>
      <sheetName val="actual_Nov028"/>
      <sheetName val="IMPORTANTE_LEER_CAIDA_DE_PAUTA1"/>
      <sheetName val="CASTIGO_RTG1"/>
      <sheetName val="Plan_TV_Data1"/>
      <sheetName val="Factor_1"/>
      <sheetName val="Esquema_Negociacion1"/>
      <sheetName val="Propuesta_FINAL_PISCINERIA1"/>
      <sheetName val="ABRIL_MAYO_TV1"/>
      <sheetName val="NOVIEMBRE_DIC_TV1"/>
      <sheetName val="PROPUESTA_RADIOS_MEGA1"/>
      <sheetName val="DETALLE_PROGRAMAS_RADIO1"/>
      <sheetName val="SERVICIOS_LINK1"/>
      <sheetName val="matriz_sitios1"/>
      <sheetName val="Panadol_-_pauta_paquete1"/>
      <sheetName val="Mayo_0314"/>
      <sheetName val="PAUTA_PAQUETE13"/>
      <sheetName val="Hoja1_(2)13"/>
      <sheetName val="Tarifa_Mayo_0213"/>
      <sheetName val="actual_Nov0210"/>
      <sheetName val="IMPORTANTE_LEER_CAIDA_DE_PAUTA3"/>
      <sheetName val="CASTIGO_RTG3"/>
      <sheetName val="Plan_TV_Data3"/>
      <sheetName val="Factor_3"/>
      <sheetName val="Esquema_Negociacion3"/>
      <sheetName val="Propuesta_FINAL_PISCINERIA3"/>
      <sheetName val="ABRIL_MAYO_TV3"/>
      <sheetName val="NOVIEMBRE_DIC_TV3"/>
      <sheetName val="PROPUESTA_RADIOS_MEGA3"/>
      <sheetName val="DETALLE_PROGRAMAS_RADIO3"/>
      <sheetName val="SERVICIOS_LINK3"/>
      <sheetName val="matriz_sitios3"/>
      <sheetName val="Panadol_-_pauta_paquete3"/>
      <sheetName val="Mayo_0315"/>
      <sheetName val="PAUTA_PAQUETE14"/>
      <sheetName val="Hoja1_(2)14"/>
      <sheetName val="Tarifa_Mayo_0214"/>
      <sheetName val="actual_Nov0211"/>
      <sheetName val="IMPORTANTE_LEER_CAIDA_DE_PAUTA4"/>
      <sheetName val="CASTIGO_RTG4"/>
      <sheetName val="Plan_TV_Data4"/>
      <sheetName val="Factor_4"/>
      <sheetName val="Esquema_Negociacion4"/>
      <sheetName val="Propuesta_FINAL_PISCINERIA4"/>
      <sheetName val="ABRIL_MAYO_TV4"/>
      <sheetName val="NOVIEMBRE_DIC_TV4"/>
      <sheetName val="PROPUESTA_RADIOS_MEGA4"/>
      <sheetName val="DETALLE_PROGRAMAS_RADIO4"/>
      <sheetName val="SERVICIOS_LINK4"/>
      <sheetName val="matriz_sitios4"/>
      <sheetName val="Panadol_-_pauta_paquete4"/>
      <sheetName val="AUTOBUSES"/>
    </sheetNames>
    <sheetDataSet>
      <sheetData sheetId="0" refreshError="1">
        <row r="4">
          <cell r="A4" t="str">
            <v>BLOQUES</v>
          </cell>
          <cell r="B4" t="str">
            <v>5"</v>
          </cell>
          <cell r="C4" t="str">
            <v>10"</v>
          </cell>
          <cell r="D4" t="str">
            <v>15"</v>
          </cell>
          <cell r="E4" t="str">
            <v>20"</v>
          </cell>
          <cell r="F4" t="str">
            <v>25"</v>
          </cell>
          <cell r="G4" t="str">
            <v>30"</v>
          </cell>
        </row>
        <row r="6">
          <cell r="A6" t="str">
            <v>X0</v>
          </cell>
          <cell r="B6">
            <v>30000</v>
          </cell>
          <cell r="C6">
            <v>61000</v>
          </cell>
          <cell r="D6">
            <v>75000</v>
          </cell>
          <cell r="E6">
            <v>86000</v>
          </cell>
          <cell r="F6">
            <v>97000</v>
          </cell>
          <cell r="G6">
            <v>107000</v>
          </cell>
        </row>
        <row r="7">
          <cell r="A7" t="str">
            <v>X1</v>
          </cell>
          <cell r="B7">
            <v>38000</v>
          </cell>
          <cell r="C7">
            <v>76000</v>
          </cell>
          <cell r="D7">
            <v>94000</v>
          </cell>
          <cell r="E7">
            <v>107000</v>
          </cell>
          <cell r="F7">
            <v>121000</v>
          </cell>
          <cell r="G7">
            <v>134000</v>
          </cell>
        </row>
        <row r="8">
          <cell r="A8" t="str">
            <v>X2</v>
          </cell>
          <cell r="B8">
            <v>47000</v>
          </cell>
          <cell r="C8">
            <v>95000</v>
          </cell>
          <cell r="D8">
            <v>117000</v>
          </cell>
          <cell r="E8">
            <v>134000</v>
          </cell>
          <cell r="F8">
            <v>151000</v>
          </cell>
          <cell r="G8">
            <v>168000</v>
          </cell>
        </row>
        <row r="9">
          <cell r="A9" t="str">
            <v>X3</v>
          </cell>
          <cell r="B9">
            <v>56000</v>
          </cell>
          <cell r="C9">
            <v>112000</v>
          </cell>
          <cell r="D9">
            <v>138000</v>
          </cell>
          <cell r="E9">
            <v>158000</v>
          </cell>
          <cell r="F9">
            <v>178000</v>
          </cell>
          <cell r="G9">
            <v>198000</v>
          </cell>
        </row>
        <row r="10">
          <cell r="A10" t="str">
            <v>X4</v>
          </cell>
          <cell r="B10">
            <v>62000</v>
          </cell>
          <cell r="C10">
            <v>123000</v>
          </cell>
          <cell r="D10">
            <v>152000</v>
          </cell>
          <cell r="E10">
            <v>174000</v>
          </cell>
          <cell r="F10">
            <v>196000</v>
          </cell>
          <cell r="G10">
            <v>218000</v>
          </cell>
        </row>
        <row r="11">
          <cell r="A11" t="str">
            <v>X5</v>
          </cell>
          <cell r="B11">
            <v>68000</v>
          </cell>
          <cell r="C11">
            <v>136000</v>
          </cell>
          <cell r="D11">
            <v>167000</v>
          </cell>
          <cell r="E11">
            <v>191000</v>
          </cell>
          <cell r="F11">
            <v>215000</v>
          </cell>
          <cell r="G11">
            <v>239000</v>
          </cell>
        </row>
        <row r="12">
          <cell r="A12" t="str">
            <v>X6</v>
          </cell>
          <cell r="B12">
            <v>75000</v>
          </cell>
          <cell r="C12">
            <v>149000</v>
          </cell>
          <cell r="D12">
            <v>184000</v>
          </cell>
          <cell r="E12">
            <v>211000</v>
          </cell>
          <cell r="F12">
            <v>237000</v>
          </cell>
          <cell r="G12">
            <v>263000</v>
          </cell>
        </row>
        <row r="13">
          <cell r="A13" t="str">
            <v>X7</v>
          </cell>
          <cell r="B13">
            <v>82000</v>
          </cell>
          <cell r="C13">
            <v>164000</v>
          </cell>
          <cell r="D13">
            <v>203000</v>
          </cell>
          <cell r="E13">
            <v>232000</v>
          </cell>
          <cell r="F13">
            <v>261000</v>
          </cell>
          <cell r="G13">
            <v>290000</v>
          </cell>
        </row>
        <row r="14">
          <cell r="A14" t="str">
            <v>X8</v>
          </cell>
          <cell r="B14">
            <v>90000</v>
          </cell>
          <cell r="C14">
            <v>180000</v>
          </cell>
          <cell r="D14">
            <v>223000</v>
          </cell>
          <cell r="E14">
            <v>255000</v>
          </cell>
          <cell r="F14">
            <v>287000</v>
          </cell>
          <cell r="G14">
            <v>318000</v>
          </cell>
        </row>
        <row r="15">
          <cell r="A15" t="str">
            <v>X9</v>
          </cell>
          <cell r="B15">
            <v>99000</v>
          </cell>
          <cell r="C15">
            <v>199000</v>
          </cell>
          <cell r="D15">
            <v>245000</v>
          </cell>
          <cell r="E15">
            <v>280000</v>
          </cell>
          <cell r="F15">
            <v>315000</v>
          </cell>
          <cell r="G15">
            <v>350000</v>
          </cell>
        </row>
        <row r="16">
          <cell r="A16" t="str">
            <v>X10</v>
          </cell>
          <cell r="B16">
            <v>109000</v>
          </cell>
          <cell r="C16">
            <v>218000</v>
          </cell>
          <cell r="D16">
            <v>270000</v>
          </cell>
          <cell r="E16">
            <v>308000</v>
          </cell>
          <cell r="F16">
            <v>347000</v>
          </cell>
          <cell r="G16">
            <v>385000</v>
          </cell>
        </row>
        <row r="17">
          <cell r="A17" t="str">
            <v>X11</v>
          </cell>
          <cell r="B17">
            <v>120000</v>
          </cell>
          <cell r="C17">
            <v>240000</v>
          </cell>
          <cell r="D17">
            <v>297000</v>
          </cell>
          <cell r="E17">
            <v>339000</v>
          </cell>
          <cell r="F17">
            <v>381000</v>
          </cell>
          <cell r="G17">
            <v>424000</v>
          </cell>
        </row>
        <row r="18">
          <cell r="A18" t="str">
            <v>X12</v>
          </cell>
          <cell r="B18">
            <v>132000</v>
          </cell>
          <cell r="C18">
            <v>264000</v>
          </cell>
          <cell r="D18">
            <v>326000</v>
          </cell>
          <cell r="E18">
            <v>373000</v>
          </cell>
          <cell r="F18">
            <v>420000</v>
          </cell>
          <cell r="G18">
            <v>466000</v>
          </cell>
        </row>
        <row r="19">
          <cell r="A19" t="str">
            <v>X13</v>
          </cell>
          <cell r="B19">
            <v>145000</v>
          </cell>
          <cell r="C19">
            <v>291000</v>
          </cell>
          <cell r="D19">
            <v>359000</v>
          </cell>
          <cell r="E19">
            <v>410000</v>
          </cell>
          <cell r="F19">
            <v>462000</v>
          </cell>
          <cell r="G19">
            <v>513000</v>
          </cell>
        </row>
        <row r="20">
          <cell r="A20" t="str">
            <v>X14</v>
          </cell>
          <cell r="B20">
            <v>160000</v>
          </cell>
          <cell r="C20">
            <v>320000</v>
          </cell>
          <cell r="D20">
            <v>395000</v>
          </cell>
          <cell r="E20">
            <v>451000</v>
          </cell>
          <cell r="F20">
            <v>508000</v>
          </cell>
          <cell r="G20">
            <v>564000</v>
          </cell>
        </row>
        <row r="21">
          <cell r="A21" t="str">
            <v>X15</v>
          </cell>
          <cell r="B21">
            <v>176000</v>
          </cell>
          <cell r="C21">
            <v>352000</v>
          </cell>
          <cell r="D21">
            <v>434000</v>
          </cell>
          <cell r="E21">
            <v>496000</v>
          </cell>
          <cell r="F21">
            <v>559000</v>
          </cell>
          <cell r="G21">
            <v>621000</v>
          </cell>
        </row>
        <row r="22">
          <cell r="A22" t="str">
            <v>X16</v>
          </cell>
          <cell r="B22">
            <v>193000</v>
          </cell>
          <cell r="C22">
            <v>387000</v>
          </cell>
          <cell r="D22">
            <v>478000</v>
          </cell>
          <cell r="E22">
            <v>546000</v>
          </cell>
          <cell r="F22">
            <v>614000</v>
          </cell>
          <cell r="G22">
            <v>683000</v>
          </cell>
        </row>
        <row r="23">
          <cell r="A23" t="str">
            <v>X17</v>
          </cell>
          <cell r="B23">
            <v>213000</v>
          </cell>
          <cell r="C23">
            <v>426000</v>
          </cell>
          <cell r="D23">
            <v>526000</v>
          </cell>
          <cell r="E23">
            <v>601000</v>
          </cell>
          <cell r="F23">
            <v>676000</v>
          </cell>
          <cell r="G23">
            <v>751000</v>
          </cell>
        </row>
        <row r="24">
          <cell r="A24" t="str">
            <v>X18</v>
          </cell>
          <cell r="B24">
            <v>234000</v>
          </cell>
          <cell r="C24">
            <v>468000</v>
          </cell>
          <cell r="D24">
            <v>578000</v>
          </cell>
          <cell r="E24">
            <v>661000</v>
          </cell>
          <cell r="F24">
            <v>743000</v>
          </cell>
          <cell r="G24">
            <v>826000</v>
          </cell>
        </row>
        <row r="25">
          <cell r="A25" t="str">
            <v>X19</v>
          </cell>
          <cell r="B25">
            <v>341000</v>
          </cell>
          <cell r="C25">
            <v>681000</v>
          </cell>
          <cell r="D25">
            <v>709000</v>
          </cell>
          <cell r="E25">
            <v>818000</v>
          </cell>
          <cell r="F25">
            <v>863000</v>
          </cell>
          <cell r="G25">
            <v>909000</v>
          </cell>
        </row>
        <row r="26">
          <cell r="A26" t="str">
            <v>X20</v>
          </cell>
          <cell r="B26">
            <v>375000</v>
          </cell>
          <cell r="C26">
            <v>750000</v>
          </cell>
          <cell r="D26">
            <v>780000</v>
          </cell>
          <cell r="E26">
            <v>900000</v>
          </cell>
          <cell r="F26">
            <v>950000</v>
          </cell>
          <cell r="G26">
            <v>1000000</v>
          </cell>
        </row>
        <row r="27">
          <cell r="A27" t="str">
            <v>X21</v>
          </cell>
          <cell r="B27">
            <v>412000</v>
          </cell>
          <cell r="C27">
            <v>825000</v>
          </cell>
          <cell r="D27">
            <v>858000</v>
          </cell>
          <cell r="E27">
            <v>990000</v>
          </cell>
          <cell r="F27">
            <v>1044000</v>
          </cell>
          <cell r="G27">
            <v>1099000</v>
          </cell>
        </row>
        <row r="28">
          <cell r="A28" t="str">
            <v>X22</v>
          </cell>
          <cell r="B28">
            <v>454000</v>
          </cell>
          <cell r="C28">
            <v>907000</v>
          </cell>
          <cell r="D28">
            <v>943000</v>
          </cell>
          <cell r="E28">
            <v>1088000</v>
          </cell>
          <cell r="F28">
            <v>1149000</v>
          </cell>
          <cell r="G28">
            <v>1209000</v>
          </cell>
        </row>
        <row r="29">
          <cell r="A29" t="str">
            <v>X23</v>
          </cell>
          <cell r="B29">
            <v>499000</v>
          </cell>
          <cell r="C29">
            <v>998000</v>
          </cell>
          <cell r="D29">
            <v>1038000</v>
          </cell>
          <cell r="E29">
            <v>1197000</v>
          </cell>
          <cell r="F29">
            <v>1264000</v>
          </cell>
          <cell r="G29">
            <v>1330000</v>
          </cell>
        </row>
        <row r="30">
          <cell r="A30" t="str">
            <v>X24</v>
          </cell>
          <cell r="B30">
            <v>549000</v>
          </cell>
          <cell r="C30">
            <v>1098000</v>
          </cell>
          <cell r="D30">
            <v>1141000</v>
          </cell>
          <cell r="E30">
            <v>1317000</v>
          </cell>
          <cell r="F30">
            <v>1390000</v>
          </cell>
          <cell r="G30">
            <v>1463000</v>
          </cell>
        </row>
        <row r="31">
          <cell r="A31" t="str">
            <v>X25</v>
          </cell>
          <cell r="B31">
            <v>604000</v>
          </cell>
          <cell r="C31">
            <v>1207000</v>
          </cell>
          <cell r="D31">
            <v>1256000</v>
          </cell>
          <cell r="E31">
            <v>1449000</v>
          </cell>
          <cell r="F31">
            <v>1529000</v>
          </cell>
          <cell r="G31">
            <v>1610000</v>
          </cell>
        </row>
        <row r="32">
          <cell r="A32" t="str">
            <v>X26</v>
          </cell>
          <cell r="B32">
            <v>664000</v>
          </cell>
          <cell r="C32">
            <v>1328000</v>
          </cell>
          <cell r="D32">
            <v>1381000</v>
          </cell>
          <cell r="E32">
            <v>1594000</v>
          </cell>
          <cell r="F32">
            <v>1682000</v>
          </cell>
          <cell r="G32">
            <v>1771000</v>
          </cell>
        </row>
        <row r="33">
          <cell r="A33" t="str">
            <v>X27</v>
          </cell>
          <cell r="B33">
            <v>730000</v>
          </cell>
          <cell r="C33">
            <v>1461000</v>
          </cell>
          <cell r="D33">
            <v>1519000</v>
          </cell>
          <cell r="E33">
            <v>1753000</v>
          </cell>
          <cell r="F33">
            <v>1850000</v>
          </cell>
          <cell r="G33">
            <v>1948000</v>
          </cell>
        </row>
        <row r="34">
          <cell r="A34" t="str">
            <v>X28</v>
          </cell>
          <cell r="B34">
            <v>803000</v>
          </cell>
          <cell r="C34">
            <v>1607000</v>
          </cell>
          <cell r="D34">
            <v>1671000</v>
          </cell>
          <cell r="E34">
            <v>1928000</v>
          </cell>
          <cell r="F34">
            <v>2035000</v>
          </cell>
          <cell r="G34">
            <v>2143000</v>
          </cell>
        </row>
        <row r="35">
          <cell r="A35" t="str">
            <v>X29</v>
          </cell>
          <cell r="B35">
            <v>884000</v>
          </cell>
          <cell r="C35">
            <v>1768000</v>
          </cell>
          <cell r="D35">
            <v>1838000</v>
          </cell>
          <cell r="E35">
            <v>2121000</v>
          </cell>
          <cell r="F35">
            <v>2239000</v>
          </cell>
          <cell r="G35">
            <v>2357000</v>
          </cell>
        </row>
        <row r="36">
          <cell r="A36" t="str">
            <v>X30</v>
          </cell>
          <cell r="B36">
            <v>972000</v>
          </cell>
          <cell r="C36">
            <v>1944000</v>
          </cell>
          <cell r="D36">
            <v>2022000</v>
          </cell>
          <cell r="E36">
            <v>2333000</v>
          </cell>
          <cell r="F36">
            <v>2463000</v>
          </cell>
          <cell r="G36">
            <v>2592000</v>
          </cell>
        </row>
        <row r="37">
          <cell r="A37" t="str">
            <v>X31</v>
          </cell>
          <cell r="B37">
            <v>1069000</v>
          </cell>
          <cell r="C37">
            <v>2139000</v>
          </cell>
          <cell r="D37">
            <v>2224000</v>
          </cell>
          <cell r="E37">
            <v>2567000</v>
          </cell>
          <cell r="F37">
            <v>2709000</v>
          </cell>
          <cell r="G37">
            <v>2852000</v>
          </cell>
        </row>
        <row r="38">
          <cell r="A38" t="str">
            <v>X32</v>
          </cell>
          <cell r="B38">
            <v>1176000</v>
          </cell>
          <cell r="C38">
            <v>2353000</v>
          </cell>
          <cell r="D38">
            <v>2447000</v>
          </cell>
          <cell r="E38">
            <v>2823000</v>
          </cell>
          <cell r="F38">
            <v>2980000</v>
          </cell>
          <cell r="G38">
            <v>3137000</v>
          </cell>
        </row>
        <row r="39">
          <cell r="A39" t="str">
            <v>X33</v>
          </cell>
          <cell r="B39">
            <v>1294000</v>
          </cell>
          <cell r="C39">
            <v>2588000</v>
          </cell>
          <cell r="D39">
            <v>2691000</v>
          </cell>
          <cell r="E39">
            <v>3105000</v>
          </cell>
          <cell r="F39">
            <v>3278000</v>
          </cell>
          <cell r="G39">
            <v>3451000</v>
          </cell>
        </row>
        <row r="40">
          <cell r="A40" t="str">
            <v>X34</v>
          </cell>
          <cell r="B40">
            <v>1423000</v>
          </cell>
          <cell r="C40">
            <v>2847000</v>
          </cell>
          <cell r="D40">
            <v>2961000</v>
          </cell>
          <cell r="E40">
            <v>3416000</v>
          </cell>
          <cell r="F40">
            <v>3606000</v>
          </cell>
          <cell r="G40">
            <v>3796000</v>
          </cell>
        </row>
        <row r="41">
          <cell r="A41" t="str">
            <v>X35</v>
          </cell>
          <cell r="B41">
            <v>1566000</v>
          </cell>
          <cell r="C41">
            <v>3131000</v>
          </cell>
          <cell r="D41">
            <v>3257000</v>
          </cell>
          <cell r="E41">
            <v>3758000</v>
          </cell>
          <cell r="F41">
            <v>3966000</v>
          </cell>
          <cell r="G41">
            <v>4175000</v>
          </cell>
        </row>
        <row r="42">
          <cell r="A42" t="str">
            <v>X36</v>
          </cell>
          <cell r="B42">
            <v>1722000</v>
          </cell>
          <cell r="C42">
            <v>3445000</v>
          </cell>
          <cell r="D42">
            <v>3582000</v>
          </cell>
          <cell r="E42">
            <v>4133000</v>
          </cell>
          <cell r="F42">
            <v>4363000</v>
          </cell>
          <cell r="G42">
            <v>4593000</v>
          </cell>
        </row>
        <row r="43">
          <cell r="A43" t="str">
            <v>X37</v>
          </cell>
          <cell r="B43">
            <v>1894000</v>
          </cell>
          <cell r="C43">
            <v>3789000</v>
          </cell>
          <cell r="D43">
            <v>3941000</v>
          </cell>
          <cell r="E43">
            <v>4547000</v>
          </cell>
          <cell r="F43">
            <v>4799000</v>
          </cell>
          <cell r="G43">
            <v>5052000</v>
          </cell>
        </row>
        <row r="44">
          <cell r="A44" t="str">
            <v>X38</v>
          </cell>
          <cell r="B44">
            <v>2084000</v>
          </cell>
          <cell r="C44">
            <v>4168000</v>
          </cell>
          <cell r="D44">
            <v>4335000</v>
          </cell>
          <cell r="E44">
            <v>5001000</v>
          </cell>
          <cell r="F44">
            <v>5279000</v>
          </cell>
          <cell r="G44">
            <v>5557000</v>
          </cell>
        </row>
        <row r="45">
          <cell r="A45" t="str">
            <v>X39</v>
          </cell>
          <cell r="B45">
            <v>2292000</v>
          </cell>
          <cell r="C45">
            <v>4585000</v>
          </cell>
          <cell r="D45">
            <v>4768000</v>
          </cell>
          <cell r="E45">
            <v>5502000</v>
          </cell>
          <cell r="F45">
            <v>5807000</v>
          </cell>
          <cell r="G45">
            <v>6113000</v>
          </cell>
        </row>
        <row r="46">
          <cell r="A46" t="str">
            <v>X40</v>
          </cell>
          <cell r="B46">
            <v>2522000</v>
          </cell>
          <cell r="C46">
            <v>5043000</v>
          </cell>
          <cell r="D46">
            <v>5245000</v>
          </cell>
          <cell r="E46">
            <v>6052000</v>
          </cell>
          <cell r="F46">
            <v>6388000</v>
          </cell>
          <cell r="G46">
            <v>6724000</v>
          </cell>
        </row>
        <row r="47">
          <cell r="A47" t="str">
            <v>X41</v>
          </cell>
          <cell r="B47">
            <v>2774000</v>
          </cell>
          <cell r="C47">
            <v>5547000</v>
          </cell>
          <cell r="D47">
            <v>5769000</v>
          </cell>
          <cell r="E47">
            <v>6657000</v>
          </cell>
          <cell r="F47">
            <v>7027000</v>
          </cell>
          <cell r="G47">
            <v>7397000</v>
          </cell>
        </row>
        <row r="48">
          <cell r="A48" t="str">
            <v>X42</v>
          </cell>
          <cell r="B48">
            <v>3051000</v>
          </cell>
          <cell r="C48">
            <v>6102000</v>
          </cell>
          <cell r="D48">
            <v>6346000</v>
          </cell>
          <cell r="E48">
            <v>7323000</v>
          </cell>
          <cell r="F48">
            <v>7729000</v>
          </cell>
          <cell r="G48">
            <v>8136000</v>
          </cell>
        </row>
        <row r="49">
          <cell r="A49" t="str">
            <v>X43</v>
          </cell>
          <cell r="B49">
            <v>3356000</v>
          </cell>
          <cell r="C49">
            <v>6712000</v>
          </cell>
          <cell r="D49">
            <v>6981000</v>
          </cell>
          <cell r="E49">
            <v>8055000</v>
          </cell>
          <cell r="F49">
            <v>8502000</v>
          </cell>
          <cell r="G49">
            <v>8950000</v>
          </cell>
        </row>
        <row r="50">
          <cell r="A50" t="str">
            <v>X44</v>
          </cell>
          <cell r="B50">
            <v>3692000</v>
          </cell>
          <cell r="C50">
            <v>7384000</v>
          </cell>
          <cell r="D50">
            <v>7679000</v>
          </cell>
          <cell r="E50">
            <v>8860000</v>
          </cell>
          <cell r="F50">
            <v>9353000</v>
          </cell>
          <cell r="G50">
            <v>9845000</v>
          </cell>
        </row>
        <row r="51">
          <cell r="A51" t="str">
            <v>X45</v>
          </cell>
          <cell r="B51">
            <v>4061000</v>
          </cell>
          <cell r="C51">
            <v>8122000</v>
          </cell>
          <cell r="D51">
            <v>8447000</v>
          </cell>
          <cell r="E51">
            <v>9746000</v>
          </cell>
          <cell r="F51">
            <v>10288000</v>
          </cell>
          <cell r="G51">
            <v>10829000</v>
          </cell>
        </row>
        <row r="52">
          <cell r="A52" t="str">
            <v>X46</v>
          </cell>
          <cell r="B52">
            <v>4467000</v>
          </cell>
          <cell r="C52">
            <v>8934000</v>
          </cell>
          <cell r="D52">
            <v>9292000</v>
          </cell>
          <cell r="E52">
            <v>10721000</v>
          </cell>
          <cell r="F52">
            <v>11317000</v>
          </cell>
          <cell r="G52">
            <v>11912000</v>
          </cell>
        </row>
        <row r="53">
          <cell r="A53" t="str">
            <v>X47</v>
          </cell>
          <cell r="B53">
            <v>4914000</v>
          </cell>
          <cell r="C53">
            <v>9828000</v>
          </cell>
          <cell r="D53">
            <v>10221000</v>
          </cell>
          <cell r="E53">
            <v>11793000</v>
          </cell>
          <cell r="F53">
            <v>12448000</v>
          </cell>
          <cell r="G53">
            <v>13103000</v>
          </cell>
        </row>
        <row r="54">
          <cell r="A54" t="str">
            <v>X48</v>
          </cell>
          <cell r="B54">
            <v>5405000</v>
          </cell>
          <cell r="C54">
            <v>10810000</v>
          </cell>
          <cell r="D54">
            <v>11243000</v>
          </cell>
          <cell r="E54">
            <v>12972000</v>
          </cell>
          <cell r="F54">
            <v>13693000</v>
          </cell>
          <cell r="G54">
            <v>14414000</v>
          </cell>
        </row>
        <row r="55">
          <cell r="A55" t="str">
            <v>X49</v>
          </cell>
          <cell r="B55">
            <v>5946000</v>
          </cell>
          <cell r="C55">
            <v>11891000</v>
          </cell>
          <cell r="D55">
            <v>12367000</v>
          </cell>
          <cell r="E55">
            <v>14270000</v>
          </cell>
          <cell r="F55">
            <v>15062000</v>
          </cell>
          <cell r="G55">
            <v>15855000</v>
          </cell>
        </row>
        <row r="56">
          <cell r="A56" t="str">
            <v>X50</v>
          </cell>
          <cell r="B56">
            <v>6540000</v>
          </cell>
          <cell r="C56">
            <v>13081000</v>
          </cell>
          <cell r="D56">
            <v>13604000</v>
          </cell>
          <cell r="E56">
            <v>15697000</v>
          </cell>
          <cell r="F56">
            <v>16569000</v>
          </cell>
          <cell r="G56">
            <v>17441000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">
          <cell r="A4" t="str">
            <v>BLOQUES</v>
          </cell>
        </row>
      </sheetData>
      <sheetData sheetId="15"/>
      <sheetData sheetId="16">
        <row r="4">
          <cell r="A4" t="str">
            <v>BLOQUES</v>
          </cell>
        </row>
      </sheetData>
      <sheetData sheetId="17"/>
      <sheetData sheetId="18">
        <row r="4">
          <cell r="A4" t="str">
            <v>BLOQUES</v>
          </cell>
        </row>
      </sheetData>
      <sheetData sheetId="19"/>
      <sheetData sheetId="20">
        <row r="4">
          <cell r="A4" t="str">
            <v>BLOQUES</v>
          </cell>
        </row>
      </sheetData>
      <sheetData sheetId="21"/>
      <sheetData sheetId="22">
        <row r="4">
          <cell r="A4" t="str">
            <v>BLOQUES</v>
          </cell>
        </row>
      </sheetData>
      <sheetData sheetId="23"/>
      <sheetData sheetId="24"/>
      <sheetData sheetId="25"/>
      <sheetData sheetId="26" refreshError="1"/>
      <sheetData sheetId="27" refreshError="1"/>
      <sheetData sheetId="28">
        <row r="4">
          <cell r="A4" t="str">
            <v>BLOQUES</v>
          </cell>
        </row>
      </sheetData>
      <sheetData sheetId="29"/>
      <sheetData sheetId="30"/>
      <sheetData sheetId="31"/>
      <sheetData sheetId="32"/>
      <sheetData sheetId="33">
        <row r="4">
          <cell r="A4" t="str">
            <v>VERDADES OCULTASV</v>
          </cell>
        </row>
      </sheetData>
      <sheetData sheetId="34">
        <row r="4">
          <cell r="A4" t="str">
            <v>VERDADES OCULTASV</v>
          </cell>
        </row>
      </sheetData>
      <sheetData sheetId="35">
        <row r="4">
          <cell r="E4">
            <v>2.4E-2</v>
          </cell>
        </row>
      </sheetData>
      <sheetData sheetId="36"/>
      <sheetData sheetId="37"/>
      <sheetData sheetId="38">
        <row r="4">
          <cell r="A4" t="str">
            <v>VERDADES OCULTASV</v>
          </cell>
        </row>
      </sheetData>
      <sheetData sheetId="39"/>
      <sheetData sheetId="40"/>
      <sheetData sheetId="41"/>
      <sheetData sheetId="42"/>
      <sheetData sheetId="43">
        <row r="4">
          <cell r="E4">
            <v>2.4E-2</v>
          </cell>
        </row>
      </sheetData>
      <sheetData sheetId="44"/>
      <sheetData sheetId="45">
        <row r="4">
          <cell r="E4">
            <v>2.4E-2</v>
          </cell>
        </row>
      </sheetData>
      <sheetData sheetId="46">
        <row r="4">
          <cell r="E4">
            <v>2.4E-2</v>
          </cell>
        </row>
      </sheetData>
      <sheetData sheetId="47"/>
      <sheetData sheetId="48">
        <row r="4">
          <cell r="A4" t="str">
            <v>BLOQUES</v>
          </cell>
        </row>
      </sheetData>
      <sheetData sheetId="49"/>
      <sheetData sheetId="50">
        <row r="4">
          <cell r="E4">
            <v>2.4E-2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>
        <row r="4">
          <cell r="A4" t="str">
            <v>VERDADES OCULTASV</v>
          </cell>
        </row>
      </sheetData>
      <sheetData sheetId="69">
        <row r="4">
          <cell r="A4" t="str">
            <v>VERDADES OCULTASV</v>
          </cell>
        </row>
      </sheetData>
      <sheetData sheetId="70">
        <row r="4">
          <cell r="E4">
            <v>2.4E-2</v>
          </cell>
        </row>
      </sheetData>
      <sheetData sheetId="71"/>
      <sheetData sheetId="72"/>
      <sheetData sheetId="73">
        <row r="4">
          <cell r="A4" t="str">
            <v>VERDADES OCULTASV</v>
          </cell>
        </row>
      </sheetData>
      <sheetData sheetId="74"/>
      <sheetData sheetId="75"/>
      <sheetData sheetId="76"/>
      <sheetData sheetId="77"/>
      <sheetData sheetId="78">
        <row r="4">
          <cell r="E4">
            <v>2.4E-2</v>
          </cell>
        </row>
      </sheetData>
      <sheetData sheetId="79"/>
      <sheetData sheetId="80">
        <row r="4">
          <cell r="E4">
            <v>2.4E-2</v>
          </cell>
        </row>
      </sheetData>
      <sheetData sheetId="81">
        <row r="4">
          <cell r="E4">
            <v>2.4E-2</v>
          </cell>
        </row>
      </sheetData>
      <sheetData sheetId="82"/>
      <sheetData sheetId="83"/>
      <sheetData sheetId="84"/>
      <sheetData sheetId="85">
        <row r="4">
          <cell r="E4">
            <v>2.4E-2</v>
          </cell>
        </row>
      </sheetData>
      <sheetData sheetId="86"/>
      <sheetData sheetId="87"/>
      <sheetData sheetId="88">
        <row r="4">
          <cell r="A4" t="str">
            <v>VERDADES OCULTASV</v>
          </cell>
        </row>
      </sheetData>
      <sheetData sheetId="89">
        <row r="4">
          <cell r="A4" t="str">
            <v>VERDADES OCULTASV</v>
          </cell>
        </row>
      </sheetData>
      <sheetData sheetId="90"/>
      <sheetData sheetId="91"/>
      <sheetData sheetId="92"/>
      <sheetData sheetId="93">
        <row r="4">
          <cell r="A4" t="str">
            <v>VERDADES OCULTASV</v>
          </cell>
        </row>
      </sheetData>
      <sheetData sheetId="94"/>
      <sheetData sheetId="95"/>
      <sheetData sheetId="96">
        <row r="4">
          <cell r="A4" t="str">
            <v>BLOQUES</v>
          </cell>
        </row>
      </sheetData>
      <sheetData sheetId="97"/>
      <sheetData sheetId="98"/>
      <sheetData sheetId="99"/>
      <sheetData sheetId="100"/>
      <sheetData sheetId="101">
        <row r="4">
          <cell r="E4">
            <v>2.4E-2</v>
          </cell>
        </row>
      </sheetData>
      <sheetData sheetId="102"/>
      <sheetData sheetId="103"/>
      <sheetData sheetId="104">
        <row r="4">
          <cell r="E4">
            <v>2.4E-2</v>
          </cell>
        </row>
      </sheetData>
      <sheetData sheetId="105">
        <row r="4">
          <cell r="A4" t="str">
            <v>VERDADES OCULTASV</v>
          </cell>
        </row>
      </sheetData>
      <sheetData sheetId="106">
        <row r="4">
          <cell r="A4" t="str">
            <v>VERDADES OCULTASV</v>
          </cell>
        </row>
      </sheetData>
      <sheetData sheetId="107"/>
      <sheetData sheetId="108"/>
      <sheetData sheetId="109">
        <row r="4">
          <cell r="A4" t="str">
            <v>VERDADES OCULTASV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>
        <row r="4">
          <cell r="E4">
            <v>2.4E-2</v>
          </cell>
        </row>
      </sheetData>
      <sheetData sheetId="120"/>
      <sheetData sheetId="121"/>
      <sheetData sheetId="122">
        <row r="4">
          <cell r="E4">
            <v>2.4E-2</v>
          </cell>
        </row>
      </sheetData>
      <sheetData sheetId="123">
        <row r="4">
          <cell r="A4" t="str">
            <v>VERDADES OCULTASV</v>
          </cell>
        </row>
      </sheetData>
      <sheetData sheetId="124">
        <row r="4">
          <cell r="A4" t="str">
            <v>VERDADES OCULTASV</v>
          </cell>
        </row>
      </sheetData>
      <sheetData sheetId="125"/>
      <sheetData sheetId="126"/>
      <sheetData sheetId="127">
        <row r="4">
          <cell r="A4" t="str">
            <v>VERDADES OCULTASV</v>
          </cell>
        </row>
      </sheetData>
      <sheetData sheetId="128"/>
      <sheetData sheetId="129"/>
      <sheetData sheetId="130"/>
      <sheetData sheetId="131"/>
      <sheetData sheetId="132">
        <row r="4">
          <cell r="A4" t="str">
            <v>BLOQUES</v>
          </cell>
        </row>
      </sheetData>
      <sheetData sheetId="133"/>
      <sheetData sheetId="134"/>
      <sheetData sheetId="135"/>
      <sheetData sheetId="136"/>
      <sheetData sheetId="137">
        <row r="4">
          <cell r="E4">
            <v>2.4E-2</v>
          </cell>
        </row>
      </sheetData>
      <sheetData sheetId="138"/>
      <sheetData sheetId="139"/>
      <sheetData sheetId="140">
        <row r="4">
          <cell r="E4">
            <v>2.4E-2</v>
          </cell>
        </row>
      </sheetData>
      <sheetData sheetId="141">
        <row r="4">
          <cell r="A4" t="str">
            <v>VERDADES OCULTASV</v>
          </cell>
        </row>
      </sheetData>
      <sheetData sheetId="142">
        <row r="4">
          <cell r="A4" t="str">
            <v>VERDADES OCULTASV</v>
          </cell>
        </row>
      </sheetData>
      <sheetData sheetId="143"/>
      <sheetData sheetId="144"/>
      <sheetData sheetId="145">
        <row r="4">
          <cell r="A4" t="str">
            <v>VERDADES OCULTASV</v>
          </cell>
        </row>
      </sheetData>
      <sheetData sheetId="146"/>
      <sheetData sheetId="147"/>
      <sheetData sheetId="148"/>
      <sheetData sheetId="149"/>
      <sheetData sheetId="150">
        <row r="4">
          <cell r="A4" t="str">
            <v>BLOQUES</v>
          </cell>
        </row>
      </sheetData>
      <sheetData sheetId="151"/>
      <sheetData sheetId="152"/>
      <sheetData sheetId="153"/>
      <sheetData sheetId="154"/>
      <sheetData sheetId="155">
        <row r="4">
          <cell r="E4">
            <v>2.4E-2</v>
          </cell>
        </row>
      </sheetData>
      <sheetData sheetId="156"/>
      <sheetData sheetId="157"/>
      <sheetData sheetId="158">
        <row r="4">
          <cell r="E4">
            <v>2.4E-2</v>
          </cell>
        </row>
      </sheetData>
      <sheetData sheetId="159">
        <row r="4">
          <cell r="A4" t="str">
            <v>VERDADES OCULTASV</v>
          </cell>
        </row>
      </sheetData>
      <sheetData sheetId="160">
        <row r="4">
          <cell r="A4" t="str">
            <v>VERDADES OCULTASV</v>
          </cell>
        </row>
      </sheetData>
      <sheetData sheetId="161"/>
      <sheetData sheetId="162"/>
      <sheetData sheetId="163">
        <row r="4">
          <cell r="A4" t="str">
            <v>VERDADES OCULTASV</v>
          </cell>
        </row>
      </sheetData>
      <sheetData sheetId="164"/>
      <sheetData sheetId="165"/>
      <sheetData sheetId="166"/>
      <sheetData sheetId="167"/>
      <sheetData sheetId="168">
        <row r="4">
          <cell r="A4" t="str">
            <v>BLOQUES</v>
          </cell>
        </row>
      </sheetData>
      <sheetData sheetId="169"/>
      <sheetData sheetId="170"/>
      <sheetData sheetId="171"/>
      <sheetData sheetId="172"/>
      <sheetData sheetId="173">
        <row r="4">
          <cell r="E4">
            <v>2.4E-2</v>
          </cell>
        </row>
      </sheetData>
      <sheetData sheetId="174"/>
      <sheetData sheetId="175"/>
      <sheetData sheetId="176">
        <row r="4">
          <cell r="E4">
            <v>2.4E-2</v>
          </cell>
        </row>
      </sheetData>
      <sheetData sheetId="177">
        <row r="4">
          <cell r="A4" t="str">
            <v>VERDADES OCULTASV</v>
          </cell>
        </row>
      </sheetData>
      <sheetData sheetId="178">
        <row r="4">
          <cell r="A4" t="str">
            <v>VERDADES OCULTASV</v>
          </cell>
        </row>
      </sheetData>
      <sheetData sheetId="179"/>
      <sheetData sheetId="180"/>
      <sheetData sheetId="181">
        <row r="4">
          <cell r="A4" t="str">
            <v>VERDADES OCULTASV</v>
          </cell>
        </row>
      </sheetData>
      <sheetData sheetId="182"/>
      <sheetData sheetId="183"/>
      <sheetData sheetId="184"/>
      <sheetData sheetId="185"/>
      <sheetData sheetId="18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as Mega"/>
      <sheetName val="Datos"/>
      <sheetName val="Tarifas_Mega"/>
      <sheetName val="rut proveedores"/>
    </sheetNames>
    <sheetDataSet>
      <sheetData sheetId="0">
        <row r="1">
          <cell r="A1" t="str">
            <v>Clasificacion</v>
          </cell>
          <cell r="B1" t="str">
            <v>Tarifa</v>
          </cell>
        </row>
        <row r="2">
          <cell r="A2" t="str">
            <v>M1</v>
          </cell>
          <cell r="B2">
            <v>134100</v>
          </cell>
        </row>
        <row r="3">
          <cell r="A3" t="str">
            <v>M2</v>
          </cell>
          <cell r="B3">
            <v>167400</v>
          </cell>
        </row>
        <row r="4">
          <cell r="A4" t="str">
            <v>M3</v>
          </cell>
          <cell r="B4">
            <v>209100</v>
          </cell>
        </row>
        <row r="5">
          <cell r="A5" t="str">
            <v>M4</v>
          </cell>
          <cell r="B5">
            <v>257200</v>
          </cell>
        </row>
        <row r="6">
          <cell r="A6" t="str">
            <v>M5</v>
          </cell>
          <cell r="B6">
            <v>316300</v>
          </cell>
        </row>
        <row r="7">
          <cell r="A7" t="str">
            <v>M6</v>
          </cell>
          <cell r="B7">
            <v>341600</v>
          </cell>
        </row>
        <row r="8">
          <cell r="A8" t="str">
            <v>M7</v>
          </cell>
          <cell r="B8">
            <v>369000</v>
          </cell>
        </row>
        <row r="9">
          <cell r="A9" t="str">
            <v>M8</v>
          </cell>
          <cell r="B9">
            <v>383700</v>
          </cell>
        </row>
        <row r="10">
          <cell r="A10" t="str">
            <v>M9</v>
          </cell>
          <cell r="B10">
            <v>399000</v>
          </cell>
        </row>
        <row r="11">
          <cell r="A11" t="str">
            <v>M10</v>
          </cell>
          <cell r="B11">
            <v>415000</v>
          </cell>
        </row>
        <row r="12">
          <cell r="A12" t="str">
            <v>M11</v>
          </cell>
          <cell r="B12">
            <v>431600</v>
          </cell>
        </row>
        <row r="13">
          <cell r="A13" t="str">
            <v>M12</v>
          </cell>
          <cell r="B13">
            <v>448900</v>
          </cell>
        </row>
        <row r="14">
          <cell r="A14" t="str">
            <v>M13</v>
          </cell>
          <cell r="B14">
            <v>466800</v>
          </cell>
        </row>
        <row r="15">
          <cell r="A15" t="str">
            <v>M14</v>
          </cell>
          <cell r="B15">
            <v>485500</v>
          </cell>
        </row>
        <row r="16">
          <cell r="A16" t="str">
            <v>M15</v>
          </cell>
          <cell r="B16">
            <v>504900</v>
          </cell>
        </row>
        <row r="17">
          <cell r="A17" t="str">
            <v>M16</v>
          </cell>
          <cell r="B17">
            <v>525200</v>
          </cell>
        </row>
        <row r="18">
          <cell r="A18" t="str">
            <v>M17</v>
          </cell>
          <cell r="B18">
            <v>546200</v>
          </cell>
        </row>
        <row r="19">
          <cell r="A19" t="str">
            <v>M18</v>
          </cell>
          <cell r="B19">
            <v>567900</v>
          </cell>
        </row>
        <row r="20">
          <cell r="A20" t="str">
            <v>M19</v>
          </cell>
          <cell r="B20">
            <v>590700</v>
          </cell>
        </row>
        <row r="21">
          <cell r="A21" t="str">
            <v>M20</v>
          </cell>
          <cell r="B21">
            <v>614300</v>
          </cell>
        </row>
        <row r="22">
          <cell r="A22" t="str">
            <v>M21</v>
          </cell>
          <cell r="B22">
            <v>638900</v>
          </cell>
        </row>
        <row r="23">
          <cell r="A23" t="str">
            <v>M22</v>
          </cell>
          <cell r="B23">
            <v>664500</v>
          </cell>
        </row>
        <row r="24">
          <cell r="A24" t="str">
            <v>M23</v>
          </cell>
          <cell r="B24">
            <v>691000</v>
          </cell>
        </row>
        <row r="25">
          <cell r="A25" t="str">
            <v>M24</v>
          </cell>
          <cell r="B25">
            <v>718700</v>
          </cell>
        </row>
        <row r="26">
          <cell r="A26" t="str">
            <v>M25</v>
          </cell>
          <cell r="B26">
            <v>747400</v>
          </cell>
        </row>
        <row r="27">
          <cell r="A27" t="str">
            <v>M26</v>
          </cell>
          <cell r="B27">
            <v>777300</v>
          </cell>
        </row>
        <row r="28">
          <cell r="A28" t="str">
            <v>M27</v>
          </cell>
          <cell r="B28">
            <v>808500</v>
          </cell>
        </row>
        <row r="29">
          <cell r="A29" t="str">
            <v>M28</v>
          </cell>
          <cell r="B29">
            <v>840800</v>
          </cell>
        </row>
        <row r="30">
          <cell r="A30" t="str">
            <v>M29</v>
          </cell>
          <cell r="B30">
            <v>874400</v>
          </cell>
        </row>
        <row r="31">
          <cell r="A31" t="str">
            <v>M30</v>
          </cell>
          <cell r="B31">
            <v>909400</v>
          </cell>
        </row>
        <row r="32">
          <cell r="A32" t="str">
            <v>M31</v>
          </cell>
          <cell r="B32">
            <v>945700</v>
          </cell>
        </row>
        <row r="33">
          <cell r="A33" t="str">
            <v>M32</v>
          </cell>
          <cell r="B33">
            <v>983600</v>
          </cell>
        </row>
        <row r="34">
          <cell r="A34" t="str">
            <v>M33</v>
          </cell>
          <cell r="B34">
            <v>1023000</v>
          </cell>
        </row>
        <row r="35">
          <cell r="A35" t="str">
            <v>M34</v>
          </cell>
          <cell r="B35">
            <v>1063800</v>
          </cell>
        </row>
        <row r="36">
          <cell r="A36" t="str">
            <v>M35</v>
          </cell>
          <cell r="B36">
            <v>1106400</v>
          </cell>
        </row>
        <row r="37">
          <cell r="A37" t="str">
            <v>M36</v>
          </cell>
          <cell r="B37">
            <v>1150700</v>
          </cell>
        </row>
        <row r="38">
          <cell r="A38" t="str">
            <v>M37</v>
          </cell>
          <cell r="B38">
            <v>1196700</v>
          </cell>
        </row>
        <row r="39">
          <cell r="A39" t="str">
            <v>M38</v>
          </cell>
          <cell r="B39">
            <v>1244600</v>
          </cell>
        </row>
        <row r="40">
          <cell r="A40" t="str">
            <v>M39</v>
          </cell>
          <cell r="B40">
            <v>1294300</v>
          </cell>
        </row>
        <row r="41">
          <cell r="A41" t="str">
            <v>M40</v>
          </cell>
          <cell r="B41">
            <v>1346100</v>
          </cell>
        </row>
        <row r="42">
          <cell r="A42" t="str">
            <v>M41</v>
          </cell>
          <cell r="B42">
            <v>1400000</v>
          </cell>
        </row>
        <row r="43">
          <cell r="A43" t="str">
            <v>M42</v>
          </cell>
          <cell r="B43">
            <v>1456000</v>
          </cell>
        </row>
        <row r="44">
          <cell r="A44" t="str">
            <v>M43</v>
          </cell>
          <cell r="B44">
            <v>1514200</v>
          </cell>
        </row>
        <row r="45">
          <cell r="A45" t="str">
            <v>M44</v>
          </cell>
          <cell r="B45">
            <v>1574800</v>
          </cell>
        </row>
        <row r="46">
          <cell r="A46" t="str">
            <v>M45</v>
          </cell>
          <cell r="B46">
            <v>1637800</v>
          </cell>
        </row>
        <row r="47">
          <cell r="A47" t="str">
            <v>M46</v>
          </cell>
          <cell r="B47">
            <v>1703300</v>
          </cell>
        </row>
        <row r="48">
          <cell r="A48" t="str">
            <v>M47</v>
          </cell>
          <cell r="B48">
            <v>1771500</v>
          </cell>
        </row>
        <row r="49">
          <cell r="A49" t="str">
            <v>M48</v>
          </cell>
          <cell r="B49">
            <v>1842300</v>
          </cell>
        </row>
        <row r="50">
          <cell r="A50" t="str">
            <v>M49</v>
          </cell>
          <cell r="B50">
            <v>1916000</v>
          </cell>
        </row>
        <row r="51">
          <cell r="A51" t="str">
            <v>M50</v>
          </cell>
          <cell r="B51">
            <v>1992600</v>
          </cell>
        </row>
        <row r="52">
          <cell r="A52" t="str">
            <v>M51</v>
          </cell>
          <cell r="B52">
            <v>2072300</v>
          </cell>
        </row>
        <row r="53">
          <cell r="A53" t="str">
            <v>M52</v>
          </cell>
          <cell r="B53">
            <v>2155200</v>
          </cell>
        </row>
        <row r="54">
          <cell r="A54" t="str">
            <v>M53</v>
          </cell>
          <cell r="B54">
            <v>2241500</v>
          </cell>
        </row>
        <row r="55">
          <cell r="A55" t="str">
            <v>M54</v>
          </cell>
          <cell r="B55">
            <v>2331100</v>
          </cell>
        </row>
        <row r="56">
          <cell r="A56" t="str">
            <v>M55</v>
          </cell>
          <cell r="B56">
            <v>2424300</v>
          </cell>
        </row>
        <row r="57">
          <cell r="A57" t="str">
            <v>M56</v>
          </cell>
          <cell r="B57">
            <v>2521300</v>
          </cell>
        </row>
        <row r="58">
          <cell r="A58" t="str">
            <v>M57</v>
          </cell>
          <cell r="B58">
            <v>2622200</v>
          </cell>
        </row>
        <row r="59">
          <cell r="A59" t="str">
            <v>M58</v>
          </cell>
          <cell r="B59">
            <v>2727100</v>
          </cell>
        </row>
        <row r="60">
          <cell r="A60" t="str">
            <v>M59</v>
          </cell>
          <cell r="B60">
            <v>2836200</v>
          </cell>
        </row>
        <row r="61">
          <cell r="A61" t="str">
            <v>M60</v>
          </cell>
          <cell r="B61">
            <v>2949600</v>
          </cell>
        </row>
        <row r="62">
          <cell r="A62" t="str">
            <v>M61</v>
          </cell>
          <cell r="B62">
            <v>3067500</v>
          </cell>
        </row>
        <row r="63">
          <cell r="A63" t="str">
            <v>M62</v>
          </cell>
          <cell r="B63">
            <v>3190300</v>
          </cell>
        </row>
        <row r="64">
          <cell r="A64" t="str">
            <v>M63</v>
          </cell>
          <cell r="B64">
            <v>3317900</v>
          </cell>
        </row>
        <row r="65">
          <cell r="A65" t="str">
            <v>M64</v>
          </cell>
          <cell r="B65">
            <v>3450700</v>
          </cell>
        </row>
        <row r="66">
          <cell r="A66" t="str">
            <v>M65</v>
          </cell>
          <cell r="B66">
            <v>3588700</v>
          </cell>
        </row>
        <row r="67">
          <cell r="A67" t="str">
            <v>M66</v>
          </cell>
          <cell r="B67">
            <v>3732200</v>
          </cell>
        </row>
        <row r="68">
          <cell r="A68" t="str">
            <v>M67</v>
          </cell>
          <cell r="B68">
            <v>3881500</v>
          </cell>
        </row>
        <row r="69">
          <cell r="A69" t="str">
            <v>M68</v>
          </cell>
          <cell r="B69">
            <v>4036800</v>
          </cell>
        </row>
        <row r="70">
          <cell r="A70" t="str">
            <v>M69</v>
          </cell>
          <cell r="B70">
            <v>4198200</v>
          </cell>
        </row>
        <row r="71">
          <cell r="A71" t="str">
            <v>M70</v>
          </cell>
          <cell r="B71">
            <v>4366100</v>
          </cell>
        </row>
      </sheetData>
      <sheetData sheetId="1" refreshError="1"/>
      <sheetData sheetId="2">
        <row r="1">
          <cell r="A1" t="str">
            <v>Clasificacion</v>
          </cell>
        </row>
      </sheetData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"/>
      <sheetName val="Rating1"/>
      <sheetName val="COL"/>
      <sheetName val="Cuantificador_RM"/>
      <sheetName val="Cuantificador_TP"/>
      <sheetName val="Tarifa_PLUS"/>
      <sheetName val="Tarifa_Preferencial"/>
      <sheetName val="Cuantificador_RM2"/>
      <sheetName val="Cuantificador_TP2"/>
      <sheetName val="Tarifa_PLUS2"/>
      <sheetName val="Tarifa_Preferencial2"/>
      <sheetName val="Cuantificador_RM1"/>
      <sheetName val="Cuantificador_TP1"/>
      <sheetName val="Tarifa_PLUS1"/>
      <sheetName val="Tarifa_Preferencial1"/>
      <sheetName val="Cuantificador_RM3"/>
      <sheetName val="Cuantificador_TP3"/>
      <sheetName val="Tarifa_PLUS3"/>
      <sheetName val="Tarifa_Preferencial3"/>
      <sheetName val="Bayer Aspirina"/>
      <sheetName val="Cuantificador_RM4"/>
      <sheetName val="Cuantificador_TP4"/>
      <sheetName val="Tarifa_PLUS4"/>
      <sheetName val="Tarifa_Preferencial4"/>
      <sheetName val="Bayer_Aspirina"/>
      <sheetName val="Cuantificador_RM5"/>
      <sheetName val="Cuantificador_TP5"/>
      <sheetName val="Tarifa_PLUS5"/>
      <sheetName val="Tarifa_Preferencial5"/>
      <sheetName val="Bayer_Aspirina1"/>
      <sheetName val="Cuantificador_RM6"/>
      <sheetName val="Cuantificador_TP6"/>
      <sheetName val="Tarifa_PLUS6"/>
      <sheetName val="Tarifa_Preferencial6"/>
      <sheetName val="Bayer_Aspirina2"/>
      <sheetName val="Cuantificador_RM8"/>
      <sheetName val="Cuantificador_TP8"/>
      <sheetName val="Tarifa_PLUS8"/>
      <sheetName val="Tarifa_Preferencial8"/>
      <sheetName val="Bayer_Aspirina4"/>
      <sheetName val="Cuantificador_RM7"/>
      <sheetName val="Cuantificador_TP7"/>
      <sheetName val="Tarifa_PLUS7"/>
      <sheetName val="Tarifa_Preferencial7"/>
      <sheetName val="Bayer_Aspirina3"/>
      <sheetName val="Cuantificador_RM9"/>
      <sheetName val="Cuantificador_TP9"/>
      <sheetName val="Tarifa_PLUS9"/>
      <sheetName val="Tarifa_Preferencial9"/>
      <sheetName val="Bayer_Aspirina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2">
          <cell r="J22" t="str">
            <v>TRASNOCHE</v>
          </cell>
          <cell r="K22">
            <v>0.57777777777777783</v>
          </cell>
        </row>
        <row r="25">
          <cell r="J25" t="str">
            <v>24 HORAS A LA HORAJ</v>
          </cell>
          <cell r="K25">
            <v>0.9</v>
          </cell>
        </row>
        <row r="26">
          <cell r="J26" t="str">
            <v>0,243055555555556LMWJVD</v>
          </cell>
          <cell r="K26">
            <v>0.6</v>
          </cell>
        </row>
        <row r="27">
          <cell r="J27" t="str">
            <v>ADOPTA UN FAMOSO (R)S</v>
          </cell>
          <cell r="K27">
            <v>0.4</v>
          </cell>
        </row>
        <row r="28">
          <cell r="J28" t="str">
            <v>AMERICA MIA (R)J</v>
          </cell>
          <cell r="K28">
            <v>0.7</v>
          </cell>
        </row>
        <row r="29">
          <cell r="J29" t="str">
            <v>APUESTO POR TI (R)SD</v>
          </cell>
          <cell r="K29">
            <v>0.5</v>
          </cell>
        </row>
        <row r="30">
          <cell r="J30" t="str">
            <v>CHILE CONECTADO (R)D</v>
          </cell>
          <cell r="K30">
            <v>0.4</v>
          </cell>
        </row>
        <row r="31">
          <cell r="J31" t="str">
            <v>CON QUE SUENAS (R)D</v>
          </cell>
          <cell r="K31">
            <v>0.5</v>
          </cell>
        </row>
        <row r="32">
          <cell r="J32" t="str">
            <v>DOCTOR HOUSE (R)D</v>
          </cell>
          <cell r="K32">
            <v>0.5</v>
          </cell>
        </row>
        <row r="33">
          <cell r="J33" t="str">
            <v>DUENOS DEL PARAISO MIAMI EN (RLMW</v>
          </cell>
          <cell r="K33">
            <v>0.2</v>
          </cell>
        </row>
        <row r="34">
          <cell r="J34" t="str">
            <v>EL DIA MENOS PENSADO (R)LMWJ</v>
          </cell>
          <cell r="K34">
            <v>0.3</v>
          </cell>
        </row>
      </sheetData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tv"/>
      <sheetName val="tvdata"/>
      <sheetName val="pauta tv"/>
      <sheetName val="aupsicios"/>
      <sheetName val="pauta tv (2)"/>
      <sheetName val="Plan de TV"/>
      <sheetName val="Plan de TV (2)"/>
      <sheetName val="datos eva"/>
      <sheetName val="80%"/>
      <sheetName val="print (2)"/>
      <sheetName val="multi eva"/>
      <sheetName val="Hoja1"/>
      <sheetName val="AUT-HOG"/>
      <sheetName val="Plan_de_TV"/>
      <sheetName val="Plan_de_TV1"/>
      <sheetName val="pauta_tv"/>
      <sheetName val="pauta_tv_(2)"/>
      <sheetName val="Plan_de_TV_(2)"/>
      <sheetName val="datos_eva"/>
      <sheetName val="print_(2)"/>
      <sheetName val="multi_eva"/>
      <sheetName val="Plan_de_TV3"/>
      <sheetName val="pauta_tv2"/>
      <sheetName val="pauta_tv_(2)2"/>
      <sheetName val="Plan_de_TV_(2)2"/>
      <sheetName val="datos_eva2"/>
      <sheetName val="print_(2)2"/>
      <sheetName val="multi_eva2"/>
      <sheetName val="Plan_de_TV2"/>
      <sheetName val="pauta_tv1"/>
      <sheetName val="pauta_tv_(2)1"/>
      <sheetName val="Plan_de_TV_(2)1"/>
      <sheetName val="datos_eva1"/>
      <sheetName val="print_(2)1"/>
      <sheetName val="multi_eva1"/>
      <sheetName val="Plan_de_TV4"/>
      <sheetName val="pauta_tv3"/>
      <sheetName val="pauta_tv_(2)3"/>
      <sheetName val="Plan_de_TV_(2)3"/>
      <sheetName val="datos_eva3"/>
      <sheetName val="print_(2)3"/>
      <sheetName val="multi_eva3"/>
      <sheetName val="actual Nov02"/>
      <sheetName val="DatosTP"/>
    </sheetNames>
    <sheetDataSet>
      <sheetData sheetId="0"/>
      <sheetData sheetId="1"/>
      <sheetData sheetId="2"/>
      <sheetData sheetId="3"/>
      <sheetData sheetId="4">
        <row r="1">
          <cell r="AP1">
            <v>532.5</v>
          </cell>
        </row>
      </sheetData>
      <sheetData sheetId="5">
        <row r="1">
          <cell r="AP1">
            <v>532.5</v>
          </cell>
        </row>
      </sheetData>
      <sheetData sheetId="6" refreshError="1">
        <row r="1">
          <cell r="AP1">
            <v>532.5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>
        <row r="1">
          <cell r="AP1">
            <v>532.5</v>
          </cell>
        </row>
      </sheetData>
      <sheetData sheetId="16"/>
      <sheetData sheetId="17">
        <row r="1">
          <cell r="AP1">
            <v>532.5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1">
          <cell r="AP1">
            <v>532.5</v>
          </cell>
        </row>
      </sheetData>
      <sheetData sheetId="25"/>
      <sheetData sheetId="26"/>
      <sheetData sheetId="27"/>
      <sheetData sheetId="28"/>
      <sheetData sheetId="29">
        <row r="1">
          <cell r="AP1">
            <v>532.5</v>
          </cell>
        </row>
      </sheetData>
      <sheetData sheetId="30"/>
      <sheetData sheetId="31">
        <row r="1">
          <cell r="AP1">
            <v>532.5</v>
          </cell>
        </row>
      </sheetData>
      <sheetData sheetId="32"/>
      <sheetData sheetId="33"/>
      <sheetData sheetId="34"/>
      <sheetData sheetId="35"/>
      <sheetData sheetId="36">
        <row r="1">
          <cell r="AP1">
            <v>532.5</v>
          </cell>
        </row>
      </sheetData>
      <sheetData sheetId="37"/>
      <sheetData sheetId="38">
        <row r="1">
          <cell r="AP1">
            <v>532.5</v>
          </cell>
        </row>
      </sheetData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(3)"/>
      <sheetName val="Datos"/>
      <sheetName val="rat"/>
      <sheetName val="ratene"/>
      <sheetName val="rat (2)"/>
      <sheetName val="valores"/>
      <sheetName val="valoresene"/>
      <sheetName val="tarifas"/>
      <sheetName val="Datos_(3)"/>
      <sheetName val="rat_(2)"/>
      <sheetName val="No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Organización</v>
          </cell>
          <cell r="B1" t="str">
            <v>Hora</v>
          </cell>
          <cell r="C1" t="str">
            <v>Cadena</v>
          </cell>
          <cell r="D1" t="str">
            <v>vps septiembre 2007</v>
          </cell>
          <cell r="E1" t="str">
            <v>vps octubre 2007</v>
          </cell>
          <cell r="F1" t="str">
            <v>vps noviembre 2007</v>
          </cell>
          <cell r="G1" t="str">
            <v>vps diciembre 2007</v>
          </cell>
          <cell r="H1" t="str">
            <v>vps enero 2008</v>
          </cell>
          <cell r="I1" t="str">
            <v>vps febrero 2008</v>
          </cell>
          <cell r="J1" t="str">
            <v>vps marzo 2008</v>
          </cell>
          <cell r="K1" t="str">
            <v>vps abril 2008</v>
          </cell>
          <cell r="L1" t="str">
            <v xml:space="preserve">vps mayo 2008 </v>
          </cell>
          <cell r="M1" t="str">
            <v xml:space="preserve">vps junio 2008 </v>
          </cell>
          <cell r="N1" t="str">
            <v>vps julio 2008</v>
          </cell>
        </row>
        <row r="2">
          <cell r="A2">
            <v>24</v>
          </cell>
          <cell r="B2">
            <v>0.96731481481481485</v>
          </cell>
          <cell r="C2" t="str">
            <v>Mega</v>
          </cell>
          <cell r="D2">
            <v>1189200</v>
          </cell>
          <cell r="E2">
            <v>1286300</v>
          </cell>
        </row>
        <row r="3">
          <cell r="A3" t="str">
            <v>133 ATRAPADOS POR LA REALIDAD</v>
          </cell>
          <cell r="C3" t="str">
            <v>Mega</v>
          </cell>
          <cell r="G3">
            <v>1286300</v>
          </cell>
          <cell r="H3">
            <v>1627600</v>
          </cell>
          <cell r="I3">
            <v>1830800</v>
          </cell>
          <cell r="J3">
            <v>2141800</v>
          </cell>
          <cell r="K3">
            <v>2331100</v>
          </cell>
          <cell r="L3">
            <v>2949600</v>
          </cell>
          <cell r="M3">
            <v>3190300</v>
          </cell>
          <cell r="N3">
            <v>3190300</v>
          </cell>
        </row>
        <row r="4">
          <cell r="A4" t="str">
            <v>ABRAZAME MUY FUERTE</v>
          </cell>
          <cell r="C4" t="str">
            <v>Mega</v>
          </cell>
          <cell r="F4">
            <v>772500</v>
          </cell>
          <cell r="G4">
            <v>772500</v>
          </cell>
        </row>
        <row r="5">
          <cell r="A5" t="str">
            <v>AL DIABLO CON LOS GUAPOS</v>
          </cell>
          <cell r="C5" t="str">
            <v>Mega</v>
          </cell>
          <cell r="H5">
            <v>903700</v>
          </cell>
          <cell r="I5">
            <v>903700</v>
          </cell>
          <cell r="J5">
            <v>977400</v>
          </cell>
          <cell r="K5">
            <v>1294300</v>
          </cell>
          <cell r="L5">
            <v>1400000</v>
          </cell>
          <cell r="M5">
            <v>1400000</v>
          </cell>
          <cell r="N5">
            <v>1400000</v>
          </cell>
        </row>
        <row r="6">
          <cell r="A6" t="str">
            <v>AQUI EN VIVO</v>
          </cell>
          <cell r="B6">
            <v>0.93194444444444446</v>
          </cell>
          <cell r="C6" t="str">
            <v>Mega</v>
          </cell>
          <cell r="D6">
            <v>1627600</v>
          </cell>
          <cell r="E6">
            <v>1830800</v>
          </cell>
          <cell r="F6">
            <v>1830800</v>
          </cell>
          <cell r="G6">
            <v>1504800</v>
          </cell>
          <cell r="N6">
            <v>1771500</v>
          </cell>
        </row>
        <row r="7">
          <cell r="A7" t="str">
            <v>ATP MOVISTAR OPEN 2007</v>
          </cell>
          <cell r="B7">
            <v>0.83048611111111104</v>
          </cell>
          <cell r="C7" t="str">
            <v>Mega</v>
          </cell>
        </row>
        <row r="8">
          <cell r="A8" t="str">
            <v>AUTOPSIA</v>
          </cell>
          <cell r="C8" t="str">
            <v>Mega</v>
          </cell>
          <cell r="I8">
            <v>977400</v>
          </cell>
        </row>
        <row r="9">
          <cell r="A9" t="str">
            <v>BARRERA DE AMOR</v>
          </cell>
          <cell r="B9">
            <v>0.61990740740740746</v>
          </cell>
          <cell r="C9" t="str">
            <v>Mega</v>
          </cell>
        </row>
        <row r="10">
          <cell r="A10" t="str">
            <v>CAIGA QUIEN CAIGA</v>
          </cell>
          <cell r="B10">
            <v>0.94374999999999998</v>
          </cell>
          <cell r="C10" t="str">
            <v>Mega</v>
          </cell>
          <cell r="D10">
            <v>1286300</v>
          </cell>
          <cell r="E10">
            <v>1504800</v>
          </cell>
          <cell r="F10">
            <v>1627600</v>
          </cell>
          <cell r="G10">
            <v>1830800</v>
          </cell>
          <cell r="H10">
            <v>1830800</v>
          </cell>
          <cell r="K10">
            <v>2331100</v>
          </cell>
          <cell r="L10">
            <v>1637800</v>
          </cell>
          <cell r="M10">
            <v>1916000</v>
          </cell>
          <cell r="N10">
            <v>1771500</v>
          </cell>
        </row>
        <row r="11">
          <cell r="A11" t="str">
            <v>CAMERA CAFE</v>
          </cell>
          <cell r="C11" t="str">
            <v>Mega</v>
          </cell>
          <cell r="I11">
            <v>1057200</v>
          </cell>
          <cell r="J11">
            <v>903700</v>
          </cell>
        </row>
        <row r="12">
          <cell r="A12" t="str">
            <v>CAMERA CAFE (R)</v>
          </cell>
          <cell r="C12" t="str">
            <v>Mega</v>
          </cell>
          <cell r="J12">
            <v>587000</v>
          </cell>
        </row>
        <row r="13">
          <cell r="A13" t="str">
            <v>CAMERA CAFÉ ®</v>
          </cell>
          <cell r="C13" t="str">
            <v>Mega</v>
          </cell>
          <cell r="I13">
            <v>903700</v>
          </cell>
          <cell r="J13">
            <v>587000</v>
          </cell>
        </row>
        <row r="14">
          <cell r="A14" t="str">
            <v>CARA Y SELLO</v>
          </cell>
          <cell r="B14">
            <v>0.93263888888888891</v>
          </cell>
          <cell r="C14" t="str">
            <v>Mega</v>
          </cell>
          <cell r="D14">
            <v>1830800</v>
          </cell>
          <cell r="E14">
            <v>1980200</v>
          </cell>
          <cell r="F14">
            <v>1391200</v>
          </cell>
        </row>
        <row r="15">
          <cell r="A15" t="str">
            <v>CASADO CON HIJOS</v>
          </cell>
          <cell r="B15">
            <v>0.82704861111111105</v>
          </cell>
          <cell r="C15" t="str">
            <v>Mega</v>
          </cell>
          <cell r="D15">
            <v>835500</v>
          </cell>
        </row>
        <row r="16">
          <cell r="A16" t="str">
            <v>CASADO CON HIJOS (R)</v>
          </cell>
          <cell r="B16">
            <v>1.0684143518518519</v>
          </cell>
          <cell r="C16" t="str">
            <v>Mega</v>
          </cell>
          <cell r="D16">
            <v>501800</v>
          </cell>
        </row>
        <row r="17">
          <cell r="A17" t="str">
            <v>CASADO CON HIJOS 2</v>
          </cell>
          <cell r="C17" t="str">
            <v>Mega</v>
          </cell>
          <cell r="I17">
            <v>903700</v>
          </cell>
        </row>
        <row r="18">
          <cell r="A18" t="str">
            <v>CASADO CON HIJOS 2 (21:30)</v>
          </cell>
          <cell r="B18">
            <v>0.89930555555555547</v>
          </cell>
          <cell r="C18" t="str">
            <v>Mega</v>
          </cell>
          <cell r="D18">
            <v>1391200</v>
          </cell>
          <cell r="E18">
            <v>1189200</v>
          </cell>
          <cell r="F18">
            <v>1189200</v>
          </cell>
        </row>
        <row r="19">
          <cell r="A19" t="str">
            <v>CASADO CON HIJOS 2 (R)</v>
          </cell>
          <cell r="B19">
            <v>0.83236111111111111</v>
          </cell>
          <cell r="C19" t="str">
            <v>Mega</v>
          </cell>
          <cell r="D19">
            <v>835500</v>
          </cell>
        </row>
        <row r="20">
          <cell r="A20" t="str">
            <v>CASADO CON HIJOS 21:30 HRS</v>
          </cell>
          <cell r="B20">
            <v>0.89809027777777783</v>
          </cell>
          <cell r="C20" t="str">
            <v>Mega</v>
          </cell>
          <cell r="D20">
            <v>1391200</v>
          </cell>
          <cell r="E20">
            <v>1189200</v>
          </cell>
          <cell r="F20">
            <v>1189200</v>
          </cell>
        </row>
        <row r="21">
          <cell r="A21" t="str">
            <v>CASADO CON HIJOS 3</v>
          </cell>
          <cell r="B21">
            <v>0.82236111111111121</v>
          </cell>
          <cell r="C21" t="str">
            <v>Mega</v>
          </cell>
          <cell r="D21">
            <v>835500</v>
          </cell>
        </row>
        <row r="22">
          <cell r="A22" t="str">
            <v>CASADO CON HIJOS 3 (R)</v>
          </cell>
          <cell r="B22">
            <v>0.83663194444444444</v>
          </cell>
          <cell r="C22" t="str">
            <v>Mega</v>
          </cell>
          <cell r="D22">
            <v>835500</v>
          </cell>
        </row>
        <row r="23">
          <cell r="A23" t="str">
            <v>CASADO CON HIJOS 3 21:30 HRS</v>
          </cell>
          <cell r="B23">
            <v>0.90263888888888888</v>
          </cell>
          <cell r="C23" t="str">
            <v>Mega</v>
          </cell>
          <cell r="D23">
            <v>1391200</v>
          </cell>
          <cell r="E23">
            <v>1189200</v>
          </cell>
          <cell r="F23">
            <v>1189200</v>
          </cell>
        </row>
        <row r="24">
          <cell r="A24" t="str">
            <v>CASO CERRADO</v>
          </cell>
          <cell r="C24" t="str">
            <v>Mega</v>
          </cell>
          <cell r="H24">
            <v>587000</v>
          </cell>
          <cell r="I24">
            <v>977400</v>
          </cell>
          <cell r="J24">
            <v>1057200</v>
          </cell>
          <cell r="K24">
            <v>1637800</v>
          </cell>
          <cell r="L24">
            <v>2072300</v>
          </cell>
          <cell r="M24">
            <v>2072300</v>
          </cell>
          <cell r="N24">
            <v>1916000</v>
          </cell>
        </row>
        <row r="25">
          <cell r="A25" t="str">
            <v>CERO HORAS</v>
          </cell>
          <cell r="B25">
            <v>1.0054861111111111</v>
          </cell>
          <cell r="C25" t="str">
            <v>Mega</v>
          </cell>
          <cell r="D25">
            <v>977400</v>
          </cell>
          <cell r="E25">
            <v>1057200</v>
          </cell>
          <cell r="F25">
            <v>1286300</v>
          </cell>
          <cell r="G25">
            <v>1391200</v>
          </cell>
          <cell r="H25">
            <v>1391200</v>
          </cell>
          <cell r="I25">
            <v>1504800</v>
          </cell>
          <cell r="J25">
            <v>1627600</v>
          </cell>
          <cell r="K25">
            <v>1992600</v>
          </cell>
          <cell r="L25">
            <v>1771500</v>
          </cell>
          <cell r="M25">
            <v>1916000</v>
          </cell>
          <cell r="N25">
            <v>2072300</v>
          </cell>
        </row>
        <row r="26">
          <cell r="A26" t="str">
            <v>CHILENOS POR EL MUNDO</v>
          </cell>
          <cell r="C26" t="str">
            <v>Mega</v>
          </cell>
          <cell r="D26">
            <v>236300</v>
          </cell>
          <cell r="E26">
            <v>236300</v>
          </cell>
          <cell r="G26">
            <v>236300</v>
          </cell>
        </row>
        <row r="27">
          <cell r="A27" t="str">
            <v>CINE FAMILIAR (MEGA)</v>
          </cell>
          <cell r="C27" t="str">
            <v>Mega</v>
          </cell>
          <cell r="G27">
            <v>501800</v>
          </cell>
          <cell r="H27">
            <v>446100</v>
          </cell>
          <cell r="I27">
            <v>501800</v>
          </cell>
          <cell r="J27">
            <v>542700</v>
          </cell>
          <cell r="K27">
            <v>590700</v>
          </cell>
          <cell r="L27">
            <v>485500</v>
          </cell>
        </row>
        <row r="28">
          <cell r="A28" t="str">
            <v>CINE NOCTURNO</v>
          </cell>
          <cell r="B28">
            <v>1.0201388888888889</v>
          </cell>
          <cell r="C28" t="str">
            <v>Mega</v>
          </cell>
          <cell r="D28">
            <v>236300</v>
          </cell>
          <cell r="E28">
            <v>236300</v>
          </cell>
          <cell r="F28">
            <v>236300</v>
          </cell>
          <cell r="G28">
            <v>446100</v>
          </cell>
          <cell r="H28">
            <v>236300</v>
          </cell>
        </row>
        <row r="29">
          <cell r="A29" t="str">
            <v>CINE SABADO</v>
          </cell>
          <cell r="B29">
            <v>0.80972222222222223</v>
          </cell>
          <cell r="C29" t="str">
            <v>Mega</v>
          </cell>
          <cell r="D29">
            <v>446100</v>
          </cell>
          <cell r="E29">
            <v>446100</v>
          </cell>
          <cell r="F29">
            <v>446100</v>
          </cell>
          <cell r="G29">
            <v>501800</v>
          </cell>
          <cell r="H29">
            <v>501800</v>
          </cell>
          <cell r="I29">
            <v>501800</v>
          </cell>
          <cell r="J29">
            <v>542700</v>
          </cell>
        </row>
        <row r="30">
          <cell r="A30" t="str">
            <v>CINE TRASNOCHE</v>
          </cell>
          <cell r="C30" t="str">
            <v>Mega</v>
          </cell>
          <cell r="J30">
            <v>446100</v>
          </cell>
          <cell r="K30">
            <v>485500</v>
          </cell>
          <cell r="L30">
            <v>525200</v>
          </cell>
          <cell r="M30">
            <v>257200</v>
          </cell>
          <cell r="N30">
            <v>316300</v>
          </cell>
        </row>
        <row r="31">
          <cell r="A31" t="str">
            <v>CIRUGIA DE CUERPO Y ALMA</v>
          </cell>
          <cell r="B31">
            <v>0.9159722222222223</v>
          </cell>
          <cell r="C31" t="str">
            <v>Mega</v>
          </cell>
          <cell r="M31">
            <v>1400000</v>
          </cell>
          <cell r="N31">
            <v>1771500</v>
          </cell>
        </row>
        <row r="32">
          <cell r="A32" t="str">
            <v>CIRUGIA DE CUERPO Y ALMA (LO M</v>
          </cell>
          <cell r="B32">
            <v>0.91620370370370363</v>
          </cell>
          <cell r="C32" t="str">
            <v>Mega</v>
          </cell>
        </row>
        <row r="33">
          <cell r="A33" t="str">
            <v>CONFIA EN MI</v>
          </cell>
          <cell r="C33" t="str">
            <v>Mega</v>
          </cell>
          <cell r="I33">
            <v>1391200</v>
          </cell>
          <cell r="J33">
            <v>1391200</v>
          </cell>
        </row>
        <row r="34">
          <cell r="A34" t="str">
            <v>DESTILANDO AMOR</v>
          </cell>
          <cell r="B34">
            <v>0.61837962962962967</v>
          </cell>
          <cell r="C34" t="str">
            <v>Mega</v>
          </cell>
          <cell r="D34">
            <v>903700</v>
          </cell>
          <cell r="E34">
            <v>1057200</v>
          </cell>
          <cell r="F34">
            <v>1286300</v>
          </cell>
        </row>
        <row r="35">
          <cell r="A35" t="str">
            <v>E 24</v>
          </cell>
          <cell r="B35">
            <v>0.92986111111111114</v>
          </cell>
          <cell r="C35" t="str">
            <v>Mega</v>
          </cell>
          <cell r="D35">
            <v>1189200</v>
          </cell>
          <cell r="E35">
            <v>1286300</v>
          </cell>
          <cell r="F35">
            <v>1286300</v>
          </cell>
        </row>
        <row r="36">
          <cell r="A36" t="str">
            <v>EL CHAVO ANIMADO</v>
          </cell>
          <cell r="C36" t="str">
            <v>Mega</v>
          </cell>
          <cell r="D36">
            <v>587000</v>
          </cell>
          <cell r="E36">
            <v>634900</v>
          </cell>
          <cell r="F36">
            <v>686700</v>
          </cell>
          <cell r="G36">
            <v>686700</v>
          </cell>
          <cell r="H36">
            <v>634900</v>
          </cell>
          <cell r="I36">
            <v>634900</v>
          </cell>
          <cell r="J36">
            <v>542700</v>
          </cell>
          <cell r="K36">
            <v>638900</v>
          </cell>
          <cell r="L36">
            <v>485500</v>
          </cell>
          <cell r="M36">
            <v>691000</v>
          </cell>
          <cell r="N36">
            <v>808500</v>
          </cell>
        </row>
        <row r="37">
          <cell r="A37" t="str">
            <v>EL CHAVO DEL OCHO</v>
          </cell>
          <cell r="B37">
            <v>0.75444444444444436</v>
          </cell>
          <cell r="C37" t="str">
            <v>Mega</v>
          </cell>
          <cell r="D37">
            <v>446100</v>
          </cell>
          <cell r="E37">
            <v>542700</v>
          </cell>
          <cell r="F37">
            <v>542700</v>
          </cell>
          <cell r="G37">
            <v>634900</v>
          </cell>
          <cell r="H37">
            <v>587000</v>
          </cell>
          <cell r="I37">
            <v>587000</v>
          </cell>
          <cell r="J37">
            <v>542700</v>
          </cell>
          <cell r="K37">
            <v>590700</v>
          </cell>
          <cell r="L37">
            <v>638900</v>
          </cell>
          <cell r="M37">
            <v>638900</v>
          </cell>
          <cell r="N37">
            <v>747400</v>
          </cell>
        </row>
        <row r="38">
          <cell r="A38" t="str">
            <v>ENTRE EL AMOR Y EL ODIO</v>
          </cell>
          <cell r="B38">
            <v>0.71902777777777782</v>
          </cell>
          <cell r="C38" t="str">
            <v>Mega</v>
          </cell>
          <cell r="D38">
            <v>634900</v>
          </cell>
          <cell r="E38">
            <v>772500</v>
          </cell>
          <cell r="F38">
            <v>835500</v>
          </cell>
          <cell r="G38">
            <v>835500</v>
          </cell>
        </row>
        <row r="39">
          <cell r="A39" t="str">
            <v>FORTUNATO LA FAMILIA VALE ORO</v>
          </cell>
          <cell r="C39" t="str">
            <v>Mega</v>
          </cell>
          <cell r="D39">
            <v>2141800</v>
          </cell>
          <cell r="E39">
            <v>1830800</v>
          </cell>
          <cell r="F39">
            <v>1057200</v>
          </cell>
          <cell r="G39">
            <v>835500</v>
          </cell>
          <cell r="H39">
            <v>977400</v>
          </cell>
        </row>
        <row r="40">
          <cell r="A40" t="str">
            <v>FUEGO EN LA SANGRE</v>
          </cell>
          <cell r="C40" t="str">
            <v>Mega</v>
          </cell>
          <cell r="K40">
            <v>747400</v>
          </cell>
          <cell r="L40">
            <v>909400</v>
          </cell>
          <cell r="M40">
            <v>909400</v>
          </cell>
          <cell r="N40">
            <v>909400</v>
          </cell>
        </row>
        <row r="41">
          <cell r="A41" t="str">
            <v>FUTBOL ITALIANO</v>
          </cell>
          <cell r="B41">
            <v>0.60763888888888895</v>
          </cell>
          <cell r="C41" t="str">
            <v>Mega</v>
          </cell>
        </row>
        <row r="42">
          <cell r="A42" t="str">
            <v>GOLPE BAJO</v>
          </cell>
          <cell r="B42">
            <v>0.93125000000000002</v>
          </cell>
          <cell r="C42" t="str">
            <v>Mega</v>
          </cell>
        </row>
        <row r="43">
          <cell r="A43" t="str">
            <v>HEROES</v>
          </cell>
          <cell r="C43" t="str">
            <v>Mega</v>
          </cell>
          <cell r="G43">
            <v>1830800</v>
          </cell>
          <cell r="H43">
            <v>1391200</v>
          </cell>
          <cell r="I43">
            <v>446100</v>
          </cell>
        </row>
        <row r="44">
          <cell r="A44" t="str">
            <v>KOJAC</v>
          </cell>
          <cell r="B44">
            <v>1.0326388888888889</v>
          </cell>
          <cell r="C44" t="str">
            <v>Mega</v>
          </cell>
          <cell r="D44">
            <v>634900</v>
          </cell>
          <cell r="E44">
            <v>634900</v>
          </cell>
          <cell r="F44">
            <v>634900</v>
          </cell>
          <cell r="G44">
            <v>634900</v>
          </cell>
          <cell r="H44">
            <v>634900</v>
          </cell>
          <cell r="I44">
            <v>236300</v>
          </cell>
        </row>
        <row r="45">
          <cell r="A45" t="str">
            <v>KOJAK</v>
          </cell>
          <cell r="C45" t="str">
            <v>Mega</v>
          </cell>
          <cell r="F45">
            <v>634900</v>
          </cell>
          <cell r="G45">
            <v>634900</v>
          </cell>
          <cell r="H45">
            <v>634900</v>
          </cell>
          <cell r="I45">
            <v>236300</v>
          </cell>
        </row>
        <row r="46">
          <cell r="A46" t="str">
            <v>LA LEY DE LA SELVA</v>
          </cell>
          <cell r="B46">
            <v>0.92222222222222217</v>
          </cell>
          <cell r="C46" t="str">
            <v>Mega</v>
          </cell>
          <cell r="D46">
            <v>1286300</v>
          </cell>
          <cell r="E46">
            <v>1504800</v>
          </cell>
          <cell r="F46">
            <v>1504800</v>
          </cell>
          <cell r="G46">
            <v>1504800</v>
          </cell>
          <cell r="H46">
            <v>1286300</v>
          </cell>
          <cell r="J46">
            <v>1189200</v>
          </cell>
          <cell r="K46">
            <v>1294300</v>
          </cell>
          <cell r="L46">
            <v>1400000</v>
          </cell>
          <cell r="M46">
            <v>1400000</v>
          </cell>
          <cell r="N46">
            <v>1637800</v>
          </cell>
        </row>
        <row r="47">
          <cell r="A47" t="str">
            <v>LA LIGA</v>
          </cell>
          <cell r="B47">
            <v>0.93263888888888891</v>
          </cell>
          <cell r="C47" t="str">
            <v>Mega</v>
          </cell>
        </row>
        <row r="48">
          <cell r="A48" t="str">
            <v>LA NANY</v>
          </cell>
          <cell r="B48">
            <v>0.54197916666666668</v>
          </cell>
          <cell r="C48" t="str">
            <v>Mega</v>
          </cell>
        </row>
        <row r="49">
          <cell r="A49" t="str">
            <v>LA VIDA ES UNA LOTERIA</v>
          </cell>
          <cell r="C49" t="str">
            <v>Mega</v>
          </cell>
          <cell r="H49">
            <v>1391200</v>
          </cell>
        </row>
        <row r="50">
          <cell r="A50" t="str">
            <v>MEGA FILMS</v>
          </cell>
          <cell r="B50">
            <v>0.91614583333333333</v>
          </cell>
          <cell r="C50" t="str">
            <v>Mega</v>
          </cell>
          <cell r="D50">
            <v>903700</v>
          </cell>
          <cell r="E50">
            <v>903700</v>
          </cell>
          <cell r="F50">
            <v>903700</v>
          </cell>
          <cell r="G50">
            <v>903700</v>
          </cell>
          <cell r="H50">
            <v>903700</v>
          </cell>
          <cell r="I50">
            <v>903700</v>
          </cell>
          <cell r="M50">
            <v>1400000</v>
          </cell>
        </row>
        <row r="51">
          <cell r="A51" t="str">
            <v>MEGA FILMS JUE</v>
          </cell>
          <cell r="B51">
            <v>0.92083333333333339</v>
          </cell>
          <cell r="C51" t="str">
            <v>Mega</v>
          </cell>
          <cell r="I51">
            <v>1057200</v>
          </cell>
          <cell r="J51">
            <v>977400</v>
          </cell>
        </row>
        <row r="52">
          <cell r="A52" t="str">
            <v>MEGA FILMS LUN</v>
          </cell>
          <cell r="B52">
            <v>0.92083333333333339</v>
          </cell>
          <cell r="C52" t="str">
            <v>Mega</v>
          </cell>
          <cell r="I52">
            <v>903700</v>
          </cell>
          <cell r="J52">
            <v>977400</v>
          </cell>
          <cell r="K52">
            <v>1063800</v>
          </cell>
          <cell r="L52">
            <v>1400000</v>
          </cell>
        </row>
        <row r="53">
          <cell r="A53" t="str">
            <v>MEGA FILMS SEM</v>
          </cell>
          <cell r="C53" t="str">
            <v>Mega</v>
          </cell>
          <cell r="J53">
            <v>587000</v>
          </cell>
          <cell r="K53">
            <v>415000</v>
          </cell>
          <cell r="L53">
            <v>485500</v>
          </cell>
          <cell r="M53">
            <v>485500</v>
          </cell>
          <cell r="N53">
            <v>525200</v>
          </cell>
        </row>
        <row r="54">
          <cell r="A54" t="str">
            <v>MEGAFILMS DOMINGO</v>
          </cell>
          <cell r="B54">
            <v>1.0347222222222221</v>
          </cell>
          <cell r="C54" t="str">
            <v>Mega</v>
          </cell>
          <cell r="F54">
            <v>446100</v>
          </cell>
          <cell r="G54">
            <v>446100</v>
          </cell>
          <cell r="H54">
            <v>446100</v>
          </cell>
          <cell r="I54">
            <v>903700</v>
          </cell>
          <cell r="K54">
            <v>485500</v>
          </cell>
          <cell r="L54">
            <v>525200</v>
          </cell>
        </row>
        <row r="55">
          <cell r="A55" t="str">
            <v>MEGANOTICIAS (DOM)</v>
          </cell>
          <cell r="B55">
            <v>0.88129629629629624</v>
          </cell>
          <cell r="C55" t="str">
            <v>Mega</v>
          </cell>
          <cell r="D55">
            <v>1189200</v>
          </cell>
          <cell r="E55">
            <v>1189200</v>
          </cell>
          <cell r="F55">
            <v>1286300</v>
          </cell>
          <cell r="G55">
            <v>1286300</v>
          </cell>
          <cell r="H55">
            <v>977400</v>
          </cell>
          <cell r="I55">
            <v>977400</v>
          </cell>
          <cell r="J55">
            <v>977400</v>
          </cell>
          <cell r="K55">
            <v>1063800</v>
          </cell>
          <cell r="L55">
            <v>1150700</v>
          </cell>
          <cell r="M55">
            <v>1637800</v>
          </cell>
          <cell r="N55">
            <v>1637800</v>
          </cell>
        </row>
        <row r="56">
          <cell r="A56" t="str">
            <v>MEGANOTICIAS (SAB)</v>
          </cell>
          <cell r="B56">
            <v>0.88129629629629624</v>
          </cell>
          <cell r="C56" t="str">
            <v>Mega</v>
          </cell>
          <cell r="F56">
            <v>1057200</v>
          </cell>
          <cell r="G56">
            <v>1057200</v>
          </cell>
          <cell r="H56">
            <v>977400</v>
          </cell>
          <cell r="I56">
            <v>977400</v>
          </cell>
          <cell r="J56">
            <v>977400</v>
          </cell>
          <cell r="K56">
            <v>1063800</v>
          </cell>
          <cell r="L56">
            <v>1400000</v>
          </cell>
          <cell r="M56">
            <v>1400000</v>
          </cell>
          <cell r="N56">
            <v>1514200</v>
          </cell>
        </row>
        <row r="57">
          <cell r="A57" t="str">
            <v>MEGANOTICIAS (SEM)</v>
          </cell>
          <cell r="B57">
            <v>0.88129629629629624</v>
          </cell>
          <cell r="C57" t="str">
            <v>Mega</v>
          </cell>
          <cell r="F57">
            <v>1189200</v>
          </cell>
          <cell r="G57">
            <v>1286300</v>
          </cell>
          <cell r="H57">
            <v>1189200</v>
          </cell>
          <cell r="I57">
            <v>1189200</v>
          </cell>
          <cell r="J57">
            <v>1391200</v>
          </cell>
          <cell r="K57">
            <v>1637800</v>
          </cell>
          <cell r="L57">
            <v>2072300</v>
          </cell>
          <cell r="M57">
            <v>2072300</v>
          </cell>
          <cell r="N57">
            <v>2331100</v>
          </cell>
        </row>
        <row r="58">
          <cell r="A58" t="str">
            <v>MEGANOTICIAS EDICION MATINAL</v>
          </cell>
          <cell r="B58">
            <v>0.27114583333333336</v>
          </cell>
          <cell r="C58" t="str">
            <v>Mega</v>
          </cell>
          <cell r="D58">
            <v>236300</v>
          </cell>
          <cell r="E58">
            <v>236300</v>
          </cell>
          <cell r="F58">
            <v>236300</v>
          </cell>
          <cell r="G58">
            <v>236300</v>
          </cell>
          <cell r="H58">
            <v>236300</v>
          </cell>
          <cell r="I58">
            <v>236300</v>
          </cell>
          <cell r="J58">
            <v>236300</v>
          </cell>
          <cell r="K58">
            <v>257200</v>
          </cell>
          <cell r="L58">
            <v>257200</v>
          </cell>
          <cell r="M58">
            <v>257200</v>
          </cell>
          <cell r="N58">
            <v>316300</v>
          </cell>
        </row>
        <row r="59">
          <cell r="A59" t="str">
            <v>MEGANOTICIAS EDICION TARDE</v>
          </cell>
          <cell r="B59">
            <v>0.56126157407407407</v>
          </cell>
          <cell r="C59" t="str">
            <v>Mega</v>
          </cell>
          <cell r="D59">
            <v>772500</v>
          </cell>
          <cell r="E59">
            <v>772500</v>
          </cell>
          <cell r="F59">
            <v>772500</v>
          </cell>
          <cell r="G59">
            <v>772500</v>
          </cell>
          <cell r="H59">
            <v>686700</v>
          </cell>
          <cell r="I59">
            <v>686700</v>
          </cell>
          <cell r="J59">
            <v>772500</v>
          </cell>
          <cell r="K59">
            <v>909400</v>
          </cell>
          <cell r="L59">
            <v>983600</v>
          </cell>
          <cell r="M59">
            <v>983600</v>
          </cell>
          <cell r="N59">
            <v>1063800</v>
          </cell>
        </row>
        <row r="60">
          <cell r="A60" t="str">
            <v>MEKANO (10 ANOS)</v>
          </cell>
          <cell r="B60">
            <v>0.75152777777777768</v>
          </cell>
          <cell r="C60" t="str">
            <v>Mega</v>
          </cell>
        </row>
        <row r="61">
          <cell r="A61" t="str">
            <v>MEKANO AKADEMIA</v>
          </cell>
          <cell r="B61">
            <v>0.76211805555555545</v>
          </cell>
          <cell r="C61" t="str">
            <v>Mega</v>
          </cell>
        </row>
        <row r="62">
          <cell r="A62" t="str">
            <v>MIRA QUIEN HABLA</v>
          </cell>
          <cell r="B62">
            <v>0.46260416666666665</v>
          </cell>
          <cell r="C62" t="str">
            <v>Mega</v>
          </cell>
          <cell r="D62">
            <v>313900</v>
          </cell>
          <cell r="E62">
            <v>352500</v>
          </cell>
          <cell r="F62">
            <v>352500</v>
          </cell>
          <cell r="G62">
            <v>352500</v>
          </cell>
          <cell r="H62">
            <v>352500</v>
          </cell>
          <cell r="I62">
            <v>352500</v>
          </cell>
          <cell r="J62">
            <v>352500</v>
          </cell>
          <cell r="K62">
            <v>383700</v>
          </cell>
          <cell r="L62">
            <v>341600</v>
          </cell>
          <cell r="M62">
            <v>341600</v>
          </cell>
          <cell r="N62">
            <v>383700</v>
          </cell>
        </row>
        <row r="63">
          <cell r="A63" t="str">
            <v>MONTECRISTO</v>
          </cell>
          <cell r="B63">
            <v>0.91922453703703699</v>
          </cell>
          <cell r="C63" t="str">
            <v>Mega</v>
          </cell>
        </row>
        <row r="64">
          <cell r="A64" t="str">
            <v>MONTECRISTO (R)</v>
          </cell>
          <cell r="B64">
            <v>0.94930555555555562</v>
          </cell>
          <cell r="C64" t="str">
            <v>Mega</v>
          </cell>
        </row>
        <row r="65">
          <cell r="A65" t="str">
            <v>MORANDE CON COMPANIA</v>
          </cell>
          <cell r="B65">
            <v>1.0169907407407408</v>
          </cell>
          <cell r="C65" t="str">
            <v>Mega</v>
          </cell>
          <cell r="D65">
            <v>634900</v>
          </cell>
          <cell r="E65">
            <v>686700</v>
          </cell>
          <cell r="F65">
            <v>903700</v>
          </cell>
          <cell r="G65">
            <v>1057200</v>
          </cell>
          <cell r="H65">
            <v>1057200</v>
          </cell>
          <cell r="I65">
            <v>903700</v>
          </cell>
          <cell r="J65">
            <v>977400</v>
          </cell>
          <cell r="K65">
            <v>1063800</v>
          </cell>
          <cell r="L65">
            <v>1063800</v>
          </cell>
          <cell r="M65">
            <v>1063800</v>
          </cell>
          <cell r="N65">
            <v>1063800</v>
          </cell>
        </row>
        <row r="66">
          <cell r="A66" t="str">
            <v>MORANDE CON COMPANIA (ESTELAR)</v>
          </cell>
          <cell r="C66" t="str">
            <v>Mega</v>
          </cell>
          <cell r="K66">
            <v>1637800</v>
          </cell>
          <cell r="L66">
            <v>1637800</v>
          </cell>
          <cell r="M66">
            <v>1771500</v>
          </cell>
          <cell r="N66">
            <v>1063800</v>
          </cell>
        </row>
        <row r="67">
          <cell r="A67" t="str">
            <v>MORANDE CON COMPANIA EL SHOW</v>
          </cell>
          <cell r="C67" t="str">
            <v>Mega</v>
          </cell>
          <cell r="D67">
            <v>1830800</v>
          </cell>
          <cell r="E67">
            <v>1830800</v>
          </cell>
          <cell r="F67">
            <v>1627600</v>
          </cell>
          <cell r="G67">
            <v>1980200</v>
          </cell>
          <cell r="H67">
            <v>1980200</v>
          </cell>
        </row>
        <row r="68">
          <cell r="A68" t="str">
            <v>MUCHO GUSTO</v>
          </cell>
          <cell r="B68">
            <v>0.39650462962962968</v>
          </cell>
          <cell r="C68" t="str">
            <v>Mega</v>
          </cell>
          <cell r="D68">
            <v>352500</v>
          </cell>
          <cell r="E68">
            <v>352500</v>
          </cell>
          <cell r="F68">
            <v>381300</v>
          </cell>
          <cell r="G68">
            <v>381300</v>
          </cell>
          <cell r="H68">
            <v>352500</v>
          </cell>
          <cell r="I68">
            <v>352500</v>
          </cell>
          <cell r="J68">
            <v>352500</v>
          </cell>
          <cell r="K68">
            <v>448900</v>
          </cell>
          <cell r="L68">
            <v>415000</v>
          </cell>
          <cell r="M68">
            <v>415000</v>
          </cell>
          <cell r="N68">
            <v>383700</v>
          </cell>
        </row>
        <row r="69">
          <cell r="A69" t="str">
            <v>MUJER</v>
          </cell>
          <cell r="B69">
            <v>0.63541666666666663</v>
          </cell>
          <cell r="C69" t="str">
            <v>Mega</v>
          </cell>
          <cell r="D69">
            <v>634900</v>
          </cell>
          <cell r="E69">
            <v>772500</v>
          </cell>
        </row>
        <row r="70">
          <cell r="A70" t="str">
            <v>MUJER ROMPE EL SILENCIO</v>
          </cell>
          <cell r="B70">
            <v>0.93263888888888891</v>
          </cell>
          <cell r="C70" t="str">
            <v>Mega</v>
          </cell>
        </row>
        <row r="71">
          <cell r="A71" t="str">
            <v>MUJERES DE BLANCO</v>
          </cell>
          <cell r="B71">
            <v>1.0340277777777778</v>
          </cell>
          <cell r="C71" t="str">
            <v>Mega</v>
          </cell>
          <cell r="D71">
            <v>446100</v>
          </cell>
          <cell r="E71">
            <v>446100</v>
          </cell>
          <cell r="F71">
            <v>446100</v>
          </cell>
        </row>
        <row r="72">
          <cell r="A72" t="str">
            <v>MUNDO DE FIERAS</v>
          </cell>
          <cell r="B72">
            <v>0.5846527777777778</v>
          </cell>
          <cell r="C72" t="str">
            <v>Mega</v>
          </cell>
        </row>
        <row r="73">
          <cell r="A73" t="str">
            <v>NASH BRIDGEST</v>
          </cell>
          <cell r="B73">
            <v>1.08125</v>
          </cell>
          <cell r="C73" t="str">
            <v>Mega</v>
          </cell>
        </row>
        <row r="74">
          <cell r="A74" t="str">
            <v>PASION</v>
          </cell>
          <cell r="C74" t="str">
            <v>Mega</v>
          </cell>
          <cell r="G74">
            <v>977400</v>
          </cell>
          <cell r="H74">
            <v>903700</v>
          </cell>
          <cell r="I74">
            <v>542700</v>
          </cell>
        </row>
        <row r="75">
          <cell r="A75" t="str">
            <v>PASION</v>
          </cell>
          <cell r="C75" t="str">
            <v>Mega</v>
          </cell>
          <cell r="I75">
            <v>542700</v>
          </cell>
        </row>
        <row r="76">
          <cell r="A76" t="str">
            <v>PASION DE PRIMERA</v>
          </cell>
          <cell r="B76">
            <v>0.90347222222222223</v>
          </cell>
          <cell r="C76" t="str">
            <v>Mega</v>
          </cell>
        </row>
        <row r="77">
          <cell r="A77" t="str">
            <v>PRISION BREAK</v>
          </cell>
          <cell r="C77" t="str">
            <v>Mega</v>
          </cell>
          <cell r="J77">
            <v>977400</v>
          </cell>
          <cell r="K77">
            <v>1771500</v>
          </cell>
          <cell r="L77">
            <v>2331100</v>
          </cell>
          <cell r="M77">
            <v>2331100</v>
          </cell>
          <cell r="N77">
            <v>2521300</v>
          </cell>
        </row>
        <row r="78">
          <cell r="A78" t="str">
            <v>PRISION BREAK (R)</v>
          </cell>
          <cell r="C78" t="str">
            <v>Mega</v>
          </cell>
          <cell r="J78">
            <v>236300</v>
          </cell>
          <cell r="K78">
            <v>257200</v>
          </cell>
          <cell r="L78">
            <v>257200</v>
          </cell>
        </row>
        <row r="79">
          <cell r="A79" t="str">
            <v>REBELDE</v>
          </cell>
          <cell r="B79">
            <v>0.7310416666666667</v>
          </cell>
          <cell r="C79" t="str">
            <v>Mega</v>
          </cell>
        </row>
        <row r="80">
          <cell r="A80" t="str">
            <v>RIPLEY AUNQUE USTED NO LO CREA</v>
          </cell>
          <cell r="C80" t="str">
            <v>Mega</v>
          </cell>
          <cell r="I80">
            <v>1286300</v>
          </cell>
        </row>
        <row r="81">
          <cell r="A81" t="str">
            <v>SABADO POR LA NOCHE</v>
          </cell>
          <cell r="B81">
            <v>0.98819444444444438</v>
          </cell>
          <cell r="C81" t="str">
            <v>Mega</v>
          </cell>
          <cell r="D81">
            <v>686700</v>
          </cell>
          <cell r="E81">
            <v>772500</v>
          </cell>
          <cell r="F81">
            <v>835500</v>
          </cell>
          <cell r="G81">
            <v>903700</v>
          </cell>
          <cell r="H81">
            <v>903700</v>
          </cell>
          <cell r="I81">
            <v>903700</v>
          </cell>
          <cell r="J81">
            <v>977400</v>
          </cell>
          <cell r="K81">
            <v>1063800</v>
          </cell>
          <cell r="L81">
            <v>983600</v>
          </cell>
          <cell r="M81">
            <v>983600</v>
          </cell>
          <cell r="N81">
            <v>1063800</v>
          </cell>
        </row>
        <row r="82">
          <cell r="A82" t="str">
            <v>SABES MAS QUE UN NINO DE 5TO B</v>
          </cell>
          <cell r="C82" t="str">
            <v>Mega</v>
          </cell>
          <cell r="K82">
            <v>2331100</v>
          </cell>
          <cell r="L82">
            <v>2949600</v>
          </cell>
          <cell r="M82">
            <v>3190300</v>
          </cell>
          <cell r="N82">
            <v>3190300</v>
          </cell>
        </row>
        <row r="83">
          <cell r="A83" t="str">
            <v>SALOME</v>
          </cell>
          <cell r="B83">
            <v>0.66391203703703705</v>
          </cell>
          <cell r="C83" t="str">
            <v>Mega</v>
          </cell>
        </row>
        <row r="84">
          <cell r="A84" t="str">
            <v>SOLO PARA REIR</v>
          </cell>
          <cell r="B84">
            <v>0.92083333333333339</v>
          </cell>
          <cell r="C84" t="str">
            <v>Mega</v>
          </cell>
          <cell r="I84">
            <v>1391200</v>
          </cell>
          <cell r="J84">
            <v>1504800</v>
          </cell>
        </row>
        <row r="85">
          <cell r="A85" t="str">
            <v>SONAR NO CUESTA NADA</v>
          </cell>
          <cell r="B85">
            <v>0.61837962962962967</v>
          </cell>
          <cell r="C85" t="str">
            <v>Mega</v>
          </cell>
        </row>
        <row r="86">
          <cell r="A86" t="str">
            <v>TARDE DE REPORTAJES</v>
          </cell>
          <cell r="C86" t="str">
            <v>Mega</v>
          </cell>
          <cell r="D86">
            <v>772500</v>
          </cell>
          <cell r="E86">
            <v>772500</v>
          </cell>
          <cell r="G86">
            <v>835500</v>
          </cell>
          <cell r="I86">
            <v>634900</v>
          </cell>
        </row>
        <row r="87">
          <cell r="A87" t="str">
            <v>TRES SON MULTITUD</v>
          </cell>
          <cell r="C87" t="str">
            <v>Mega</v>
          </cell>
          <cell r="L87">
            <v>747400</v>
          </cell>
          <cell r="M87">
            <v>747400</v>
          </cell>
        </row>
        <row r="88">
          <cell r="A88" t="str">
            <v>TRES SON MULTITUD 2</v>
          </cell>
          <cell r="B88">
            <v>0.81423611111111116</v>
          </cell>
          <cell r="C88" t="str">
            <v>Mega</v>
          </cell>
          <cell r="D88">
            <v>903700</v>
          </cell>
          <cell r="E88">
            <v>835500</v>
          </cell>
          <cell r="F88">
            <v>772500</v>
          </cell>
          <cell r="G88">
            <v>772500</v>
          </cell>
          <cell r="H88">
            <v>634900</v>
          </cell>
          <cell r="I88">
            <v>634900</v>
          </cell>
        </row>
        <row r="89">
          <cell r="A89" t="str">
            <v>TRES SON MULTITUD 2 (R)</v>
          </cell>
          <cell r="B89">
            <v>1.0504629629629629</v>
          </cell>
          <cell r="C89" t="str">
            <v>Mega</v>
          </cell>
          <cell r="D89">
            <v>501800</v>
          </cell>
          <cell r="E89">
            <v>501800</v>
          </cell>
          <cell r="F89">
            <v>501800</v>
          </cell>
          <cell r="G89">
            <v>542700</v>
          </cell>
          <cell r="H89">
            <v>542700</v>
          </cell>
          <cell r="I89">
            <v>587000</v>
          </cell>
          <cell r="J89">
            <v>587000</v>
          </cell>
        </row>
        <row r="90">
          <cell r="A90" t="str">
            <v>TRES SON MULTITUD 2 (R)</v>
          </cell>
          <cell r="C90" t="str">
            <v>Mega</v>
          </cell>
          <cell r="G90">
            <v>542700</v>
          </cell>
        </row>
        <row r="91">
          <cell r="A91" t="str">
            <v>VEREDICTO</v>
          </cell>
          <cell r="B91">
            <v>0.58930555555555553</v>
          </cell>
          <cell r="C91" t="str">
            <v>Mega</v>
          </cell>
          <cell r="D91">
            <v>446100</v>
          </cell>
          <cell r="E91">
            <v>501800</v>
          </cell>
          <cell r="F91">
            <v>501800</v>
          </cell>
          <cell r="G91">
            <v>542700</v>
          </cell>
          <cell r="H91">
            <v>542700</v>
          </cell>
          <cell r="I91">
            <v>501800</v>
          </cell>
          <cell r="J91">
            <v>501800</v>
          </cell>
          <cell r="K91">
            <v>590700</v>
          </cell>
          <cell r="L91">
            <v>638900</v>
          </cell>
          <cell r="M91">
            <v>638900</v>
          </cell>
          <cell r="N91">
            <v>638900</v>
          </cell>
        </row>
        <row r="92">
          <cell r="A92">
            <v>4400</v>
          </cell>
          <cell r="B92">
            <v>1.070138888888889</v>
          </cell>
          <cell r="C92" t="str">
            <v>TNac</v>
          </cell>
          <cell r="D92">
            <v>500000</v>
          </cell>
          <cell r="E92">
            <v>500000</v>
          </cell>
          <cell r="F92">
            <v>500000</v>
          </cell>
          <cell r="G92">
            <v>450000</v>
          </cell>
        </row>
        <row r="93">
          <cell r="A93" t="str">
            <v>16 (R)</v>
          </cell>
          <cell r="C93" t="str">
            <v>TNac</v>
          </cell>
          <cell r="G93">
            <v>600000</v>
          </cell>
          <cell r="H93">
            <v>550000</v>
          </cell>
          <cell r="I93">
            <v>550000</v>
          </cell>
        </row>
        <row r="94">
          <cell r="A94" t="str">
            <v>24 HORAS AL DIA (DOM)</v>
          </cell>
          <cell r="B94">
            <v>0.56906250000000003</v>
          </cell>
          <cell r="C94" t="str">
            <v>TNac</v>
          </cell>
          <cell r="D94">
            <v>500000</v>
          </cell>
          <cell r="E94">
            <v>500000</v>
          </cell>
          <cell r="F94">
            <v>800000</v>
          </cell>
          <cell r="G94">
            <v>800000</v>
          </cell>
          <cell r="H94">
            <v>700000</v>
          </cell>
          <cell r="I94">
            <v>700000</v>
          </cell>
          <cell r="J94">
            <v>600000</v>
          </cell>
          <cell r="K94">
            <v>700000</v>
          </cell>
          <cell r="L94">
            <v>700000</v>
          </cell>
          <cell r="M94">
            <v>700000</v>
          </cell>
          <cell r="N94">
            <v>600000</v>
          </cell>
        </row>
        <row r="95">
          <cell r="A95" t="str">
            <v>24 HORAS AL DIA (SAB)</v>
          </cell>
          <cell r="B95">
            <v>0.56906250000000003</v>
          </cell>
          <cell r="C95" t="str">
            <v>TNac</v>
          </cell>
          <cell r="F95">
            <v>500000</v>
          </cell>
          <cell r="G95">
            <v>500000</v>
          </cell>
          <cell r="H95">
            <v>500000</v>
          </cell>
          <cell r="I95">
            <v>500000</v>
          </cell>
          <cell r="J95">
            <v>500000</v>
          </cell>
          <cell r="K95">
            <v>600000</v>
          </cell>
          <cell r="L95">
            <v>500000</v>
          </cell>
          <cell r="M95">
            <v>500000</v>
          </cell>
          <cell r="N95">
            <v>500000</v>
          </cell>
        </row>
        <row r="96">
          <cell r="A96" t="str">
            <v>24 HORAS AL DIA (SEM)</v>
          </cell>
          <cell r="B96">
            <v>0.56906250000000003</v>
          </cell>
          <cell r="C96" t="str">
            <v>TNac</v>
          </cell>
          <cell r="F96">
            <v>550000</v>
          </cell>
          <cell r="G96">
            <v>550000</v>
          </cell>
          <cell r="H96">
            <v>550000</v>
          </cell>
          <cell r="I96">
            <v>550000</v>
          </cell>
          <cell r="J96">
            <v>450000</v>
          </cell>
          <cell r="K96">
            <v>500000</v>
          </cell>
          <cell r="L96">
            <v>500000</v>
          </cell>
          <cell r="M96">
            <v>500000</v>
          </cell>
          <cell r="N96">
            <v>500000</v>
          </cell>
        </row>
        <row r="97">
          <cell r="A97" t="str">
            <v>24 HORAS CENTRAL (SAB)</v>
          </cell>
          <cell r="B97">
            <v>0.875</v>
          </cell>
          <cell r="C97" t="str">
            <v>TNac</v>
          </cell>
          <cell r="D97">
            <v>2300000</v>
          </cell>
          <cell r="E97">
            <v>2600000</v>
          </cell>
          <cell r="F97">
            <v>1500000</v>
          </cell>
          <cell r="G97">
            <v>1450000</v>
          </cell>
          <cell r="H97">
            <v>1450000</v>
          </cell>
          <cell r="I97">
            <v>1200000</v>
          </cell>
          <cell r="J97">
            <v>1450000</v>
          </cell>
          <cell r="K97">
            <v>1500000</v>
          </cell>
          <cell r="L97">
            <v>1500000</v>
          </cell>
          <cell r="M97">
            <v>1500000</v>
          </cell>
          <cell r="N97">
            <v>1500000</v>
          </cell>
        </row>
        <row r="98">
          <cell r="A98" t="str">
            <v>24 HORAS CENTRAL (SEM)</v>
          </cell>
          <cell r="B98">
            <v>0.87557870370370372</v>
          </cell>
          <cell r="C98" t="str">
            <v>TNac</v>
          </cell>
          <cell r="D98">
            <v>2300000</v>
          </cell>
          <cell r="E98">
            <v>2600000</v>
          </cell>
          <cell r="F98">
            <v>2750000</v>
          </cell>
          <cell r="G98">
            <v>2650000</v>
          </cell>
          <cell r="H98">
            <v>2300000</v>
          </cell>
          <cell r="I98">
            <v>2050000</v>
          </cell>
          <cell r="J98">
            <v>2500000</v>
          </cell>
          <cell r="K98">
            <v>2600000</v>
          </cell>
          <cell r="L98">
            <v>2550000</v>
          </cell>
          <cell r="M98">
            <v>2550000</v>
          </cell>
          <cell r="N98">
            <v>2450000</v>
          </cell>
        </row>
        <row r="99">
          <cell r="A99" t="str">
            <v>24 HORAS DOMINGO</v>
          </cell>
          <cell r="B99">
            <v>0.87482638888888886</v>
          </cell>
          <cell r="C99" t="str">
            <v>TNac</v>
          </cell>
          <cell r="D99">
            <v>2100000</v>
          </cell>
          <cell r="E99">
            <v>2100000</v>
          </cell>
          <cell r="F99">
            <v>2300000</v>
          </cell>
          <cell r="G99">
            <v>2200000</v>
          </cell>
          <cell r="H99">
            <v>2000000</v>
          </cell>
          <cell r="I99">
            <v>1900000</v>
          </cell>
          <cell r="J99">
            <v>2100000</v>
          </cell>
          <cell r="K99">
            <v>2200000</v>
          </cell>
          <cell r="L99">
            <v>2100000</v>
          </cell>
          <cell r="M99">
            <v>2300000</v>
          </cell>
          <cell r="N99">
            <v>2200000</v>
          </cell>
        </row>
        <row r="100">
          <cell r="A100" t="str">
            <v>24 HORAS EN LA MANANA</v>
          </cell>
          <cell r="B100">
            <v>0.27098379629629626</v>
          </cell>
          <cell r="C100" t="str">
            <v>TNac</v>
          </cell>
          <cell r="D100">
            <v>450000</v>
          </cell>
          <cell r="E100">
            <v>500000</v>
          </cell>
          <cell r="F100">
            <v>500000</v>
          </cell>
          <cell r="G100">
            <v>450000</v>
          </cell>
          <cell r="H100">
            <v>450000</v>
          </cell>
          <cell r="I100">
            <v>450000</v>
          </cell>
          <cell r="J100">
            <v>500000</v>
          </cell>
          <cell r="K100">
            <v>500000</v>
          </cell>
          <cell r="L100">
            <v>450000</v>
          </cell>
          <cell r="M100">
            <v>450000</v>
          </cell>
          <cell r="N100">
            <v>450000</v>
          </cell>
        </row>
        <row r="101">
          <cell r="A101" t="str">
            <v>31 MINUTOS</v>
          </cell>
          <cell r="B101">
            <v>0.52208333333333334</v>
          </cell>
          <cell r="C101" t="str">
            <v>TNac</v>
          </cell>
          <cell r="D101">
            <v>140000</v>
          </cell>
          <cell r="E101">
            <v>140000</v>
          </cell>
          <cell r="F101">
            <v>200000</v>
          </cell>
          <cell r="G101">
            <v>220000</v>
          </cell>
          <cell r="H101">
            <v>170000</v>
          </cell>
        </row>
        <row r="102">
          <cell r="A102" t="str">
            <v>360 VENTANA AL MUNDO</v>
          </cell>
          <cell r="C102" t="str">
            <v>TNac</v>
          </cell>
          <cell r="J102">
            <v>2000000</v>
          </cell>
          <cell r="K102">
            <v>2000000</v>
          </cell>
        </row>
        <row r="103">
          <cell r="A103" t="str">
            <v>4400 (R)</v>
          </cell>
          <cell r="B103">
            <v>1.04375</v>
          </cell>
          <cell r="C103" t="str">
            <v>TNac</v>
          </cell>
          <cell r="D103">
            <v>500000</v>
          </cell>
          <cell r="E103">
            <v>500000</v>
          </cell>
          <cell r="F103">
            <v>500000</v>
          </cell>
          <cell r="G103">
            <v>450000</v>
          </cell>
        </row>
        <row r="104">
          <cell r="A104" t="str">
            <v>ABRE LOS OJOS</v>
          </cell>
          <cell r="B104">
            <v>0.9862847222222223</v>
          </cell>
          <cell r="C104" t="str">
            <v>TNac</v>
          </cell>
          <cell r="E104">
            <v>2200000</v>
          </cell>
          <cell r="F104">
            <v>1700000</v>
          </cell>
          <cell r="G104">
            <v>1900000</v>
          </cell>
          <cell r="H104">
            <v>2100000</v>
          </cell>
          <cell r="I104">
            <v>2100000</v>
          </cell>
        </row>
        <row r="105">
          <cell r="A105" t="str">
            <v>ABRE LOS OJOS / DR. HOUSE</v>
          </cell>
          <cell r="B105">
            <v>1.0069444444444444</v>
          </cell>
          <cell r="C105" t="str">
            <v>TNac</v>
          </cell>
          <cell r="D105">
            <v>1000000</v>
          </cell>
          <cell r="E105">
            <v>1000000</v>
          </cell>
          <cell r="F105">
            <v>1400000</v>
          </cell>
          <cell r="G105">
            <v>1300000</v>
          </cell>
          <cell r="H105">
            <v>1500000</v>
          </cell>
          <cell r="I105">
            <v>1700000</v>
          </cell>
          <cell r="J105">
            <v>1600000</v>
          </cell>
        </row>
        <row r="106">
          <cell r="A106" t="str">
            <v>ALGUIEN TE MIRA</v>
          </cell>
          <cell r="B106">
            <v>0.91652777777777772</v>
          </cell>
          <cell r="C106" t="str">
            <v>TNac</v>
          </cell>
        </row>
        <row r="107">
          <cell r="A107" t="str">
            <v>ALGUIEN TE MIRA (LO MEJOR)</v>
          </cell>
          <cell r="B107">
            <v>0.91805555555555562</v>
          </cell>
          <cell r="C107" t="str">
            <v>TNac</v>
          </cell>
        </row>
        <row r="108">
          <cell r="A108" t="str">
            <v>ALGUIEN TE MIRA (R)</v>
          </cell>
          <cell r="B108">
            <v>1.0519444444444443</v>
          </cell>
          <cell r="C108" t="str">
            <v>TNac</v>
          </cell>
        </row>
        <row r="109">
          <cell r="A109" t="str">
            <v>AMOR COMPRADO</v>
          </cell>
          <cell r="C109" t="str">
            <v>TNac</v>
          </cell>
          <cell r="M109">
            <v>400000</v>
          </cell>
          <cell r="N109">
            <v>350000</v>
          </cell>
        </row>
        <row r="110">
          <cell r="A110" t="str">
            <v>AMOR POR ACCIDENTE</v>
          </cell>
          <cell r="C110" t="str">
            <v>TNac</v>
          </cell>
          <cell r="D110">
            <v>2300000</v>
          </cell>
          <cell r="E110">
            <v>1900000</v>
          </cell>
          <cell r="F110">
            <v>1700000</v>
          </cell>
          <cell r="G110">
            <v>1600000</v>
          </cell>
        </row>
        <row r="111">
          <cell r="A111" t="str">
            <v>AMOR POR ACCIDENTE (RESUMEN)</v>
          </cell>
          <cell r="C111" t="str">
            <v>TNac</v>
          </cell>
          <cell r="D111">
            <v>700000</v>
          </cell>
          <cell r="E111">
            <v>700000</v>
          </cell>
          <cell r="F111">
            <v>700000</v>
          </cell>
          <cell r="G111">
            <v>700000</v>
          </cell>
        </row>
        <row r="112">
          <cell r="A112" t="str">
            <v>AMORES DE MERCADO (R)</v>
          </cell>
          <cell r="C112" t="str">
            <v>TNac</v>
          </cell>
          <cell r="I112">
            <v>450000</v>
          </cell>
          <cell r="J112">
            <v>450000</v>
          </cell>
          <cell r="K112">
            <v>450000</v>
          </cell>
          <cell r="L112">
            <v>400000</v>
          </cell>
          <cell r="M112">
            <v>400000</v>
          </cell>
          <cell r="N112">
            <v>350000</v>
          </cell>
        </row>
        <row r="113">
          <cell r="A113" t="str">
            <v>ANIMAL NOCTURNO</v>
          </cell>
          <cell r="B113">
            <v>0.9159722222222223</v>
          </cell>
          <cell r="C113" t="str">
            <v>TNac</v>
          </cell>
          <cell r="L113">
            <v>2500000</v>
          </cell>
          <cell r="M113">
            <v>2500000</v>
          </cell>
          <cell r="N113">
            <v>2500000</v>
          </cell>
        </row>
        <row r="114">
          <cell r="A114" t="str">
            <v>BATMAN</v>
          </cell>
          <cell r="B114">
            <v>0.41041666666666665</v>
          </cell>
          <cell r="C114" t="str">
            <v>TNac</v>
          </cell>
          <cell r="D114">
            <v>140000</v>
          </cell>
          <cell r="E114">
            <v>140000</v>
          </cell>
          <cell r="F114">
            <v>200000</v>
          </cell>
          <cell r="G114">
            <v>220000</v>
          </cell>
          <cell r="H114">
            <v>170000</v>
          </cell>
          <cell r="I114">
            <v>150000</v>
          </cell>
          <cell r="J114">
            <v>170000</v>
          </cell>
          <cell r="K114">
            <v>170000</v>
          </cell>
          <cell r="L114">
            <v>180000</v>
          </cell>
          <cell r="M114">
            <v>200000</v>
          </cell>
          <cell r="N114">
            <v>200000</v>
          </cell>
        </row>
        <row r="115">
          <cell r="A115" t="str">
            <v>BERNARD</v>
          </cell>
          <cell r="B115">
            <v>0.3923611111111111</v>
          </cell>
          <cell r="C115" t="str">
            <v>TNac</v>
          </cell>
          <cell r="D115">
            <v>140000</v>
          </cell>
          <cell r="E115">
            <v>140000</v>
          </cell>
          <cell r="F115">
            <v>200000</v>
          </cell>
          <cell r="G115">
            <v>220000</v>
          </cell>
          <cell r="H115">
            <v>170000</v>
          </cell>
          <cell r="I115">
            <v>150000</v>
          </cell>
          <cell r="J115">
            <v>170000</v>
          </cell>
          <cell r="K115">
            <v>170000</v>
          </cell>
          <cell r="L115">
            <v>180000</v>
          </cell>
          <cell r="M115">
            <v>200000</v>
          </cell>
          <cell r="N115">
            <v>200000</v>
          </cell>
        </row>
        <row r="116">
          <cell r="A116" t="str">
            <v>BEST SELLER</v>
          </cell>
          <cell r="B116">
            <v>0.9159722222222223</v>
          </cell>
          <cell r="C116" t="str">
            <v>TNac</v>
          </cell>
          <cell r="D116">
            <v>1400000</v>
          </cell>
          <cell r="E116">
            <v>1400000</v>
          </cell>
          <cell r="F116">
            <v>1400000</v>
          </cell>
          <cell r="G116">
            <v>1300000</v>
          </cell>
          <cell r="H116">
            <v>1300000</v>
          </cell>
          <cell r="I116">
            <v>1600000</v>
          </cell>
          <cell r="J116">
            <v>1600000</v>
          </cell>
          <cell r="K116">
            <v>1800000</v>
          </cell>
          <cell r="L116">
            <v>1800000</v>
          </cell>
          <cell r="M116">
            <v>1600000</v>
          </cell>
          <cell r="N116">
            <v>1600000</v>
          </cell>
        </row>
        <row r="117">
          <cell r="A117" t="str">
            <v>BETTY ATOMICA</v>
          </cell>
          <cell r="B117">
            <v>0.50583333333333336</v>
          </cell>
          <cell r="C117" t="str">
            <v>TNac</v>
          </cell>
          <cell r="D117">
            <v>140000</v>
          </cell>
          <cell r="E117">
            <v>140000</v>
          </cell>
          <cell r="F117">
            <v>200000</v>
          </cell>
          <cell r="G117">
            <v>220000</v>
          </cell>
          <cell r="H117">
            <v>170000</v>
          </cell>
          <cell r="I117">
            <v>150000</v>
          </cell>
          <cell r="J117">
            <v>170000</v>
          </cell>
          <cell r="K117">
            <v>170000</v>
          </cell>
          <cell r="L117">
            <v>180000</v>
          </cell>
          <cell r="M117">
            <v>200000</v>
          </cell>
          <cell r="N117">
            <v>200000</v>
          </cell>
        </row>
        <row r="118">
          <cell r="A118" t="str">
            <v>BUENOS DIAS A TODOS</v>
          </cell>
          <cell r="B118">
            <v>0.39960648148148148</v>
          </cell>
          <cell r="C118" t="str">
            <v>TNac</v>
          </cell>
          <cell r="D118">
            <v>650000</v>
          </cell>
          <cell r="E118">
            <v>700000</v>
          </cell>
        </row>
        <row r="119">
          <cell r="A119" t="str">
            <v>BUENOS DIAS A TODOS (D)</v>
          </cell>
          <cell r="C119" t="str">
            <v>TNac</v>
          </cell>
          <cell r="D119">
            <v>500000</v>
          </cell>
          <cell r="E119">
            <v>550000</v>
          </cell>
          <cell r="F119">
            <v>550000</v>
          </cell>
          <cell r="G119">
            <v>500000</v>
          </cell>
          <cell r="H119">
            <v>450000</v>
          </cell>
          <cell r="I119">
            <v>450000</v>
          </cell>
          <cell r="J119">
            <v>500000</v>
          </cell>
          <cell r="K119">
            <v>500000</v>
          </cell>
          <cell r="L119">
            <v>450000</v>
          </cell>
          <cell r="M119">
            <v>450000</v>
          </cell>
          <cell r="N119">
            <v>450000</v>
          </cell>
        </row>
        <row r="120">
          <cell r="A120" t="str">
            <v>BUENOS DIAS A TODOS '©</v>
          </cell>
          <cell r="C120" t="str">
            <v>TNac</v>
          </cell>
          <cell r="D120">
            <v>600000</v>
          </cell>
          <cell r="E120">
            <v>650000</v>
          </cell>
          <cell r="F120">
            <v>650000</v>
          </cell>
          <cell r="G120">
            <v>600000</v>
          </cell>
          <cell r="H120">
            <v>550000</v>
          </cell>
          <cell r="I120">
            <v>550000</v>
          </cell>
          <cell r="J120">
            <v>600000</v>
          </cell>
          <cell r="K120">
            <v>700000</v>
          </cell>
          <cell r="L120">
            <v>600000</v>
          </cell>
          <cell r="M120">
            <v>600000</v>
          </cell>
          <cell r="N120">
            <v>600000</v>
          </cell>
        </row>
        <row r="121">
          <cell r="A121" t="str">
            <v>BUENOS DIAS A TODOS(A)</v>
          </cell>
          <cell r="C121" t="str">
            <v>TNac</v>
          </cell>
          <cell r="D121">
            <v>650000</v>
          </cell>
          <cell r="E121">
            <v>700000</v>
          </cell>
          <cell r="F121">
            <v>700000</v>
          </cell>
          <cell r="G121">
            <v>700000</v>
          </cell>
          <cell r="H121">
            <v>600000</v>
          </cell>
          <cell r="I121">
            <v>600000</v>
          </cell>
          <cell r="J121">
            <v>700000</v>
          </cell>
          <cell r="K121">
            <v>700000</v>
          </cell>
          <cell r="L121">
            <v>650000</v>
          </cell>
          <cell r="M121">
            <v>650000</v>
          </cell>
          <cell r="N121">
            <v>650000</v>
          </cell>
        </row>
        <row r="122">
          <cell r="A122" t="str">
            <v>CALIFORNICATION</v>
          </cell>
          <cell r="C122" t="str">
            <v>TNac</v>
          </cell>
          <cell r="L122">
            <v>1400000</v>
          </cell>
          <cell r="M122">
            <v>1600000</v>
          </cell>
        </row>
        <row r="123">
          <cell r="A123" t="str">
            <v>CARCEL DE MUJERES</v>
          </cell>
          <cell r="B123">
            <v>0.95625000000000004</v>
          </cell>
          <cell r="C123" t="str">
            <v>TNac</v>
          </cell>
          <cell r="D123">
            <v>2500000</v>
          </cell>
          <cell r="E123">
            <v>2500000</v>
          </cell>
        </row>
        <row r="124">
          <cell r="A124" t="str">
            <v>CINE CHILENO</v>
          </cell>
          <cell r="B124">
            <v>0.94861111111111107</v>
          </cell>
          <cell r="C124" t="str">
            <v>TNac</v>
          </cell>
          <cell r="D124">
            <v>1000000</v>
          </cell>
          <cell r="E124">
            <v>400000</v>
          </cell>
          <cell r="G124">
            <v>1000000</v>
          </cell>
        </row>
        <row r="125">
          <cell r="A125" t="str">
            <v>CINE ESPECIAL</v>
          </cell>
          <cell r="B125">
            <v>0.94652777777777775</v>
          </cell>
          <cell r="C125" t="str">
            <v>TNac</v>
          </cell>
        </row>
        <row r="126">
          <cell r="A126" t="str">
            <v>CINE FAMILIAR (TVN)</v>
          </cell>
          <cell r="C126" t="str">
            <v>TNac</v>
          </cell>
          <cell r="H126">
            <v>700000</v>
          </cell>
          <cell r="I126">
            <v>700000</v>
          </cell>
          <cell r="J126">
            <v>600000</v>
          </cell>
          <cell r="K126">
            <v>600000</v>
          </cell>
          <cell r="L126">
            <v>600000</v>
          </cell>
        </row>
        <row r="127">
          <cell r="A127" t="str">
            <v>CINE NOCTURNO (TVN)</v>
          </cell>
          <cell r="C127" t="str">
            <v>TNac</v>
          </cell>
          <cell r="G127">
            <v>500000</v>
          </cell>
          <cell r="H127">
            <v>500000</v>
          </cell>
          <cell r="I127">
            <v>500000</v>
          </cell>
          <cell r="J127">
            <v>500000</v>
          </cell>
          <cell r="K127">
            <v>500000</v>
          </cell>
          <cell r="L127">
            <v>400000</v>
          </cell>
          <cell r="M127">
            <v>400000</v>
          </cell>
          <cell r="N127">
            <v>350000</v>
          </cell>
        </row>
        <row r="128">
          <cell r="A128" t="str">
            <v>CINE TOTAL</v>
          </cell>
          <cell r="C128" t="str">
            <v>TNac</v>
          </cell>
          <cell r="K128">
            <v>1400000</v>
          </cell>
          <cell r="L128">
            <v>1200000</v>
          </cell>
          <cell r="M128">
            <v>1100000</v>
          </cell>
          <cell r="N128">
            <v>1100000</v>
          </cell>
        </row>
        <row r="129">
          <cell r="A129" t="str">
            <v>COLD CASE-CASO CERRADO</v>
          </cell>
          <cell r="B129">
            <v>1.0104166666666667</v>
          </cell>
          <cell r="C129" t="str">
            <v>TNac</v>
          </cell>
          <cell r="D129">
            <v>600000</v>
          </cell>
          <cell r="E129">
            <v>600000</v>
          </cell>
          <cell r="F129">
            <v>500000</v>
          </cell>
          <cell r="G129">
            <v>450000</v>
          </cell>
        </row>
        <row r="130">
          <cell r="A130" t="str">
            <v>COLD CASE-CASO CERRADO (R)</v>
          </cell>
          <cell r="B130">
            <v>1.0444444444444445</v>
          </cell>
          <cell r="C130" t="str">
            <v>TNac</v>
          </cell>
          <cell r="D130">
            <v>600000</v>
          </cell>
          <cell r="E130">
            <v>600000</v>
          </cell>
          <cell r="F130">
            <v>500000</v>
          </cell>
          <cell r="G130">
            <v>450000</v>
          </cell>
        </row>
        <row r="131">
          <cell r="A131" t="str">
            <v>CORAZON DE MARIA</v>
          </cell>
          <cell r="B131">
            <v>0.83013888888888887</v>
          </cell>
          <cell r="C131" t="str">
            <v>TNac</v>
          </cell>
          <cell r="D131">
            <v>2300000</v>
          </cell>
        </row>
        <row r="132">
          <cell r="A132" t="str">
            <v>CORAZON DE MARIA (LO MEJOR)</v>
          </cell>
          <cell r="B132">
            <v>0.84652777777777777</v>
          </cell>
          <cell r="C132" t="str">
            <v>TNac</v>
          </cell>
          <cell r="D132">
            <v>700000</v>
          </cell>
        </row>
        <row r="133">
          <cell r="A133" t="str">
            <v>CORAZON DE MARIA (R)</v>
          </cell>
          <cell r="B133">
            <v>0.91736111111111107</v>
          </cell>
          <cell r="C133" t="str">
            <v>TNac</v>
          </cell>
        </row>
        <row r="134">
          <cell r="A134" t="str">
            <v>CORAZON DE MARIA (RESUMEN)</v>
          </cell>
          <cell r="B134">
            <v>0.83347222222222228</v>
          </cell>
          <cell r="C134" t="str">
            <v>TNac</v>
          </cell>
        </row>
        <row r="135">
          <cell r="A135" t="str">
            <v>CUENTOS CHILENOS</v>
          </cell>
          <cell r="B135">
            <v>1.04375</v>
          </cell>
          <cell r="C135" t="str">
            <v>TNac</v>
          </cell>
        </row>
        <row r="136">
          <cell r="A136" t="str">
            <v>DOC TV</v>
          </cell>
          <cell r="C136" t="str">
            <v>TNac</v>
          </cell>
          <cell r="D136">
            <v>600000</v>
          </cell>
          <cell r="E136">
            <v>600000</v>
          </cell>
          <cell r="F136">
            <v>800000</v>
          </cell>
        </row>
        <row r="137">
          <cell r="A137" t="str">
            <v>DOCTOR HOUSE</v>
          </cell>
          <cell r="C137" t="str">
            <v>TNac</v>
          </cell>
          <cell r="M137">
            <v>1400000</v>
          </cell>
          <cell r="N137">
            <v>1300000</v>
          </cell>
        </row>
        <row r="138">
          <cell r="A138" t="str">
            <v>EL BAILE EN TVN</v>
          </cell>
          <cell r="B138">
            <v>0.91736111111111107</v>
          </cell>
          <cell r="C138" t="str">
            <v>TNac</v>
          </cell>
          <cell r="D138">
            <v>2500000</v>
          </cell>
          <cell r="E138">
            <v>2750000</v>
          </cell>
          <cell r="F138">
            <v>3000000</v>
          </cell>
          <cell r="G138">
            <v>2300000</v>
          </cell>
          <cell r="H138">
            <v>2400000</v>
          </cell>
          <cell r="J138">
            <v>2750000</v>
          </cell>
          <cell r="K138">
            <v>2750000</v>
          </cell>
          <cell r="L138">
            <v>2750000</v>
          </cell>
          <cell r="M138">
            <v>2600000</v>
          </cell>
          <cell r="N138">
            <v>2400000</v>
          </cell>
        </row>
        <row r="139">
          <cell r="A139" t="str">
            <v>EL CUENTO DEL TIO</v>
          </cell>
          <cell r="C139" t="str">
            <v>TNac</v>
          </cell>
          <cell r="K139">
            <v>2100000</v>
          </cell>
        </row>
        <row r="140">
          <cell r="A140" t="str">
            <v>EL DIA D</v>
          </cell>
          <cell r="C140" t="str">
            <v>TNac</v>
          </cell>
          <cell r="J140">
            <v>1400000</v>
          </cell>
          <cell r="K140">
            <v>2000000</v>
          </cell>
        </row>
        <row r="141">
          <cell r="A141" t="str">
            <v>EL DIA DEL COCO</v>
          </cell>
          <cell r="C141" t="str">
            <v>TNac</v>
          </cell>
          <cell r="J141">
            <v>2600000</v>
          </cell>
          <cell r="K141">
            <v>3000000</v>
          </cell>
        </row>
        <row r="142">
          <cell r="A142" t="str">
            <v>EL DIA MENOS PENSADO</v>
          </cell>
          <cell r="B142">
            <v>0.94652777777777775</v>
          </cell>
          <cell r="C142" t="str">
            <v>TNac</v>
          </cell>
        </row>
        <row r="143">
          <cell r="A143" t="str">
            <v>EL SENOR DE LA QUERENCIA</v>
          </cell>
          <cell r="C143" t="str">
            <v>TNac</v>
          </cell>
          <cell r="L143">
            <v>2700000</v>
          </cell>
          <cell r="M143">
            <v>3300000</v>
          </cell>
          <cell r="N143">
            <v>3300000</v>
          </cell>
        </row>
        <row r="144">
          <cell r="A144" t="str">
            <v>EL SENOR DE LA QUERENCIA (R)</v>
          </cell>
          <cell r="C144" t="str">
            <v>TNac</v>
          </cell>
          <cell r="M144">
            <v>600000</v>
          </cell>
          <cell r="N144">
            <v>600000</v>
          </cell>
        </row>
        <row r="145">
          <cell r="A145" t="str">
            <v>ENIGMA</v>
          </cell>
          <cell r="C145" t="str">
            <v>TNac</v>
          </cell>
          <cell r="D145">
            <v>2200000</v>
          </cell>
          <cell r="E145">
            <v>2500000</v>
          </cell>
          <cell r="F145">
            <v>2750000</v>
          </cell>
          <cell r="G145">
            <v>2750000</v>
          </cell>
          <cell r="H145">
            <v>2100000</v>
          </cell>
          <cell r="I145">
            <v>2100000</v>
          </cell>
          <cell r="J145">
            <v>2500000</v>
          </cell>
          <cell r="K145">
            <v>2500000</v>
          </cell>
        </row>
        <row r="146">
          <cell r="A146" t="str">
            <v>ENIGMA ® / CINE DE GALA</v>
          </cell>
          <cell r="C146" t="str">
            <v>TNac</v>
          </cell>
          <cell r="J146">
            <v>2000000</v>
          </cell>
          <cell r="K146">
            <v>2500000</v>
          </cell>
        </row>
        <row r="147">
          <cell r="A147" t="str">
            <v>EPOPEYA</v>
          </cell>
          <cell r="B147">
            <v>0.91805555555555562</v>
          </cell>
          <cell r="C147" t="str">
            <v>TNac</v>
          </cell>
        </row>
        <row r="148">
          <cell r="A148" t="str">
            <v>ESPOSAS DESESPERADAS</v>
          </cell>
          <cell r="B148">
            <v>0.91828703703703696</v>
          </cell>
          <cell r="C148" t="str">
            <v>TNac</v>
          </cell>
          <cell r="D148">
            <v>900000</v>
          </cell>
          <cell r="E148">
            <v>600000</v>
          </cell>
          <cell r="F148">
            <v>500000</v>
          </cell>
          <cell r="G148">
            <v>500000</v>
          </cell>
        </row>
        <row r="149">
          <cell r="A149" t="str">
            <v>ESPOSAS DESESPERADAS (R)</v>
          </cell>
          <cell r="B149">
            <v>1.0465277777777777</v>
          </cell>
          <cell r="C149" t="str">
            <v>TNac</v>
          </cell>
          <cell r="D149">
            <v>900000</v>
          </cell>
          <cell r="E149">
            <v>600000</v>
          </cell>
          <cell r="F149">
            <v>500000</v>
          </cell>
          <cell r="G149">
            <v>500000</v>
          </cell>
        </row>
        <row r="150">
          <cell r="A150" t="str">
            <v>ESTADO NACIONAL</v>
          </cell>
          <cell r="C150" t="str">
            <v>TNac</v>
          </cell>
          <cell r="D150">
            <v>300000</v>
          </cell>
          <cell r="E150">
            <v>300000</v>
          </cell>
          <cell r="F150">
            <v>300000</v>
          </cell>
          <cell r="G150">
            <v>300000</v>
          </cell>
          <cell r="J150">
            <v>300000</v>
          </cell>
          <cell r="K150">
            <v>300000</v>
          </cell>
          <cell r="L150">
            <v>300000</v>
          </cell>
          <cell r="M150">
            <v>300000</v>
          </cell>
          <cell r="N150">
            <v>300000</v>
          </cell>
        </row>
        <row r="151">
          <cell r="A151" t="str">
            <v>ESTADO NACIONAL (R)</v>
          </cell>
          <cell r="B151">
            <v>1.0479166666666666</v>
          </cell>
          <cell r="C151" t="str">
            <v>TNac</v>
          </cell>
          <cell r="D151">
            <v>350000</v>
          </cell>
          <cell r="E151">
            <v>350000</v>
          </cell>
          <cell r="F151">
            <v>350000</v>
          </cell>
          <cell r="G151">
            <v>350000</v>
          </cell>
          <cell r="J151">
            <v>300000</v>
          </cell>
          <cell r="K151">
            <v>300000</v>
          </cell>
          <cell r="L151">
            <v>300000</v>
          </cell>
          <cell r="M151">
            <v>300000</v>
          </cell>
        </row>
        <row r="152">
          <cell r="A152" t="str">
            <v>ESTO NO TIENE NOMBRE</v>
          </cell>
          <cell r="B152">
            <v>0.9819444444444444</v>
          </cell>
          <cell r="C152" t="str">
            <v>TNac</v>
          </cell>
          <cell r="J152">
            <v>2000000</v>
          </cell>
          <cell r="K152">
            <v>2300000</v>
          </cell>
        </row>
        <row r="153">
          <cell r="A153" t="str">
            <v>ESTO NO TIENE NOMBRE / INFORME ESPECIAL</v>
          </cell>
          <cell r="C153" t="str">
            <v>TNac</v>
          </cell>
          <cell r="L153">
            <v>2500000</v>
          </cell>
        </row>
        <row r="154">
          <cell r="A154" t="str">
            <v>FLORIBELLA</v>
          </cell>
          <cell r="B154">
            <v>0.84863425925925917</v>
          </cell>
          <cell r="C154" t="str">
            <v>TNac</v>
          </cell>
        </row>
        <row r="155">
          <cell r="A155" t="str">
            <v>FLORIBELLA (RESUMEN)</v>
          </cell>
          <cell r="B155">
            <v>0.8309375</v>
          </cell>
          <cell r="C155" t="str">
            <v>TNac</v>
          </cell>
        </row>
        <row r="156">
          <cell r="A156" t="str">
            <v>FRUTOS DEL PAIS</v>
          </cell>
          <cell r="B156">
            <v>0.61093750000000002</v>
          </cell>
          <cell r="C156" t="str">
            <v>TNac</v>
          </cell>
          <cell r="D156">
            <v>800000</v>
          </cell>
          <cell r="E156">
            <v>800000</v>
          </cell>
          <cell r="F156">
            <v>800000</v>
          </cell>
          <cell r="G156">
            <v>800000</v>
          </cell>
          <cell r="H156">
            <v>800000</v>
          </cell>
          <cell r="I156">
            <v>700000</v>
          </cell>
          <cell r="J156">
            <v>800000</v>
          </cell>
          <cell r="K156">
            <v>800000</v>
          </cell>
          <cell r="L156">
            <v>800000</v>
          </cell>
          <cell r="M156">
            <v>700000</v>
          </cell>
          <cell r="N156">
            <v>700000</v>
          </cell>
        </row>
        <row r="157">
          <cell r="A157" t="str">
            <v>FRUTOS DEL PAIS (R)</v>
          </cell>
          <cell r="B157">
            <v>0.65</v>
          </cell>
          <cell r="C157" t="str">
            <v>TNac</v>
          </cell>
          <cell r="D157">
            <v>800000</v>
          </cell>
          <cell r="E157">
            <v>800000</v>
          </cell>
          <cell r="F157">
            <v>800000</v>
          </cell>
          <cell r="G157">
            <v>800000</v>
          </cell>
          <cell r="H157">
            <v>800000</v>
          </cell>
          <cell r="I157">
            <v>700000</v>
          </cell>
          <cell r="J157">
            <v>800000</v>
          </cell>
          <cell r="K157">
            <v>800000</v>
          </cell>
          <cell r="L157">
            <v>800000</v>
          </cell>
          <cell r="M157">
            <v>700000</v>
          </cell>
          <cell r="N157">
            <v>700000</v>
          </cell>
        </row>
        <row r="158">
          <cell r="A158" t="str">
            <v>GALA DE ROJO, FAMA CONTRAFAMA</v>
          </cell>
          <cell r="B158">
            <v>0.91736111111111107</v>
          </cell>
          <cell r="C158" t="str">
            <v>TNac</v>
          </cell>
        </row>
        <row r="159">
          <cell r="A159" t="str">
            <v>GEOGRAFIA DEL DESEO (R)</v>
          </cell>
          <cell r="B159">
            <v>0.9868055555555556</v>
          </cell>
          <cell r="C159" t="str">
            <v>TNac</v>
          </cell>
        </row>
        <row r="160">
          <cell r="A160" t="str">
            <v>GREYS ANATOMY</v>
          </cell>
          <cell r="B160">
            <v>0.97499999999999998</v>
          </cell>
          <cell r="C160" t="str">
            <v>TNac</v>
          </cell>
          <cell r="D160">
            <v>700000</v>
          </cell>
          <cell r="E160">
            <v>800000</v>
          </cell>
          <cell r="G160">
            <v>1200000</v>
          </cell>
        </row>
        <row r="161">
          <cell r="A161" t="str">
            <v>HABIA UNA VEZ,EL ARCHIVO DEL D</v>
          </cell>
          <cell r="B161">
            <v>0.60671296296296295</v>
          </cell>
          <cell r="C161" t="str">
            <v>TNac</v>
          </cell>
          <cell r="D161">
            <v>350000</v>
          </cell>
          <cell r="E161">
            <v>400000</v>
          </cell>
          <cell r="F161">
            <v>400000</v>
          </cell>
          <cell r="G161">
            <v>350000</v>
          </cell>
          <cell r="H161">
            <v>350000</v>
          </cell>
          <cell r="I161">
            <v>350000</v>
          </cell>
          <cell r="J161">
            <v>400000</v>
          </cell>
          <cell r="K161">
            <v>400000</v>
          </cell>
          <cell r="L161">
            <v>350000</v>
          </cell>
          <cell r="M161">
            <v>350000</v>
          </cell>
          <cell r="N161">
            <v>350000</v>
          </cell>
        </row>
        <row r="162">
          <cell r="A162" t="str">
            <v>HEREDEROS</v>
          </cell>
          <cell r="B162">
            <v>0.94305555555555554</v>
          </cell>
          <cell r="C162" t="str">
            <v>TNac</v>
          </cell>
        </row>
        <row r="163">
          <cell r="A163" t="str">
            <v>HORA 25</v>
          </cell>
          <cell r="B163">
            <v>1.0854166666666667</v>
          </cell>
          <cell r="C163" t="str">
            <v>TNac</v>
          </cell>
          <cell r="K163">
            <v>500000</v>
          </cell>
          <cell r="L163">
            <v>500000</v>
          </cell>
          <cell r="M163">
            <v>400000</v>
          </cell>
          <cell r="N163">
            <v>400000</v>
          </cell>
        </row>
        <row r="164">
          <cell r="A164" t="str">
            <v>HORA 25 (R)</v>
          </cell>
          <cell r="B164">
            <v>1.0595833333333333</v>
          </cell>
          <cell r="C164" t="str">
            <v>TNac</v>
          </cell>
          <cell r="D164">
            <v>350000</v>
          </cell>
          <cell r="E164">
            <v>350000</v>
          </cell>
          <cell r="F164">
            <v>350000</v>
          </cell>
          <cell r="G164">
            <v>500000</v>
          </cell>
        </row>
        <row r="165">
          <cell r="A165" t="str">
            <v>HOTEL PARA DOS</v>
          </cell>
          <cell r="C165" t="str">
            <v>TNac</v>
          </cell>
          <cell r="D165">
            <v>1400000</v>
          </cell>
          <cell r="E165">
            <v>1000000</v>
          </cell>
          <cell r="F165">
            <v>800000</v>
          </cell>
          <cell r="G165">
            <v>500000</v>
          </cell>
        </row>
        <row r="166">
          <cell r="A166" t="str">
            <v>HOTEL PARA DOS</v>
          </cell>
          <cell r="C166" t="str">
            <v>TNac</v>
          </cell>
          <cell r="G166">
            <v>500000</v>
          </cell>
        </row>
        <row r="167">
          <cell r="A167" t="str">
            <v>HOTEL PARA DOS / NOCHE DE PELICULAS / GALA ROJO</v>
          </cell>
          <cell r="C167" t="str">
            <v>TNac</v>
          </cell>
          <cell r="G167">
            <v>1200000</v>
          </cell>
        </row>
        <row r="168">
          <cell r="A168" t="str">
            <v>INFORME ESPECIAL</v>
          </cell>
          <cell r="B168">
            <v>0.94861111111111107</v>
          </cell>
          <cell r="C168" t="str">
            <v>TNac</v>
          </cell>
          <cell r="D168">
            <v>2500000</v>
          </cell>
          <cell r="M168">
            <v>2500000</v>
          </cell>
          <cell r="N168">
            <v>2800000</v>
          </cell>
        </row>
        <row r="169">
          <cell r="A169" t="str">
            <v>KARKU</v>
          </cell>
          <cell r="C169" t="str">
            <v>TNac</v>
          </cell>
          <cell r="H169">
            <v>1000000</v>
          </cell>
        </row>
        <row r="170">
          <cell r="A170" t="str">
            <v>LA CULTURA ENTRETENIDA</v>
          </cell>
          <cell r="B170">
            <v>0.73136574074074068</v>
          </cell>
          <cell r="C170" t="str">
            <v>TNac</v>
          </cell>
          <cell r="D170">
            <v>600000</v>
          </cell>
          <cell r="E170">
            <v>600000</v>
          </cell>
          <cell r="F170">
            <v>600000</v>
          </cell>
          <cell r="G170">
            <v>600000</v>
          </cell>
          <cell r="H170">
            <v>600000</v>
          </cell>
          <cell r="I170">
            <v>600000</v>
          </cell>
          <cell r="J170">
            <v>600000</v>
          </cell>
          <cell r="K170">
            <v>600000</v>
          </cell>
          <cell r="L170">
            <v>600000</v>
          </cell>
          <cell r="M170">
            <v>600000</v>
          </cell>
          <cell r="N170">
            <v>600000</v>
          </cell>
        </row>
        <row r="171">
          <cell r="A171" t="str">
            <v>LA FAMILIA DEL ULTIMO PASAJERO</v>
          </cell>
          <cell r="C171" t="str">
            <v>TNac</v>
          </cell>
          <cell r="H171">
            <v>2000000</v>
          </cell>
          <cell r="I171">
            <v>1500000</v>
          </cell>
        </row>
        <row r="172">
          <cell r="A172" t="str">
            <v>LA FAMILIA DEL ULTIMO PASAJERO / NUESTRO SIGLO</v>
          </cell>
          <cell r="C172" t="str">
            <v>TNac</v>
          </cell>
          <cell r="J172">
            <v>1300000</v>
          </cell>
        </row>
        <row r="173">
          <cell r="A173" t="str">
            <v>LA FIERA (R)</v>
          </cell>
          <cell r="B173">
            <v>0.62900462962962966</v>
          </cell>
          <cell r="C173" t="str">
            <v>TNac</v>
          </cell>
        </row>
        <row r="174">
          <cell r="A174" t="str">
            <v>LA RUTA DE AMAZONIA</v>
          </cell>
          <cell r="B174">
            <v>0.91736111111111107</v>
          </cell>
          <cell r="C174" t="str">
            <v>TNac</v>
          </cell>
        </row>
        <row r="175">
          <cell r="A175" t="str">
            <v>LA RUTA DE CHILE</v>
          </cell>
          <cell r="B175">
            <v>0.94444444444444453</v>
          </cell>
          <cell r="C175" t="str">
            <v>TNac</v>
          </cell>
          <cell r="D175">
            <v>1700000</v>
          </cell>
        </row>
        <row r="176">
          <cell r="A176" t="str">
            <v>LA RUTA DEL SAHARA</v>
          </cell>
          <cell r="C176" t="str">
            <v>TNac</v>
          </cell>
          <cell r="H176">
            <v>2300000</v>
          </cell>
          <cell r="I176">
            <v>2400000</v>
          </cell>
        </row>
        <row r="177">
          <cell r="A177" t="str">
            <v>LA RUTA DEL SAHARA / EL CUENTO DEL TIO</v>
          </cell>
          <cell r="C177" t="str">
            <v>TNac</v>
          </cell>
          <cell r="J177">
            <v>2300000</v>
          </cell>
          <cell r="K177">
            <v>2100000</v>
          </cell>
        </row>
        <row r="178">
          <cell r="A178" t="str">
            <v>LAZY TOWN</v>
          </cell>
          <cell r="B178">
            <v>0.38576388888888885</v>
          </cell>
          <cell r="C178" t="str">
            <v>TNac</v>
          </cell>
          <cell r="D178">
            <v>140000</v>
          </cell>
          <cell r="E178">
            <v>140000</v>
          </cell>
          <cell r="F178">
            <v>200000</v>
          </cell>
          <cell r="G178">
            <v>220000</v>
          </cell>
          <cell r="H178">
            <v>170000</v>
          </cell>
          <cell r="I178">
            <v>170000</v>
          </cell>
          <cell r="J178">
            <v>170000</v>
          </cell>
          <cell r="K178">
            <v>170000</v>
          </cell>
          <cell r="L178">
            <v>180000</v>
          </cell>
          <cell r="M178">
            <v>200000</v>
          </cell>
          <cell r="N178">
            <v>200000</v>
          </cell>
        </row>
        <row r="179">
          <cell r="A179" t="str">
            <v>LO MEJOR DE VINA 2007</v>
          </cell>
          <cell r="B179">
            <v>0.91874999999999996</v>
          </cell>
          <cell r="C179" t="str">
            <v>TNac</v>
          </cell>
        </row>
        <row r="180">
          <cell r="A180" t="str">
            <v>LOCO POR TI (R)</v>
          </cell>
          <cell r="B180">
            <v>0.83715277777777775</v>
          </cell>
          <cell r="C180" t="str">
            <v>TNac</v>
          </cell>
        </row>
        <row r="181">
          <cell r="A181" t="str">
            <v>LOS GALINDO (R)</v>
          </cell>
          <cell r="B181">
            <v>0.85277777777777775</v>
          </cell>
          <cell r="C181" t="str">
            <v>TNac</v>
          </cell>
        </row>
        <row r="182">
          <cell r="A182" t="str">
            <v>LOS PADRINOS MAGICOS</v>
          </cell>
          <cell r="B182">
            <v>0.54472222222222222</v>
          </cell>
          <cell r="C182" t="str">
            <v>TNac</v>
          </cell>
          <cell r="D182">
            <v>140000</v>
          </cell>
          <cell r="E182">
            <v>140000</v>
          </cell>
          <cell r="F182">
            <v>200000</v>
          </cell>
          <cell r="G182">
            <v>220000</v>
          </cell>
          <cell r="H182">
            <v>170000</v>
          </cell>
          <cell r="I182">
            <v>170000</v>
          </cell>
          <cell r="J182">
            <v>170000</v>
          </cell>
          <cell r="K182">
            <v>170000</v>
          </cell>
          <cell r="L182">
            <v>180000</v>
          </cell>
          <cell r="M182">
            <v>200000</v>
          </cell>
          <cell r="N182">
            <v>200000</v>
          </cell>
        </row>
        <row r="183">
          <cell r="A183" t="str">
            <v>LOS THONBERRYS</v>
          </cell>
          <cell r="B183">
            <v>0.53069444444444447</v>
          </cell>
          <cell r="C183" t="str">
            <v>TNac</v>
          </cell>
          <cell r="D183">
            <v>140000</v>
          </cell>
          <cell r="E183">
            <v>140000</v>
          </cell>
          <cell r="F183">
            <v>200000</v>
          </cell>
          <cell r="G183">
            <v>220000</v>
          </cell>
          <cell r="H183">
            <v>170000</v>
          </cell>
          <cell r="I183">
            <v>170000</v>
          </cell>
          <cell r="J183">
            <v>170000</v>
          </cell>
          <cell r="K183">
            <v>170000</v>
          </cell>
          <cell r="L183">
            <v>180000</v>
          </cell>
          <cell r="M183">
            <v>200000</v>
          </cell>
          <cell r="N183">
            <v>200000</v>
          </cell>
        </row>
        <row r="184">
          <cell r="A184" t="str">
            <v>LOS THUNDERCATS</v>
          </cell>
          <cell r="B184">
            <v>0.51371527777777781</v>
          </cell>
          <cell r="C184" t="str">
            <v>TNac</v>
          </cell>
          <cell r="D184">
            <v>140000</v>
          </cell>
          <cell r="E184">
            <v>140000</v>
          </cell>
          <cell r="F184">
            <v>200000</v>
          </cell>
          <cell r="G184">
            <v>220000</v>
          </cell>
          <cell r="H184">
            <v>170000</v>
          </cell>
          <cell r="I184">
            <v>170000</v>
          </cell>
          <cell r="J184">
            <v>170000</v>
          </cell>
          <cell r="K184">
            <v>170000</v>
          </cell>
          <cell r="L184">
            <v>180000</v>
          </cell>
          <cell r="M184">
            <v>200000</v>
          </cell>
          <cell r="N184">
            <v>200000</v>
          </cell>
        </row>
        <row r="185">
          <cell r="A185" t="str">
            <v>LOS TREINTA (R)</v>
          </cell>
          <cell r="B185">
            <v>1.0715509259259259</v>
          </cell>
          <cell r="C185" t="str">
            <v>TNac</v>
          </cell>
        </row>
        <row r="186">
          <cell r="A186" t="str">
            <v>LOS VENEGAS</v>
          </cell>
          <cell r="B186">
            <v>0.60598379629629628</v>
          </cell>
          <cell r="C186" t="str">
            <v>TNac</v>
          </cell>
          <cell r="D186">
            <v>500000</v>
          </cell>
          <cell r="E186">
            <v>600000</v>
          </cell>
          <cell r="F186">
            <v>650000</v>
          </cell>
          <cell r="G186">
            <v>650000</v>
          </cell>
          <cell r="H186">
            <v>650000</v>
          </cell>
          <cell r="I186">
            <v>550000</v>
          </cell>
          <cell r="J186">
            <v>450000</v>
          </cell>
          <cell r="K186">
            <v>500000</v>
          </cell>
          <cell r="L186">
            <v>500000</v>
          </cell>
          <cell r="M186">
            <v>450000</v>
          </cell>
          <cell r="N186">
            <v>400000</v>
          </cell>
        </row>
        <row r="187">
          <cell r="A187" t="str">
            <v>LOS VENEGAS (R)</v>
          </cell>
          <cell r="B187">
            <v>0.60515046296296293</v>
          </cell>
          <cell r="C187" t="str">
            <v>TNac</v>
          </cell>
          <cell r="D187">
            <v>500000</v>
          </cell>
          <cell r="E187">
            <v>600000</v>
          </cell>
          <cell r="F187">
            <v>650000</v>
          </cell>
          <cell r="G187">
            <v>650000</v>
          </cell>
          <cell r="H187">
            <v>650000</v>
          </cell>
          <cell r="I187">
            <v>550000</v>
          </cell>
          <cell r="J187">
            <v>450000</v>
          </cell>
          <cell r="K187">
            <v>500000</v>
          </cell>
          <cell r="L187">
            <v>500000</v>
          </cell>
          <cell r="M187">
            <v>450000</v>
          </cell>
          <cell r="N187">
            <v>400000</v>
          </cell>
        </row>
        <row r="188">
          <cell r="A188" t="str">
            <v>MAS QUE TENIS (R)</v>
          </cell>
          <cell r="B188">
            <v>1.0805555555555555</v>
          </cell>
          <cell r="C188" t="str">
            <v>TNac</v>
          </cell>
        </row>
        <row r="189">
          <cell r="A189" t="str">
            <v>MATRIOSKI</v>
          </cell>
          <cell r="C189" t="str">
            <v>TNac</v>
          </cell>
          <cell r="H189">
            <v>500000</v>
          </cell>
          <cell r="I189">
            <v>500000</v>
          </cell>
          <cell r="J189">
            <v>400000</v>
          </cell>
        </row>
        <row r="190">
          <cell r="A190" t="str">
            <v>MATRIOSKI</v>
          </cell>
          <cell r="B190">
            <v>0.98750000000000004</v>
          </cell>
          <cell r="C190" t="str">
            <v>TNac</v>
          </cell>
        </row>
        <row r="191">
          <cell r="A191" t="str">
            <v>MEA CULPA</v>
          </cell>
          <cell r="B191">
            <v>0.91805555555555562</v>
          </cell>
          <cell r="C191" t="str">
            <v>TNac</v>
          </cell>
          <cell r="D191">
            <v>1900000</v>
          </cell>
          <cell r="E191">
            <v>2500000</v>
          </cell>
          <cell r="F191">
            <v>2750000</v>
          </cell>
          <cell r="G191">
            <v>2750000</v>
          </cell>
          <cell r="J191">
            <v>2000000</v>
          </cell>
          <cell r="K191">
            <v>2100000</v>
          </cell>
          <cell r="L191">
            <v>2100000</v>
          </cell>
          <cell r="M191">
            <v>2100000</v>
          </cell>
          <cell r="N191">
            <v>1900000</v>
          </cell>
        </row>
        <row r="192">
          <cell r="A192" t="str">
            <v>MEA CULPA (LO MEJOR)</v>
          </cell>
          <cell r="B192">
            <v>0.94861111111111107</v>
          </cell>
          <cell r="C192" t="str">
            <v>TNac</v>
          </cell>
          <cell r="D192">
            <v>1900000</v>
          </cell>
          <cell r="E192">
            <v>2500000</v>
          </cell>
          <cell r="F192">
            <v>2750000</v>
          </cell>
          <cell r="G192">
            <v>2750000</v>
          </cell>
          <cell r="L192">
            <v>2100000</v>
          </cell>
          <cell r="M192">
            <v>2100000</v>
          </cell>
          <cell r="N192">
            <v>1900000</v>
          </cell>
        </row>
        <row r="193">
          <cell r="A193" t="str">
            <v>MEA CULPA (R)</v>
          </cell>
          <cell r="B193">
            <v>0.91805555555555562</v>
          </cell>
          <cell r="C193" t="str">
            <v>TNac</v>
          </cell>
          <cell r="D193">
            <v>1900000</v>
          </cell>
          <cell r="E193">
            <v>2500000</v>
          </cell>
          <cell r="F193">
            <v>2750000</v>
          </cell>
          <cell r="G193">
            <v>2750000</v>
          </cell>
          <cell r="K193">
            <v>2000000</v>
          </cell>
          <cell r="L193">
            <v>2100000</v>
          </cell>
          <cell r="M193">
            <v>2100000</v>
          </cell>
          <cell r="N193">
            <v>1900000</v>
          </cell>
        </row>
        <row r="194">
          <cell r="A194" t="str">
            <v>MEA CULPA / PAZ</v>
          </cell>
          <cell r="C194" t="str">
            <v>TNac</v>
          </cell>
          <cell r="K194">
            <v>2000000</v>
          </cell>
        </row>
        <row r="195">
          <cell r="A195" t="str">
            <v>MEDIA NOCHE</v>
          </cell>
          <cell r="B195">
            <v>1.0311458333333332</v>
          </cell>
          <cell r="C195" t="str">
            <v>TNac</v>
          </cell>
          <cell r="D195">
            <v>850000</v>
          </cell>
          <cell r="E195">
            <v>1000000</v>
          </cell>
          <cell r="F195">
            <v>1200000</v>
          </cell>
          <cell r="G195">
            <v>1100000</v>
          </cell>
          <cell r="H195">
            <v>1000000</v>
          </cell>
          <cell r="I195">
            <v>1000000</v>
          </cell>
          <cell r="J195">
            <v>900000</v>
          </cell>
          <cell r="K195">
            <v>900000</v>
          </cell>
          <cell r="L195">
            <v>900000</v>
          </cell>
          <cell r="M195">
            <v>1000000</v>
          </cell>
          <cell r="N195">
            <v>900000</v>
          </cell>
        </row>
        <row r="196">
          <cell r="A196" t="str">
            <v>MI PRIMERA VEZ</v>
          </cell>
          <cell r="B196">
            <v>0.92361111111111116</v>
          </cell>
          <cell r="C196" t="str">
            <v>TNac</v>
          </cell>
        </row>
        <row r="197">
          <cell r="A197" t="str">
            <v>MI PRIMERA VEZ (R)</v>
          </cell>
          <cell r="C197" t="str">
            <v>TNac</v>
          </cell>
          <cell r="H197">
            <v>900000</v>
          </cell>
          <cell r="I197">
            <v>900000</v>
          </cell>
        </row>
        <row r="198">
          <cell r="A198" t="str">
            <v>MIRA TU</v>
          </cell>
          <cell r="C198" t="str">
            <v>TNac</v>
          </cell>
          <cell r="G198">
            <v>500000</v>
          </cell>
        </row>
        <row r="199">
          <cell r="A199" t="str">
            <v>MUNDIAL SUB 20</v>
          </cell>
          <cell r="B199">
            <v>0.90673611111111108</v>
          </cell>
          <cell r="C199" t="str">
            <v>TNac</v>
          </cell>
        </row>
        <row r="200">
          <cell r="A200" t="str">
            <v>MUSITRONIA</v>
          </cell>
          <cell r="B200">
            <v>0.54902777777777778</v>
          </cell>
          <cell r="C200" t="str">
            <v>TNac</v>
          </cell>
          <cell r="D200">
            <v>140000</v>
          </cell>
          <cell r="E200">
            <v>140000</v>
          </cell>
          <cell r="F200">
            <v>200000</v>
          </cell>
          <cell r="G200">
            <v>220000</v>
          </cell>
        </row>
        <row r="201">
          <cell r="A201" t="str">
            <v>NIP TUCK</v>
          </cell>
          <cell r="C201" t="str">
            <v>TNac</v>
          </cell>
          <cell r="G201">
            <v>1500000</v>
          </cell>
          <cell r="N201">
            <v>1300000</v>
          </cell>
        </row>
        <row r="202">
          <cell r="A202" t="str">
            <v>NOCHE DE PELICULA</v>
          </cell>
          <cell r="B202">
            <v>0.91805555555555562</v>
          </cell>
          <cell r="C202" t="str">
            <v>TNac</v>
          </cell>
        </row>
        <row r="203">
          <cell r="A203" t="str">
            <v>PANORAMA NOCTURNO</v>
          </cell>
          <cell r="C203" t="str">
            <v>TNac</v>
          </cell>
          <cell r="L203">
            <v>400000</v>
          </cell>
          <cell r="M203">
            <v>400000</v>
          </cell>
          <cell r="N203">
            <v>350000</v>
          </cell>
        </row>
        <row r="204">
          <cell r="A204" t="str">
            <v>PASIONES</v>
          </cell>
          <cell r="B204">
            <v>0.70810185185185182</v>
          </cell>
          <cell r="C204" t="str">
            <v>TNac</v>
          </cell>
          <cell r="D204">
            <v>500000</v>
          </cell>
          <cell r="E204">
            <v>600000</v>
          </cell>
          <cell r="F204">
            <v>600000</v>
          </cell>
          <cell r="G204">
            <v>600000</v>
          </cell>
          <cell r="H204">
            <v>550000</v>
          </cell>
          <cell r="I204">
            <v>550000</v>
          </cell>
          <cell r="J204">
            <v>600000</v>
          </cell>
          <cell r="K204">
            <v>600000</v>
          </cell>
          <cell r="L204">
            <v>550000</v>
          </cell>
          <cell r="M204">
            <v>550000</v>
          </cell>
          <cell r="N204">
            <v>500000</v>
          </cell>
        </row>
        <row r="205">
          <cell r="A205" t="str">
            <v>PASIONES (R)</v>
          </cell>
          <cell r="B205">
            <v>1.0738888888888889</v>
          </cell>
          <cell r="C205" t="str">
            <v>TNac</v>
          </cell>
          <cell r="H205">
            <v>350000</v>
          </cell>
          <cell r="I205">
            <v>350000</v>
          </cell>
          <cell r="J205">
            <v>300000</v>
          </cell>
          <cell r="K205">
            <v>300000</v>
          </cell>
          <cell r="L205">
            <v>550000</v>
          </cell>
        </row>
        <row r="206">
          <cell r="A206" t="str">
            <v>PASIONES (R)</v>
          </cell>
          <cell r="C206" t="str">
            <v>TNac</v>
          </cell>
          <cell r="H206">
            <v>350000</v>
          </cell>
          <cell r="I206">
            <v>350000</v>
          </cell>
          <cell r="J206">
            <v>300000</v>
          </cell>
          <cell r="K206">
            <v>300000</v>
          </cell>
          <cell r="L206">
            <v>550000</v>
          </cell>
        </row>
        <row r="207">
          <cell r="A207" t="str">
            <v>PAZ</v>
          </cell>
          <cell r="C207" t="str">
            <v>TNac</v>
          </cell>
          <cell r="K207">
            <v>2000000</v>
          </cell>
        </row>
        <row r="208">
          <cell r="A208" t="str">
            <v>PECADORES (R)</v>
          </cell>
          <cell r="C208" t="str">
            <v>TNac</v>
          </cell>
          <cell r="H208">
            <v>1500000</v>
          </cell>
          <cell r="I208">
            <v>1300000</v>
          </cell>
          <cell r="J208">
            <v>400000</v>
          </cell>
          <cell r="K208">
            <v>450000</v>
          </cell>
          <cell r="L208">
            <v>400000</v>
          </cell>
        </row>
        <row r="209">
          <cell r="A209" t="str">
            <v>PELOTON</v>
          </cell>
          <cell r="B209">
            <v>0.95475694444444448</v>
          </cell>
          <cell r="C209" t="str">
            <v>TNac</v>
          </cell>
        </row>
        <row r="210">
          <cell r="A210" t="str">
            <v>PELOTON (JUE)</v>
          </cell>
          <cell r="C210" t="str">
            <v>TNac</v>
          </cell>
          <cell r="E210">
            <v>3000000</v>
          </cell>
          <cell r="F210">
            <v>3300000</v>
          </cell>
          <cell r="G210">
            <v>3000000</v>
          </cell>
          <cell r="H210">
            <v>2500000</v>
          </cell>
          <cell r="I210">
            <v>2400000</v>
          </cell>
        </row>
        <row r="211">
          <cell r="A211" t="str">
            <v>PELOTON (LO MEJOR)</v>
          </cell>
          <cell r="B211">
            <v>0.84722222222222221</v>
          </cell>
          <cell r="C211" t="str">
            <v>TNac</v>
          </cell>
        </row>
        <row r="212">
          <cell r="A212" t="str">
            <v>PELOTON (LUN)</v>
          </cell>
          <cell r="C212" t="str">
            <v>TNac</v>
          </cell>
          <cell r="E212">
            <v>2200000</v>
          </cell>
          <cell r="F212">
            <v>2400000</v>
          </cell>
          <cell r="G212">
            <v>2100000</v>
          </cell>
          <cell r="H212">
            <v>2300000</v>
          </cell>
          <cell r="I212">
            <v>2300000</v>
          </cell>
        </row>
        <row r="213">
          <cell r="A213" t="str">
            <v>PELOTON (MAR)</v>
          </cell>
          <cell r="C213" t="str">
            <v>TNac</v>
          </cell>
          <cell r="E213">
            <v>2500000</v>
          </cell>
          <cell r="F213">
            <v>2750000</v>
          </cell>
          <cell r="G213">
            <v>2750000</v>
          </cell>
          <cell r="H213">
            <v>2750000</v>
          </cell>
          <cell r="I213">
            <v>2600000</v>
          </cell>
        </row>
        <row r="214">
          <cell r="A214" t="str">
            <v>PELOTON (MIE)</v>
          </cell>
          <cell r="C214" t="str">
            <v>TNac</v>
          </cell>
          <cell r="E214">
            <v>2200000</v>
          </cell>
          <cell r="F214">
            <v>2400000</v>
          </cell>
          <cell r="G214">
            <v>2400000</v>
          </cell>
          <cell r="H214">
            <v>2100000</v>
          </cell>
          <cell r="I214">
            <v>2300000</v>
          </cell>
        </row>
        <row r="215">
          <cell r="A215" t="str">
            <v>PELOTON (VIE)</v>
          </cell>
          <cell r="C215" t="str">
            <v>TNac</v>
          </cell>
          <cell r="E215">
            <v>2200000</v>
          </cell>
          <cell r="F215">
            <v>1700000</v>
          </cell>
          <cell r="G215">
            <v>1700000</v>
          </cell>
          <cell r="H215">
            <v>1700000</v>
          </cell>
          <cell r="I215">
            <v>2300000</v>
          </cell>
        </row>
        <row r="216">
          <cell r="A216" t="str">
            <v>PELOTON / DE TODO UN COCO</v>
          </cell>
          <cell r="C216" t="str">
            <v>TNac</v>
          </cell>
          <cell r="J216">
            <v>2600000</v>
          </cell>
          <cell r="K216">
            <v>3000000</v>
          </cell>
        </row>
        <row r="217">
          <cell r="A217" t="str">
            <v>PELOTON LA GRAN FINAL</v>
          </cell>
          <cell r="B217">
            <v>0.94791666666666663</v>
          </cell>
          <cell r="C217" t="str">
            <v>TNac</v>
          </cell>
        </row>
        <row r="218">
          <cell r="A218" t="str">
            <v>PELOTON PM</v>
          </cell>
          <cell r="C218" t="str">
            <v>TNac</v>
          </cell>
          <cell r="I218">
            <v>1000000</v>
          </cell>
        </row>
        <row r="219">
          <cell r="A219" t="str">
            <v>PEREGRINA</v>
          </cell>
          <cell r="B219">
            <v>0.65736111111111117</v>
          </cell>
          <cell r="C219" t="str">
            <v>TNac</v>
          </cell>
          <cell r="D219">
            <v>400000</v>
          </cell>
          <cell r="E219">
            <v>400000</v>
          </cell>
          <cell r="F219">
            <v>400000</v>
          </cell>
          <cell r="G219">
            <v>400000</v>
          </cell>
        </row>
        <row r="220">
          <cell r="A220" t="str">
            <v>RASPANDO LA OLLA</v>
          </cell>
          <cell r="C220" t="str">
            <v>TNac</v>
          </cell>
          <cell r="D220">
            <v>450000</v>
          </cell>
          <cell r="E220">
            <v>450000</v>
          </cell>
        </row>
        <row r="221">
          <cell r="A221" t="str">
            <v>RECTA PROVINCIA</v>
          </cell>
          <cell r="B221">
            <v>0.9916666666666667</v>
          </cell>
          <cell r="C221" t="str">
            <v>TNac</v>
          </cell>
          <cell r="D221">
            <v>1100000</v>
          </cell>
        </row>
        <row r="222">
          <cell r="A222" t="str">
            <v>ROJO EL VALOR DEL TALENTO</v>
          </cell>
          <cell r="B222">
            <v>0.79120370370370363</v>
          </cell>
          <cell r="C222" t="str">
            <v>TNac</v>
          </cell>
          <cell r="D222">
            <v>900000</v>
          </cell>
          <cell r="E222">
            <v>900000</v>
          </cell>
          <cell r="F222">
            <v>900000</v>
          </cell>
          <cell r="G222">
            <v>900000</v>
          </cell>
          <cell r="H222">
            <v>900000</v>
          </cell>
          <cell r="I222">
            <v>1000000</v>
          </cell>
          <cell r="J222">
            <v>1400000</v>
          </cell>
          <cell r="K222">
            <v>1400000</v>
          </cell>
          <cell r="L222">
            <v>1000000</v>
          </cell>
          <cell r="M222">
            <v>1000000</v>
          </cell>
          <cell r="N222">
            <v>1000000</v>
          </cell>
        </row>
        <row r="223">
          <cell r="A223" t="str">
            <v>ROJO FAMA CONTRAFAMA - PELOTON EN BRUTO</v>
          </cell>
          <cell r="C223" t="str">
            <v>TNac</v>
          </cell>
          <cell r="I223">
            <v>1000000</v>
          </cell>
        </row>
        <row r="224">
          <cell r="A224" t="str">
            <v>ROMANE (R)</v>
          </cell>
          <cell r="B224">
            <v>0.6322916666666667</v>
          </cell>
          <cell r="C224" t="str">
            <v>TNac</v>
          </cell>
        </row>
        <row r="225">
          <cell r="A225" t="str">
            <v>SHARK</v>
          </cell>
          <cell r="C225" t="str">
            <v>TNac</v>
          </cell>
          <cell r="I225">
            <v>900000</v>
          </cell>
          <cell r="J225">
            <v>500000</v>
          </cell>
          <cell r="K225">
            <v>900000</v>
          </cell>
        </row>
        <row r="226">
          <cell r="A226" t="str">
            <v>STANDOFF</v>
          </cell>
          <cell r="B226">
            <v>1.0284722222222222</v>
          </cell>
          <cell r="C226" t="str">
            <v>TNac</v>
          </cell>
          <cell r="D226">
            <v>600000</v>
          </cell>
          <cell r="E226">
            <v>600000</v>
          </cell>
          <cell r="F226">
            <v>800000</v>
          </cell>
        </row>
        <row r="227">
          <cell r="A227" t="str">
            <v>SUCUPIRA (R)</v>
          </cell>
          <cell r="B227">
            <v>0.65833333333333333</v>
          </cell>
          <cell r="C227" t="str">
            <v>TNac</v>
          </cell>
          <cell r="D227">
            <v>400000</v>
          </cell>
          <cell r="F227">
            <v>400000</v>
          </cell>
          <cell r="G227">
            <v>400000</v>
          </cell>
          <cell r="H227">
            <v>400000</v>
          </cell>
          <cell r="I227">
            <v>400000</v>
          </cell>
        </row>
        <row r="228">
          <cell r="A228" t="str">
            <v>SUPER CINE</v>
          </cell>
          <cell r="C228" t="str">
            <v>TNac</v>
          </cell>
          <cell r="M228">
            <v>600000</v>
          </cell>
          <cell r="N228">
            <v>600000</v>
          </cell>
        </row>
        <row r="229">
          <cell r="A229" t="str">
            <v>SUPER DUPLA</v>
          </cell>
          <cell r="B229">
            <v>0.91666666666666663</v>
          </cell>
          <cell r="C229" t="str">
            <v>TNac</v>
          </cell>
        </row>
        <row r="230">
          <cell r="A230" t="str">
            <v>TELEFILMS CHILENOS</v>
          </cell>
          <cell r="B230">
            <v>0.96388888888888891</v>
          </cell>
          <cell r="C230" t="str">
            <v>TNac</v>
          </cell>
          <cell r="D230">
            <v>1000000</v>
          </cell>
        </row>
        <row r="231">
          <cell r="A231" t="str">
            <v>THE HOUNDCATS</v>
          </cell>
          <cell r="B231">
            <v>0.5131944444444444</v>
          </cell>
          <cell r="C231" t="str">
            <v>TNac</v>
          </cell>
          <cell r="D231">
            <v>140000</v>
          </cell>
          <cell r="E231">
            <v>140000</v>
          </cell>
          <cell r="F231">
            <v>200000</v>
          </cell>
          <cell r="G231">
            <v>220000</v>
          </cell>
          <cell r="H231">
            <v>170000</v>
          </cell>
        </row>
        <row r="232">
          <cell r="A232" t="str">
            <v>TIEMPO FINAL</v>
          </cell>
          <cell r="B232">
            <v>1.0409722222222222</v>
          </cell>
          <cell r="C232" t="str">
            <v>TNac</v>
          </cell>
          <cell r="D232">
            <v>800000</v>
          </cell>
          <cell r="F232">
            <v>900000</v>
          </cell>
          <cell r="G232">
            <v>900000</v>
          </cell>
          <cell r="H232">
            <v>900000</v>
          </cell>
          <cell r="I232">
            <v>900000</v>
          </cell>
          <cell r="J232">
            <v>800000</v>
          </cell>
          <cell r="K232">
            <v>800000</v>
          </cell>
          <cell r="L232">
            <v>800000</v>
          </cell>
          <cell r="M232">
            <v>800000</v>
          </cell>
          <cell r="N232">
            <v>800000</v>
          </cell>
        </row>
        <row r="233">
          <cell r="A233" t="str">
            <v>TIEMPO FINAL (R)</v>
          </cell>
          <cell r="B233">
            <v>1.0423611111111111</v>
          </cell>
          <cell r="C233" t="str">
            <v>TNac</v>
          </cell>
          <cell r="D233">
            <v>800000</v>
          </cell>
          <cell r="F233">
            <v>900000</v>
          </cell>
          <cell r="G233">
            <v>900000</v>
          </cell>
          <cell r="H233">
            <v>900000</v>
          </cell>
          <cell r="I233">
            <v>900000</v>
          </cell>
          <cell r="J233">
            <v>800000</v>
          </cell>
          <cell r="K233">
            <v>800000</v>
          </cell>
          <cell r="L233">
            <v>800000</v>
          </cell>
          <cell r="M233">
            <v>800000</v>
          </cell>
          <cell r="N233">
            <v>800000</v>
          </cell>
        </row>
        <row r="234">
          <cell r="A234" t="str">
            <v>TRONIA</v>
          </cell>
          <cell r="B234">
            <v>0.5330555555555555</v>
          </cell>
          <cell r="C234" t="str">
            <v>TNac</v>
          </cell>
          <cell r="D234">
            <v>140000</v>
          </cell>
          <cell r="E234">
            <v>140000</v>
          </cell>
          <cell r="F234">
            <v>200000</v>
          </cell>
          <cell r="G234">
            <v>240000</v>
          </cell>
          <cell r="H234">
            <v>170000</v>
          </cell>
          <cell r="I234">
            <v>170000</v>
          </cell>
          <cell r="J234">
            <v>170000</v>
          </cell>
          <cell r="K234">
            <v>170000</v>
          </cell>
          <cell r="L234">
            <v>180000</v>
          </cell>
          <cell r="M234">
            <v>200000</v>
          </cell>
          <cell r="N234">
            <v>200000</v>
          </cell>
        </row>
        <row r="235">
          <cell r="A235" t="str">
            <v>TV TIEMPO</v>
          </cell>
          <cell r="B235">
            <v>0.91339120370370364</v>
          </cell>
          <cell r="C235" t="str">
            <v>TNac</v>
          </cell>
        </row>
        <row r="236">
          <cell r="A236" t="str">
            <v>TV TIEMPO INFORME FINAL</v>
          </cell>
          <cell r="B236">
            <v>1.0654166666666667</v>
          </cell>
          <cell r="C236" t="str">
            <v>TNac</v>
          </cell>
          <cell r="D236">
            <v>800000</v>
          </cell>
          <cell r="E236">
            <v>900000</v>
          </cell>
          <cell r="F236">
            <v>900000</v>
          </cell>
          <cell r="G236">
            <v>900000</v>
          </cell>
        </row>
        <row r="237">
          <cell r="A237" t="str">
            <v>ULTIMO MINUTO</v>
          </cell>
          <cell r="B237">
            <v>0.98906249999999996</v>
          </cell>
          <cell r="C237" t="str">
            <v>TNac</v>
          </cell>
        </row>
        <row r="238">
          <cell r="A238" t="str">
            <v>UNA BELLEZA NUEVA</v>
          </cell>
          <cell r="C238" t="str">
            <v>TNac</v>
          </cell>
          <cell r="H238">
            <v>300000</v>
          </cell>
          <cell r="I238">
            <v>300000</v>
          </cell>
          <cell r="J238">
            <v>300000</v>
          </cell>
          <cell r="K238">
            <v>300000</v>
          </cell>
          <cell r="L238">
            <v>300000</v>
          </cell>
          <cell r="M238">
            <v>300000</v>
          </cell>
          <cell r="N238">
            <v>300000</v>
          </cell>
        </row>
        <row r="239">
          <cell r="A239" t="str">
            <v>UNA BELLEZA NUEVA (R)</v>
          </cell>
          <cell r="B239">
            <v>1.0263888888888888</v>
          </cell>
          <cell r="C239" t="str">
            <v>TNac</v>
          </cell>
          <cell r="H239">
            <v>350000</v>
          </cell>
          <cell r="I239">
            <v>350000</v>
          </cell>
          <cell r="N239">
            <v>300000</v>
          </cell>
        </row>
        <row r="240">
          <cell r="A240" t="str">
            <v>VIA PUBLICA</v>
          </cell>
          <cell r="C240" t="str">
            <v>TNac</v>
          </cell>
          <cell r="F240">
            <v>1000000</v>
          </cell>
        </row>
        <row r="241">
          <cell r="A241" t="str">
            <v>VIDA</v>
          </cell>
          <cell r="C241" t="str">
            <v>TNac</v>
          </cell>
          <cell r="G241">
            <v>2800000</v>
          </cell>
          <cell r="H241">
            <v>2400000</v>
          </cell>
          <cell r="I241">
            <v>2100000</v>
          </cell>
        </row>
        <row r="242">
          <cell r="A242" t="str">
            <v>VIUDA ALEGRE (R)</v>
          </cell>
          <cell r="C242" t="str">
            <v>TNac</v>
          </cell>
          <cell r="K242">
            <v>300000</v>
          </cell>
          <cell r="L242">
            <v>300000</v>
          </cell>
        </row>
        <row r="243">
          <cell r="A243" t="str">
            <v>VIUDA ALEGRE A-B (19:55 A 20:15 HRS)</v>
          </cell>
          <cell r="C243" t="str">
            <v>TNac</v>
          </cell>
          <cell r="J243">
            <v>2300000</v>
          </cell>
          <cell r="K243">
            <v>1900000</v>
          </cell>
          <cell r="L243">
            <v>1600000</v>
          </cell>
          <cell r="M243">
            <v>1350000</v>
          </cell>
          <cell r="N243">
            <v>1350000</v>
          </cell>
        </row>
        <row r="244">
          <cell r="A244" t="str">
            <v>VIUDA ALEGRE C-D (20:16 A 21:00 HRS)</v>
          </cell>
          <cell r="C244" t="str">
            <v>TNac</v>
          </cell>
          <cell r="J244">
            <v>2600000</v>
          </cell>
          <cell r="K244">
            <v>2400000</v>
          </cell>
          <cell r="L244">
            <v>2400000</v>
          </cell>
          <cell r="M244">
            <v>2250000</v>
          </cell>
          <cell r="N244">
            <v>2050000</v>
          </cell>
        </row>
        <row r="245">
          <cell r="A245" t="str">
            <v>ZOOM DEPORTIVO</v>
          </cell>
          <cell r="B245">
            <v>1.0104166666666667</v>
          </cell>
          <cell r="C245" t="str">
            <v>TNac</v>
          </cell>
          <cell r="D245">
            <v>400000</v>
          </cell>
          <cell r="E245">
            <v>400000</v>
          </cell>
          <cell r="F245">
            <v>400000</v>
          </cell>
          <cell r="G245">
            <v>400000</v>
          </cell>
          <cell r="J245">
            <v>500000</v>
          </cell>
          <cell r="K245">
            <v>500000</v>
          </cell>
          <cell r="L245">
            <v>450000</v>
          </cell>
          <cell r="M245">
            <v>450000</v>
          </cell>
          <cell r="N245">
            <v>450000</v>
          </cell>
        </row>
        <row r="246">
          <cell r="A246" t="str">
            <v>3 X 3</v>
          </cell>
          <cell r="B246">
            <v>0.27083333333333331</v>
          </cell>
          <cell r="C246" t="str">
            <v>UCat</v>
          </cell>
          <cell r="D246">
            <v>110000</v>
          </cell>
          <cell r="E246">
            <v>110000</v>
          </cell>
          <cell r="F246">
            <v>75000</v>
          </cell>
          <cell r="G246">
            <v>75000</v>
          </cell>
          <cell r="H246">
            <v>75000</v>
          </cell>
          <cell r="I246">
            <v>75000</v>
          </cell>
          <cell r="J246">
            <v>75000</v>
          </cell>
          <cell r="K246">
            <v>75000</v>
          </cell>
          <cell r="L246">
            <v>75000</v>
          </cell>
          <cell r="M246">
            <v>65000</v>
          </cell>
          <cell r="N246">
            <v>65000</v>
          </cell>
        </row>
        <row r="247">
          <cell r="A247" t="str">
            <v>6PM</v>
          </cell>
          <cell r="B247">
            <v>0.75013888888888891</v>
          </cell>
          <cell r="C247" t="str">
            <v>UCat</v>
          </cell>
        </row>
        <row r="248">
          <cell r="A248" t="str">
            <v>ALFOMBRA ROJA</v>
          </cell>
          <cell r="B248">
            <v>0.69810185185185192</v>
          </cell>
          <cell r="C248" t="str">
            <v>UCat</v>
          </cell>
          <cell r="D248">
            <v>500000</v>
          </cell>
          <cell r="E248">
            <v>500000</v>
          </cell>
          <cell r="F248">
            <v>410000</v>
          </cell>
          <cell r="G248">
            <v>410000</v>
          </cell>
          <cell r="H248">
            <v>370000</v>
          </cell>
          <cell r="I248">
            <v>410000</v>
          </cell>
          <cell r="J248">
            <v>500000</v>
          </cell>
          <cell r="K248">
            <v>500000</v>
          </cell>
          <cell r="L248">
            <v>500000</v>
          </cell>
          <cell r="M248">
            <v>520000</v>
          </cell>
          <cell r="N248">
            <v>520000</v>
          </cell>
        </row>
        <row r="249">
          <cell r="A249" t="str">
            <v>ALFOMBRA ROJA (R)</v>
          </cell>
          <cell r="B249">
            <v>1.1015277777777779</v>
          </cell>
          <cell r="C249" t="str">
            <v>UCat</v>
          </cell>
          <cell r="D249">
            <v>230000</v>
          </cell>
        </row>
        <row r="250">
          <cell r="A250" t="str">
            <v>AMANGO</v>
          </cell>
          <cell r="B250">
            <v>0.9868055555555556</v>
          </cell>
          <cell r="C250" t="str">
            <v>UCat</v>
          </cell>
          <cell r="D250">
            <v>850000</v>
          </cell>
          <cell r="K250">
            <v>1050000</v>
          </cell>
          <cell r="L250">
            <v>1050000</v>
          </cell>
          <cell r="M250">
            <v>1050000</v>
          </cell>
          <cell r="N250">
            <v>300000</v>
          </cell>
        </row>
        <row r="251">
          <cell r="A251" t="str">
            <v>AMANGO (MARATON)</v>
          </cell>
          <cell r="C251" t="str">
            <v>UCat</v>
          </cell>
          <cell r="D251">
            <v>850000</v>
          </cell>
        </row>
        <row r="252">
          <cell r="A252" t="str">
            <v>AMANGO (R)</v>
          </cell>
          <cell r="B252">
            <v>0.53749999999999998</v>
          </cell>
          <cell r="C252" t="str">
            <v>UCat</v>
          </cell>
        </row>
        <row r="253">
          <cell r="A253" t="str">
            <v>AMAZONIA</v>
          </cell>
          <cell r="C253" t="str">
            <v>UCat</v>
          </cell>
          <cell r="H253">
            <v>1140000</v>
          </cell>
          <cell r="I253">
            <v>410000</v>
          </cell>
        </row>
        <row r="254">
          <cell r="A254" t="str">
            <v>AMAZONIA (R)</v>
          </cell>
          <cell r="C254" t="str">
            <v>UCat</v>
          </cell>
          <cell r="H254">
            <v>550000</v>
          </cell>
          <cell r="I254">
            <v>410000</v>
          </cell>
        </row>
        <row r="255">
          <cell r="A255" t="str">
            <v>AMERICA</v>
          </cell>
          <cell r="B255">
            <v>0.64944444444444438</v>
          </cell>
          <cell r="C255" t="str">
            <v>UCat</v>
          </cell>
        </row>
        <row r="256">
          <cell r="A256" t="str">
            <v>AMOR CIEGO (BRUTO)</v>
          </cell>
          <cell r="C256" t="str">
            <v>UCat</v>
          </cell>
          <cell r="H256">
            <v>340000</v>
          </cell>
          <cell r="I256">
            <v>410000</v>
          </cell>
          <cell r="J256">
            <v>450000</v>
          </cell>
          <cell r="K256">
            <v>520000</v>
          </cell>
        </row>
        <row r="257">
          <cell r="A257" t="str">
            <v>AMOR CIEGO (JUE)</v>
          </cell>
          <cell r="C257" t="str">
            <v>UCat</v>
          </cell>
          <cell r="H257">
            <v>2200000</v>
          </cell>
          <cell r="I257">
            <v>2400000</v>
          </cell>
          <cell r="J257">
            <v>2900000</v>
          </cell>
          <cell r="K257">
            <v>3250000</v>
          </cell>
        </row>
        <row r="258">
          <cell r="A258" t="str">
            <v>AMOR CIEGO (LA RECTA FINAL)</v>
          </cell>
          <cell r="C258" t="str">
            <v>UCat</v>
          </cell>
          <cell r="K258">
            <v>850000</v>
          </cell>
        </row>
        <row r="259">
          <cell r="A259" t="str">
            <v>AMOR CIEGO (LUN)</v>
          </cell>
          <cell r="C259" t="str">
            <v>UCat</v>
          </cell>
          <cell r="H259">
            <v>2200000</v>
          </cell>
          <cell r="I259">
            <v>2400000</v>
          </cell>
          <cell r="J259">
            <v>2700000</v>
          </cell>
          <cell r="K259">
            <v>2900000</v>
          </cell>
        </row>
        <row r="260">
          <cell r="A260" t="str">
            <v>AMOR CIEGO (MAR)</v>
          </cell>
          <cell r="C260" t="str">
            <v>UCat</v>
          </cell>
          <cell r="H260">
            <v>2200000</v>
          </cell>
          <cell r="I260">
            <v>2400000</v>
          </cell>
        </row>
        <row r="261">
          <cell r="A261" t="str">
            <v>AMOR CIEGO (MARATON)</v>
          </cell>
          <cell r="C261" t="str">
            <v>UCat</v>
          </cell>
          <cell r="I261">
            <v>100000</v>
          </cell>
        </row>
        <row r="262">
          <cell r="A262" t="str">
            <v>AMOR CIEGO (MIE)</v>
          </cell>
          <cell r="C262" t="str">
            <v>UCat</v>
          </cell>
          <cell r="J262">
            <v>810000</v>
          </cell>
        </row>
        <row r="263">
          <cell r="A263" t="str">
            <v>AMOR CIEGO (R)</v>
          </cell>
          <cell r="C263" t="str">
            <v>UCat</v>
          </cell>
          <cell r="I263">
            <v>280000</v>
          </cell>
          <cell r="J263">
            <v>280000</v>
          </cell>
          <cell r="K263">
            <v>280000</v>
          </cell>
        </row>
        <row r="264">
          <cell r="A264" t="str">
            <v>AMOR CIEGO 2 (CASTING)</v>
          </cell>
          <cell r="C264" t="str">
            <v>UCat</v>
          </cell>
          <cell r="M264">
            <v>1850000</v>
          </cell>
        </row>
        <row r="265">
          <cell r="A265" t="str">
            <v>ANNONIMOS</v>
          </cell>
          <cell r="B265">
            <v>0.97986111111111107</v>
          </cell>
          <cell r="C265" t="str">
            <v>UCat</v>
          </cell>
          <cell r="L265">
            <v>750000</v>
          </cell>
          <cell r="M265">
            <v>770000</v>
          </cell>
        </row>
        <row r="266">
          <cell r="A266" t="str">
            <v>ANONIMOS</v>
          </cell>
          <cell r="C266" t="str">
            <v>UCat</v>
          </cell>
          <cell r="K266">
            <v>850000</v>
          </cell>
          <cell r="L266">
            <v>750000</v>
          </cell>
          <cell r="M266">
            <v>770000</v>
          </cell>
        </row>
        <row r="267">
          <cell r="A267" t="str">
            <v>ART ATTACK</v>
          </cell>
          <cell r="B267">
            <v>0.50069444444444444</v>
          </cell>
          <cell r="C267" t="str">
            <v>UCat</v>
          </cell>
          <cell r="D267">
            <v>190000</v>
          </cell>
          <cell r="E267">
            <v>230000</v>
          </cell>
          <cell r="H267">
            <v>190000</v>
          </cell>
          <cell r="I267">
            <v>210000</v>
          </cell>
          <cell r="J267">
            <v>230000</v>
          </cell>
          <cell r="K267">
            <v>230000</v>
          </cell>
          <cell r="L267">
            <v>130000</v>
          </cell>
          <cell r="M267">
            <v>130000</v>
          </cell>
          <cell r="N267">
            <v>160000</v>
          </cell>
        </row>
        <row r="268">
          <cell r="A268" t="str">
            <v>BELISSIMA</v>
          </cell>
          <cell r="B268">
            <v>0.60555555555555551</v>
          </cell>
          <cell r="C268" t="str">
            <v>UCat</v>
          </cell>
          <cell r="D268">
            <v>600000</v>
          </cell>
          <cell r="E268">
            <v>630000</v>
          </cell>
          <cell r="F268">
            <v>630000</v>
          </cell>
          <cell r="G268">
            <v>670000</v>
          </cell>
        </row>
        <row r="269">
          <cell r="A269" t="str">
            <v>BESOS Y ACCION</v>
          </cell>
          <cell r="B269">
            <v>0.9159722222222223</v>
          </cell>
          <cell r="C269" t="str">
            <v>UCat</v>
          </cell>
          <cell r="E269">
            <v>1500000</v>
          </cell>
          <cell r="F269">
            <v>1500000</v>
          </cell>
          <cell r="G269">
            <v>1320000</v>
          </cell>
        </row>
        <row r="270">
          <cell r="A270" t="str">
            <v>C S I</v>
          </cell>
          <cell r="B270">
            <v>0.98124999999999996</v>
          </cell>
          <cell r="C270" t="str">
            <v>UCat</v>
          </cell>
          <cell r="D270">
            <v>900000</v>
          </cell>
          <cell r="E270">
            <v>930000</v>
          </cell>
          <cell r="F270">
            <v>920000</v>
          </cell>
          <cell r="G270">
            <v>990000</v>
          </cell>
          <cell r="K270">
            <v>370000</v>
          </cell>
          <cell r="L270">
            <v>410000</v>
          </cell>
          <cell r="M270">
            <v>410000</v>
          </cell>
          <cell r="N270">
            <v>410000</v>
          </cell>
        </row>
        <row r="271">
          <cell r="A271" t="str">
            <v>C S I</v>
          </cell>
          <cell r="B271">
            <v>1.0648148148148149</v>
          </cell>
          <cell r="C271" t="str">
            <v>UCat</v>
          </cell>
          <cell r="D271">
            <v>900000</v>
          </cell>
          <cell r="E271">
            <v>930000</v>
          </cell>
          <cell r="F271">
            <v>920000</v>
          </cell>
          <cell r="G271">
            <v>990000</v>
          </cell>
          <cell r="L271">
            <v>410000</v>
          </cell>
          <cell r="M271">
            <v>410000</v>
          </cell>
          <cell r="N271">
            <v>410000</v>
          </cell>
        </row>
        <row r="272">
          <cell r="A272" t="str">
            <v>C S I (MIE)</v>
          </cell>
          <cell r="C272" t="str">
            <v>UCat</v>
          </cell>
          <cell r="G272">
            <v>990000</v>
          </cell>
        </row>
        <row r="273">
          <cell r="A273" t="str">
            <v>C S I (VIE)</v>
          </cell>
          <cell r="C273" t="str">
            <v>UCat</v>
          </cell>
          <cell r="G273">
            <v>930000</v>
          </cell>
        </row>
        <row r="274">
          <cell r="A274" t="str">
            <v>C S I MIAMI</v>
          </cell>
          <cell r="B274">
            <v>1.0505787037037038</v>
          </cell>
          <cell r="C274" t="str">
            <v>UCat</v>
          </cell>
          <cell r="D274">
            <v>900000</v>
          </cell>
          <cell r="E274">
            <v>930000</v>
          </cell>
          <cell r="F274">
            <v>920000</v>
          </cell>
          <cell r="G274">
            <v>990000</v>
          </cell>
          <cell r="H274">
            <v>550000</v>
          </cell>
          <cell r="I274">
            <v>340000</v>
          </cell>
          <cell r="K274">
            <v>370000</v>
          </cell>
          <cell r="L274">
            <v>410000</v>
          </cell>
          <cell r="M274">
            <v>410000</v>
          </cell>
          <cell r="N274">
            <v>410000</v>
          </cell>
        </row>
        <row r="275">
          <cell r="A275" t="str">
            <v>C S I MIAMI</v>
          </cell>
          <cell r="C275" t="str">
            <v>UCat</v>
          </cell>
          <cell r="H275">
            <v>550000</v>
          </cell>
          <cell r="I275">
            <v>340000</v>
          </cell>
          <cell r="K275">
            <v>370000</v>
          </cell>
          <cell r="L275">
            <v>410000</v>
          </cell>
          <cell r="M275">
            <v>410000</v>
          </cell>
          <cell r="N275">
            <v>410000</v>
          </cell>
        </row>
        <row r="276">
          <cell r="A276" t="str">
            <v>C.S.I. MIAMI</v>
          </cell>
          <cell r="B276">
            <v>0.99548611111111107</v>
          </cell>
          <cell r="C276" t="str">
            <v>UCat</v>
          </cell>
          <cell r="D276">
            <v>900000</v>
          </cell>
          <cell r="E276">
            <v>930000</v>
          </cell>
          <cell r="F276">
            <v>920000</v>
          </cell>
          <cell r="G276">
            <v>990000</v>
          </cell>
          <cell r="H276">
            <v>550000</v>
          </cell>
          <cell r="I276">
            <v>340000</v>
          </cell>
          <cell r="K276">
            <v>370000</v>
          </cell>
          <cell r="L276">
            <v>410000</v>
          </cell>
          <cell r="M276">
            <v>410000</v>
          </cell>
          <cell r="N276">
            <v>410000</v>
          </cell>
        </row>
        <row r="277">
          <cell r="A277" t="str">
            <v>CANTANDO POR UN SUENO</v>
          </cell>
          <cell r="B277">
            <v>0.91666666666666663</v>
          </cell>
          <cell r="C277" t="str">
            <v>UCat</v>
          </cell>
        </row>
        <row r="278">
          <cell r="A278" t="str">
            <v>CASATE CONMIGO</v>
          </cell>
          <cell r="C278" t="str">
            <v>UCat</v>
          </cell>
          <cell r="E278">
            <v>2250000</v>
          </cell>
          <cell r="F278">
            <v>2200000</v>
          </cell>
          <cell r="G278">
            <v>2700000</v>
          </cell>
        </row>
        <row r="279">
          <cell r="A279" t="str">
            <v>CHOCOLATE LA REVISTA DE A.R.</v>
          </cell>
          <cell r="C279" t="str">
            <v>UCat</v>
          </cell>
          <cell r="D279">
            <v>230000</v>
          </cell>
          <cell r="E279">
            <v>230000</v>
          </cell>
          <cell r="F279">
            <v>230000</v>
          </cell>
          <cell r="G279">
            <v>190000</v>
          </cell>
        </row>
        <row r="280">
          <cell r="A280" t="str">
            <v>CINE DE ACCION</v>
          </cell>
          <cell r="B280">
            <v>1.0972222222222221</v>
          </cell>
          <cell r="C280" t="str">
            <v>UCat</v>
          </cell>
          <cell r="D280">
            <v>210000</v>
          </cell>
          <cell r="E280">
            <v>230000</v>
          </cell>
        </row>
        <row r="281">
          <cell r="A281" t="str">
            <v>CINE DE SELECCION</v>
          </cell>
          <cell r="B281">
            <v>1.0456597222222224</v>
          </cell>
          <cell r="C281" t="str">
            <v>UCat</v>
          </cell>
          <cell r="D281">
            <v>260000</v>
          </cell>
          <cell r="E281">
            <v>280000</v>
          </cell>
          <cell r="F281">
            <v>280000</v>
          </cell>
          <cell r="G281">
            <v>280000</v>
          </cell>
          <cell r="H281">
            <v>280000</v>
          </cell>
          <cell r="I281">
            <v>410000</v>
          </cell>
          <cell r="J281">
            <v>370000</v>
          </cell>
          <cell r="K281">
            <v>340000</v>
          </cell>
          <cell r="L281">
            <v>340000</v>
          </cell>
          <cell r="M281">
            <v>340000</v>
          </cell>
          <cell r="N281">
            <v>300000</v>
          </cell>
        </row>
        <row r="282">
          <cell r="A282" t="str">
            <v>CINE EN SU CASA</v>
          </cell>
          <cell r="B282">
            <v>0.80763888888888891</v>
          </cell>
          <cell r="C282" t="str">
            <v>UCat</v>
          </cell>
          <cell r="H282">
            <v>600000</v>
          </cell>
          <cell r="I282">
            <v>550000</v>
          </cell>
          <cell r="J282">
            <v>570000</v>
          </cell>
        </row>
        <row r="283">
          <cell r="A283" t="str">
            <v>CINE EN SU CASA</v>
          </cell>
          <cell r="C283" t="str">
            <v>UCat</v>
          </cell>
          <cell r="H283">
            <v>600000</v>
          </cell>
          <cell r="I283">
            <v>550000</v>
          </cell>
          <cell r="J283">
            <v>570000</v>
          </cell>
        </row>
        <row r="284">
          <cell r="A284" t="str">
            <v>CINE EN TU CASA</v>
          </cell>
          <cell r="C284" t="str">
            <v>UCat</v>
          </cell>
          <cell r="H284">
            <v>600000</v>
          </cell>
          <cell r="I284">
            <v>550000</v>
          </cell>
          <cell r="J284">
            <v>570000</v>
          </cell>
        </row>
        <row r="285">
          <cell r="A285" t="str">
            <v>CINE FAMILIAR</v>
          </cell>
          <cell r="C285" t="str">
            <v>UCat</v>
          </cell>
          <cell r="E285">
            <v>446100</v>
          </cell>
          <cell r="F285">
            <v>446100</v>
          </cell>
        </row>
        <row r="286">
          <cell r="A286" t="str">
            <v>COBRAS Y LAGARTOS</v>
          </cell>
          <cell r="C286" t="str">
            <v>UCat</v>
          </cell>
          <cell r="H286">
            <v>550000</v>
          </cell>
          <cell r="I286">
            <v>570000</v>
          </cell>
          <cell r="J286">
            <v>600000</v>
          </cell>
          <cell r="K286">
            <v>600000</v>
          </cell>
          <cell r="L286">
            <v>630000</v>
          </cell>
          <cell r="M286">
            <v>700000</v>
          </cell>
          <cell r="N286">
            <v>740000</v>
          </cell>
        </row>
        <row r="287">
          <cell r="A287" t="str">
            <v>CONTACTO</v>
          </cell>
          <cell r="B287">
            <v>0.91666666666666663</v>
          </cell>
          <cell r="C287" t="str">
            <v>UCat</v>
          </cell>
          <cell r="D287">
            <v>2900000</v>
          </cell>
          <cell r="M287">
            <v>2950000</v>
          </cell>
          <cell r="N287">
            <v>2950000</v>
          </cell>
        </row>
        <row r="288">
          <cell r="A288" t="str">
            <v>CONTACTO (LO MEJOR)</v>
          </cell>
          <cell r="B288">
            <v>0.91684027777777777</v>
          </cell>
          <cell r="C288" t="str">
            <v>UCat</v>
          </cell>
          <cell r="D288">
            <v>2900000</v>
          </cell>
        </row>
        <row r="289">
          <cell r="A289" t="str">
            <v>CONTACTO (R)</v>
          </cell>
          <cell r="C289" t="str">
            <v>UCat</v>
          </cell>
          <cell r="M289">
            <v>550000</v>
          </cell>
          <cell r="N289">
            <v>670000</v>
          </cell>
        </row>
        <row r="290">
          <cell r="A290" t="str">
            <v>CSI NY</v>
          </cell>
          <cell r="C290" t="str">
            <v>UCat</v>
          </cell>
          <cell r="H290">
            <v>550000</v>
          </cell>
          <cell r="I290">
            <v>340000</v>
          </cell>
        </row>
        <row r="291">
          <cell r="A291" t="str">
            <v>CUBOX</v>
          </cell>
          <cell r="C291" t="str">
            <v>UCat</v>
          </cell>
          <cell r="D291">
            <v>250000</v>
          </cell>
          <cell r="E291">
            <v>280000</v>
          </cell>
          <cell r="F291">
            <v>250000</v>
          </cell>
          <cell r="G291">
            <v>280000</v>
          </cell>
          <cell r="H291">
            <v>190000</v>
          </cell>
          <cell r="I291">
            <v>150000</v>
          </cell>
          <cell r="J291">
            <v>190000</v>
          </cell>
          <cell r="K291">
            <v>190000</v>
          </cell>
          <cell r="L291">
            <v>190000</v>
          </cell>
          <cell r="M291">
            <v>280000</v>
          </cell>
          <cell r="N291">
            <v>280000</v>
          </cell>
        </row>
        <row r="292">
          <cell r="A292" t="str">
            <v>CUBOX MANANA</v>
          </cell>
          <cell r="B292">
            <v>0.52792824074074074</v>
          </cell>
          <cell r="C292" t="str">
            <v>UCat</v>
          </cell>
          <cell r="D292">
            <v>190000</v>
          </cell>
          <cell r="E292">
            <v>230000</v>
          </cell>
          <cell r="H292">
            <v>190000</v>
          </cell>
          <cell r="I292">
            <v>150000</v>
          </cell>
        </row>
        <row r="293">
          <cell r="A293" t="str">
            <v>CUESTION DE PESO</v>
          </cell>
          <cell r="B293">
            <v>0.6560879629629629</v>
          </cell>
          <cell r="C293" t="str">
            <v>UCat</v>
          </cell>
          <cell r="D293">
            <v>370000</v>
          </cell>
          <cell r="E293">
            <v>370000</v>
          </cell>
          <cell r="F293">
            <v>370000</v>
          </cell>
          <cell r="G293">
            <v>500000</v>
          </cell>
          <cell r="J293">
            <v>500000</v>
          </cell>
          <cell r="K293">
            <v>410000</v>
          </cell>
          <cell r="L293">
            <v>410000</v>
          </cell>
          <cell r="M293">
            <v>410000</v>
          </cell>
        </row>
        <row r="294">
          <cell r="A294" t="str">
            <v>CUESTION DE PESO (R)</v>
          </cell>
          <cell r="C294" t="str">
            <v>UCat</v>
          </cell>
          <cell r="D294">
            <v>230000</v>
          </cell>
          <cell r="E294">
            <v>170000</v>
          </cell>
          <cell r="F294">
            <v>175000</v>
          </cell>
          <cell r="G294">
            <v>170000</v>
          </cell>
        </row>
        <row r="295">
          <cell r="A295" t="str">
            <v>DATING</v>
          </cell>
          <cell r="C295" t="str">
            <v>UCat</v>
          </cell>
          <cell r="H295">
            <v>2200000</v>
          </cell>
        </row>
        <row r="296">
          <cell r="A296" t="str">
            <v>DATING BRUTO</v>
          </cell>
          <cell r="C296" t="str">
            <v>UCat</v>
          </cell>
          <cell r="H296">
            <v>340000</v>
          </cell>
        </row>
        <row r="297">
          <cell r="A297" t="str">
            <v>DEPORTES 13 FULL</v>
          </cell>
          <cell r="C297" t="str">
            <v>UCat</v>
          </cell>
          <cell r="D297">
            <v>230000</v>
          </cell>
          <cell r="E297">
            <v>210000</v>
          </cell>
          <cell r="F297">
            <v>210000</v>
          </cell>
          <cell r="G297">
            <v>210000</v>
          </cell>
          <cell r="H297">
            <v>210000</v>
          </cell>
          <cell r="I297">
            <v>210000</v>
          </cell>
          <cell r="J297">
            <v>210000</v>
          </cell>
          <cell r="K297">
            <v>210000</v>
          </cell>
          <cell r="L297">
            <v>280000</v>
          </cell>
          <cell r="M297">
            <v>280000</v>
          </cell>
          <cell r="N297">
            <v>410000</v>
          </cell>
        </row>
        <row r="298">
          <cell r="A298" t="str">
            <v>DIAGNOSTICO</v>
          </cell>
          <cell r="C298" t="str">
            <v>UCat</v>
          </cell>
          <cell r="E298">
            <v>2450000</v>
          </cell>
          <cell r="F298">
            <v>2950000</v>
          </cell>
          <cell r="G298">
            <v>2950000</v>
          </cell>
        </row>
        <row r="299">
          <cell r="A299" t="str">
            <v>DINASTIA SA SA</v>
          </cell>
          <cell r="B299">
            <v>0.97833333333333339</v>
          </cell>
          <cell r="C299" t="str">
            <v>UCat</v>
          </cell>
        </row>
        <row r="300">
          <cell r="A300" t="str">
            <v>DINASTIA SA SA (R)</v>
          </cell>
          <cell r="B300">
            <v>0.95190972222222225</v>
          </cell>
          <cell r="C300" t="str">
            <v>UCat</v>
          </cell>
        </row>
        <row r="301">
          <cell r="A301" t="str">
            <v>DOCTOR VIDAL CIRUGIAS QUE CU(R</v>
          </cell>
          <cell r="C301" t="str">
            <v>UCat</v>
          </cell>
          <cell r="J301">
            <v>550000</v>
          </cell>
          <cell r="K301">
            <v>600000</v>
          </cell>
          <cell r="L301">
            <v>850000</v>
          </cell>
        </row>
        <row r="302">
          <cell r="A302" t="str">
            <v>DOCTOR VIDAL CIRUGIAS QUE CURA</v>
          </cell>
          <cell r="B302">
            <v>0.91666666666666663</v>
          </cell>
          <cell r="C302" t="str">
            <v>UCat</v>
          </cell>
          <cell r="J302">
            <v>2900000</v>
          </cell>
          <cell r="K302">
            <v>2900000</v>
          </cell>
          <cell r="L302">
            <v>2950000</v>
          </cell>
        </row>
        <row r="303">
          <cell r="A303" t="str">
            <v>DON AMOR (A)</v>
          </cell>
          <cell r="C303" t="str">
            <v>UCat</v>
          </cell>
          <cell r="J303">
            <v>2250000</v>
          </cell>
          <cell r="K303">
            <v>2200000</v>
          </cell>
          <cell r="L303">
            <v>1650000</v>
          </cell>
          <cell r="M303">
            <v>1850000</v>
          </cell>
          <cell r="N303">
            <v>2200000</v>
          </cell>
        </row>
        <row r="304">
          <cell r="A304" t="str">
            <v>DON AMOR (B)</v>
          </cell>
          <cell r="C304" t="str">
            <v>UCat</v>
          </cell>
          <cell r="J304">
            <v>2700000</v>
          </cell>
          <cell r="K304">
            <v>2450000</v>
          </cell>
          <cell r="L304">
            <v>1850000</v>
          </cell>
          <cell r="M304">
            <v>2000000</v>
          </cell>
          <cell r="N304">
            <v>2450000</v>
          </cell>
        </row>
        <row r="305">
          <cell r="A305" t="str">
            <v>DON FRANCISCO PRESENTA</v>
          </cell>
          <cell r="B305">
            <v>0.9159722222222223</v>
          </cell>
          <cell r="C305" t="str">
            <v>UCat</v>
          </cell>
        </row>
        <row r="306">
          <cell r="A306" t="str">
            <v>EFECTO DOMINO</v>
          </cell>
          <cell r="C306" t="str">
            <v>UCat</v>
          </cell>
          <cell r="E306">
            <v>600000</v>
          </cell>
          <cell r="F306">
            <v>810000</v>
          </cell>
          <cell r="G306">
            <v>800000</v>
          </cell>
          <cell r="M306">
            <v>770000</v>
          </cell>
          <cell r="N306">
            <v>770000</v>
          </cell>
        </row>
        <row r="307">
          <cell r="A307" t="str">
            <v>EL CLUB</v>
          </cell>
          <cell r="B307">
            <v>0.48483796296296294</v>
          </cell>
          <cell r="C307" t="str">
            <v>UCat</v>
          </cell>
          <cell r="D307">
            <v>230000</v>
          </cell>
          <cell r="E307">
            <v>250000</v>
          </cell>
          <cell r="H307">
            <v>190000</v>
          </cell>
          <cell r="I307">
            <v>210000</v>
          </cell>
          <cell r="J307">
            <v>230000</v>
          </cell>
          <cell r="K307">
            <v>230000</v>
          </cell>
          <cell r="L307">
            <v>130000</v>
          </cell>
          <cell r="M307">
            <v>130000</v>
          </cell>
          <cell r="N307">
            <v>160000</v>
          </cell>
        </row>
        <row r="308">
          <cell r="A308" t="str">
            <v>EL CLUB DISNEY</v>
          </cell>
          <cell r="B308">
            <v>0.52597222222222217</v>
          </cell>
          <cell r="C308" t="str">
            <v>UCat</v>
          </cell>
          <cell r="D308">
            <v>230000</v>
          </cell>
          <cell r="E308">
            <v>250000</v>
          </cell>
          <cell r="H308">
            <v>190000</v>
          </cell>
          <cell r="I308">
            <v>210000</v>
          </cell>
          <cell r="J308">
            <v>230000</v>
          </cell>
          <cell r="K308">
            <v>230000</v>
          </cell>
          <cell r="L308">
            <v>130000</v>
          </cell>
          <cell r="M308">
            <v>130000</v>
          </cell>
          <cell r="N308">
            <v>160000</v>
          </cell>
        </row>
        <row r="309">
          <cell r="A309" t="str">
            <v>EL DOMINGO HABLAMOS (R)</v>
          </cell>
          <cell r="B309">
            <v>1.0347222222222221</v>
          </cell>
          <cell r="C309" t="str">
            <v>UCat</v>
          </cell>
          <cell r="D309">
            <v>120000</v>
          </cell>
        </row>
        <row r="310">
          <cell r="A310" t="str">
            <v>EN BOCA DE TODOS</v>
          </cell>
          <cell r="B310">
            <v>0.2923263888888889</v>
          </cell>
          <cell r="C310" t="str">
            <v>UCat</v>
          </cell>
          <cell r="D310">
            <v>550000</v>
          </cell>
          <cell r="E310">
            <v>550000</v>
          </cell>
          <cell r="F310">
            <v>570000</v>
          </cell>
          <cell r="G310">
            <v>570000</v>
          </cell>
          <cell r="H310">
            <v>450000</v>
          </cell>
          <cell r="I310">
            <v>450000</v>
          </cell>
          <cell r="J310">
            <v>450000</v>
          </cell>
          <cell r="K310">
            <v>450000</v>
          </cell>
          <cell r="L310">
            <v>520000</v>
          </cell>
          <cell r="M310">
            <v>580000</v>
          </cell>
          <cell r="N310">
            <v>580000</v>
          </cell>
        </row>
        <row r="311">
          <cell r="A311" t="str">
            <v>EN LA BARRA CON ALDO</v>
          </cell>
          <cell r="C311" t="str">
            <v>UCat</v>
          </cell>
          <cell r="K311">
            <v>550000</v>
          </cell>
          <cell r="L311">
            <v>450000</v>
          </cell>
          <cell r="M311">
            <v>450000</v>
          </cell>
          <cell r="N311">
            <v>450000</v>
          </cell>
        </row>
        <row r="312">
          <cell r="A312" t="str">
            <v>FAMA</v>
          </cell>
          <cell r="B312">
            <v>0.95055555555555549</v>
          </cell>
          <cell r="C312" t="str">
            <v>UCat</v>
          </cell>
        </row>
        <row r="313">
          <cell r="A313" t="str">
            <v>FAMA (LO MEJOR)</v>
          </cell>
          <cell r="B313">
            <v>0.9868055555555556</v>
          </cell>
          <cell r="C313" t="str">
            <v>UCat</v>
          </cell>
        </row>
        <row r="314">
          <cell r="A314" t="str">
            <v>FAMA (R)</v>
          </cell>
          <cell r="B314">
            <v>0.52700231481481474</v>
          </cell>
          <cell r="C314" t="str">
            <v>UCat</v>
          </cell>
        </row>
        <row r="315">
          <cell r="A315" t="str">
            <v>FLOR DE PAIS</v>
          </cell>
          <cell r="B315">
            <v>0.76840277777777777</v>
          </cell>
          <cell r="C315" t="str">
            <v>UCat</v>
          </cell>
        </row>
        <row r="316">
          <cell r="A316" t="str">
            <v>FUTBOL INTERNACIONAL</v>
          </cell>
          <cell r="B316">
            <v>0.86458333333333337</v>
          </cell>
          <cell r="C316" t="str">
            <v>UCat</v>
          </cell>
        </row>
        <row r="317">
          <cell r="A317" t="str">
            <v>FUTURAMA</v>
          </cell>
          <cell r="B317">
            <v>0.81322916666666656</v>
          </cell>
          <cell r="C317" t="str">
            <v>UCat</v>
          </cell>
        </row>
        <row r="318">
          <cell r="A318" t="str">
            <v>GIGANTES CON VIVI</v>
          </cell>
          <cell r="C318" t="str">
            <v>UCat</v>
          </cell>
          <cell r="E318">
            <v>2000000</v>
          </cell>
          <cell r="F318">
            <v>1850000</v>
          </cell>
          <cell r="G318">
            <v>1850000</v>
          </cell>
          <cell r="K318">
            <v>1850000</v>
          </cell>
          <cell r="L318">
            <v>1850000</v>
          </cell>
          <cell r="M318">
            <v>1850000</v>
          </cell>
          <cell r="N318">
            <v>1850000</v>
          </cell>
        </row>
        <row r="319">
          <cell r="A319" t="str">
            <v>GRANDES EVENTOS</v>
          </cell>
          <cell r="B319">
            <v>0.91791666666666671</v>
          </cell>
          <cell r="C319" t="str">
            <v>UCat</v>
          </cell>
          <cell r="D319">
            <v>2250000</v>
          </cell>
          <cell r="E319">
            <v>2200000</v>
          </cell>
          <cell r="H319">
            <v>1350000</v>
          </cell>
          <cell r="I319">
            <v>1350000</v>
          </cell>
          <cell r="J319">
            <v>1850000</v>
          </cell>
          <cell r="K319">
            <v>1850000</v>
          </cell>
          <cell r="L319">
            <v>1850000</v>
          </cell>
          <cell r="M319">
            <v>2200000</v>
          </cell>
          <cell r="N319">
            <v>2200000</v>
          </cell>
        </row>
        <row r="320">
          <cell r="A320" t="str">
            <v>HIGH SCHOOL MUSICAL CONCIERTO</v>
          </cell>
          <cell r="B320">
            <v>0.91736111111111107</v>
          </cell>
          <cell r="C320" t="str">
            <v>UCat</v>
          </cell>
        </row>
        <row r="321">
          <cell r="A321" t="str">
            <v>HISTORIAS DE DIAGNOSTICO</v>
          </cell>
          <cell r="B321">
            <v>0.51119212962962968</v>
          </cell>
          <cell r="C321" t="str">
            <v>UCat</v>
          </cell>
        </row>
        <row r="322">
          <cell r="A322" t="str">
            <v>HIT LA FIEBRE DEL KARAOKE</v>
          </cell>
          <cell r="C322" t="str">
            <v>UCat</v>
          </cell>
          <cell r="H322">
            <v>1850000</v>
          </cell>
          <cell r="I322">
            <v>2200000</v>
          </cell>
          <cell r="J322">
            <v>1850000</v>
          </cell>
          <cell r="K322">
            <v>1050000</v>
          </cell>
          <cell r="L322">
            <v>2950000</v>
          </cell>
        </row>
        <row r="323">
          <cell r="A323" t="str">
            <v>HIT LA FIEBRE DEL KARAOKE (MAR</v>
          </cell>
          <cell r="C323" t="str">
            <v>UCat</v>
          </cell>
          <cell r="I323">
            <v>210000</v>
          </cell>
        </row>
        <row r="324">
          <cell r="A324" t="str">
            <v>HIT PURO POWER</v>
          </cell>
          <cell r="C324" t="str">
            <v>UCat</v>
          </cell>
          <cell r="L324">
            <v>2950000</v>
          </cell>
          <cell r="M324">
            <v>2450000</v>
          </cell>
        </row>
        <row r="325">
          <cell r="A325" t="str">
            <v>HORA DE INFIDENTES</v>
          </cell>
          <cell r="B325">
            <v>0.98263888888888884</v>
          </cell>
          <cell r="C325" t="str">
            <v>UCat</v>
          </cell>
          <cell r="D325">
            <v>600000</v>
          </cell>
          <cell r="J325">
            <v>810000</v>
          </cell>
          <cell r="K325">
            <v>810000</v>
          </cell>
          <cell r="L325">
            <v>750000</v>
          </cell>
        </row>
        <row r="326">
          <cell r="A326" t="str">
            <v>HUAIQUIMAN Y TOLOSA</v>
          </cell>
          <cell r="B326">
            <v>0.91736111111111107</v>
          </cell>
          <cell r="C326" t="str">
            <v>UCat</v>
          </cell>
          <cell r="J326">
            <v>2700000</v>
          </cell>
          <cell r="K326">
            <v>2450000</v>
          </cell>
          <cell r="L326">
            <v>2450000</v>
          </cell>
        </row>
        <row r="327">
          <cell r="A327" t="str">
            <v>HUAIQUIMAN Y TOLOSA (R)</v>
          </cell>
          <cell r="B327">
            <v>0.91736111111111107</v>
          </cell>
          <cell r="C327" t="str">
            <v>UCat</v>
          </cell>
          <cell r="J327">
            <v>280000</v>
          </cell>
          <cell r="K327">
            <v>520000</v>
          </cell>
          <cell r="L327">
            <v>550000</v>
          </cell>
        </row>
        <row r="328">
          <cell r="A328" t="str">
            <v>JUNTOS EL SHOW DE LA MANANA</v>
          </cell>
          <cell r="B328">
            <v>0.37842592592592594</v>
          </cell>
          <cell r="C328" t="str">
            <v>UCat</v>
          </cell>
          <cell r="D328">
            <v>230000</v>
          </cell>
          <cell r="E328">
            <v>280000</v>
          </cell>
          <cell r="H328">
            <v>230000</v>
          </cell>
        </row>
        <row r="329">
          <cell r="A329" t="str">
            <v>JUNTOS EL SHOW DE LA MANANA (A)</v>
          </cell>
          <cell r="C329" t="str">
            <v>UCat</v>
          </cell>
          <cell r="D329">
            <v>230000</v>
          </cell>
          <cell r="E329">
            <v>280000</v>
          </cell>
          <cell r="F329">
            <v>280000</v>
          </cell>
          <cell r="G329">
            <v>230000</v>
          </cell>
          <cell r="H329">
            <v>230000</v>
          </cell>
          <cell r="I329">
            <v>230000</v>
          </cell>
          <cell r="J329">
            <v>250000</v>
          </cell>
          <cell r="K329">
            <v>250000</v>
          </cell>
          <cell r="L329">
            <v>250000</v>
          </cell>
          <cell r="M329">
            <v>250000</v>
          </cell>
          <cell r="N329">
            <v>250000</v>
          </cell>
        </row>
        <row r="330">
          <cell r="A330" t="str">
            <v>JUNTOS EL SHOW DE LA MANANA (B)</v>
          </cell>
          <cell r="C330" t="str">
            <v>UCat</v>
          </cell>
          <cell r="D330">
            <v>210000</v>
          </cell>
          <cell r="E330">
            <v>250000</v>
          </cell>
          <cell r="F330">
            <v>250000</v>
          </cell>
          <cell r="G330">
            <v>210000</v>
          </cell>
          <cell r="H330">
            <v>210000</v>
          </cell>
          <cell r="I330">
            <v>210000</v>
          </cell>
          <cell r="J330">
            <v>230000</v>
          </cell>
          <cell r="K330">
            <v>230000</v>
          </cell>
          <cell r="L330">
            <v>230000</v>
          </cell>
          <cell r="M330">
            <v>230000</v>
          </cell>
          <cell r="N330">
            <v>230000</v>
          </cell>
        </row>
        <row r="331">
          <cell r="A331" t="str">
            <v>LA BELLEZA DE PENSAR</v>
          </cell>
          <cell r="C331" t="str">
            <v>UCat</v>
          </cell>
          <cell r="E331">
            <v>110000</v>
          </cell>
          <cell r="F331">
            <v>105000</v>
          </cell>
          <cell r="G331">
            <v>60000</v>
          </cell>
          <cell r="H331">
            <v>60000</v>
          </cell>
          <cell r="I331">
            <v>60000</v>
          </cell>
        </row>
        <row r="332">
          <cell r="A332" t="str">
            <v>LA HIJA DEL GENERAL</v>
          </cell>
          <cell r="B332">
            <v>0.83194444444444438</v>
          </cell>
          <cell r="C332" t="str">
            <v>UCat</v>
          </cell>
        </row>
        <row r="333">
          <cell r="A333" t="str">
            <v>LE TEMES A LA OSCURIDAD</v>
          </cell>
          <cell r="B333">
            <v>0.51288194444444446</v>
          </cell>
          <cell r="C333" t="str">
            <v>UCat</v>
          </cell>
        </row>
        <row r="334">
          <cell r="A334" t="str">
            <v>LO MEJOR DE VINA 2006</v>
          </cell>
          <cell r="B334">
            <v>0.91527777777777775</v>
          </cell>
          <cell r="C334" t="str">
            <v>UCat</v>
          </cell>
        </row>
        <row r="335">
          <cell r="A335" t="str">
            <v>LOCOS POR EL BAILE</v>
          </cell>
          <cell r="B335">
            <v>0.91666666666666663</v>
          </cell>
          <cell r="C335" t="str">
            <v>UCat</v>
          </cell>
          <cell r="D335">
            <v>2450000</v>
          </cell>
          <cell r="E335">
            <v>3600000</v>
          </cell>
          <cell r="F335">
            <v>3600000</v>
          </cell>
          <cell r="G335">
            <v>3600000</v>
          </cell>
        </row>
        <row r="336">
          <cell r="A336" t="str">
            <v>LOLA (A)</v>
          </cell>
          <cell r="C336" t="str">
            <v>UCat</v>
          </cell>
          <cell r="E336">
            <v>2700000</v>
          </cell>
          <cell r="F336">
            <v>2700000</v>
          </cell>
          <cell r="G336">
            <v>2700000</v>
          </cell>
          <cell r="H336">
            <v>1680000</v>
          </cell>
          <cell r="I336">
            <v>1820000</v>
          </cell>
          <cell r="J336">
            <v>1350000</v>
          </cell>
          <cell r="K336">
            <v>1680000</v>
          </cell>
          <cell r="L336">
            <v>2200000</v>
          </cell>
          <cell r="M336">
            <v>2450000</v>
          </cell>
          <cell r="N336">
            <v>2450000</v>
          </cell>
        </row>
        <row r="337">
          <cell r="A337" t="str">
            <v>LOLA (B)</v>
          </cell>
          <cell r="C337" t="str">
            <v>UCat</v>
          </cell>
          <cell r="E337">
            <v>2950000</v>
          </cell>
          <cell r="F337">
            <v>3250000</v>
          </cell>
          <cell r="G337">
            <v>3250000</v>
          </cell>
          <cell r="H337">
            <v>2000000</v>
          </cell>
          <cell r="I337">
            <v>2200000</v>
          </cell>
          <cell r="J337">
            <v>1650000</v>
          </cell>
          <cell r="K337">
            <v>2000000</v>
          </cell>
          <cell r="L337">
            <v>2700000</v>
          </cell>
          <cell r="M337">
            <v>2700000</v>
          </cell>
          <cell r="N337">
            <v>2700000</v>
          </cell>
        </row>
        <row r="338">
          <cell r="A338" t="str">
            <v>LOLA (LO MEJOR)</v>
          </cell>
          <cell r="C338" t="str">
            <v>UCat</v>
          </cell>
          <cell r="H338">
            <v>700000</v>
          </cell>
          <cell r="I338">
            <v>600000</v>
          </cell>
          <cell r="J338">
            <v>570000</v>
          </cell>
          <cell r="K338">
            <v>410000</v>
          </cell>
          <cell r="L338">
            <v>500000</v>
          </cell>
          <cell r="M338">
            <v>550000</v>
          </cell>
          <cell r="N338">
            <v>550000</v>
          </cell>
        </row>
        <row r="339">
          <cell r="A339" t="str">
            <v>LOS SIMPSONS</v>
          </cell>
          <cell r="B339">
            <v>0.83067129629629621</v>
          </cell>
          <cell r="C339" t="str">
            <v>UCat</v>
          </cell>
          <cell r="D339">
            <v>700000</v>
          </cell>
          <cell r="E339">
            <v>700000</v>
          </cell>
          <cell r="F339">
            <v>810000</v>
          </cell>
          <cell r="G339">
            <v>810000</v>
          </cell>
          <cell r="H339">
            <v>670000</v>
          </cell>
          <cell r="I339">
            <v>730000</v>
          </cell>
          <cell r="J339">
            <v>600000</v>
          </cell>
          <cell r="K339">
            <v>700000</v>
          </cell>
          <cell r="L339">
            <v>700000</v>
          </cell>
          <cell r="M339">
            <v>810000</v>
          </cell>
          <cell r="N339">
            <v>810000</v>
          </cell>
        </row>
        <row r="340">
          <cell r="A340" t="str">
            <v>LOS SIMPSONS ESPECIAL</v>
          </cell>
          <cell r="B340">
            <v>0.85532407407407407</v>
          </cell>
          <cell r="C340" t="str">
            <v>UCat</v>
          </cell>
          <cell r="D340">
            <v>850000</v>
          </cell>
          <cell r="E340">
            <v>850000</v>
          </cell>
          <cell r="F340">
            <v>890000</v>
          </cell>
          <cell r="G340">
            <v>900000</v>
          </cell>
          <cell r="H340">
            <v>730000</v>
          </cell>
          <cell r="I340">
            <v>770000</v>
          </cell>
          <cell r="J340">
            <v>770000</v>
          </cell>
        </row>
        <row r="341">
          <cell r="A341" t="str">
            <v>LOS SIMPSONS PRIME</v>
          </cell>
          <cell r="C341" t="str">
            <v>UCat</v>
          </cell>
          <cell r="D341">
            <v>1350000</v>
          </cell>
          <cell r="E341">
            <v>1350000</v>
          </cell>
          <cell r="F341">
            <v>1390000</v>
          </cell>
          <cell r="G341">
            <v>1390000</v>
          </cell>
          <cell r="H341">
            <v>1200000</v>
          </cell>
          <cell r="I341">
            <v>1200000</v>
          </cell>
          <cell r="J341">
            <v>990000</v>
          </cell>
          <cell r="K341">
            <v>850000</v>
          </cell>
          <cell r="L341">
            <v>800000</v>
          </cell>
          <cell r="M341">
            <v>670000</v>
          </cell>
        </row>
        <row r="342">
          <cell r="A342" t="str">
            <v>LOST</v>
          </cell>
          <cell r="C342" t="str">
            <v>UCat</v>
          </cell>
          <cell r="E342">
            <v>2200000</v>
          </cell>
          <cell r="F342">
            <v>2200000</v>
          </cell>
          <cell r="G342">
            <v>2230000</v>
          </cell>
        </row>
        <row r="343">
          <cell r="A343" t="str">
            <v>NADIE ESTA LIBRE</v>
          </cell>
          <cell r="C343" t="str">
            <v>UCat</v>
          </cell>
          <cell r="M343">
            <v>2450000</v>
          </cell>
          <cell r="N343">
            <v>2900000</v>
          </cell>
        </row>
        <row r="344">
          <cell r="A344" t="str">
            <v>PAPI RICKY</v>
          </cell>
          <cell r="B344">
            <v>0.83416666666666661</v>
          </cell>
          <cell r="C344" t="str">
            <v>UCat</v>
          </cell>
          <cell r="D344">
            <v>2230000</v>
          </cell>
        </row>
        <row r="345">
          <cell r="A345" t="str">
            <v>PAPI RICKY (A)</v>
          </cell>
          <cell r="C345" t="str">
            <v>UCat</v>
          </cell>
          <cell r="D345">
            <v>2020000</v>
          </cell>
        </row>
        <row r="346">
          <cell r="A346" t="str">
            <v>PAPI RICKY (B)</v>
          </cell>
          <cell r="C346" t="str">
            <v>UCat</v>
          </cell>
          <cell r="D346">
            <v>2230000</v>
          </cell>
        </row>
        <row r="347">
          <cell r="A347" t="str">
            <v>PAPI RICKY (LO MEJOR)</v>
          </cell>
          <cell r="B347">
            <v>0.8125</v>
          </cell>
          <cell r="C347" t="str">
            <v>UCat</v>
          </cell>
          <cell r="D347">
            <v>770000</v>
          </cell>
        </row>
        <row r="348">
          <cell r="A348" t="str">
            <v>PAPI RICKY (RESUMEN)</v>
          </cell>
          <cell r="B348">
            <v>0.82152777777777775</v>
          </cell>
          <cell r="C348" t="str">
            <v>UCat</v>
          </cell>
          <cell r="D348">
            <v>1250000</v>
          </cell>
        </row>
        <row r="349">
          <cell r="A349" t="str">
            <v>PELOTAS</v>
          </cell>
          <cell r="B349">
            <v>1.0402777777777776</v>
          </cell>
          <cell r="C349" t="str">
            <v>UCat</v>
          </cell>
          <cell r="D349">
            <v>550000</v>
          </cell>
          <cell r="E349">
            <v>550000</v>
          </cell>
          <cell r="F349">
            <v>550000</v>
          </cell>
          <cell r="G349">
            <v>570000</v>
          </cell>
          <cell r="I349">
            <v>500000</v>
          </cell>
          <cell r="J349">
            <v>500000</v>
          </cell>
          <cell r="K349">
            <v>450000</v>
          </cell>
          <cell r="L349">
            <v>280000</v>
          </cell>
          <cell r="M349">
            <v>280000</v>
          </cell>
          <cell r="N349">
            <v>340000</v>
          </cell>
        </row>
        <row r="350">
          <cell r="A350" t="str">
            <v>PLACIDO DOMINGO Y VERONICA VIL</v>
          </cell>
          <cell r="B350">
            <v>1.0006944444444443</v>
          </cell>
          <cell r="C350" t="str">
            <v>UCat</v>
          </cell>
        </row>
        <row r="351">
          <cell r="A351" t="str">
            <v>PULENTOS</v>
          </cell>
          <cell r="B351">
            <v>0.53472222222222221</v>
          </cell>
          <cell r="C351" t="str">
            <v>UCat</v>
          </cell>
          <cell r="D351">
            <v>250000</v>
          </cell>
          <cell r="E351">
            <v>280000</v>
          </cell>
          <cell r="H351">
            <v>190000</v>
          </cell>
        </row>
        <row r="352">
          <cell r="A352" t="str">
            <v>QUIEN CAMBIA A QUIEN</v>
          </cell>
          <cell r="B352">
            <v>0.91666666666666663</v>
          </cell>
          <cell r="C352" t="str">
            <v>UCat</v>
          </cell>
        </row>
        <row r="353">
          <cell r="A353" t="str">
            <v>QUIEN CAMBIA A QUIEN (R)</v>
          </cell>
          <cell r="B353">
            <v>0.95833333333333337</v>
          </cell>
          <cell r="C353" t="str">
            <v>UCat</v>
          </cell>
        </row>
        <row r="354">
          <cell r="A354" t="str">
            <v>QUIEN MERECE SER MILLONARIO</v>
          </cell>
          <cell r="B354">
            <v>0.91736111111111107</v>
          </cell>
          <cell r="C354" t="str">
            <v>UCat</v>
          </cell>
        </row>
        <row r="355">
          <cell r="A355" t="str">
            <v>RESCATE ANIMAL</v>
          </cell>
          <cell r="C355" t="str">
            <v>UCat</v>
          </cell>
          <cell r="M355">
            <v>1300000</v>
          </cell>
        </row>
        <row r="356">
          <cell r="A356" t="str">
            <v>SABADO GIGANTE INTERNACIONAL</v>
          </cell>
          <cell r="C356" t="str">
            <v>UCat</v>
          </cell>
          <cell r="D356">
            <v>600000</v>
          </cell>
          <cell r="E356">
            <v>670000</v>
          </cell>
          <cell r="F356">
            <v>810000</v>
          </cell>
          <cell r="G356">
            <v>810000</v>
          </cell>
          <cell r="H356">
            <v>990000</v>
          </cell>
          <cell r="I356">
            <v>990000</v>
          </cell>
          <cell r="J356">
            <v>1050000</v>
          </cell>
          <cell r="K356">
            <v>600000</v>
          </cell>
          <cell r="L356">
            <v>670000</v>
          </cell>
          <cell r="M356">
            <v>810000</v>
          </cell>
          <cell r="N356">
            <v>810000</v>
          </cell>
        </row>
        <row r="357">
          <cell r="A357" t="str">
            <v>SABADOS GIGANTES INTERNACIONAL</v>
          </cell>
          <cell r="C357" t="str">
            <v>UCat</v>
          </cell>
          <cell r="H357">
            <v>990000</v>
          </cell>
          <cell r="I357">
            <v>990000</v>
          </cell>
          <cell r="J357">
            <v>1050000</v>
          </cell>
          <cell r="K357">
            <v>600000</v>
          </cell>
          <cell r="L357">
            <v>670000</v>
          </cell>
          <cell r="M357">
            <v>810000</v>
          </cell>
          <cell r="N357">
            <v>810000</v>
          </cell>
        </row>
        <row r="358">
          <cell r="A358" t="str">
            <v>SANTIAGO NO ES CHILE</v>
          </cell>
          <cell r="B358">
            <v>0.98124999999999996</v>
          </cell>
          <cell r="C358" t="str">
            <v>UCat</v>
          </cell>
          <cell r="H358">
            <v>1200000</v>
          </cell>
          <cell r="I358">
            <v>1200000</v>
          </cell>
        </row>
        <row r="359">
          <cell r="A359" t="str">
            <v>SCRUBS</v>
          </cell>
          <cell r="B359">
            <v>0.54527777777777775</v>
          </cell>
          <cell r="C359" t="str">
            <v>UCat</v>
          </cell>
          <cell r="D359">
            <v>190000</v>
          </cell>
        </row>
        <row r="360">
          <cell r="A360" t="str">
            <v>SENORA DEL DESTINO</v>
          </cell>
          <cell r="B360">
            <v>0.60473379629629631</v>
          </cell>
          <cell r="C360" t="str">
            <v>UCat</v>
          </cell>
        </row>
        <row r="361">
          <cell r="A361" t="str">
            <v>SUDAMERICANO SUB 17</v>
          </cell>
          <cell r="B361">
            <v>0.7952893518518519</v>
          </cell>
          <cell r="C361" t="str">
            <v>UCat</v>
          </cell>
        </row>
        <row r="362">
          <cell r="A362" t="str">
            <v>SUPER SERIES</v>
          </cell>
          <cell r="B362">
            <v>1.0937152777777779</v>
          </cell>
          <cell r="C362" t="str">
            <v>UCat</v>
          </cell>
          <cell r="D362">
            <v>230000</v>
          </cell>
          <cell r="E362">
            <v>210000</v>
          </cell>
          <cell r="F362">
            <v>210000</v>
          </cell>
          <cell r="G362">
            <v>250000</v>
          </cell>
          <cell r="H362">
            <v>250000</v>
          </cell>
          <cell r="I362">
            <v>340000</v>
          </cell>
          <cell r="J362">
            <v>340000</v>
          </cell>
          <cell r="K362">
            <v>370000</v>
          </cell>
          <cell r="L362">
            <v>410000</v>
          </cell>
        </row>
        <row r="363">
          <cell r="A363" t="str">
            <v>TELENOCHE</v>
          </cell>
          <cell r="B363">
            <v>1.0469328703703704</v>
          </cell>
          <cell r="C363" t="str">
            <v>UCat</v>
          </cell>
          <cell r="D363">
            <v>760000</v>
          </cell>
          <cell r="E363">
            <v>810000</v>
          </cell>
          <cell r="F363">
            <v>810000</v>
          </cell>
          <cell r="G363">
            <v>900000</v>
          </cell>
          <cell r="H363">
            <v>720000</v>
          </cell>
          <cell r="I363">
            <v>740000</v>
          </cell>
          <cell r="J363">
            <v>730000</v>
          </cell>
          <cell r="K363">
            <v>700000</v>
          </cell>
          <cell r="L363">
            <v>730000</v>
          </cell>
          <cell r="M363">
            <v>740000</v>
          </cell>
          <cell r="N363">
            <v>740000</v>
          </cell>
        </row>
        <row r="364">
          <cell r="A364" t="str">
            <v>TELETARDE (S-D)</v>
          </cell>
          <cell r="B364">
            <v>0.5681828703703703</v>
          </cell>
          <cell r="C364" t="str">
            <v>UCat</v>
          </cell>
          <cell r="D364">
            <v>340000</v>
          </cell>
          <cell r="E364">
            <v>450000</v>
          </cell>
          <cell r="F364">
            <v>450000</v>
          </cell>
          <cell r="G364">
            <v>500000</v>
          </cell>
          <cell r="H364">
            <v>410000</v>
          </cell>
          <cell r="I364">
            <v>450000</v>
          </cell>
          <cell r="J364">
            <v>450000</v>
          </cell>
          <cell r="K364">
            <v>450000</v>
          </cell>
          <cell r="L364">
            <v>500000</v>
          </cell>
          <cell r="M364">
            <v>520000</v>
          </cell>
          <cell r="N364">
            <v>520000</v>
          </cell>
        </row>
        <row r="365">
          <cell r="A365" t="str">
            <v>TELETARDE (SEM)</v>
          </cell>
          <cell r="B365">
            <v>0.5681828703703703</v>
          </cell>
          <cell r="C365" t="str">
            <v>UCat</v>
          </cell>
          <cell r="D365">
            <v>340000</v>
          </cell>
          <cell r="E365">
            <v>410000</v>
          </cell>
          <cell r="F365">
            <v>410000</v>
          </cell>
          <cell r="G365">
            <v>340000</v>
          </cell>
          <cell r="H365">
            <v>340000</v>
          </cell>
          <cell r="I365">
            <v>370000</v>
          </cell>
          <cell r="J365">
            <v>410000</v>
          </cell>
          <cell r="K365">
            <v>370000</v>
          </cell>
          <cell r="L365">
            <v>370000</v>
          </cell>
          <cell r="M365">
            <v>370000</v>
          </cell>
          <cell r="N365">
            <v>410000</v>
          </cell>
        </row>
        <row r="366">
          <cell r="A366" t="str">
            <v>TELETRECE (DOM)</v>
          </cell>
          <cell r="B366">
            <v>0.88207175925925929</v>
          </cell>
          <cell r="C366" t="str">
            <v>UCat</v>
          </cell>
          <cell r="D366">
            <v>2900000</v>
          </cell>
          <cell r="E366">
            <v>3250000</v>
          </cell>
          <cell r="F366">
            <v>2040000</v>
          </cell>
          <cell r="G366">
            <v>2230000</v>
          </cell>
          <cell r="H366">
            <v>1850000</v>
          </cell>
          <cell r="I366">
            <v>2000000</v>
          </cell>
          <cell r="J366">
            <v>2200000</v>
          </cell>
          <cell r="K366">
            <v>2200000</v>
          </cell>
          <cell r="L366">
            <v>2200000</v>
          </cell>
          <cell r="M366">
            <v>2200000</v>
          </cell>
          <cell r="N366">
            <v>1650000</v>
          </cell>
        </row>
        <row r="367">
          <cell r="A367" t="str">
            <v>TELETRECE (SAB)</v>
          </cell>
          <cell r="B367">
            <v>0.88207175925925929</v>
          </cell>
          <cell r="C367" t="str">
            <v>UCat</v>
          </cell>
          <cell r="D367">
            <v>2900000</v>
          </cell>
          <cell r="E367">
            <v>3250000</v>
          </cell>
          <cell r="F367">
            <v>1500000</v>
          </cell>
          <cell r="G367">
            <v>1520000</v>
          </cell>
          <cell r="H367">
            <v>1300000</v>
          </cell>
          <cell r="I367">
            <v>1300000</v>
          </cell>
          <cell r="J367">
            <v>1350000</v>
          </cell>
          <cell r="K367">
            <v>1350000</v>
          </cell>
          <cell r="L367">
            <v>1350000</v>
          </cell>
          <cell r="M367">
            <v>1500000</v>
          </cell>
          <cell r="N367">
            <v>1650000</v>
          </cell>
        </row>
        <row r="368">
          <cell r="A368" t="str">
            <v>TELETRECE (SEM)</v>
          </cell>
          <cell r="B368">
            <v>0.88207175925925929</v>
          </cell>
          <cell r="C368" t="str">
            <v>UCat</v>
          </cell>
          <cell r="D368">
            <v>2900000</v>
          </cell>
          <cell r="E368">
            <v>3250000</v>
          </cell>
          <cell r="F368">
            <v>3000000</v>
          </cell>
          <cell r="G368">
            <v>3250000</v>
          </cell>
          <cell r="H368">
            <v>2200000</v>
          </cell>
          <cell r="I368">
            <v>2450000</v>
          </cell>
          <cell r="J368">
            <v>2450000</v>
          </cell>
          <cell r="K368">
            <v>2700000</v>
          </cell>
          <cell r="L368">
            <v>2700000</v>
          </cell>
          <cell r="M368">
            <v>2700000</v>
          </cell>
          <cell r="N368">
            <v>2700000</v>
          </cell>
        </row>
        <row r="369">
          <cell r="A369" t="str">
            <v>TIERRA ADENTRO</v>
          </cell>
          <cell r="B369">
            <v>0.68402777777777779</v>
          </cell>
          <cell r="C369" t="str">
            <v>UCat</v>
          </cell>
          <cell r="J369">
            <v>310000</v>
          </cell>
          <cell r="K369">
            <v>340000</v>
          </cell>
          <cell r="L369">
            <v>410000</v>
          </cell>
          <cell r="M369">
            <v>410000</v>
          </cell>
          <cell r="N369">
            <v>410000</v>
          </cell>
        </row>
        <row r="370">
          <cell r="A370" t="str">
            <v>TIERRA ESPERANZA</v>
          </cell>
          <cell r="B370">
            <v>0.65842592592592586</v>
          </cell>
          <cell r="C370" t="str">
            <v>UCat</v>
          </cell>
        </row>
        <row r="371">
          <cell r="A371" t="str">
            <v>TRANSANTIAGUINOS (NOCHE)</v>
          </cell>
          <cell r="C371" t="str">
            <v>UCat</v>
          </cell>
          <cell r="H371">
            <v>810000</v>
          </cell>
          <cell r="I371">
            <v>670000</v>
          </cell>
          <cell r="J371">
            <v>550000</v>
          </cell>
          <cell r="L371">
            <v>190000</v>
          </cell>
          <cell r="M371">
            <v>160000</v>
          </cell>
        </row>
        <row r="372">
          <cell r="A372" t="str">
            <v>TRANSANTIAGUINOS (TARDE)</v>
          </cell>
          <cell r="C372" t="str">
            <v>UCat</v>
          </cell>
          <cell r="H372">
            <v>730000</v>
          </cell>
          <cell r="I372">
            <v>740000</v>
          </cell>
          <cell r="J372">
            <v>600000</v>
          </cell>
        </row>
        <row r="373">
          <cell r="A373" t="str">
            <v>TRIBUNAL ORAL</v>
          </cell>
          <cell r="B373">
            <v>0.45930555555555558</v>
          </cell>
          <cell r="C373" t="str">
            <v>UCat</v>
          </cell>
        </row>
        <row r="374">
          <cell r="A374" t="str">
            <v>TRIBUNAL ORAL (R)</v>
          </cell>
          <cell r="B374">
            <v>1.0776388888888888</v>
          </cell>
          <cell r="C374" t="str">
            <v>UCat</v>
          </cell>
        </row>
        <row r="375">
          <cell r="A375" t="str">
            <v>VECINOS AL 3 Y AL 4</v>
          </cell>
          <cell r="B375">
            <v>0.75069444444444444</v>
          </cell>
          <cell r="C375" t="str">
            <v>UCat</v>
          </cell>
          <cell r="D375">
            <v>410000</v>
          </cell>
          <cell r="E375">
            <v>340000</v>
          </cell>
        </row>
        <row r="376">
          <cell r="A376" t="str">
            <v>VERTIGO EN LA CALLE</v>
          </cell>
          <cell r="B376">
            <v>0.9916666666666667</v>
          </cell>
          <cell r="C376" t="str">
            <v>UCat</v>
          </cell>
          <cell r="D376">
            <v>2000000</v>
          </cell>
        </row>
        <row r="377">
          <cell r="A377" t="str">
            <v>VERTIGO EN LA CALLE (R)</v>
          </cell>
          <cell r="B377">
            <v>0.96319444444444446</v>
          </cell>
          <cell r="C377" t="str">
            <v>UCat</v>
          </cell>
          <cell r="D377">
            <v>600000</v>
          </cell>
        </row>
        <row r="378">
          <cell r="A378" t="str">
            <v>VERTIGO ESTELAR</v>
          </cell>
          <cell r="B378">
            <v>0.91736111111111107</v>
          </cell>
          <cell r="C378" t="str">
            <v>UCat</v>
          </cell>
          <cell r="D378">
            <v>2900000</v>
          </cell>
        </row>
        <row r="379">
          <cell r="A379" t="str">
            <v>VERTIGO V/S</v>
          </cell>
          <cell r="C379" t="str">
            <v>UCat</v>
          </cell>
          <cell r="L379">
            <v>2700000</v>
          </cell>
          <cell r="M379">
            <v>3250000</v>
          </cell>
        </row>
        <row r="380">
          <cell r="A380" t="str">
            <v>VIERNES DE ACCION</v>
          </cell>
          <cell r="B380">
            <v>1.0840277777777778</v>
          </cell>
          <cell r="C380" t="str">
            <v>UCat</v>
          </cell>
          <cell r="D380">
            <v>210000</v>
          </cell>
          <cell r="E380">
            <v>230000</v>
          </cell>
          <cell r="F380">
            <v>280000</v>
          </cell>
          <cell r="G380">
            <v>280000</v>
          </cell>
          <cell r="H380">
            <v>250000</v>
          </cell>
          <cell r="I380">
            <v>190000</v>
          </cell>
        </row>
        <row r="381">
          <cell r="A381" t="str">
            <v>VIVA LA MANANA</v>
          </cell>
          <cell r="B381">
            <v>0.40486111111111112</v>
          </cell>
          <cell r="C381" t="str">
            <v>UCat</v>
          </cell>
        </row>
        <row r="382">
          <cell r="A382" t="str">
            <v>VIVA LA MANANA EN VERANO</v>
          </cell>
          <cell r="B382">
            <v>0.40167824074074071</v>
          </cell>
          <cell r="C382" t="str">
            <v>UCat</v>
          </cell>
        </row>
        <row r="383">
          <cell r="A383" t="str">
            <v>VIVI K</v>
          </cell>
          <cell r="C383" t="str">
            <v>UCat</v>
          </cell>
          <cell r="K383">
            <v>1850000</v>
          </cell>
        </row>
        <row r="384">
          <cell r="A384" t="str">
            <v>PAMPA ILUSION (R)</v>
          </cell>
          <cell r="C384" t="str">
            <v>TNac</v>
          </cell>
          <cell r="N384">
            <v>400000</v>
          </cell>
        </row>
        <row r="385">
          <cell r="A385" t="str">
            <v>AMOR CIEGO 2 (L)(A)</v>
          </cell>
          <cell r="C385" t="str">
            <v>UCat</v>
          </cell>
          <cell r="N385">
            <v>2900000</v>
          </cell>
        </row>
        <row r="386">
          <cell r="A386" t="str">
            <v>AMOR CIEGO 2 (L)(B)</v>
          </cell>
          <cell r="C386" t="str">
            <v>UCat</v>
          </cell>
          <cell r="N386">
            <v>2700000</v>
          </cell>
        </row>
        <row r="387">
          <cell r="A387" t="str">
            <v>AMOR CIEGO 2 (M)</v>
          </cell>
          <cell r="C387" t="str">
            <v>UCat</v>
          </cell>
          <cell r="N387">
            <v>1350000</v>
          </cell>
        </row>
        <row r="388">
          <cell r="A388" t="str">
            <v>AMOR CIEGO 2 (V)(A)</v>
          </cell>
          <cell r="C388" t="str">
            <v>UCat</v>
          </cell>
          <cell r="N388">
            <v>2700000</v>
          </cell>
        </row>
        <row r="389">
          <cell r="A389" t="str">
            <v>AMOR CIEGO 2 (V)(B)</v>
          </cell>
          <cell r="C389" t="str">
            <v>UCat</v>
          </cell>
          <cell r="N389">
            <v>2700000</v>
          </cell>
        </row>
        <row r="390">
          <cell r="A390" t="str">
            <v>AMOR CIEGO 2 (BRUTO)</v>
          </cell>
          <cell r="C390" t="str">
            <v>UCat</v>
          </cell>
          <cell r="N390">
            <v>450000</v>
          </cell>
        </row>
        <row r="391">
          <cell r="A391" t="str">
            <v>UGLY BETTY</v>
          </cell>
          <cell r="C391" t="str">
            <v>UCat</v>
          </cell>
          <cell r="N391">
            <v>1050000</v>
          </cell>
        </row>
        <row r="392">
          <cell r="A392" t="str">
            <v>ENCUENTROS CERCANOS</v>
          </cell>
          <cell r="C392" t="str">
            <v>UCat</v>
          </cell>
          <cell r="N392">
            <v>1850000</v>
          </cell>
        </row>
        <row r="393">
          <cell r="A393" t="str">
            <v>MANDIOLA Y COMPANIA</v>
          </cell>
          <cell r="C393" t="str">
            <v>Mega</v>
          </cell>
          <cell r="N393">
            <v>983600</v>
          </cell>
        </row>
        <row r="394">
          <cell r="A394" t="str">
            <v>MANDIOLA Y COMPANIA (R)</v>
          </cell>
          <cell r="C394" t="str">
            <v>Mega</v>
          </cell>
          <cell r="N394">
            <v>638900</v>
          </cell>
        </row>
        <row r="395">
          <cell r="A395" t="str">
            <v>VIDEOS SORPRENDENTES</v>
          </cell>
          <cell r="C395" t="str">
            <v>TNac</v>
          </cell>
          <cell r="N395">
            <v>600000</v>
          </cell>
        </row>
        <row r="396">
          <cell r="A396" t="str">
            <v>SMALLVILLE</v>
          </cell>
          <cell r="C396" t="str">
            <v>TNac</v>
          </cell>
          <cell r="N396">
            <v>400000</v>
          </cell>
        </row>
        <row r="397">
          <cell r="A397" t="str">
            <v>MAGIA AL LIMITE</v>
          </cell>
          <cell r="C397" t="str">
            <v>TNac</v>
          </cell>
          <cell r="N397">
            <v>600000</v>
          </cell>
        </row>
        <row r="398">
          <cell r="A398" t="str">
            <v>VIDEOS MAS SORPRENDENTES</v>
          </cell>
          <cell r="C398" t="str">
            <v>TNac</v>
          </cell>
          <cell r="N398">
            <v>600000</v>
          </cell>
        </row>
      </sheetData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visión"/>
      <sheetName val="Valorización TV"/>
      <sheetName val="Radio"/>
      <sheetName val="Prensa"/>
      <sheetName val="Valorización Prensa"/>
      <sheetName val="Pre-Tv"/>
      <sheetName val="TGI1"/>
      <sheetName val="TGI2"/>
      <sheetName val="TGI3"/>
      <sheetName val="TGI4"/>
      <sheetName val="TGI5"/>
      <sheetName val="INE"/>
      <sheetName val="shr%TV"/>
      <sheetName val="Termografía Tv"/>
      <sheetName val="Hoja5"/>
      <sheetName val="Portada"/>
      <sheetName val="Propuesta"/>
      <sheetName val="resumen"/>
      <sheetName val="Post"/>
      <sheetName val="Valorización_TV"/>
      <sheetName val="Valorización_Prensa"/>
      <sheetName val="Termografía_Tv"/>
      <sheetName val="Valorización_TV1"/>
      <sheetName val="Valorización_Prensa1"/>
      <sheetName val="Termografía_Tv1"/>
      <sheetName val="Valorización_TV2"/>
      <sheetName val="Valorización_Prensa2"/>
      <sheetName val="Termografía_Tv2"/>
      <sheetName val="Valorización_TV3"/>
      <sheetName val="Valorización_TV5"/>
      <sheetName val="Valorización_Prensa3"/>
      <sheetName val="Termografía_Tv3"/>
      <sheetName val="Valorización_TV4"/>
      <sheetName val="Valorización_TV6"/>
      <sheetName val="Valorización_TV7"/>
    </sheetNames>
    <sheetDataSet>
      <sheetData sheetId="0" refreshError="1"/>
      <sheetData sheetId="1" refreshError="1">
        <row r="1">
          <cell r="A1" t="str">
            <v>Programa</v>
          </cell>
          <cell r="B1" t="str">
            <v>Canal</v>
          </cell>
          <cell r="C1" t="str">
            <v>Valor</v>
          </cell>
          <cell r="D1" t="str">
            <v>Dcto</v>
          </cell>
          <cell r="E1" t="str">
            <v>Valor Final</v>
          </cell>
        </row>
        <row r="2">
          <cell r="A2" t="str">
            <v>40 Y TANTOS</v>
          </cell>
          <cell r="B2" t="str">
            <v xml:space="preserve">TVN    </v>
          </cell>
          <cell r="C2">
            <v>4600000</v>
          </cell>
          <cell r="E2">
            <v>4600000</v>
          </cell>
        </row>
        <row r="3">
          <cell r="A3" t="str">
            <v>INFIELES</v>
          </cell>
          <cell r="B3" t="str">
            <v xml:space="preserve">CHV    </v>
          </cell>
          <cell r="C3">
            <v>13183129</v>
          </cell>
          <cell r="D3">
            <v>0.7</v>
          </cell>
          <cell r="E3">
            <v>3954938.7000000007</v>
          </cell>
        </row>
        <row r="4">
          <cell r="A4" t="str">
            <v>24 HORAS CENTRAL</v>
          </cell>
          <cell r="B4" t="str">
            <v xml:space="preserve">TVN    </v>
          </cell>
          <cell r="C4">
            <v>3600000</v>
          </cell>
          <cell r="E4">
            <v>3600000</v>
          </cell>
        </row>
        <row r="5">
          <cell r="A5" t="str">
            <v>PELOTON</v>
          </cell>
          <cell r="B5" t="str">
            <v xml:space="preserve">TVN    </v>
          </cell>
          <cell r="C5">
            <v>3600000</v>
          </cell>
          <cell r="E5">
            <v>3600000</v>
          </cell>
        </row>
        <row r="6">
          <cell r="A6" t="str">
            <v>ABRE LOS OJOS</v>
          </cell>
          <cell r="B6" t="str">
            <v xml:space="preserve">TVN    </v>
          </cell>
          <cell r="C6">
            <v>3600000</v>
          </cell>
          <cell r="E6">
            <v>3600000</v>
          </cell>
        </row>
        <row r="7">
          <cell r="A7" t="str">
            <v>PELOTON</v>
          </cell>
          <cell r="B7" t="str">
            <v xml:space="preserve">TVN    </v>
          </cell>
          <cell r="C7">
            <v>3600000</v>
          </cell>
          <cell r="E7">
            <v>3600000</v>
          </cell>
        </row>
        <row r="8">
          <cell r="A8" t="str">
            <v>TALENTO CHILENO</v>
          </cell>
          <cell r="B8" t="str">
            <v xml:space="preserve">CHV    </v>
          </cell>
          <cell r="C8">
            <v>11957487</v>
          </cell>
          <cell r="D8">
            <v>0.7</v>
          </cell>
          <cell r="E8">
            <v>3587246.1000000006</v>
          </cell>
        </row>
        <row r="9">
          <cell r="A9" t="str">
            <v>24 HORAS CENTRAL</v>
          </cell>
          <cell r="B9" t="str">
            <v xml:space="preserve">TVN    </v>
          </cell>
          <cell r="C9">
            <v>3400000</v>
          </cell>
          <cell r="E9">
            <v>3400000</v>
          </cell>
        </row>
        <row r="10">
          <cell r="A10" t="str">
            <v>ANIMAL NOCTURNO</v>
          </cell>
          <cell r="B10" t="str">
            <v xml:space="preserve">TVN    </v>
          </cell>
          <cell r="C10">
            <v>3400000</v>
          </cell>
          <cell r="E10">
            <v>3400000</v>
          </cell>
        </row>
        <row r="11">
          <cell r="A11" t="str">
            <v>INFORME ESPECIAL</v>
          </cell>
          <cell r="B11" t="str">
            <v xml:space="preserve">TVN    </v>
          </cell>
          <cell r="C11">
            <v>3400000</v>
          </cell>
          <cell r="E11">
            <v>3400000</v>
          </cell>
        </row>
        <row r="12">
          <cell r="A12" t="str">
            <v>PELOTON</v>
          </cell>
          <cell r="B12" t="str">
            <v xml:space="preserve">TVN    </v>
          </cell>
          <cell r="C12">
            <v>3400000</v>
          </cell>
          <cell r="E12">
            <v>3400000</v>
          </cell>
        </row>
        <row r="13">
          <cell r="A13" t="str">
            <v>LA FAMILIA DE AL LADO</v>
          </cell>
          <cell r="B13" t="str">
            <v xml:space="preserve">TVN    </v>
          </cell>
          <cell r="C13">
            <v>3400000</v>
          </cell>
          <cell r="E13">
            <v>3400000</v>
          </cell>
        </row>
        <row r="14">
          <cell r="A14" t="str">
            <v>LOS 80 MAS QUE UNA MODA 2</v>
          </cell>
          <cell r="B14" t="str">
            <v xml:space="preserve">C13    </v>
          </cell>
          <cell r="C14">
            <v>3000000</v>
          </cell>
          <cell r="E14">
            <v>3000000</v>
          </cell>
        </row>
        <row r="15">
          <cell r="A15" t="str">
            <v>PRIMER PLANO</v>
          </cell>
          <cell r="B15" t="str">
            <v xml:space="preserve">CHV    </v>
          </cell>
          <cell r="C15">
            <v>9837454</v>
          </cell>
          <cell r="D15">
            <v>0.7</v>
          </cell>
          <cell r="E15">
            <v>2951236.2000000007</v>
          </cell>
        </row>
        <row r="16">
          <cell r="A16" t="str">
            <v>24 HORAS DOMINGO</v>
          </cell>
          <cell r="B16" t="str">
            <v xml:space="preserve">TVN    </v>
          </cell>
          <cell r="C16">
            <v>2700000</v>
          </cell>
          <cell r="E16">
            <v>2700000</v>
          </cell>
        </row>
        <row r="17">
          <cell r="A17" t="str">
            <v>CHV NOTICIAS CENTRAL</v>
          </cell>
          <cell r="B17" t="str">
            <v xml:space="preserve">CHV    </v>
          </cell>
          <cell r="C17">
            <v>8497963</v>
          </cell>
          <cell r="D17">
            <v>0.7</v>
          </cell>
          <cell r="E17">
            <v>2549388.9000000004</v>
          </cell>
        </row>
        <row r="18">
          <cell r="A18" t="str">
            <v>TANDA PRIME</v>
          </cell>
          <cell r="B18" t="str">
            <v xml:space="preserve">CHV    </v>
          </cell>
          <cell r="C18">
            <v>8497963</v>
          </cell>
          <cell r="D18">
            <v>0.7</v>
          </cell>
          <cell r="E18">
            <v>2549388.9000000004</v>
          </cell>
        </row>
        <row r="19">
          <cell r="A19" t="str">
            <v>24 HORAS CENTRAL</v>
          </cell>
          <cell r="B19" t="str">
            <v xml:space="preserve">TVN    </v>
          </cell>
          <cell r="C19">
            <v>2500000</v>
          </cell>
          <cell r="E19">
            <v>2500000</v>
          </cell>
        </row>
        <row r="20">
          <cell r="A20" t="str">
            <v>PDI BRIGADA POLICIAL</v>
          </cell>
          <cell r="B20" t="str">
            <v xml:space="preserve">CHV    </v>
          </cell>
          <cell r="C20">
            <v>8093298</v>
          </cell>
          <cell r="D20">
            <v>0.7</v>
          </cell>
          <cell r="E20">
            <v>2427989.4000000004</v>
          </cell>
        </row>
        <row r="21">
          <cell r="A21" t="str">
            <v>LA FAMILIA DE AL LADO (RESUMEN</v>
          </cell>
          <cell r="B21" t="str">
            <v xml:space="preserve">TVN    </v>
          </cell>
          <cell r="C21">
            <v>2400000</v>
          </cell>
          <cell r="E21">
            <v>2400000</v>
          </cell>
        </row>
        <row r="22">
          <cell r="A22" t="str">
            <v>CARTAS DE MUJER</v>
          </cell>
          <cell r="B22" t="str">
            <v xml:space="preserve">CHV    </v>
          </cell>
          <cell r="C22">
            <v>7340860</v>
          </cell>
          <cell r="D22">
            <v>0.7</v>
          </cell>
          <cell r="E22">
            <v>2202258.0000000005</v>
          </cell>
        </row>
        <row r="23">
          <cell r="A23" t="str">
            <v>TELETRECE</v>
          </cell>
          <cell r="B23" t="str">
            <v xml:space="preserve">C13    </v>
          </cell>
          <cell r="C23">
            <v>2200000</v>
          </cell>
          <cell r="E23">
            <v>2200000</v>
          </cell>
        </row>
        <row r="24">
          <cell r="A24" t="str">
            <v>EL ULTIMO PASAJERO</v>
          </cell>
          <cell r="B24" t="str">
            <v xml:space="preserve">TVN    </v>
          </cell>
          <cell r="C24">
            <v>2200000</v>
          </cell>
          <cell r="E24">
            <v>2200000</v>
          </cell>
        </row>
        <row r="25">
          <cell r="A25" t="str">
            <v>QUIEN MERECE SER MILLONARIO</v>
          </cell>
          <cell r="B25" t="str">
            <v xml:space="preserve">C13    </v>
          </cell>
          <cell r="C25">
            <v>2000000</v>
          </cell>
          <cell r="E25">
            <v>2000000</v>
          </cell>
        </row>
        <row r="26">
          <cell r="A26" t="str">
            <v>ADIOS AL SEPTIMO DE LINEA</v>
          </cell>
          <cell r="B26" t="str">
            <v xml:space="preserve">MEGA   </v>
          </cell>
          <cell r="C26">
            <v>2000000</v>
          </cell>
          <cell r="D26">
            <v>0</v>
          </cell>
          <cell r="E26">
            <v>2000000</v>
          </cell>
        </row>
        <row r="27">
          <cell r="A27" t="str">
            <v>PASION DE PRIMERA</v>
          </cell>
          <cell r="B27" t="str">
            <v xml:space="preserve">MEGA   </v>
          </cell>
          <cell r="C27">
            <v>3768135</v>
          </cell>
          <cell r="D27">
            <v>0.5</v>
          </cell>
          <cell r="E27">
            <v>1884067.5</v>
          </cell>
        </row>
        <row r="28">
          <cell r="A28" t="str">
            <v>MORANDE CON COMPANIA PRIME</v>
          </cell>
          <cell r="B28" t="str">
            <v xml:space="preserve">MEGA   </v>
          </cell>
          <cell r="C28">
            <v>3768135</v>
          </cell>
          <cell r="D28">
            <v>0.5</v>
          </cell>
          <cell r="E28">
            <v>1884067.5</v>
          </cell>
        </row>
        <row r="29">
          <cell r="A29" t="str">
            <v>TEATRO CHILENO</v>
          </cell>
          <cell r="B29" t="str">
            <v xml:space="preserve">CHV    </v>
          </cell>
          <cell r="C29">
            <v>5751756</v>
          </cell>
          <cell r="D29">
            <v>0.7</v>
          </cell>
          <cell r="E29">
            <v>1725526.8000000003</v>
          </cell>
        </row>
        <row r="30">
          <cell r="A30" t="str">
            <v>DIAGNOSTICO</v>
          </cell>
          <cell r="B30" t="str">
            <v xml:space="preserve">C13    </v>
          </cell>
          <cell r="C30">
            <v>1700000</v>
          </cell>
          <cell r="E30">
            <v>1700000</v>
          </cell>
        </row>
        <row r="31">
          <cell r="A31" t="str">
            <v>PRIMERA DAMA</v>
          </cell>
          <cell r="B31" t="str">
            <v xml:space="preserve">C13    </v>
          </cell>
          <cell r="C31">
            <v>1700000</v>
          </cell>
          <cell r="E31">
            <v>1700000</v>
          </cell>
        </row>
        <row r="32">
          <cell r="A32" t="str">
            <v>TELETRECE</v>
          </cell>
          <cell r="B32" t="str">
            <v xml:space="preserve">C13    </v>
          </cell>
          <cell r="C32">
            <v>1600000</v>
          </cell>
          <cell r="E32">
            <v>1600000</v>
          </cell>
        </row>
        <row r="33">
          <cell r="A33" t="str">
            <v>A/Z</v>
          </cell>
          <cell r="B33" t="str">
            <v xml:space="preserve">TVN    </v>
          </cell>
          <cell r="C33">
            <v>1600000</v>
          </cell>
          <cell r="E33">
            <v>1600000</v>
          </cell>
        </row>
        <row r="34">
          <cell r="A34" t="str">
            <v>133 ATRAPADOS POR LA REALIDAD</v>
          </cell>
          <cell r="B34" t="str">
            <v xml:space="preserve">MEGA   </v>
          </cell>
          <cell r="C34">
            <v>3097080</v>
          </cell>
          <cell r="D34">
            <v>0.5</v>
          </cell>
          <cell r="E34">
            <v>1548540</v>
          </cell>
        </row>
        <row r="35">
          <cell r="A35" t="str">
            <v>GIGANTES CON VIVI</v>
          </cell>
          <cell r="B35" t="str">
            <v xml:space="preserve">MEGA   </v>
          </cell>
          <cell r="C35">
            <v>3097080</v>
          </cell>
          <cell r="D35">
            <v>0.5</v>
          </cell>
          <cell r="E35">
            <v>1548540</v>
          </cell>
        </row>
        <row r="36">
          <cell r="A36" t="str">
            <v>LA LIGA</v>
          </cell>
          <cell r="B36" t="str">
            <v xml:space="preserve">MEGA   </v>
          </cell>
          <cell r="C36">
            <v>3097080</v>
          </cell>
          <cell r="D36">
            <v>0.5</v>
          </cell>
          <cell r="E36">
            <v>1548540</v>
          </cell>
        </row>
        <row r="37">
          <cell r="A37" t="str">
            <v>CAIGA QUIEN CAIGA</v>
          </cell>
          <cell r="B37" t="str">
            <v xml:space="preserve">MEGA   </v>
          </cell>
          <cell r="C37">
            <v>2978010</v>
          </cell>
          <cell r="D37">
            <v>0.5</v>
          </cell>
          <cell r="E37">
            <v>1489005</v>
          </cell>
        </row>
        <row r="38">
          <cell r="A38" t="str">
            <v>TELETRECE</v>
          </cell>
          <cell r="B38" t="str">
            <v xml:space="preserve">C13    </v>
          </cell>
          <cell r="C38">
            <v>1400000</v>
          </cell>
          <cell r="E38">
            <v>1400000</v>
          </cell>
        </row>
        <row r="39">
          <cell r="A39" t="str">
            <v>PRIMERA DAMA (RESUMEN)</v>
          </cell>
          <cell r="B39" t="str">
            <v xml:space="preserve">C13    </v>
          </cell>
          <cell r="C39">
            <v>1400000</v>
          </cell>
          <cell r="E39">
            <v>1400000</v>
          </cell>
        </row>
        <row r="40">
          <cell r="A40" t="str">
            <v>CARCELES</v>
          </cell>
          <cell r="B40" t="str">
            <v xml:space="preserve">CHV    </v>
          </cell>
          <cell r="C40">
            <v>4506651</v>
          </cell>
          <cell r="D40">
            <v>0.7</v>
          </cell>
          <cell r="E40">
            <v>1351995.3000000003</v>
          </cell>
        </row>
        <row r="41">
          <cell r="A41" t="str">
            <v>MEGANOTICIAS</v>
          </cell>
          <cell r="B41" t="str">
            <v xml:space="preserve">MEGA   </v>
          </cell>
          <cell r="C41">
            <v>2545515</v>
          </cell>
          <cell r="D41">
            <v>0.5</v>
          </cell>
          <cell r="E41">
            <v>1272757.5</v>
          </cell>
        </row>
        <row r="42">
          <cell r="A42" t="str">
            <v>AQUI EN VIVO</v>
          </cell>
          <cell r="B42" t="str">
            <v xml:space="preserve">MEGA   </v>
          </cell>
          <cell r="C42">
            <v>2545515</v>
          </cell>
          <cell r="D42">
            <v>0.5</v>
          </cell>
          <cell r="E42">
            <v>1272757.5</v>
          </cell>
        </row>
        <row r="43">
          <cell r="A43" t="str">
            <v>CINE 13 MIERCOLES</v>
          </cell>
          <cell r="B43" t="str">
            <v xml:space="preserve">C13    </v>
          </cell>
          <cell r="C43">
            <v>1200000</v>
          </cell>
          <cell r="E43">
            <v>1200000</v>
          </cell>
        </row>
        <row r="44">
          <cell r="A44" t="str">
            <v>MEGANOTICIAS</v>
          </cell>
          <cell r="B44" t="str">
            <v xml:space="preserve">MEGA   </v>
          </cell>
          <cell r="C44">
            <v>2353575</v>
          </cell>
          <cell r="D44">
            <v>0.5</v>
          </cell>
          <cell r="E44">
            <v>1176787.5</v>
          </cell>
        </row>
        <row r="45">
          <cell r="A45" t="str">
            <v>MEGANOTICIAS</v>
          </cell>
          <cell r="B45" t="str">
            <v xml:space="preserve">MEGA   </v>
          </cell>
          <cell r="C45">
            <v>2262960</v>
          </cell>
          <cell r="D45">
            <v>0.5</v>
          </cell>
          <cell r="E45">
            <v>1131480</v>
          </cell>
        </row>
        <row r="46">
          <cell r="A46" t="str">
            <v>CERO HORAS</v>
          </cell>
          <cell r="B46" t="str">
            <v xml:space="preserve">MEGA   </v>
          </cell>
          <cell r="C46">
            <v>2175915</v>
          </cell>
          <cell r="D46">
            <v>0.5</v>
          </cell>
          <cell r="E46">
            <v>1087957.5</v>
          </cell>
        </row>
        <row r="47">
          <cell r="A47" t="str">
            <v>TOLERANCIA CERO PRIME</v>
          </cell>
          <cell r="B47" t="str">
            <v xml:space="preserve">CHV    </v>
          </cell>
          <cell r="C47">
            <v>3531079</v>
          </cell>
          <cell r="D47">
            <v>0.7</v>
          </cell>
          <cell r="E47">
            <v>1059323.7000000002</v>
          </cell>
        </row>
        <row r="48">
          <cell r="A48" t="str">
            <v>SOY TU DUENA</v>
          </cell>
          <cell r="B48" t="str">
            <v xml:space="preserve">MEGA   </v>
          </cell>
          <cell r="C48">
            <v>1934415</v>
          </cell>
          <cell r="D48">
            <v>0.5</v>
          </cell>
          <cell r="E48">
            <v>967207.5</v>
          </cell>
        </row>
        <row r="49">
          <cell r="A49" t="str">
            <v>CASO CERRADO</v>
          </cell>
          <cell r="B49" t="str">
            <v xml:space="preserve">MEGA   </v>
          </cell>
          <cell r="C49">
            <v>1934415</v>
          </cell>
          <cell r="D49">
            <v>0.5</v>
          </cell>
          <cell r="E49">
            <v>967207.5</v>
          </cell>
        </row>
        <row r="50">
          <cell r="A50" t="str">
            <v>LLENA DE AMOR</v>
          </cell>
          <cell r="B50" t="str">
            <v xml:space="preserve">MEGA   </v>
          </cell>
          <cell r="C50">
            <v>1934415</v>
          </cell>
          <cell r="D50">
            <v>0.5</v>
          </cell>
          <cell r="E50">
            <v>967207.5</v>
          </cell>
        </row>
        <row r="51">
          <cell r="A51" t="str">
            <v>CHV NOTICIAS ULTIMA MIRADA</v>
          </cell>
          <cell r="B51" t="str">
            <v xml:space="preserve">CHV    </v>
          </cell>
          <cell r="C51">
            <v>3202793</v>
          </cell>
          <cell r="D51">
            <v>0.7</v>
          </cell>
          <cell r="E51">
            <v>960837.90000000014</v>
          </cell>
        </row>
        <row r="52">
          <cell r="A52" t="str">
            <v>LA CASA POR LA VENTANA</v>
          </cell>
          <cell r="B52" t="str">
            <v xml:space="preserve">C13    </v>
          </cell>
          <cell r="C52">
            <v>900000</v>
          </cell>
          <cell r="E52">
            <v>900000</v>
          </cell>
        </row>
        <row r="53">
          <cell r="A53" t="str">
            <v>DON DIABLO</v>
          </cell>
          <cell r="B53" t="str">
            <v xml:space="preserve">CHV    </v>
          </cell>
          <cell r="C53">
            <v>2905028</v>
          </cell>
          <cell r="D53">
            <v>0.7</v>
          </cell>
          <cell r="E53">
            <v>871508.40000000014</v>
          </cell>
        </row>
        <row r="54">
          <cell r="A54" t="str">
            <v>MORANDE CON COMPANIA</v>
          </cell>
          <cell r="B54" t="str">
            <v xml:space="preserve">MEGA   </v>
          </cell>
          <cell r="C54">
            <v>1719690</v>
          </cell>
          <cell r="D54">
            <v>0.5</v>
          </cell>
          <cell r="E54">
            <v>859845</v>
          </cell>
        </row>
        <row r="55">
          <cell r="A55" t="str">
            <v>BUENOS DIAS A TODOS (A)</v>
          </cell>
          <cell r="B55" t="str">
            <v xml:space="preserve">TVN    </v>
          </cell>
          <cell r="C55">
            <v>850000</v>
          </cell>
          <cell r="E55">
            <v>850000</v>
          </cell>
        </row>
        <row r="56">
          <cell r="A56" t="str">
            <v>CINE 13 VIERNES</v>
          </cell>
          <cell r="B56" t="str">
            <v xml:space="preserve">C13    </v>
          </cell>
          <cell r="C56">
            <v>800000</v>
          </cell>
          <cell r="E56">
            <v>800000</v>
          </cell>
        </row>
        <row r="57">
          <cell r="A57" t="str">
            <v>LA COLONIA</v>
          </cell>
          <cell r="B57" t="str">
            <v xml:space="preserve">MEGA   </v>
          </cell>
          <cell r="C57">
            <v>1528800</v>
          </cell>
          <cell r="D57">
            <v>0.5</v>
          </cell>
          <cell r="E57">
            <v>764400</v>
          </cell>
        </row>
        <row r="58">
          <cell r="A58" t="str">
            <v>LOS IMPROVISADORES</v>
          </cell>
          <cell r="B58" t="str">
            <v xml:space="preserve">MEGA   </v>
          </cell>
          <cell r="C58">
            <v>1528800</v>
          </cell>
          <cell r="D58">
            <v>0.5</v>
          </cell>
          <cell r="E58">
            <v>764400</v>
          </cell>
        </row>
        <row r="59">
          <cell r="A59" t="str">
            <v>YINGO</v>
          </cell>
          <cell r="B59" t="str">
            <v xml:space="preserve">CHV    </v>
          </cell>
          <cell r="C59">
            <v>2509472</v>
          </cell>
          <cell r="D59">
            <v>0.7</v>
          </cell>
          <cell r="E59">
            <v>752841.60000000009</v>
          </cell>
        </row>
        <row r="60">
          <cell r="A60" t="str">
            <v>BUENOS DIAS A TODOS (B)</v>
          </cell>
          <cell r="B60" t="str">
            <v xml:space="preserve">TVN    </v>
          </cell>
          <cell r="C60">
            <v>750000</v>
          </cell>
          <cell r="E60">
            <v>750000</v>
          </cell>
        </row>
        <row r="61">
          <cell r="A61" t="str">
            <v>ZOOLO TV BKN BAKAN</v>
          </cell>
          <cell r="B61" t="str">
            <v xml:space="preserve">MEGA   </v>
          </cell>
          <cell r="C61">
            <v>1413405</v>
          </cell>
          <cell r="D61">
            <v>0.5</v>
          </cell>
          <cell r="E61">
            <v>706702.5</v>
          </cell>
        </row>
        <row r="62">
          <cell r="A62" t="str">
            <v>VIVIR LA VIDA</v>
          </cell>
          <cell r="B62" t="str">
            <v xml:space="preserve">C13    </v>
          </cell>
          <cell r="C62">
            <v>700000</v>
          </cell>
          <cell r="E62">
            <v>700000</v>
          </cell>
        </row>
        <row r="63">
          <cell r="A63" t="str">
            <v>FRUTOS DEL PAIS</v>
          </cell>
          <cell r="B63" t="str">
            <v xml:space="preserve">TVN    </v>
          </cell>
          <cell r="C63">
            <v>700000</v>
          </cell>
          <cell r="E63">
            <v>700000</v>
          </cell>
        </row>
        <row r="64">
          <cell r="A64" t="str">
            <v>CHILE CONECTADO</v>
          </cell>
          <cell r="B64" t="str">
            <v xml:space="preserve">TVN    </v>
          </cell>
          <cell r="C64">
            <v>700000</v>
          </cell>
          <cell r="E64">
            <v>700000</v>
          </cell>
        </row>
        <row r="65">
          <cell r="A65" t="str">
            <v>CALLE 7</v>
          </cell>
          <cell r="B65" t="str">
            <v xml:space="preserve">TVN    </v>
          </cell>
          <cell r="C65">
            <v>700000</v>
          </cell>
          <cell r="E65">
            <v>700000</v>
          </cell>
        </row>
        <row r="66">
          <cell r="A66" t="str">
            <v>BUENOS DIAS A TODOS (C)</v>
          </cell>
          <cell r="B66" t="str">
            <v xml:space="preserve">TVN    </v>
          </cell>
          <cell r="C66">
            <v>700000</v>
          </cell>
          <cell r="E66">
            <v>700000</v>
          </cell>
        </row>
        <row r="67">
          <cell r="A67" t="str">
            <v>EL ULTIMO PASAJERO (R)</v>
          </cell>
          <cell r="B67" t="str">
            <v xml:space="preserve">TVN    </v>
          </cell>
          <cell r="C67">
            <v>700000</v>
          </cell>
          <cell r="E67">
            <v>700000</v>
          </cell>
        </row>
        <row r="68">
          <cell r="A68" t="str">
            <v>EL CLON</v>
          </cell>
          <cell r="B68" t="str">
            <v xml:space="preserve">CHV    </v>
          </cell>
          <cell r="C68">
            <v>2276165</v>
          </cell>
          <cell r="D68">
            <v>0.7</v>
          </cell>
          <cell r="E68">
            <v>682849.50000000012</v>
          </cell>
        </row>
        <row r="69">
          <cell r="A69" t="str">
            <v>CINE FAMILIAR DOMINGO 2</v>
          </cell>
          <cell r="B69" t="str">
            <v xml:space="preserve">MEGA   </v>
          </cell>
          <cell r="C69">
            <v>1306830</v>
          </cell>
          <cell r="D69">
            <v>0.5</v>
          </cell>
          <cell r="E69">
            <v>653415</v>
          </cell>
        </row>
        <row r="70">
          <cell r="A70" t="str">
            <v>CINE FAMILIAR SABADO 2</v>
          </cell>
          <cell r="B70" t="str">
            <v xml:space="preserve">MEGA   </v>
          </cell>
          <cell r="C70">
            <v>1306830</v>
          </cell>
          <cell r="D70">
            <v>0.5</v>
          </cell>
          <cell r="E70">
            <v>653415</v>
          </cell>
        </row>
        <row r="71">
          <cell r="A71" t="str">
            <v>LA CULTURA ENTRETENIDA</v>
          </cell>
          <cell r="B71" t="str">
            <v xml:space="preserve">TVN    </v>
          </cell>
          <cell r="C71">
            <v>650000</v>
          </cell>
          <cell r="E71">
            <v>650000</v>
          </cell>
        </row>
        <row r="72">
          <cell r="A72" t="str">
            <v>MEDIA NOCHE</v>
          </cell>
          <cell r="B72" t="str">
            <v xml:space="preserve">TVN    </v>
          </cell>
          <cell r="C72">
            <v>650000</v>
          </cell>
          <cell r="E72">
            <v>650000</v>
          </cell>
        </row>
        <row r="73">
          <cell r="A73" t="str">
            <v>24 HORAS EN LA MANANA</v>
          </cell>
          <cell r="B73" t="str">
            <v xml:space="preserve">TVN    </v>
          </cell>
          <cell r="C73">
            <v>600000</v>
          </cell>
          <cell r="E73">
            <v>600000</v>
          </cell>
        </row>
        <row r="74">
          <cell r="A74" t="str">
            <v>BUENOS DIAS A TODOS EN DOMINGO</v>
          </cell>
          <cell r="B74" t="str">
            <v xml:space="preserve">TVN    </v>
          </cell>
          <cell r="C74">
            <v>600000</v>
          </cell>
          <cell r="E74">
            <v>600000</v>
          </cell>
        </row>
        <row r="75">
          <cell r="A75" t="str">
            <v>ZONA D REALIZADORES CHILENOS</v>
          </cell>
          <cell r="B75" t="str">
            <v xml:space="preserve">TVN    </v>
          </cell>
          <cell r="C75">
            <v>600000</v>
          </cell>
          <cell r="E75">
            <v>600000</v>
          </cell>
        </row>
        <row r="76">
          <cell r="A76" t="str">
            <v>CHV NOTICIAS NOCHE</v>
          </cell>
          <cell r="B76" t="str">
            <v xml:space="preserve">CHV    </v>
          </cell>
          <cell r="C76">
            <v>1966237</v>
          </cell>
          <cell r="D76">
            <v>0.7</v>
          </cell>
          <cell r="E76">
            <v>589871.10000000009</v>
          </cell>
        </row>
        <row r="77">
          <cell r="A77" t="str">
            <v>CINE FAMILIAR (A)</v>
          </cell>
          <cell r="B77" t="str">
            <v xml:space="preserve">MEGA   </v>
          </cell>
          <cell r="C77">
            <v>1161720</v>
          </cell>
          <cell r="D77">
            <v>0.5</v>
          </cell>
          <cell r="E77">
            <v>580860</v>
          </cell>
        </row>
        <row r="78">
          <cell r="A78" t="str">
            <v>SABADO POR LA NOCHE</v>
          </cell>
          <cell r="B78" t="str">
            <v xml:space="preserve">MEGA   </v>
          </cell>
          <cell r="C78">
            <v>1161720</v>
          </cell>
          <cell r="D78">
            <v>0.5</v>
          </cell>
          <cell r="E78">
            <v>580860</v>
          </cell>
        </row>
        <row r="79">
          <cell r="A79" t="str">
            <v>PERRO AMOR</v>
          </cell>
          <cell r="B79" t="str">
            <v xml:space="preserve">CHV    </v>
          </cell>
          <cell r="C79">
            <v>1872607</v>
          </cell>
          <cell r="D79">
            <v>0.7</v>
          </cell>
          <cell r="E79">
            <v>561782.10000000009</v>
          </cell>
        </row>
        <row r="80">
          <cell r="A80" t="str">
            <v>CHV NOTICIAS TARDE</v>
          </cell>
          <cell r="B80" t="str">
            <v xml:space="preserve">CHV    </v>
          </cell>
          <cell r="C80">
            <v>1872607</v>
          </cell>
          <cell r="D80">
            <v>0.7</v>
          </cell>
          <cell r="E80">
            <v>561782.10000000009</v>
          </cell>
        </row>
        <row r="81">
          <cell r="A81" t="str">
            <v>CINE FAMILIAR DOMINGO 1</v>
          </cell>
          <cell r="B81" t="str">
            <v xml:space="preserve">MEGA   </v>
          </cell>
          <cell r="C81">
            <v>1116990</v>
          </cell>
          <cell r="D81">
            <v>0.5</v>
          </cell>
          <cell r="E81">
            <v>558495</v>
          </cell>
        </row>
        <row r="82">
          <cell r="A82" t="str">
            <v>CINE FAMILIAR SABADO 1</v>
          </cell>
          <cell r="B82" t="str">
            <v xml:space="preserve">MEGA   </v>
          </cell>
          <cell r="C82">
            <v>1116990</v>
          </cell>
          <cell r="D82">
            <v>0.5</v>
          </cell>
          <cell r="E82">
            <v>558495</v>
          </cell>
        </row>
        <row r="83">
          <cell r="A83" t="str">
            <v>MEGANOTICIAS EDICION TARDE</v>
          </cell>
          <cell r="B83" t="str">
            <v xml:space="preserve">MEGA   </v>
          </cell>
          <cell r="C83">
            <v>1116990</v>
          </cell>
          <cell r="D83">
            <v>0.5</v>
          </cell>
          <cell r="E83">
            <v>558495</v>
          </cell>
        </row>
        <row r="84">
          <cell r="A84" t="str">
            <v>ZOOM DEPORTIVO</v>
          </cell>
          <cell r="B84" t="str">
            <v xml:space="preserve">TVN    </v>
          </cell>
          <cell r="C84">
            <v>550000</v>
          </cell>
          <cell r="E84">
            <v>550000</v>
          </cell>
        </row>
        <row r="85">
          <cell r="A85" t="str">
            <v>ZONA D REPORTAJES</v>
          </cell>
          <cell r="B85" t="str">
            <v xml:space="preserve">TVN    </v>
          </cell>
          <cell r="C85">
            <v>550000</v>
          </cell>
          <cell r="E85">
            <v>550000</v>
          </cell>
        </row>
        <row r="86">
          <cell r="A86" t="str">
            <v>24 HORAS AL DIA</v>
          </cell>
          <cell r="B86" t="str">
            <v xml:space="preserve">TVN    </v>
          </cell>
          <cell r="C86">
            <v>550000</v>
          </cell>
          <cell r="E86">
            <v>550000</v>
          </cell>
        </row>
        <row r="87">
          <cell r="A87" t="str">
            <v>BUENOS DIAS A TODOS (D)</v>
          </cell>
          <cell r="B87" t="str">
            <v xml:space="preserve">TVN    </v>
          </cell>
          <cell r="C87">
            <v>550000</v>
          </cell>
          <cell r="E87">
            <v>550000</v>
          </cell>
        </row>
        <row r="88">
          <cell r="A88" t="str">
            <v>VEREDICTO</v>
          </cell>
          <cell r="B88" t="str">
            <v xml:space="preserve">MEGA   </v>
          </cell>
          <cell r="C88">
            <v>1074150</v>
          </cell>
          <cell r="D88">
            <v>0.5</v>
          </cell>
          <cell r="E88">
            <v>537075</v>
          </cell>
        </row>
        <row r="89">
          <cell r="A89" t="str">
            <v>CINE</v>
          </cell>
          <cell r="B89" t="str">
            <v xml:space="preserve">MEGA   </v>
          </cell>
          <cell r="C89">
            <v>1074150</v>
          </cell>
          <cell r="D89">
            <v>0.5</v>
          </cell>
          <cell r="E89">
            <v>537075</v>
          </cell>
        </row>
        <row r="90">
          <cell r="A90" t="str">
            <v>EL CHAVO DEL OCHO</v>
          </cell>
          <cell r="B90" t="str">
            <v xml:space="preserve">MEGA   </v>
          </cell>
          <cell r="C90">
            <v>1074150</v>
          </cell>
          <cell r="D90">
            <v>0.5</v>
          </cell>
          <cell r="E90">
            <v>537075</v>
          </cell>
        </row>
        <row r="91">
          <cell r="A91" t="str">
            <v>LA LEY DE LA SELVA</v>
          </cell>
          <cell r="B91" t="str">
            <v xml:space="preserve">MEGA   </v>
          </cell>
          <cell r="C91">
            <v>1032780</v>
          </cell>
          <cell r="D91">
            <v>0.5</v>
          </cell>
          <cell r="E91">
            <v>516390</v>
          </cell>
        </row>
        <row r="92">
          <cell r="A92" t="str">
            <v>CIRCO ESTRELLAS DE LA CALLE</v>
          </cell>
          <cell r="B92" t="str">
            <v xml:space="preserve">CHV    </v>
          </cell>
          <cell r="C92">
            <v>1698510</v>
          </cell>
          <cell r="D92">
            <v>0.7</v>
          </cell>
          <cell r="E92">
            <v>509553.00000000006</v>
          </cell>
        </row>
        <row r="93">
          <cell r="A93" t="str">
            <v>DON FRANCISCO PRESENTA</v>
          </cell>
          <cell r="B93" t="str">
            <v xml:space="preserve">C13    </v>
          </cell>
          <cell r="C93">
            <v>500000</v>
          </cell>
          <cell r="E93">
            <v>500000</v>
          </cell>
        </row>
        <row r="94">
          <cell r="A94" t="str">
            <v>CONTROL REMOTO</v>
          </cell>
          <cell r="B94" t="str">
            <v xml:space="preserve">C13    </v>
          </cell>
          <cell r="C94">
            <v>500000</v>
          </cell>
          <cell r="E94">
            <v>500000</v>
          </cell>
        </row>
        <row r="95">
          <cell r="A95" t="str">
            <v>A TU DIA LE FALTA ALDO</v>
          </cell>
          <cell r="B95" t="str">
            <v xml:space="preserve">C13    </v>
          </cell>
          <cell r="C95">
            <v>500000</v>
          </cell>
          <cell r="E95">
            <v>500000</v>
          </cell>
        </row>
        <row r="96">
          <cell r="A96" t="str">
            <v>NOCHE DE</v>
          </cell>
          <cell r="B96" t="str">
            <v xml:space="preserve">C13    </v>
          </cell>
          <cell r="C96">
            <v>500000</v>
          </cell>
          <cell r="E96">
            <v>500000</v>
          </cell>
        </row>
        <row r="97">
          <cell r="A97" t="str">
            <v>LOS VENEGAS</v>
          </cell>
          <cell r="B97" t="str">
            <v xml:space="preserve">TVN    </v>
          </cell>
          <cell r="C97">
            <v>500000</v>
          </cell>
          <cell r="E97">
            <v>500000</v>
          </cell>
        </row>
        <row r="98">
          <cell r="A98" t="str">
            <v>LA JUEZA</v>
          </cell>
          <cell r="B98" t="str">
            <v xml:space="preserve">CHV    </v>
          </cell>
          <cell r="C98">
            <v>1540598</v>
          </cell>
          <cell r="D98">
            <v>0.7</v>
          </cell>
          <cell r="E98">
            <v>462179.40000000008</v>
          </cell>
        </row>
        <row r="99">
          <cell r="A99" t="str">
            <v>EL CUERPO DEL DESEO</v>
          </cell>
          <cell r="B99" t="str">
            <v xml:space="preserve">CHV    </v>
          </cell>
          <cell r="C99">
            <v>1540598</v>
          </cell>
          <cell r="D99">
            <v>0.7</v>
          </cell>
          <cell r="E99">
            <v>462179.40000000008</v>
          </cell>
        </row>
        <row r="100">
          <cell r="A100" t="str">
            <v>PASION DE PRIMERA TRASNOCHE</v>
          </cell>
          <cell r="B100" t="str">
            <v xml:space="preserve">MEGA   </v>
          </cell>
          <cell r="C100">
            <v>918120</v>
          </cell>
          <cell r="D100">
            <v>0.5</v>
          </cell>
          <cell r="E100">
            <v>459060</v>
          </cell>
        </row>
        <row r="101">
          <cell r="A101" t="str">
            <v>SABADO GIGANTE INTERNACIONAL</v>
          </cell>
          <cell r="B101" t="str">
            <v xml:space="preserve">C13    </v>
          </cell>
          <cell r="C101">
            <v>450000</v>
          </cell>
          <cell r="E101">
            <v>450000</v>
          </cell>
        </row>
        <row r="102">
          <cell r="A102" t="str">
            <v>ANNIMALES NOS PUSIMOS SALVAJES</v>
          </cell>
          <cell r="B102" t="str">
            <v xml:space="preserve">C13    </v>
          </cell>
          <cell r="C102">
            <v>450000</v>
          </cell>
          <cell r="E102">
            <v>450000</v>
          </cell>
        </row>
        <row r="103">
          <cell r="A103" t="str">
            <v>ARNOLD</v>
          </cell>
          <cell r="B103" t="str">
            <v xml:space="preserve">MEGA   </v>
          </cell>
          <cell r="C103">
            <v>882840</v>
          </cell>
          <cell r="D103">
            <v>0.5</v>
          </cell>
          <cell r="E103">
            <v>441420</v>
          </cell>
        </row>
        <row r="104">
          <cell r="A104" t="str">
            <v>ICARLY</v>
          </cell>
          <cell r="B104" t="str">
            <v xml:space="preserve">MEGA   </v>
          </cell>
          <cell r="C104">
            <v>882840</v>
          </cell>
          <cell r="D104">
            <v>0.5</v>
          </cell>
          <cell r="E104">
            <v>441420</v>
          </cell>
        </row>
        <row r="105">
          <cell r="A105" t="str">
            <v>LOS PADRINOS MAGICOS</v>
          </cell>
          <cell r="B105" t="str">
            <v xml:space="preserve">MEGA   </v>
          </cell>
          <cell r="C105">
            <v>882840</v>
          </cell>
          <cell r="D105">
            <v>0.5</v>
          </cell>
          <cell r="E105">
            <v>441420</v>
          </cell>
        </row>
        <row r="106">
          <cell r="A106" t="str">
            <v>SALVESE QUIEN PUEDA</v>
          </cell>
          <cell r="B106" t="str">
            <v xml:space="preserve">CHV    </v>
          </cell>
          <cell r="C106">
            <v>1467236</v>
          </cell>
          <cell r="D106">
            <v>0.7</v>
          </cell>
          <cell r="E106">
            <v>440170.80000000005</v>
          </cell>
        </row>
        <row r="107">
          <cell r="A107" t="str">
            <v>CHV NOTICIAS MATINAL</v>
          </cell>
          <cell r="B107" t="str">
            <v xml:space="preserve">CHV    </v>
          </cell>
          <cell r="C107">
            <v>1467236</v>
          </cell>
          <cell r="D107">
            <v>0.7</v>
          </cell>
          <cell r="E107">
            <v>440170.80000000005</v>
          </cell>
        </row>
        <row r="108">
          <cell r="A108" t="str">
            <v>CORAZON DE MARIA (R)</v>
          </cell>
          <cell r="B108" t="str">
            <v xml:space="preserve">TVN    </v>
          </cell>
          <cell r="C108">
            <v>425000</v>
          </cell>
          <cell r="E108">
            <v>425000</v>
          </cell>
        </row>
        <row r="109">
          <cell r="A109" t="str">
            <v>EL CIRCO DE LAS MONTINI (R)</v>
          </cell>
          <cell r="B109" t="str">
            <v xml:space="preserve">TVN    </v>
          </cell>
          <cell r="C109">
            <v>425000</v>
          </cell>
          <cell r="E109">
            <v>425000</v>
          </cell>
        </row>
        <row r="110">
          <cell r="A110" t="str">
            <v>TIERRA ADENTRO</v>
          </cell>
          <cell r="B110" t="str">
            <v xml:space="preserve">MEGA   </v>
          </cell>
          <cell r="C110">
            <v>848925</v>
          </cell>
          <cell r="D110">
            <v>0.5</v>
          </cell>
          <cell r="E110">
            <v>424462.5</v>
          </cell>
        </row>
        <row r="111">
          <cell r="A111" t="str">
            <v>SUPER ONCE</v>
          </cell>
          <cell r="B111" t="str">
            <v xml:space="preserve">MEGA   </v>
          </cell>
          <cell r="C111">
            <v>848925</v>
          </cell>
          <cell r="D111">
            <v>0.5</v>
          </cell>
          <cell r="E111">
            <v>424462.5</v>
          </cell>
        </row>
        <row r="112">
          <cell r="A112" t="str">
            <v>EL PEQUENO HEROE</v>
          </cell>
          <cell r="B112" t="str">
            <v xml:space="preserve">MEGA   </v>
          </cell>
          <cell r="C112">
            <v>848925</v>
          </cell>
          <cell r="D112">
            <v>0.5</v>
          </cell>
          <cell r="E112">
            <v>424462.5</v>
          </cell>
        </row>
        <row r="113">
          <cell r="A113" t="str">
            <v>LOS SIMPSONS</v>
          </cell>
          <cell r="B113" t="str">
            <v xml:space="preserve">C13    </v>
          </cell>
          <cell r="C113">
            <v>420000</v>
          </cell>
          <cell r="E113">
            <v>420000</v>
          </cell>
        </row>
        <row r="114">
          <cell r="A114" t="str">
            <v>GENTE COMO TU</v>
          </cell>
          <cell r="B114" t="str">
            <v xml:space="preserve">CHV    </v>
          </cell>
          <cell r="C114">
            <v>1397368</v>
          </cell>
          <cell r="D114">
            <v>0.7</v>
          </cell>
          <cell r="E114">
            <v>419210.40000000008</v>
          </cell>
        </row>
        <row r="115">
          <cell r="A115" t="str">
            <v>LA PEQUENA LULU</v>
          </cell>
          <cell r="B115" t="str">
            <v xml:space="preserve">MEGA   </v>
          </cell>
          <cell r="C115">
            <v>816165</v>
          </cell>
          <cell r="D115">
            <v>0.5</v>
          </cell>
          <cell r="E115">
            <v>408082.5</v>
          </cell>
        </row>
        <row r="116">
          <cell r="A116" t="str">
            <v>LA UNIDAD</v>
          </cell>
          <cell r="B116" t="str">
            <v xml:space="preserve">MEGA   </v>
          </cell>
          <cell r="C116">
            <v>816165</v>
          </cell>
          <cell r="D116">
            <v>0.5</v>
          </cell>
          <cell r="E116">
            <v>408082.5</v>
          </cell>
        </row>
        <row r="117">
          <cell r="A117" t="str">
            <v>ACUARELA DEL AMOR</v>
          </cell>
          <cell r="B117" t="str">
            <v xml:space="preserve">C13    </v>
          </cell>
          <cell r="C117">
            <v>400000</v>
          </cell>
          <cell r="E117">
            <v>400000</v>
          </cell>
        </row>
        <row r="118">
          <cell r="A118" t="str">
            <v>TELENOCHE</v>
          </cell>
          <cell r="B118" t="str">
            <v xml:space="preserve">C13    </v>
          </cell>
          <cell r="C118">
            <v>400000</v>
          </cell>
          <cell r="E118">
            <v>400000</v>
          </cell>
        </row>
        <row r="119">
          <cell r="A119" t="str">
            <v>EL MENU DE TEVITO</v>
          </cell>
          <cell r="B119" t="str">
            <v xml:space="preserve">TVN    </v>
          </cell>
          <cell r="C119">
            <v>400000</v>
          </cell>
          <cell r="E119">
            <v>400000</v>
          </cell>
        </row>
        <row r="120">
          <cell r="A120" t="str">
            <v>CINE TRASNOCHE</v>
          </cell>
          <cell r="B120" t="str">
            <v xml:space="preserve">MEGA   </v>
          </cell>
          <cell r="C120">
            <v>754635</v>
          </cell>
          <cell r="D120">
            <v>0.5</v>
          </cell>
          <cell r="E120">
            <v>377317.5</v>
          </cell>
        </row>
        <row r="121">
          <cell r="A121" t="str">
            <v>MR BEAN</v>
          </cell>
          <cell r="B121" t="str">
            <v xml:space="preserve">MEGA   </v>
          </cell>
          <cell r="C121">
            <v>754635</v>
          </cell>
          <cell r="D121">
            <v>0.5</v>
          </cell>
          <cell r="E121">
            <v>377317.5</v>
          </cell>
        </row>
        <row r="122">
          <cell r="A122" t="str">
            <v>SIN VERGUENZA</v>
          </cell>
          <cell r="B122" t="str">
            <v xml:space="preserve">CHV    </v>
          </cell>
          <cell r="C122">
            <v>1207099</v>
          </cell>
          <cell r="D122">
            <v>0.7</v>
          </cell>
          <cell r="E122">
            <v>362129.70000000007</v>
          </cell>
        </row>
        <row r="123">
          <cell r="A123" t="str">
            <v>CINE 13 TARDE</v>
          </cell>
          <cell r="B123" t="str">
            <v xml:space="preserve">C13    </v>
          </cell>
          <cell r="C123">
            <v>350000</v>
          </cell>
          <cell r="E123">
            <v>350000</v>
          </cell>
        </row>
        <row r="124">
          <cell r="A124" t="str">
            <v>TELETARDE</v>
          </cell>
          <cell r="B124" t="str">
            <v xml:space="preserve">C13    </v>
          </cell>
          <cell r="C124">
            <v>350000</v>
          </cell>
          <cell r="E124">
            <v>350000</v>
          </cell>
        </row>
        <row r="125">
          <cell r="A125" t="str">
            <v>CINE</v>
          </cell>
          <cell r="B125" t="str">
            <v xml:space="preserve">CHV    </v>
          </cell>
          <cell r="C125">
            <v>1094874</v>
          </cell>
          <cell r="D125">
            <v>0.7</v>
          </cell>
          <cell r="E125">
            <v>328462.20000000007</v>
          </cell>
        </row>
        <row r="126">
          <cell r="A126" t="str">
            <v>LA CULTURA BICENTENARIO</v>
          </cell>
          <cell r="B126" t="str">
            <v xml:space="preserve">C13    </v>
          </cell>
          <cell r="C126">
            <v>300000</v>
          </cell>
          <cell r="E126">
            <v>300000</v>
          </cell>
        </row>
        <row r="127">
          <cell r="A127" t="str">
            <v>EN BOCA DE TODOS</v>
          </cell>
          <cell r="B127" t="str">
            <v xml:space="preserve">C13    </v>
          </cell>
          <cell r="C127">
            <v>300000</v>
          </cell>
          <cell r="E127">
            <v>300000</v>
          </cell>
        </row>
        <row r="128">
          <cell r="A128" t="str">
            <v>SABADO DE REPORTAJES</v>
          </cell>
          <cell r="B128" t="str">
            <v xml:space="preserve">C13    </v>
          </cell>
          <cell r="C128">
            <v>300000</v>
          </cell>
          <cell r="E128">
            <v>300000</v>
          </cell>
        </row>
        <row r="129">
          <cell r="A129" t="str">
            <v>CINE ESPECTACULAR</v>
          </cell>
          <cell r="B129" t="str">
            <v xml:space="preserve">RED    </v>
          </cell>
          <cell r="C129">
            <v>300000</v>
          </cell>
          <cell r="E129">
            <v>300000</v>
          </cell>
        </row>
        <row r="130">
          <cell r="A130" t="str">
            <v>ESTADO NACIONAL</v>
          </cell>
          <cell r="B130" t="str">
            <v xml:space="preserve">TVN    </v>
          </cell>
          <cell r="C130">
            <v>300000</v>
          </cell>
          <cell r="E130">
            <v>300000</v>
          </cell>
        </row>
        <row r="131">
          <cell r="A131" t="str">
            <v>DOCUMENTOS</v>
          </cell>
          <cell r="B131" t="str">
            <v xml:space="preserve">CHV    </v>
          </cell>
          <cell r="C131">
            <v>992163</v>
          </cell>
          <cell r="D131">
            <v>0.7</v>
          </cell>
          <cell r="E131">
            <v>297648.90000000002</v>
          </cell>
        </row>
        <row r="132">
          <cell r="A132" t="str">
            <v>DORA LA EXPLORADORA</v>
          </cell>
          <cell r="B132" t="str">
            <v xml:space="preserve">MEGA   </v>
          </cell>
          <cell r="C132">
            <v>573510</v>
          </cell>
          <cell r="D132">
            <v>0.5</v>
          </cell>
          <cell r="E132">
            <v>286755</v>
          </cell>
        </row>
        <row r="133">
          <cell r="A133" t="str">
            <v>POKEMON</v>
          </cell>
          <cell r="B133" t="str">
            <v xml:space="preserve">MEGA   </v>
          </cell>
          <cell r="C133">
            <v>573510</v>
          </cell>
          <cell r="D133">
            <v>0.5</v>
          </cell>
          <cell r="E133">
            <v>286755</v>
          </cell>
        </row>
        <row r="134">
          <cell r="A134" t="str">
            <v>SERIES NACIONALES</v>
          </cell>
          <cell r="B134" t="str">
            <v xml:space="preserve">CHV    </v>
          </cell>
          <cell r="C134">
            <v>899938</v>
          </cell>
          <cell r="D134">
            <v>0.7</v>
          </cell>
          <cell r="E134">
            <v>269981.40000000002</v>
          </cell>
        </row>
        <row r="135">
          <cell r="A135" t="str">
            <v>EL DIARIO DE EVA</v>
          </cell>
          <cell r="B135" t="str">
            <v xml:space="preserve">CHV    </v>
          </cell>
          <cell r="C135">
            <v>856800</v>
          </cell>
          <cell r="D135">
            <v>0.7</v>
          </cell>
          <cell r="E135">
            <v>257040.00000000003</v>
          </cell>
        </row>
        <row r="136">
          <cell r="A136" t="str">
            <v>YINGO (LO MEJOR)</v>
          </cell>
          <cell r="B136" t="str">
            <v xml:space="preserve">CHV    </v>
          </cell>
          <cell r="C136">
            <v>856800</v>
          </cell>
          <cell r="D136">
            <v>0.7</v>
          </cell>
          <cell r="E136">
            <v>257040.00000000003</v>
          </cell>
        </row>
        <row r="137">
          <cell r="A137" t="str">
            <v>MIRA QUIEN HABLA</v>
          </cell>
          <cell r="B137" t="str">
            <v xml:space="preserve">MEGA   </v>
          </cell>
          <cell r="C137">
            <v>509775</v>
          </cell>
          <cell r="D137">
            <v>0.5</v>
          </cell>
          <cell r="E137">
            <v>254887.5</v>
          </cell>
        </row>
        <row r="138">
          <cell r="A138" t="str">
            <v>DEPORTES 13 GOLES</v>
          </cell>
          <cell r="B138" t="str">
            <v xml:space="preserve">C13    </v>
          </cell>
          <cell r="C138">
            <v>250000</v>
          </cell>
          <cell r="E138">
            <v>250000</v>
          </cell>
        </row>
        <row r="139">
          <cell r="A139" t="str">
            <v>ACOSO TEXTUAL</v>
          </cell>
          <cell r="B139" t="str">
            <v xml:space="preserve">C13    </v>
          </cell>
          <cell r="C139">
            <v>250000</v>
          </cell>
          <cell r="E139">
            <v>250000</v>
          </cell>
        </row>
        <row r="140">
          <cell r="A140" t="str">
            <v>MUCHO GUSTO</v>
          </cell>
          <cell r="B140" t="str">
            <v xml:space="preserve">MEGA   </v>
          </cell>
          <cell r="C140">
            <v>490140</v>
          </cell>
          <cell r="D140">
            <v>0.5</v>
          </cell>
          <cell r="E140">
            <v>245070</v>
          </cell>
        </row>
        <row r="141">
          <cell r="A141" t="str">
            <v>7 DIAS</v>
          </cell>
          <cell r="B141" t="str">
            <v xml:space="preserve">CHV    </v>
          </cell>
          <cell r="C141">
            <v>816638</v>
          </cell>
          <cell r="D141">
            <v>0.7</v>
          </cell>
          <cell r="E141">
            <v>244991.40000000002</v>
          </cell>
        </row>
        <row r="142">
          <cell r="A142" t="str">
            <v>LUCHA LIBRE</v>
          </cell>
          <cell r="B142" t="str">
            <v xml:space="preserve">CHV    </v>
          </cell>
          <cell r="C142">
            <v>740775</v>
          </cell>
          <cell r="D142">
            <v>0.7</v>
          </cell>
          <cell r="E142">
            <v>222232.50000000003</v>
          </cell>
        </row>
        <row r="143">
          <cell r="A143" t="str">
            <v>MEGANOTICIAS EDICION MATINAL</v>
          </cell>
          <cell r="B143" t="str">
            <v xml:space="preserve">MEGA   </v>
          </cell>
          <cell r="C143">
            <v>402885</v>
          </cell>
          <cell r="D143">
            <v>0.5</v>
          </cell>
          <cell r="E143">
            <v>201442.5</v>
          </cell>
        </row>
        <row r="144">
          <cell r="A144" t="str">
            <v>DEPORTES 13 FULL</v>
          </cell>
          <cell r="B144" t="str">
            <v xml:space="preserve">C13    </v>
          </cell>
          <cell r="C144">
            <v>200000</v>
          </cell>
          <cell r="E144">
            <v>200000</v>
          </cell>
        </row>
        <row r="145">
          <cell r="A145" t="str">
            <v>ALFOMBRA ROJA</v>
          </cell>
          <cell r="B145" t="str">
            <v xml:space="preserve">C13    </v>
          </cell>
          <cell r="C145">
            <v>200000</v>
          </cell>
          <cell r="E145">
            <v>200000</v>
          </cell>
        </row>
        <row r="146">
          <cell r="A146" t="str">
            <v>TOUR VERANO MOVISTAR MUSICA</v>
          </cell>
          <cell r="B146" t="str">
            <v xml:space="preserve">C13    </v>
          </cell>
          <cell r="C146">
            <v>430000</v>
          </cell>
          <cell r="D146">
            <v>0.6</v>
          </cell>
          <cell r="E146">
            <v>172000</v>
          </cell>
        </row>
        <row r="147">
          <cell r="A147" t="str">
            <v>SUPER SERIES</v>
          </cell>
          <cell r="B147" t="str">
            <v xml:space="preserve">C13    </v>
          </cell>
          <cell r="C147">
            <v>150000</v>
          </cell>
          <cell r="E147">
            <v>150000</v>
          </cell>
        </row>
        <row r="148">
          <cell r="A148" t="str">
            <v>CINE 13 SELECCION</v>
          </cell>
          <cell r="B148" t="str">
            <v xml:space="preserve">C13    </v>
          </cell>
          <cell r="C148">
            <v>150000</v>
          </cell>
          <cell r="E148">
            <v>150000</v>
          </cell>
        </row>
        <row r="149">
          <cell r="A149" t="str">
            <v>VIVA LA MANANA</v>
          </cell>
          <cell r="B149" t="str">
            <v xml:space="preserve">C13    </v>
          </cell>
          <cell r="C149">
            <v>150000</v>
          </cell>
          <cell r="E149">
            <v>150000</v>
          </cell>
        </row>
        <row r="150">
          <cell r="A150" t="str">
            <v>CINE</v>
          </cell>
          <cell r="B150" t="str">
            <v xml:space="preserve">RED    </v>
          </cell>
          <cell r="C150">
            <v>150000</v>
          </cell>
          <cell r="E150">
            <v>150000</v>
          </cell>
        </row>
        <row r="151">
          <cell r="A151" t="str">
            <v>SEX AND THE CITY</v>
          </cell>
          <cell r="B151" t="str">
            <v xml:space="preserve">RED    </v>
          </cell>
          <cell r="C151">
            <v>150000</v>
          </cell>
          <cell r="E151">
            <v>150000</v>
          </cell>
        </row>
        <row r="152">
          <cell r="A152" t="str">
            <v>ASI SOMOS</v>
          </cell>
          <cell r="B152" t="str">
            <v xml:space="preserve">RED    </v>
          </cell>
          <cell r="C152">
            <v>125000</v>
          </cell>
          <cell r="E152">
            <v>125000</v>
          </cell>
        </row>
        <row r="153">
          <cell r="A153" t="str">
            <v>DESEO PROHIBIDO</v>
          </cell>
          <cell r="B153" t="str">
            <v xml:space="preserve">RED    </v>
          </cell>
          <cell r="C153">
            <v>125000</v>
          </cell>
          <cell r="E153">
            <v>125000</v>
          </cell>
        </row>
        <row r="154">
          <cell r="A154" t="str">
            <v>CINE DE TRASNOCHE</v>
          </cell>
          <cell r="B154" t="str">
            <v xml:space="preserve">RED    </v>
          </cell>
          <cell r="C154">
            <v>100000</v>
          </cell>
          <cell r="E154">
            <v>100000</v>
          </cell>
        </row>
        <row r="155">
          <cell r="A155" t="str">
            <v>TARDES DE CINE</v>
          </cell>
          <cell r="B155" t="str">
            <v xml:space="preserve">RED    </v>
          </cell>
          <cell r="C155">
            <v>100000</v>
          </cell>
          <cell r="E155">
            <v>100000</v>
          </cell>
        </row>
        <row r="156">
          <cell r="A156" t="str">
            <v>AMERICA S NEXT TOP MODELS</v>
          </cell>
          <cell r="B156" t="str">
            <v xml:space="preserve">RED    </v>
          </cell>
          <cell r="C156">
            <v>100000</v>
          </cell>
          <cell r="E156">
            <v>100000</v>
          </cell>
        </row>
        <row r="157">
          <cell r="A157" t="str">
            <v>POLLO EN CONSERVA</v>
          </cell>
          <cell r="B157" t="str">
            <v xml:space="preserve">RED    </v>
          </cell>
          <cell r="C157">
            <v>90000</v>
          </cell>
          <cell r="E157">
            <v>90000</v>
          </cell>
        </row>
        <row r="158">
          <cell r="A158" t="str">
            <v>INTRUSOS</v>
          </cell>
          <cell r="B158" t="str">
            <v xml:space="preserve">RED    </v>
          </cell>
          <cell r="C158">
            <v>90000</v>
          </cell>
          <cell r="E158">
            <v>90000</v>
          </cell>
        </row>
        <row r="159">
          <cell r="A159" t="str">
            <v>LO QUE CALLAMOS LAS MUJERES</v>
          </cell>
          <cell r="B159" t="str">
            <v xml:space="preserve">RED    </v>
          </cell>
          <cell r="C159">
            <v>90000</v>
          </cell>
          <cell r="E159">
            <v>90000</v>
          </cell>
        </row>
        <row r="160">
          <cell r="A160" t="str">
            <v>CARA A CARA</v>
          </cell>
          <cell r="B160" t="str">
            <v xml:space="preserve">RED    </v>
          </cell>
          <cell r="C160">
            <v>80000</v>
          </cell>
          <cell r="E160">
            <v>80000</v>
          </cell>
        </row>
        <row r="161">
          <cell r="A161" t="str">
            <v>CADA DIA MEJOR</v>
          </cell>
          <cell r="B161" t="str">
            <v xml:space="preserve">RED    </v>
          </cell>
          <cell r="C161">
            <v>80000</v>
          </cell>
          <cell r="E161">
            <v>80000</v>
          </cell>
        </row>
        <row r="162">
          <cell r="A162" t="str">
            <v>TORMENTA EN EL PARAISO</v>
          </cell>
          <cell r="B162" t="str">
            <v xml:space="preserve">RED    </v>
          </cell>
          <cell r="C162">
            <v>80000</v>
          </cell>
          <cell r="E162">
            <v>80000</v>
          </cell>
        </row>
        <row r="163">
          <cell r="A163" t="str">
            <v>LA ZONA MUERTA</v>
          </cell>
          <cell r="B163" t="str">
            <v xml:space="preserve">RED    </v>
          </cell>
          <cell r="C163">
            <v>80000</v>
          </cell>
          <cell r="E163">
            <v>80000</v>
          </cell>
        </row>
        <row r="164">
          <cell r="A164" t="str">
            <v>FEAR FACTOR</v>
          </cell>
          <cell r="B164" t="str">
            <v xml:space="preserve">RED    </v>
          </cell>
          <cell r="C164">
            <v>80000</v>
          </cell>
          <cell r="E164">
            <v>80000</v>
          </cell>
        </row>
        <row r="165">
          <cell r="A165" t="str">
            <v>DESTILANDO AMOR</v>
          </cell>
          <cell r="B165" t="str">
            <v xml:space="preserve">RED    </v>
          </cell>
          <cell r="C165">
            <v>70000</v>
          </cell>
          <cell r="E165">
            <v>70000</v>
          </cell>
        </row>
        <row r="166">
          <cell r="A166" t="str">
            <v>DUELO DE PASIONES</v>
          </cell>
          <cell r="B166" t="str">
            <v xml:space="preserve">RED    </v>
          </cell>
          <cell r="C166">
            <v>70000</v>
          </cell>
          <cell r="E166">
            <v>70000</v>
          </cell>
        </row>
        <row r="167">
          <cell r="A167" t="str">
            <v>MUJER CASOS DE LA VIDA REAL</v>
          </cell>
          <cell r="B167" t="str">
            <v xml:space="preserve">RED    </v>
          </cell>
          <cell r="C167">
            <v>70000</v>
          </cell>
          <cell r="E167">
            <v>70000</v>
          </cell>
        </row>
        <row r="168">
          <cell r="A168" t="str">
            <v>SECRETO DE AMOR</v>
          </cell>
          <cell r="B168" t="str">
            <v xml:space="preserve">RED    </v>
          </cell>
          <cell r="C168">
            <v>70000</v>
          </cell>
          <cell r="E168">
            <v>70000</v>
          </cell>
        </row>
        <row r="169">
          <cell r="A169" t="str">
            <v>TERESA</v>
          </cell>
          <cell r="B169" t="str">
            <v xml:space="preserve">RED    </v>
          </cell>
          <cell r="C169">
            <v>70000</v>
          </cell>
          <cell r="E169">
            <v>70000</v>
          </cell>
        </row>
        <row r="170">
          <cell r="A170" t="str">
            <v>LA ROSA DE GUADALUPE</v>
          </cell>
          <cell r="B170" t="str">
            <v xml:space="preserve">RED    </v>
          </cell>
          <cell r="C170">
            <v>70000</v>
          </cell>
          <cell r="E170">
            <v>70000</v>
          </cell>
        </row>
        <row r="171">
          <cell r="A171" t="str">
            <v>DECISIONES</v>
          </cell>
          <cell r="B171" t="str">
            <v xml:space="preserve">RED    </v>
          </cell>
          <cell r="C171">
            <v>70000</v>
          </cell>
          <cell r="E171">
            <v>70000</v>
          </cell>
        </row>
        <row r="172">
          <cell r="A172" t="str">
            <v>ULTIMATE GUINNES WORLD REC(LOM</v>
          </cell>
          <cell r="B172" t="str">
            <v xml:space="preserve">RED    </v>
          </cell>
          <cell r="C172">
            <v>70000</v>
          </cell>
          <cell r="E172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>
        <row r="1">
          <cell r="A1" t="str">
            <v>Canal</v>
          </cell>
        </row>
      </sheetData>
      <sheetData sheetId="19">
        <row r="1">
          <cell r="A1" t="str">
            <v>Programa</v>
          </cell>
        </row>
      </sheetData>
      <sheetData sheetId="20"/>
      <sheetData sheetId="21"/>
      <sheetData sheetId="22"/>
      <sheetData sheetId="23"/>
      <sheetData sheetId="24"/>
      <sheetData sheetId="25">
        <row r="1">
          <cell r="A1" t="str">
            <v>Programa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R"/>
      <sheetName val="Tarifas"/>
      <sheetName val="PromRat"/>
      <sheetName val="Rat-0296"/>
      <sheetName val="Rat-0396"/>
      <sheetName val="Rat-0496"/>
      <sheetName val="Rat-0596"/>
      <sheetName val="Rat-0696"/>
      <sheetName val="Rat-0796"/>
      <sheetName val="Rat-0896"/>
      <sheetName val="Rat-0996"/>
      <sheetName val="Rat-1096"/>
      <sheetName val="Rat-1196"/>
      <sheetName val="Rat-1296"/>
      <sheetName val="Rat-0197"/>
      <sheetName val="Rat-0297 "/>
      <sheetName val="Rat-0397"/>
      <sheetName val="Rat-0497 "/>
      <sheetName val="Rat-0597 "/>
      <sheetName val="Rat-0697  "/>
      <sheetName val="Rat-0797 "/>
      <sheetName val="Rat-0897 "/>
      <sheetName val="Rat-0997 "/>
      <sheetName val="Rat-1097 "/>
      <sheetName val="Rat-1197 "/>
      <sheetName val="Module1"/>
      <sheetName val="Module2"/>
      <sheetName val="Module3"/>
      <sheetName val="Module4"/>
      <sheetName val="Módulo1"/>
      <sheetName val="Módulo2"/>
      <sheetName val="PRE96@01"/>
      <sheetName val="HMAMB"/>
      <sheetName val="Regiones Noviembre 2002"/>
      <sheetName val="Pauta"/>
      <sheetName val="Full Year"/>
      <sheetName val="aca-"/>
      <sheetName val="VENTAS04"/>
      <sheetName val="AUT-HOG"/>
      <sheetName val="Rat-0297_"/>
      <sheetName val="Rat-0497_"/>
      <sheetName val="Rat-0597_"/>
      <sheetName val="Rat-0697__"/>
      <sheetName val="Rat-0797_"/>
      <sheetName val="Rat-0897_"/>
      <sheetName val="Rat-0997_"/>
      <sheetName val="Rat-1097_"/>
      <sheetName val="Rat-1197_"/>
      <sheetName val="Full_Year"/>
      <sheetName val="SumR"/>
      <sheetName val="Vol_SRA"/>
      <sheetName val="Rat-0297_1"/>
      <sheetName val="Rat-0497_1"/>
      <sheetName val="Rat-0597_1"/>
      <sheetName val="Rat-0697__1"/>
      <sheetName val="Rat-0797_1"/>
      <sheetName val="Rat-0897_1"/>
      <sheetName val="Rat-0997_1"/>
      <sheetName val="Rat-1097_1"/>
      <sheetName val="Rat-1197_1"/>
      <sheetName val="Full_Year1"/>
      <sheetName val="Regiones_Noviembre_2002"/>
      <sheetName val="Rat-0297_7"/>
      <sheetName val="Rat-0497_7"/>
      <sheetName val="Rat-0597_7"/>
      <sheetName val="Rat-0697__7"/>
      <sheetName val="Rat-0797_7"/>
      <sheetName val="Rat-0897_7"/>
      <sheetName val="Rat-0997_7"/>
      <sheetName val="Rat-1097_7"/>
      <sheetName val="Rat-1197_7"/>
      <sheetName val="Full_Year7"/>
      <sheetName val="Regiones_Noviembre_20026"/>
      <sheetName val="Rat-0297_2"/>
      <sheetName val="Rat-0497_2"/>
      <sheetName val="Rat-0597_2"/>
      <sheetName val="Rat-0697__2"/>
      <sheetName val="Rat-0797_2"/>
      <sheetName val="Rat-0897_2"/>
      <sheetName val="Rat-0997_2"/>
      <sheetName val="Rat-1097_2"/>
      <sheetName val="Rat-1197_2"/>
      <sheetName val="Full_Year2"/>
      <sheetName val="Regiones_Noviembre_20021"/>
      <sheetName val="Rat-0297_3"/>
      <sheetName val="Rat-0497_3"/>
      <sheetName val="Rat-0597_3"/>
      <sheetName val="Rat-0697__3"/>
      <sheetName val="Rat-0797_3"/>
      <sheetName val="Rat-0897_3"/>
      <sheetName val="Rat-0997_3"/>
      <sheetName val="Rat-1097_3"/>
      <sheetName val="Rat-1197_3"/>
      <sheetName val="Full_Year3"/>
      <sheetName val="Regiones_Noviembre_20022"/>
      <sheetName val="Rat-0297_4"/>
      <sheetName val="Rat-0497_4"/>
      <sheetName val="Rat-0597_4"/>
      <sheetName val="Rat-0697__4"/>
      <sheetName val="Rat-0797_4"/>
      <sheetName val="Rat-0897_4"/>
      <sheetName val="Rat-0997_4"/>
      <sheetName val="Rat-1097_4"/>
      <sheetName val="Rat-1197_4"/>
      <sheetName val="Full_Year4"/>
      <sheetName val="Regiones_Noviembre_20023"/>
      <sheetName val="Rat-0297_5"/>
      <sheetName val="Rat-0497_5"/>
      <sheetName val="Rat-0597_5"/>
      <sheetName val="Rat-0697__5"/>
      <sheetName val="Rat-0797_5"/>
      <sheetName val="Rat-0897_5"/>
      <sheetName val="Rat-0997_5"/>
      <sheetName val="Rat-1097_5"/>
      <sheetName val="Rat-1197_5"/>
      <sheetName val="Full_Year5"/>
      <sheetName val="Regiones_Noviembre_20024"/>
      <sheetName val="Rat-0297_6"/>
      <sheetName val="Rat-0497_6"/>
      <sheetName val="Rat-0597_6"/>
      <sheetName val="Rat-0697__6"/>
      <sheetName val="Rat-0797_6"/>
      <sheetName val="Rat-0897_6"/>
      <sheetName val="Rat-0997_6"/>
      <sheetName val="Rat-1097_6"/>
      <sheetName val="Rat-1197_6"/>
      <sheetName val="Full_Year6"/>
      <sheetName val="Regiones_Noviembre_20025"/>
      <sheetName val="Rat-0297_8"/>
      <sheetName val="Rat-0497_8"/>
      <sheetName val="Rat-0597_8"/>
      <sheetName val="Rat-0697__8"/>
      <sheetName val="Rat-0797_8"/>
      <sheetName val="Rat-0897_8"/>
      <sheetName val="Rat-0997_8"/>
      <sheetName val="Rat-1097_8"/>
      <sheetName val="Rat-1197_8"/>
      <sheetName val="Full_Year8"/>
      <sheetName val="Regiones_Noviembre_20027"/>
      <sheetName val="Rat-0297_9"/>
      <sheetName val="Rat-0497_9"/>
      <sheetName val="Rat-0597_9"/>
      <sheetName val="Rat-0697__9"/>
      <sheetName val="Rat-0797_9"/>
      <sheetName val="Rat-0897_9"/>
      <sheetName val="Rat-0997_9"/>
      <sheetName val="Rat-1097_9"/>
      <sheetName val="Rat-1197_9"/>
      <sheetName val="Full_Year9"/>
      <sheetName val="Regiones_Noviembre_20028"/>
      <sheetName val="Rat-0297_10"/>
      <sheetName val="Rat-0497_10"/>
      <sheetName val="Rat-0597_10"/>
      <sheetName val="Rat-0697__10"/>
      <sheetName val="Rat-0797_10"/>
      <sheetName val="Rat-0897_10"/>
      <sheetName val="Rat-0997_10"/>
      <sheetName val="Rat-1097_10"/>
      <sheetName val="Rat-1197_10"/>
      <sheetName val="Full_Year10"/>
      <sheetName val="Regiones_Noviembre_20029"/>
      <sheetName val="Rat-0297_34"/>
      <sheetName val="Rat-0497_34"/>
      <sheetName val="Rat-0597_34"/>
      <sheetName val="Rat-0697__34"/>
      <sheetName val="Rat-0797_34"/>
      <sheetName val="Rat-0897_34"/>
      <sheetName val="Rat-0997_34"/>
      <sheetName val="Rat-1097_34"/>
      <sheetName val="Rat-1197_34"/>
      <sheetName val="Full_Year34"/>
      <sheetName val="Regiones_Noviembre_200233"/>
      <sheetName val="Rat-0297_14"/>
      <sheetName val="Rat-0497_14"/>
      <sheetName val="Rat-0597_14"/>
      <sheetName val="Rat-0697__14"/>
      <sheetName val="Rat-0797_14"/>
      <sheetName val="Rat-0897_14"/>
      <sheetName val="Rat-0997_14"/>
      <sheetName val="Rat-1097_14"/>
      <sheetName val="Rat-1197_14"/>
      <sheetName val="Full_Year14"/>
      <sheetName val="Regiones_Noviembre_200213"/>
      <sheetName val="Rat-0297_13"/>
      <sheetName val="Rat-0497_13"/>
      <sheetName val="Rat-0597_13"/>
      <sheetName val="Rat-0697__13"/>
      <sheetName val="Rat-0797_13"/>
      <sheetName val="Rat-0897_13"/>
      <sheetName val="Rat-0997_13"/>
      <sheetName val="Rat-1097_13"/>
      <sheetName val="Rat-1197_13"/>
      <sheetName val="Full_Year13"/>
      <sheetName val="Regiones_Noviembre_200212"/>
      <sheetName val="Rat-0297_11"/>
      <sheetName val="Rat-0497_11"/>
      <sheetName val="Rat-0597_11"/>
      <sheetName val="Rat-0697__11"/>
      <sheetName val="Rat-0797_11"/>
      <sheetName val="Rat-0897_11"/>
      <sheetName val="Rat-0997_11"/>
      <sheetName val="Rat-1097_11"/>
      <sheetName val="Rat-1197_11"/>
      <sheetName val="Full_Year11"/>
      <sheetName val="Regiones_Noviembre_200210"/>
      <sheetName val="Rat-0297_12"/>
      <sheetName val="Rat-0497_12"/>
      <sheetName val="Rat-0597_12"/>
      <sheetName val="Rat-0697__12"/>
      <sheetName val="Rat-0797_12"/>
      <sheetName val="Rat-0897_12"/>
      <sheetName val="Rat-0997_12"/>
      <sheetName val="Rat-1097_12"/>
      <sheetName val="Rat-1197_12"/>
      <sheetName val="Full_Year12"/>
      <sheetName val="Regiones_Noviembre_200211"/>
      <sheetName val="Rat-0297_15"/>
      <sheetName val="Rat-0497_15"/>
      <sheetName val="Rat-0597_15"/>
      <sheetName val="Rat-0697__15"/>
      <sheetName val="Rat-0797_15"/>
      <sheetName val="Rat-0897_15"/>
      <sheetName val="Rat-0997_15"/>
      <sheetName val="Rat-1097_15"/>
      <sheetName val="Rat-1197_15"/>
      <sheetName val="Full_Year15"/>
      <sheetName val="Regiones_Noviembre_200214"/>
      <sheetName val="Rat-0297_16"/>
      <sheetName val="Rat-0497_16"/>
      <sheetName val="Rat-0597_16"/>
      <sheetName val="Rat-0697__16"/>
      <sheetName val="Rat-0797_16"/>
      <sheetName val="Rat-0897_16"/>
      <sheetName val="Rat-0997_16"/>
      <sheetName val="Rat-1097_16"/>
      <sheetName val="Rat-1197_16"/>
      <sheetName val="Full_Year16"/>
      <sheetName val="Regiones_Noviembre_200215"/>
      <sheetName val="Rat-0297_27"/>
      <sheetName val="Rat-0497_27"/>
      <sheetName val="Rat-0597_27"/>
      <sheetName val="Rat-0697__27"/>
      <sheetName val="Rat-0797_27"/>
      <sheetName val="Rat-0897_27"/>
      <sheetName val="Rat-0997_27"/>
      <sheetName val="Rat-1097_27"/>
      <sheetName val="Rat-1197_27"/>
      <sheetName val="Full_Year27"/>
      <sheetName val="Regiones_Noviembre_200226"/>
      <sheetName val="Rat-0297_23"/>
      <sheetName val="Rat-0497_23"/>
      <sheetName val="Rat-0597_23"/>
      <sheetName val="Rat-0697__23"/>
      <sheetName val="Rat-0797_23"/>
      <sheetName val="Rat-0897_23"/>
      <sheetName val="Rat-0997_23"/>
      <sheetName val="Rat-1097_23"/>
      <sheetName val="Rat-1197_23"/>
      <sheetName val="Full_Year23"/>
      <sheetName val="Regiones_Noviembre_200222"/>
      <sheetName val="Rat-0297_20"/>
      <sheetName val="Rat-0497_20"/>
      <sheetName val="Rat-0597_20"/>
      <sheetName val="Rat-0697__20"/>
      <sheetName val="Rat-0797_20"/>
      <sheetName val="Rat-0897_20"/>
      <sheetName val="Rat-0997_20"/>
      <sheetName val="Rat-1097_20"/>
      <sheetName val="Rat-1197_20"/>
      <sheetName val="Full_Year20"/>
      <sheetName val="Regiones_Noviembre_200219"/>
      <sheetName val="Rat-0297_18"/>
      <sheetName val="Rat-0497_18"/>
      <sheetName val="Rat-0597_18"/>
      <sheetName val="Rat-0697__18"/>
      <sheetName val="Rat-0797_18"/>
      <sheetName val="Rat-0897_18"/>
      <sheetName val="Rat-0997_18"/>
      <sheetName val="Rat-1097_18"/>
      <sheetName val="Rat-1197_18"/>
      <sheetName val="Full_Year18"/>
      <sheetName val="Regiones_Noviembre_200217"/>
      <sheetName val="Rat-0297_17"/>
      <sheetName val="Rat-0497_17"/>
      <sheetName val="Rat-0597_17"/>
      <sheetName val="Rat-0697__17"/>
      <sheetName val="Rat-0797_17"/>
      <sheetName val="Rat-0897_17"/>
      <sheetName val="Rat-0997_17"/>
      <sheetName val="Rat-1097_17"/>
      <sheetName val="Rat-1197_17"/>
      <sheetName val="Full_Year17"/>
      <sheetName val="Regiones_Noviembre_200216"/>
      <sheetName val="Rat-0297_19"/>
      <sheetName val="Rat-0497_19"/>
      <sheetName val="Rat-0597_19"/>
      <sheetName val="Rat-0697__19"/>
      <sheetName val="Rat-0797_19"/>
      <sheetName val="Rat-0897_19"/>
      <sheetName val="Rat-0997_19"/>
      <sheetName val="Rat-1097_19"/>
      <sheetName val="Rat-1197_19"/>
      <sheetName val="Full_Year19"/>
      <sheetName val="Regiones_Noviembre_200218"/>
      <sheetName val="Rat-0297_21"/>
      <sheetName val="Rat-0497_21"/>
      <sheetName val="Rat-0597_21"/>
      <sheetName val="Rat-0697__21"/>
      <sheetName val="Rat-0797_21"/>
      <sheetName val="Rat-0897_21"/>
      <sheetName val="Rat-0997_21"/>
      <sheetName val="Rat-1097_21"/>
      <sheetName val="Rat-1197_21"/>
      <sheetName val="Full_Year21"/>
      <sheetName val="Regiones_Noviembre_200220"/>
      <sheetName val="Rat-0297_22"/>
      <sheetName val="Rat-0497_22"/>
      <sheetName val="Rat-0597_22"/>
      <sheetName val="Rat-0697__22"/>
      <sheetName val="Rat-0797_22"/>
      <sheetName val="Rat-0897_22"/>
      <sheetName val="Rat-0997_22"/>
      <sheetName val="Rat-1097_22"/>
      <sheetName val="Rat-1197_22"/>
      <sheetName val="Full_Year22"/>
      <sheetName val="Regiones_Noviembre_200221"/>
      <sheetName val="Rat-0297_24"/>
      <sheetName val="Rat-0497_24"/>
      <sheetName val="Rat-0597_24"/>
      <sheetName val="Rat-0697__24"/>
      <sheetName val="Rat-0797_24"/>
      <sheetName val="Rat-0897_24"/>
      <sheetName val="Rat-0997_24"/>
      <sheetName val="Rat-1097_24"/>
      <sheetName val="Rat-1197_24"/>
      <sheetName val="Full_Year24"/>
      <sheetName val="Regiones_Noviembre_200223"/>
      <sheetName val="Rat-0297_25"/>
      <sheetName val="Rat-0497_25"/>
      <sheetName val="Rat-0597_25"/>
      <sheetName val="Rat-0697__25"/>
      <sheetName val="Rat-0797_25"/>
      <sheetName val="Rat-0897_25"/>
      <sheetName val="Rat-0997_25"/>
      <sheetName val="Rat-1097_25"/>
      <sheetName val="Rat-1197_25"/>
      <sheetName val="Full_Year25"/>
      <sheetName val="Regiones_Noviembre_200224"/>
      <sheetName val="Rat-0297_26"/>
      <sheetName val="Rat-0497_26"/>
      <sheetName val="Rat-0597_26"/>
      <sheetName val="Rat-0697__26"/>
      <sheetName val="Rat-0797_26"/>
      <sheetName val="Rat-0897_26"/>
      <sheetName val="Rat-0997_26"/>
      <sheetName val="Rat-1097_26"/>
      <sheetName val="Rat-1197_26"/>
      <sheetName val="Full_Year26"/>
      <sheetName val="Regiones_Noviembre_200225"/>
      <sheetName val="Rat-0297_28"/>
      <sheetName val="Rat-0497_28"/>
      <sheetName val="Rat-0597_28"/>
      <sheetName val="Rat-0697__28"/>
      <sheetName val="Rat-0797_28"/>
      <sheetName val="Rat-0897_28"/>
      <sheetName val="Rat-0997_28"/>
      <sheetName val="Rat-1097_28"/>
      <sheetName val="Rat-1197_28"/>
      <sheetName val="Full_Year28"/>
      <sheetName val="Regiones_Noviembre_200227"/>
      <sheetName val="Rat-0297_29"/>
      <sheetName val="Rat-0497_29"/>
      <sheetName val="Rat-0597_29"/>
      <sheetName val="Rat-0697__29"/>
      <sheetName val="Rat-0797_29"/>
      <sheetName val="Rat-0897_29"/>
      <sheetName val="Rat-0997_29"/>
      <sheetName val="Rat-1097_29"/>
      <sheetName val="Rat-1197_29"/>
      <sheetName val="Full_Year29"/>
      <sheetName val="Regiones_Noviembre_200228"/>
      <sheetName val="Rat-0297_30"/>
      <sheetName val="Rat-0497_30"/>
      <sheetName val="Rat-0597_30"/>
      <sheetName val="Rat-0697__30"/>
      <sheetName val="Rat-0797_30"/>
      <sheetName val="Rat-0897_30"/>
      <sheetName val="Rat-0997_30"/>
      <sheetName val="Rat-1097_30"/>
      <sheetName val="Rat-1197_30"/>
      <sheetName val="Full_Year30"/>
      <sheetName val="Regiones_Noviembre_200229"/>
      <sheetName val="Rat-0297_31"/>
      <sheetName val="Rat-0497_31"/>
      <sheetName val="Rat-0597_31"/>
      <sheetName val="Rat-0697__31"/>
      <sheetName val="Rat-0797_31"/>
      <sheetName val="Rat-0897_31"/>
      <sheetName val="Rat-0997_31"/>
      <sheetName val="Rat-1097_31"/>
      <sheetName val="Rat-1197_31"/>
      <sheetName val="Full_Year31"/>
      <sheetName val="Regiones_Noviembre_200230"/>
      <sheetName val="Rat-0297_33"/>
      <sheetName val="Rat-0497_33"/>
      <sheetName val="Rat-0597_33"/>
      <sheetName val="Rat-0697__33"/>
      <sheetName val="Rat-0797_33"/>
      <sheetName val="Rat-0897_33"/>
      <sheetName val="Rat-0997_33"/>
      <sheetName val="Rat-1097_33"/>
      <sheetName val="Rat-1197_33"/>
      <sheetName val="Full_Year33"/>
      <sheetName val="Regiones_Noviembre_200232"/>
      <sheetName val="Rat-0297_32"/>
      <sheetName val="Rat-0497_32"/>
      <sheetName val="Rat-0597_32"/>
      <sheetName val="Rat-0697__32"/>
      <sheetName val="Rat-0797_32"/>
      <sheetName val="Rat-0897_32"/>
      <sheetName val="Rat-0997_32"/>
      <sheetName val="Rat-1097_32"/>
      <sheetName val="Rat-1197_32"/>
      <sheetName val="Full_Year32"/>
      <sheetName val="Regiones_Noviembre_200231"/>
      <sheetName val="Rat-0297_35"/>
      <sheetName val="Rat-0497_35"/>
      <sheetName val="Rat-0597_35"/>
      <sheetName val="Rat-0697__35"/>
      <sheetName val="Rat-0797_35"/>
      <sheetName val="Rat-0897_35"/>
      <sheetName val="Rat-0997_35"/>
      <sheetName val="Rat-1097_35"/>
      <sheetName val="Rat-1197_35"/>
      <sheetName val="Full_Year35"/>
      <sheetName val="Regiones_Noviembre_200234"/>
      <sheetName val="Rat-0297_36"/>
      <sheetName val="Rat-0497_36"/>
      <sheetName val="Rat-0597_36"/>
      <sheetName val="Rat-0697__36"/>
      <sheetName val="Rat-0797_36"/>
      <sheetName val="Rat-0897_36"/>
      <sheetName val="Rat-0997_36"/>
      <sheetName val="Rat-1097_36"/>
      <sheetName val="Rat-1197_36"/>
      <sheetName val="Full_Year36"/>
      <sheetName val="Regiones_Noviembre_200235"/>
      <sheetName val="Rat-0297_37"/>
      <sheetName val="Rat-0497_37"/>
      <sheetName val="Rat-0597_37"/>
      <sheetName val="Rat-0697__37"/>
      <sheetName val="Rat-0797_37"/>
      <sheetName val="Rat-0897_37"/>
      <sheetName val="Rat-0997_37"/>
      <sheetName val="Rat-1097_37"/>
      <sheetName val="Rat-1197_37"/>
      <sheetName val="Full_Year37"/>
      <sheetName val="Regiones_Noviembre_200236"/>
      <sheetName val="Rat-0297_38"/>
      <sheetName val="Rat-0497_38"/>
      <sheetName val="Rat-0597_38"/>
      <sheetName val="Rat-0697__38"/>
      <sheetName val="Rat-0797_38"/>
      <sheetName val="Rat-0897_38"/>
      <sheetName val="Rat-0997_38"/>
      <sheetName val="Rat-1097_38"/>
      <sheetName val="Rat-1197_38"/>
      <sheetName val="Full_Year38"/>
      <sheetName val="Regiones_Noviembre_200237"/>
      <sheetName val="Rat-0297_39"/>
      <sheetName val="Rat-0497_39"/>
      <sheetName val="Rat-0597_39"/>
      <sheetName val="Rat-0697__39"/>
      <sheetName val="Rat-0797_39"/>
      <sheetName val="Rat-0897_39"/>
      <sheetName val="Rat-0997_39"/>
      <sheetName val="Rat-1097_39"/>
      <sheetName val="Rat-1197_39"/>
      <sheetName val="Full_Year39"/>
      <sheetName val="Regiones_Noviembre_200238"/>
      <sheetName val="Lists"/>
      <sheetName val="Rat-0297_42"/>
      <sheetName val="Rat-0497_42"/>
      <sheetName val="Rat-0597_42"/>
      <sheetName val="Rat-0697__42"/>
      <sheetName val="Rat-0797_42"/>
      <sheetName val="Rat-0897_42"/>
      <sheetName val="Rat-0997_42"/>
      <sheetName val="Rat-1097_42"/>
      <sheetName val="Rat-1197_42"/>
      <sheetName val="Full_Year42"/>
      <sheetName val="Regiones_Noviembre_200241"/>
      <sheetName val="Rat-0297_40"/>
      <sheetName val="Rat-0497_40"/>
      <sheetName val="Rat-0597_40"/>
      <sheetName val="Rat-0697__40"/>
      <sheetName val="Rat-0797_40"/>
      <sheetName val="Rat-0897_40"/>
      <sheetName val="Rat-0997_40"/>
      <sheetName val="Rat-1097_40"/>
      <sheetName val="Rat-1197_40"/>
      <sheetName val="Full_Year40"/>
      <sheetName val="Regiones_Noviembre_200239"/>
      <sheetName val="Rat-0297_41"/>
      <sheetName val="Rat-0497_41"/>
      <sheetName val="Rat-0597_41"/>
      <sheetName val="Rat-0697__41"/>
      <sheetName val="Rat-0797_41"/>
      <sheetName val="Rat-0897_41"/>
      <sheetName val="Rat-0997_41"/>
      <sheetName val="Rat-1097_41"/>
      <sheetName val="Rat-1197_41"/>
      <sheetName val="Full_Year41"/>
      <sheetName val="Regiones_Noviembre_200240"/>
      <sheetName val="Rat-0297_43"/>
      <sheetName val="Rat-0497_43"/>
      <sheetName val="Rat-0597_43"/>
      <sheetName val="Rat-0697__43"/>
      <sheetName val="Rat-0797_43"/>
      <sheetName val="Rat-0897_43"/>
      <sheetName val="Rat-0997_43"/>
      <sheetName val="Rat-1097_43"/>
      <sheetName val="Rat-1197_43"/>
      <sheetName val="Full_Year43"/>
      <sheetName val="Regiones_Noviembre_200242"/>
      <sheetName val="Rat-0297_44"/>
      <sheetName val="Rat-0497_44"/>
      <sheetName val="Rat-0597_44"/>
      <sheetName val="Rat-0697__44"/>
      <sheetName val="Rat-0797_44"/>
      <sheetName val="Rat-0897_44"/>
      <sheetName val="Rat-0997_44"/>
      <sheetName val="Rat-1097_44"/>
      <sheetName val="Rat-1197_44"/>
      <sheetName val="Full_Year44"/>
      <sheetName val="Regiones_Noviembre_200243"/>
      <sheetName val="Rat-0297_47"/>
      <sheetName val="Rat-0497_47"/>
      <sheetName val="Rat-0597_47"/>
      <sheetName val="Rat-0697__47"/>
      <sheetName val="Rat-0797_47"/>
      <sheetName val="Rat-0897_47"/>
      <sheetName val="Rat-0997_47"/>
      <sheetName val="Rat-1097_47"/>
      <sheetName val="Rat-1197_47"/>
      <sheetName val="Full_Year47"/>
      <sheetName val="Regiones_Noviembre_200246"/>
      <sheetName val="Rat-0297_45"/>
      <sheetName val="Rat-0497_45"/>
      <sheetName val="Rat-0597_45"/>
      <sheetName val="Esquema Negociacion"/>
      <sheetName val="Propuesta FINAL PISCINERIA"/>
      <sheetName val="Resumen"/>
      <sheetName val="ABRIL-MAYO TV Real Exhibido"/>
      <sheetName val="JUNIO"/>
      <sheetName val="NOV-DIC"/>
      <sheetName val="Resumen (2)"/>
      <sheetName val="ABRIL MAYO TV"/>
      <sheetName val="ABRIL MAYO TV (2)"/>
      <sheetName val="Orden Abril Mega"/>
      <sheetName val="Orden Abril Discovery"/>
      <sheetName val="NOVIEMBRE DIC TV (2)"/>
      <sheetName val="PROPUESTA RADIOS MEGA (2)"/>
      <sheetName val="PROPUESTA RADIOS MEGA"/>
      <sheetName val="DETALLE PROGRAMAS RADIO"/>
      <sheetName val="SERVICIOS LINK"/>
      <sheetName val="Rat-0697__45"/>
      <sheetName val="Rat-0797_45"/>
      <sheetName val="Tablas"/>
      <sheetName val="Ranking TV"/>
      <sheetName val="CANAL 4"/>
      <sheetName val="IMSTRAT"/>
      <sheetName val="Ranking Cable"/>
      <sheetName val="Tower 10"/>
      <sheetName val="Tower_10"/>
      <sheetName val="obracun"/>
      <sheetName val="Rat-0897_45"/>
      <sheetName val="Rat-0997_45"/>
      <sheetName val="Rat-1097_45"/>
      <sheetName val="Rat-1197_45"/>
      <sheetName val="Rat-0297_62"/>
      <sheetName val="Rat-0497_62"/>
      <sheetName val="Rat-0597_62"/>
      <sheetName val="Rat-0697__62"/>
      <sheetName val="Rat-0797_62"/>
      <sheetName val="Rat-0897_62"/>
      <sheetName val="Rat-0997_62"/>
      <sheetName val="Rat-1097_62"/>
      <sheetName val="Rat-1197_62"/>
      <sheetName val="Full_Year62"/>
      <sheetName val="Regiones_Noviembre_200261"/>
      <sheetName val="Full_Year45"/>
      <sheetName val="Regiones_Noviembre_200244"/>
      <sheetName val="Rat-0297_46"/>
      <sheetName val="Rat-0497_46"/>
      <sheetName val="Rat-0597_46"/>
      <sheetName val="Rat-0697__46"/>
      <sheetName val="Rat-0797_46"/>
      <sheetName val="Rat-0897_46"/>
      <sheetName val="Rat-0997_46"/>
      <sheetName val="Rat-1097_46"/>
      <sheetName val="Rat-1197_46"/>
      <sheetName val="Full_Year46"/>
      <sheetName val="Regiones_Noviembre_200245"/>
      <sheetName val="Rat-0297_48"/>
      <sheetName val="Rat-0497_48"/>
      <sheetName val="Rat-0597_48"/>
      <sheetName val="Rat-0697__48"/>
      <sheetName val="Rat-0797_48"/>
      <sheetName val="Rat-0897_48"/>
      <sheetName val="Rat-0997_48"/>
      <sheetName val="Rat-1097_48"/>
      <sheetName val="Rat-1197_48"/>
      <sheetName val="Full_Year48"/>
      <sheetName val="Regiones_Noviembre_200247"/>
      <sheetName val="Rat-0297_50"/>
      <sheetName val="Rat-0497_50"/>
      <sheetName val="Rat-0597_50"/>
      <sheetName val="Rat-0697__50"/>
      <sheetName val="Rat-0797_50"/>
      <sheetName val="Rat-0897_50"/>
      <sheetName val="Rat-0997_50"/>
      <sheetName val="Rat-1097_50"/>
      <sheetName val="Rat-1197_50"/>
      <sheetName val="Full_Year50"/>
      <sheetName val="Regiones_Noviembre_200249"/>
      <sheetName val="Rat-0297_49"/>
      <sheetName val="Rat-0497_49"/>
      <sheetName val="Rat-0597_49"/>
      <sheetName val="Rat-0697__49"/>
      <sheetName val="Rat-0797_49"/>
      <sheetName val="Rat-0897_49"/>
      <sheetName val="Rat-0997_49"/>
      <sheetName val="Rat-1097_49"/>
      <sheetName val="Rat-1197_49"/>
      <sheetName val="Full_Year49"/>
      <sheetName val="Regiones_Noviembre_200248"/>
      <sheetName val="Rat-0297_52"/>
      <sheetName val="Rat-0497_52"/>
      <sheetName val="Rat-0597_52"/>
      <sheetName val="Rat-0697__52"/>
      <sheetName val="Rat-0797_52"/>
      <sheetName val="Rat-0897_52"/>
      <sheetName val="Rat-0997_52"/>
      <sheetName val="Rat-1097_52"/>
      <sheetName val="Rat-1197_52"/>
      <sheetName val="Full_Year52"/>
      <sheetName val="Regiones_Noviembre_200251"/>
      <sheetName val="Rat-0297_51"/>
      <sheetName val="Rat-0497_51"/>
      <sheetName val="Rat-0597_51"/>
      <sheetName val="Rat-0697__51"/>
      <sheetName val="Rat-0797_51"/>
      <sheetName val="Rat-0897_51"/>
      <sheetName val="Rat-0997_51"/>
      <sheetName val="Rat-1097_51"/>
      <sheetName val="Rat-1197_51"/>
      <sheetName val="Full_Year51"/>
      <sheetName val="Regiones_Noviembre_200250"/>
      <sheetName val="Rat-0297_53"/>
      <sheetName val="Rat-0497_53"/>
      <sheetName val="Rat-0597_53"/>
      <sheetName val="Rat-0697__53"/>
      <sheetName val="Rat-0797_53"/>
      <sheetName val="Rat-0897_53"/>
      <sheetName val="Rat-0997_53"/>
      <sheetName val="Rat-1097_53"/>
      <sheetName val="Rat-1197_53"/>
      <sheetName val="Full_Year53"/>
      <sheetName val="Regiones_Noviembre_200252"/>
      <sheetName val="Rat-0297_61"/>
      <sheetName val="Rat-0497_61"/>
      <sheetName val="Rat-0597_61"/>
      <sheetName val="Rat-0697__61"/>
      <sheetName val="Rat-0797_61"/>
      <sheetName val="Rat-0897_61"/>
      <sheetName val="Rat-0997_61"/>
      <sheetName val="Rat-1097_61"/>
      <sheetName val="Rat-1197_61"/>
      <sheetName val="Full_Year61"/>
      <sheetName val="Regiones_Noviembre_200260"/>
      <sheetName val="Rat-0297_57"/>
      <sheetName val="Rat-0497_57"/>
      <sheetName val="Rat-0597_57"/>
      <sheetName val="Rat-0697__57"/>
      <sheetName val="Rat-0797_57"/>
      <sheetName val="Rat-0897_57"/>
      <sheetName val="Rat-0997_57"/>
      <sheetName val="Rat-1097_57"/>
      <sheetName val="Rat-1197_57"/>
      <sheetName val="Full_Year57"/>
      <sheetName val="Regiones_Noviembre_200256"/>
      <sheetName val="Rat-0297_55"/>
      <sheetName val="Rat-0497_55"/>
      <sheetName val="Rat-0597_55"/>
      <sheetName val="Rat-0697__55"/>
      <sheetName val="Rat-0797_55"/>
      <sheetName val="Rat-0897_55"/>
      <sheetName val="Rat-0997_55"/>
      <sheetName val="Rat-1097_55"/>
      <sheetName val="Rat-1197_55"/>
      <sheetName val="Full_Year55"/>
      <sheetName val="Regiones_Noviembre_200254"/>
      <sheetName val="Rat-0297_54"/>
      <sheetName val="Rat-0497_54"/>
      <sheetName val="Rat-0597_54"/>
      <sheetName val="Rat-0697__54"/>
      <sheetName val="Rat-0797_54"/>
      <sheetName val="Rat-0897_54"/>
      <sheetName val="Rat-0997_54"/>
      <sheetName val="Rat-1097_54"/>
      <sheetName val="Rat-1197_54"/>
      <sheetName val="Full_Year54"/>
      <sheetName val="Regiones_Noviembre_200253"/>
      <sheetName val="Rat-0297_56"/>
      <sheetName val="Rat-0497_56"/>
      <sheetName val="Rat-0597_56"/>
      <sheetName val="Rat-0697__56"/>
      <sheetName val="Rat-0797_56"/>
      <sheetName val="Rat-0897_56"/>
      <sheetName val="Rat-0997_56"/>
      <sheetName val="Rat-1097_56"/>
      <sheetName val="Rat-1197_56"/>
      <sheetName val="Full_Year56"/>
      <sheetName val="Regiones_Noviembre_200255"/>
      <sheetName val="Rat-0297_58"/>
      <sheetName val="Rat-0497_58"/>
      <sheetName val="Rat-0597_58"/>
      <sheetName val="Rat-0697__58"/>
      <sheetName val="Rat-0797_58"/>
      <sheetName val="Rat-0897_58"/>
      <sheetName val="Rat-0997_58"/>
      <sheetName val="Rat-1097_58"/>
      <sheetName val="Rat-1197_58"/>
      <sheetName val="Full_Year58"/>
      <sheetName val="Regiones_Noviembre_200257"/>
      <sheetName val="Rat-0297_59"/>
      <sheetName val="Rat-0497_59"/>
      <sheetName val="Rat-0597_59"/>
      <sheetName val="Rat-0697__59"/>
      <sheetName val="Rat-0797_59"/>
      <sheetName val="Rat-0897_59"/>
      <sheetName val="Rat-0997_59"/>
      <sheetName val="Rat-1097_59"/>
      <sheetName val="Rat-1197_59"/>
      <sheetName val="Full_Year59"/>
      <sheetName val="Regiones_Noviembre_200258"/>
      <sheetName val="Rat-0297_60"/>
      <sheetName val="Rat-0497_60"/>
      <sheetName val="Rat-0597_60"/>
      <sheetName val="Rat-0697__60"/>
      <sheetName val="Rat-0797_60"/>
      <sheetName val="Rat-0897_60"/>
      <sheetName val="Rat-0997_60"/>
      <sheetName val="Rat-1097_60"/>
      <sheetName val="Rat-1197_60"/>
      <sheetName val="Full_Year60"/>
      <sheetName val="Regiones_Noviembre_200259"/>
      <sheetName val="Rat-0297_63"/>
      <sheetName val="Rat-0497_63"/>
      <sheetName val="Rat-0597_63"/>
      <sheetName val="Rat-0697__63"/>
      <sheetName val="Rat-0797_63"/>
      <sheetName val="Rat-0897_63"/>
      <sheetName val="Rat-0997_63"/>
      <sheetName val="Rat-1097_63"/>
      <sheetName val="Rat-1197_63"/>
      <sheetName val="Full_Year63"/>
      <sheetName val="Regiones_Noviembre_200262"/>
      <sheetName val="Rat-0297_64"/>
      <sheetName val="Rat-0497_64"/>
      <sheetName val="Rat-0597_64"/>
      <sheetName val="Rat-0697__64"/>
      <sheetName val="Rat-0797_64"/>
      <sheetName val="Rat-0897_64"/>
      <sheetName val="Rat-0997_64"/>
      <sheetName val="Rat-1097_64"/>
      <sheetName val="Rat-1197_64"/>
      <sheetName val="Full_Year64"/>
      <sheetName val="Regiones_Noviembre_200263"/>
      <sheetName val="Rat-0297_66"/>
      <sheetName val="Rat-0497_66"/>
      <sheetName val="Rat-0597_66"/>
      <sheetName val="Rat-0697__66"/>
      <sheetName val="Rat-0797_66"/>
      <sheetName val="Rat-0897_66"/>
      <sheetName val="Rat-0997_66"/>
      <sheetName val="Rat-1097_66"/>
      <sheetName val="Rat-1197_66"/>
      <sheetName val="Full_Year66"/>
      <sheetName val="Regiones_Noviembre_200265"/>
      <sheetName val="Rat-0297_65"/>
      <sheetName val="Rat-0497_65"/>
      <sheetName val="Rat-0597_65"/>
      <sheetName val="Rat-0697__65"/>
      <sheetName val="Rat-0797_65"/>
      <sheetName val="Rat-0897_65"/>
      <sheetName val="Rat-0997_65"/>
      <sheetName val="Rat-1097_65"/>
      <sheetName val="Rat-1197_65"/>
      <sheetName val="Full_Year65"/>
      <sheetName val="Regiones_Noviembre_200264"/>
      <sheetName val="Rat-0297_67"/>
      <sheetName val="Rat-0497_67"/>
      <sheetName val="Rat-0597_67"/>
      <sheetName val="Rat-0697__67"/>
      <sheetName val="Rat-0797_67"/>
      <sheetName val="Rat-0897_67"/>
      <sheetName val="Rat-0997_67"/>
      <sheetName val="Rat-1097_67"/>
      <sheetName val="Rat-1197_67"/>
      <sheetName val="Full_Year67"/>
      <sheetName val="Regiones_Noviembre_200266"/>
      <sheetName val="Rat-0297_68"/>
      <sheetName val="Rat-0497_68"/>
      <sheetName val="Rat-0597_68"/>
      <sheetName val="Rat-0697__68"/>
      <sheetName val="Rat-0797_68"/>
      <sheetName val="Rat-0897_68"/>
      <sheetName val="Rat-0997_68"/>
      <sheetName val="Rat-1097_68"/>
      <sheetName val="Rat-1197_68"/>
      <sheetName val="Full_Year68"/>
      <sheetName val="Regiones_Noviembre_200267"/>
      <sheetName val="Rat-0297_69"/>
      <sheetName val="Rat-0497_69"/>
      <sheetName val="Rat-0597_69"/>
      <sheetName val="Rat-0697__69"/>
      <sheetName val="Rat-0797_69"/>
      <sheetName val="Rat-0897_69"/>
      <sheetName val="Rat-0997_69"/>
      <sheetName val="Rat-1097_69"/>
      <sheetName val="Rat-1197_69"/>
      <sheetName val="Full_Year69"/>
      <sheetName val="Regiones_Noviembre_200268"/>
      <sheetName val="Rat-0297_70"/>
      <sheetName val="Rat-0497_70"/>
      <sheetName val="Rat-0597_70"/>
      <sheetName val="Rat-0697__70"/>
      <sheetName val="Rat-0797_70"/>
      <sheetName val="Rat-0897_70"/>
      <sheetName val="Rat-0997_70"/>
      <sheetName val="Rat-1097_70"/>
      <sheetName val="Rat-1197_70"/>
      <sheetName val="Full_Year70"/>
      <sheetName val="Regiones_Noviembre_200269"/>
      <sheetName val="Rat-0297_71"/>
      <sheetName val="Rat-0497_71"/>
      <sheetName val="Rat-0597_71"/>
      <sheetName val="Rat-0697__71"/>
      <sheetName val="Rat-0797_71"/>
      <sheetName val="Rat-0897_71"/>
      <sheetName val="Rat-0997_71"/>
      <sheetName val="Rat-1097_71"/>
      <sheetName val="Rat-1197_71"/>
      <sheetName val="Full_Year71"/>
      <sheetName val="Regiones_Noviembre_200270"/>
      <sheetName val="Rat-0297_86"/>
      <sheetName val="Rat-0497_86"/>
      <sheetName val="Rat-0597_86"/>
      <sheetName val="Rat-0697__86"/>
      <sheetName val="Rat-0797_86"/>
      <sheetName val="Rat-0897_86"/>
      <sheetName val="Rat-0997_86"/>
      <sheetName val="Rat-1097_86"/>
      <sheetName val="Rat-1197_86"/>
      <sheetName val="Full_Year86"/>
      <sheetName val="Regiones_Noviembre_200284"/>
      <sheetName val="Rat-0297_82"/>
      <sheetName val="Rat-0497_82"/>
      <sheetName val="Rat-0597_82"/>
      <sheetName val="Rat-0697__82"/>
      <sheetName val="Rat-0797_82"/>
      <sheetName val="Rat-0897_82"/>
      <sheetName val="Rat-0997_82"/>
      <sheetName val="Rat-1097_82"/>
      <sheetName val="Rat-1197_82"/>
      <sheetName val="Full_Year82"/>
      <sheetName val="Regiones_Noviembre_200280"/>
      <sheetName val="Rat-0297_72"/>
      <sheetName val="Rat-0497_72"/>
      <sheetName val="Rat-0597_72"/>
      <sheetName val="Rat-0697__72"/>
      <sheetName val="Rat-0797_72"/>
      <sheetName val="Rat-0897_72"/>
      <sheetName val="Rat-0997_72"/>
      <sheetName val="Rat-1097_72"/>
      <sheetName val="Rat-1197_72"/>
      <sheetName val="Full_Year72"/>
      <sheetName val="Regiones_Noviembre_200271"/>
      <sheetName val="Rat-0297_73"/>
      <sheetName val="Rat-0497_73"/>
      <sheetName val="Rat-0597_73"/>
      <sheetName val="Rat-0697__73"/>
      <sheetName val="Rat-0797_73"/>
      <sheetName val="Rat-0897_73"/>
      <sheetName val="Rat-0997_73"/>
      <sheetName val="Rat-1097_73"/>
      <sheetName val="Rat-1197_73"/>
      <sheetName val="Full_Year73"/>
      <sheetName val="Regiones_Noviembre_200272"/>
      <sheetName val="Rat-0297_74"/>
      <sheetName val="Rat-0497_74"/>
      <sheetName val="Rat-0597_74"/>
      <sheetName val="Rat-0697__74"/>
      <sheetName val="Rat-0797_74"/>
      <sheetName val="Rat-0897_74"/>
      <sheetName val="Rat-0997_74"/>
      <sheetName val="Rat-1097_74"/>
      <sheetName val="Rat-1197_74"/>
      <sheetName val="Full_Year74"/>
      <sheetName val="Regiones_Noviembre_200273"/>
      <sheetName val="Rat-0297_75"/>
      <sheetName val="Rat-0497_75"/>
      <sheetName val="Rat-0597_75"/>
      <sheetName val="Rat-0697__75"/>
      <sheetName val="Rat-0797_75"/>
      <sheetName val="Rat-0897_75"/>
      <sheetName val="Rat-0997_75"/>
      <sheetName val="Rat-1097_75"/>
      <sheetName val="Rat-1197_75"/>
      <sheetName val="Full_Year75"/>
      <sheetName val="Regiones_Noviembre_200274"/>
      <sheetName val="Rat-0297_77"/>
      <sheetName val="Rat-0497_77"/>
      <sheetName val="Rat-0597_77"/>
      <sheetName val="Rat-0697__77"/>
      <sheetName val="Rat-0797_77"/>
      <sheetName val="Rat-0897_77"/>
      <sheetName val="Rat-0997_77"/>
      <sheetName val="Rat-1097_77"/>
      <sheetName val="Rat-1197_77"/>
      <sheetName val="Full_Year77"/>
      <sheetName val="Regiones_Noviembre_200276"/>
      <sheetName val="Rat-0297_76"/>
      <sheetName val="Rat-0497_76"/>
      <sheetName val="Rat-0597_76"/>
      <sheetName val="Rat-0697__76"/>
      <sheetName val="Rat-0797_76"/>
      <sheetName val="Rat-0897_76"/>
      <sheetName val="Rat-0997_76"/>
      <sheetName val="Rat-1097_76"/>
      <sheetName val="Rat-1197_76"/>
      <sheetName val="Full_Year76"/>
      <sheetName val="Regiones_Noviembre_200275"/>
      <sheetName val="Rat-0297_79"/>
      <sheetName val="Rat-0497_79"/>
      <sheetName val="Rat-0597_79"/>
      <sheetName val="Rat-0697__79"/>
      <sheetName val="Rat-0797_79"/>
      <sheetName val="Rat-0897_79"/>
      <sheetName val="Rat-0997_79"/>
      <sheetName val="Rat-1097_79"/>
      <sheetName val="Rat-1197_79"/>
      <sheetName val="Full_Year79"/>
      <sheetName val="Regiones_Noviembre_200278"/>
      <sheetName val="Rat-0297_78"/>
      <sheetName val="Rat-0497_78"/>
      <sheetName val="Rat-0597_78"/>
      <sheetName val="Rat-0697__78"/>
      <sheetName val="Rat-0797_78"/>
      <sheetName val="Rat-0897_78"/>
      <sheetName val="Rat-0997_78"/>
      <sheetName val="Rat-1097_78"/>
      <sheetName val="Rat-1197_78"/>
      <sheetName val="Full_Year78"/>
      <sheetName val="Regiones_Noviembre_200277"/>
      <sheetName val="Rat-0297_80"/>
      <sheetName val="Rat-0497_80"/>
      <sheetName val="Rat-0597_80"/>
      <sheetName val="Rat-0697__80"/>
      <sheetName val="Rat-0797_80"/>
      <sheetName val="Rat-0897_80"/>
      <sheetName val="Rat-0997_80"/>
      <sheetName val="Rat-1097_80"/>
      <sheetName val="Rat-1197_80"/>
      <sheetName val="Full_Year80"/>
      <sheetName val="Regiones_Noviembre_200279"/>
      <sheetName val="Rat-0297_81"/>
      <sheetName val="Rat-0497_81"/>
      <sheetName val="Rat-0597_81"/>
      <sheetName val="Rat-0697__81"/>
      <sheetName val="Rat-0797_81"/>
      <sheetName val="Rat-0897_81"/>
      <sheetName val="Rat-0997_81"/>
      <sheetName val="Rat-1097_81"/>
      <sheetName val="Rat-1197_81"/>
      <sheetName val="Full_Year81"/>
      <sheetName val="Rat-0297_83"/>
      <sheetName val="Rat-0497_83"/>
      <sheetName val="Rat-0597_83"/>
      <sheetName val="Rat-0697__83"/>
      <sheetName val="Rat-0797_83"/>
      <sheetName val="Rat-0897_83"/>
      <sheetName val="Rat-0997_83"/>
      <sheetName val="Rat-1097_83"/>
      <sheetName val="Rat-1197_83"/>
      <sheetName val="Full_Year83"/>
      <sheetName val="Regiones_Noviembre_200281"/>
      <sheetName val="Rat-0297_84"/>
      <sheetName val="Rat-0497_84"/>
      <sheetName val="Rat-0597_84"/>
      <sheetName val="Rat-0697__84"/>
      <sheetName val="Rat-0797_84"/>
      <sheetName val="Rat-0897_84"/>
      <sheetName val="Rat-0997_84"/>
      <sheetName val="Rat-1097_84"/>
      <sheetName val="Rat-1197_84"/>
      <sheetName val="Full_Year84"/>
      <sheetName val="Regiones_Noviembre_200282"/>
      <sheetName val="Rat-0297_85"/>
      <sheetName val="Rat-0497_85"/>
      <sheetName val="Rat-0597_85"/>
      <sheetName val="Rat-0697__85"/>
      <sheetName val="Rat-0797_85"/>
      <sheetName val="Rat-0897_85"/>
      <sheetName val="Rat-0997_85"/>
      <sheetName val="Rat-1097_85"/>
      <sheetName val="Rat-1197_85"/>
      <sheetName val="Full_Year85"/>
      <sheetName val="Regiones_Noviembre_200283"/>
      <sheetName val="Rat-0297_87"/>
      <sheetName val="Rat-0497_87"/>
      <sheetName val="Rat-0597_87"/>
      <sheetName val="Rat-0697__87"/>
      <sheetName val="Rat-0797_87"/>
      <sheetName val="Rat-0897_87"/>
      <sheetName val="Rat-0997_87"/>
      <sheetName val="Rat-1097_87"/>
      <sheetName val="Rat-1197_87"/>
      <sheetName val="Full_Year87"/>
      <sheetName val="Regiones_Noviembre_200285"/>
      <sheetName val="Rat-0297_100"/>
      <sheetName val="Rat-0497_100"/>
      <sheetName val="Rat-0597_100"/>
      <sheetName val="Rat-0697__100"/>
      <sheetName val="Rat-0797_100"/>
      <sheetName val="Rat-0897_100"/>
      <sheetName val="Rat-0997_100"/>
      <sheetName val="Rat-1097_100"/>
      <sheetName val="Rat-1197_100"/>
      <sheetName val="Full_Year100"/>
      <sheetName val="Regiones_Noviembre_200298"/>
      <sheetName val="Rat-0297_99"/>
      <sheetName val="Rat-0497_99"/>
      <sheetName val="Rat-0597_99"/>
      <sheetName val="Rat-0697__99"/>
      <sheetName val="Rat-0797_99"/>
      <sheetName val="Rat-0897_99"/>
      <sheetName val="Rat-0997_99"/>
      <sheetName val="Rat-1097_99"/>
      <sheetName val="Rat-1197_99"/>
      <sheetName val="Full_Year99"/>
      <sheetName val="Regiones_Noviembre_200297"/>
      <sheetName val="Rat-0297_88"/>
      <sheetName val="Rat-0497_88"/>
      <sheetName val="Rat-0597_88"/>
      <sheetName val="Rat-0697__88"/>
      <sheetName val="Rat-0797_88"/>
      <sheetName val="Rat-0897_88"/>
      <sheetName val="Rat-0997_88"/>
      <sheetName val="Rat-1097_88"/>
      <sheetName val="Rat-1197_88"/>
      <sheetName val="Full_Year88"/>
      <sheetName val="Regiones_Noviembre_200286"/>
      <sheetName val="Rat-0297_89"/>
      <sheetName val="Rat-0497_89"/>
      <sheetName val="Rat-0597_89"/>
      <sheetName val="Rat-0697__89"/>
      <sheetName val="Rat-0797_89"/>
      <sheetName val="Rat-0897_89"/>
      <sheetName val="Rat-0997_89"/>
      <sheetName val="Rat-1097_89"/>
      <sheetName val="Rat-1197_89"/>
      <sheetName val="Full_Year89"/>
      <sheetName val="Regiones_Noviembre_200287"/>
      <sheetName val="Rat-0297_90"/>
      <sheetName val="Rat-0497_90"/>
      <sheetName val="Rat-0597_90"/>
      <sheetName val="Rat-0697__90"/>
      <sheetName val="Rat-0797_90"/>
      <sheetName val="Rat-0897_90"/>
      <sheetName val="Rat-0997_90"/>
      <sheetName val="Rat-1097_90"/>
      <sheetName val="Rat-1197_90"/>
      <sheetName val="Full_Year90"/>
      <sheetName val="Regiones_Noviembre_200288"/>
      <sheetName val="Rat-0297_95"/>
      <sheetName val="Rat-0497_95"/>
      <sheetName val="Rat-0597_95"/>
      <sheetName val="Rat-0697__95"/>
      <sheetName val="Rat-0797_95"/>
      <sheetName val="Rat-0897_95"/>
      <sheetName val="Rat-0997_95"/>
      <sheetName val="Rat-1097_95"/>
      <sheetName val="Rat-1197_95"/>
      <sheetName val="Full_Year95"/>
      <sheetName val="Regiones_Noviembre_200293"/>
      <sheetName val="Rat-0297_92"/>
      <sheetName val="Rat-0497_92"/>
      <sheetName val="Rat-0597_92"/>
      <sheetName val="Rat-0697__92"/>
      <sheetName val="Rat-0797_92"/>
      <sheetName val="Rat-0897_92"/>
      <sheetName val="Rat-0997_92"/>
      <sheetName val="Rat-1097_92"/>
      <sheetName val="Rat-1197_92"/>
      <sheetName val="Full_Year92"/>
      <sheetName val="Regiones_Noviembre_200290"/>
      <sheetName val="Rat-0297_91"/>
      <sheetName val="Rat-0497_91"/>
      <sheetName val="Rat-0597_91"/>
      <sheetName val="Rat-0697__91"/>
      <sheetName val="Rat-0797_91"/>
      <sheetName val="Rat-0897_91"/>
      <sheetName val="Rat-0997_91"/>
      <sheetName val="Rat-1097_91"/>
      <sheetName val="Rat-1197_91"/>
      <sheetName val="Full_Year91"/>
      <sheetName val="Regiones_Noviembre_200289"/>
      <sheetName val="Rat-0297_93"/>
      <sheetName val="Rat-0497_93"/>
      <sheetName val="Rat-0597_93"/>
      <sheetName val="Rat-0697__93"/>
      <sheetName val="Rat-0797_93"/>
      <sheetName val="Rat-0897_93"/>
      <sheetName val="Rat-0997_93"/>
      <sheetName val="Rat-1097_93"/>
      <sheetName val="Rat-1197_93"/>
      <sheetName val="Full_Year93"/>
      <sheetName val="Regiones_Noviembre_200291"/>
      <sheetName val="Rat-0297_94"/>
      <sheetName val="Rat-0497_94"/>
      <sheetName val="Rat-0597_94"/>
      <sheetName val="Rat-0697__94"/>
      <sheetName val="Rat-0797_94"/>
      <sheetName val="Rat-0897_94"/>
      <sheetName val="Rat-0997_94"/>
      <sheetName val="Rat-1097_94"/>
      <sheetName val="Rat-1197_94"/>
      <sheetName val="Full_Year94"/>
      <sheetName val="Regiones_Noviembre_200292"/>
      <sheetName val="Rat-0297_96"/>
      <sheetName val="Rat-0497_96"/>
      <sheetName val="Rat-0597_96"/>
      <sheetName val="Rat-0697__96"/>
      <sheetName val="Rat-0797_96"/>
      <sheetName val="Rat-0897_96"/>
      <sheetName val="Rat-0997_96"/>
      <sheetName val="Rat-1097_96"/>
      <sheetName val="Rat-1197_96"/>
      <sheetName val="Full_Year96"/>
      <sheetName val="Regiones_Noviembre_200294"/>
      <sheetName val="Rat-0297_97"/>
      <sheetName val="Rat-0497_97"/>
      <sheetName val="Rat-0597_97"/>
      <sheetName val="Rat-0697__97"/>
      <sheetName val="Rat-0797_97"/>
      <sheetName val="Rat-0897_97"/>
      <sheetName val="Rat-0997_97"/>
      <sheetName val="Rat-1097_97"/>
      <sheetName val="Rat-1197_97"/>
      <sheetName val="Full_Year97"/>
      <sheetName val="Regiones_Noviembre_200295"/>
      <sheetName val="Rat-0297_98"/>
      <sheetName val="Rat-0497_98"/>
      <sheetName val="Rat-0597_98"/>
      <sheetName val="Rat-0697__98"/>
      <sheetName val="Rat-0797_98"/>
      <sheetName val="Rat-0897_98"/>
      <sheetName val="Rat-0997_98"/>
      <sheetName val="Rat-1097_98"/>
      <sheetName val="Rat-1197_98"/>
      <sheetName val="Full_Year98"/>
      <sheetName val="Regiones_Noviembre_200296"/>
      <sheetName val="Rat-0297_117"/>
      <sheetName val="Rat-0497_117"/>
      <sheetName val="Rat-0597_117"/>
      <sheetName val="Rat-0697__117"/>
      <sheetName val="Rat-0797_117"/>
      <sheetName val="Rat-0897_117"/>
      <sheetName val="Rat-0997_117"/>
      <sheetName val="Rat-1097_117"/>
      <sheetName val="Rat-1197_117"/>
      <sheetName val="Full_Year117"/>
      <sheetName val="Regiones_Noviembre_2002115"/>
      <sheetName val="Rat-0297_107"/>
      <sheetName val="Rat-0497_107"/>
      <sheetName val="Rat-0597_107"/>
      <sheetName val="Rat-0697__107"/>
      <sheetName val="Rat-0797_107"/>
      <sheetName val="Rat-0897_107"/>
      <sheetName val="Rat-0997_107"/>
      <sheetName val="Rat-1097_107"/>
      <sheetName val="Rat-1197_107"/>
      <sheetName val="Full_Year107"/>
      <sheetName val="Regiones_Noviembre_2002105"/>
      <sheetName val="Rat-0297_106"/>
      <sheetName val="Rat-0497_106"/>
      <sheetName val="Rat-0597_106"/>
      <sheetName val="Rat-0697__106"/>
      <sheetName val="Rat-0797_106"/>
      <sheetName val="Rat-0897_106"/>
      <sheetName val="Rat-0997_106"/>
      <sheetName val="Rat-1097_106"/>
      <sheetName val="Rat-1197_106"/>
      <sheetName val="Full_Year106"/>
      <sheetName val="Regiones_Noviembre_2002104"/>
      <sheetName val="Rat-0297_105"/>
      <sheetName val="Rat-0497_105"/>
      <sheetName val="Rat-0597_105"/>
      <sheetName val="Rat-0697__105"/>
      <sheetName val="Rat-0797_105"/>
      <sheetName val="Rat-0897_105"/>
      <sheetName val="Rat-0997_105"/>
      <sheetName val="Rat-1097_105"/>
      <sheetName val="Rat-1197_105"/>
      <sheetName val="Full_Year105"/>
      <sheetName val="Regiones_Noviembre_2002103"/>
      <sheetName val="Rat-0297_101"/>
      <sheetName val="Rat-0497_101"/>
      <sheetName val="Rat-0597_101"/>
      <sheetName val="Rat-0697__101"/>
      <sheetName val="Rat-0797_101"/>
      <sheetName val="Rat-0897_101"/>
      <sheetName val="Rat-0997_101"/>
      <sheetName val="Rat-1097_101"/>
      <sheetName val="Rat-1197_101"/>
      <sheetName val="Full_Year101"/>
      <sheetName val="Regiones_Noviembre_200299"/>
      <sheetName val="Rat-0297_102"/>
      <sheetName val="Rat-0497_102"/>
      <sheetName val="Rat-0597_102"/>
      <sheetName val="Rat-0697__102"/>
      <sheetName val="Rat-0797_102"/>
      <sheetName val="Rat-0897_102"/>
      <sheetName val="Rat-0997_102"/>
      <sheetName val="Rat-1097_102"/>
      <sheetName val="Rat-1197_102"/>
      <sheetName val="Full_Year102"/>
      <sheetName val="Regiones_Noviembre_2002100"/>
      <sheetName val="Rat-0297_103"/>
      <sheetName val="Rat-0497_103"/>
      <sheetName val="Rat-0597_103"/>
      <sheetName val="Rat-0697__103"/>
      <sheetName val="Rat-0797_103"/>
      <sheetName val="Rat-0897_103"/>
      <sheetName val="Rat-0997_103"/>
      <sheetName val="Rat-1097_103"/>
      <sheetName val="Rat-1197_103"/>
      <sheetName val="Full_Year103"/>
      <sheetName val="Regiones_Noviembre_2002101"/>
      <sheetName val="Rat-0297_104"/>
      <sheetName val="Rat-0497_104"/>
      <sheetName val="Rat-0597_104"/>
      <sheetName val="Rat-0697__104"/>
      <sheetName val="Rat-0797_104"/>
      <sheetName val="Rat-0897_104"/>
      <sheetName val="Rat-0997_104"/>
      <sheetName val="Rat-1097_104"/>
      <sheetName val="Rat-1197_104"/>
      <sheetName val="Full_Year104"/>
      <sheetName val="Regiones_Noviembre_2002102"/>
      <sheetName val="Rat-0297_108"/>
      <sheetName val="Rat-0497_108"/>
      <sheetName val="Rat-0597_108"/>
      <sheetName val="Rat-0697__108"/>
      <sheetName val="Rat-0797_108"/>
      <sheetName val="Rat-0897_108"/>
      <sheetName val="Rat-0997_108"/>
      <sheetName val="Rat-1097_108"/>
      <sheetName val="Rat-1197_108"/>
      <sheetName val="Full_Year108"/>
      <sheetName val="Regiones_Noviembre_2002106"/>
      <sheetName val="Rat-0297_115"/>
      <sheetName val="Rat-0497_115"/>
      <sheetName val="Rat-0597_115"/>
      <sheetName val="Rat-0697__115"/>
      <sheetName val="Rat-0797_115"/>
      <sheetName val="Rat-0897_115"/>
      <sheetName val="Rat-0997_115"/>
      <sheetName val="Rat-1097_115"/>
      <sheetName val="Rat-1197_115"/>
      <sheetName val="Full_Year115"/>
      <sheetName val="Regiones_Noviembre_2002113"/>
      <sheetName val="Rat-0297_113"/>
      <sheetName val="Rat-0497_113"/>
      <sheetName val="Rat-0597_113"/>
      <sheetName val="Rat-0697__113"/>
      <sheetName val="Rat-0797_113"/>
      <sheetName val="Rat-0897_113"/>
      <sheetName val="Rat-0997_113"/>
      <sheetName val="Rat-1097_113"/>
      <sheetName val="Rat-1197_113"/>
      <sheetName val="Full_Year113"/>
      <sheetName val="Regiones_Noviembre_2002111"/>
      <sheetName val="Rat-0297_111"/>
      <sheetName val="Rat-0497_111"/>
      <sheetName val="Rat-0597_111"/>
      <sheetName val="Rat-0697__111"/>
      <sheetName val="Rat-0797_111"/>
      <sheetName val="Rat-0897_111"/>
      <sheetName val="Rat-0997_111"/>
      <sheetName val="Rat-1097_111"/>
      <sheetName val="Rat-1197_111"/>
      <sheetName val="Full_Year111"/>
      <sheetName val="Regiones_Noviembre_2002109"/>
      <sheetName val="Rat-0297_110"/>
      <sheetName val="Rat-0497_110"/>
      <sheetName val="Rat-0597_110"/>
      <sheetName val="Rat-0697__110"/>
      <sheetName val="Rat-0797_110"/>
      <sheetName val="Rat-0897_110"/>
      <sheetName val="Rat-0997_110"/>
      <sheetName val="Rat-1097_110"/>
      <sheetName val="Rat-1197_110"/>
      <sheetName val="Full_Year110"/>
      <sheetName val="Regiones_Noviembre_2002108"/>
      <sheetName val="Rat-0297_109"/>
      <sheetName val="Rat-0497_109"/>
      <sheetName val="Rat-0597_109"/>
      <sheetName val="Rat-0697__109"/>
      <sheetName val="Rat-0797_109"/>
      <sheetName val="Rat-0897_109"/>
      <sheetName val="Rat-0997_109"/>
      <sheetName val="Rat-1097_109"/>
      <sheetName val="Rat-1197_109"/>
      <sheetName val="Full_Year109"/>
      <sheetName val="Regiones_Noviembre_2002107"/>
      <sheetName val="Rat-0297_112"/>
      <sheetName val="Rat-0497_112"/>
      <sheetName val="Rat-0597_112"/>
      <sheetName val="Rat-0697__112"/>
      <sheetName val="Rat-0797_112"/>
      <sheetName val="Rat-0897_112"/>
      <sheetName val="Rat-0997_112"/>
      <sheetName val="Rat-1097_112"/>
      <sheetName val="Rat-1197_112"/>
      <sheetName val="Full_Year112"/>
      <sheetName val="Regiones_Noviembre_2002110"/>
      <sheetName val="Rat-0297_114"/>
      <sheetName val="Rat-0497_114"/>
      <sheetName val="Rat-0597_114"/>
      <sheetName val="Rat-0697__114"/>
      <sheetName val="Rat-0797_114"/>
      <sheetName val="Rat-0897_114"/>
      <sheetName val="Rat-0997_114"/>
      <sheetName val="Rat-1097_114"/>
      <sheetName val="Rat-1197_114"/>
      <sheetName val="Full_Year114"/>
      <sheetName val="Regiones_Noviembre_2002112"/>
      <sheetName val="Rat-0297_116"/>
      <sheetName val="Rat-0497_116"/>
      <sheetName val="Rat-0597_116"/>
      <sheetName val="Rat-0697__116"/>
      <sheetName val="Rat-0797_116"/>
      <sheetName val="Rat-0897_116"/>
      <sheetName val="Rat-0997_116"/>
      <sheetName val="Rat-1097_116"/>
      <sheetName val="Rat-1197_116"/>
      <sheetName val="Full_Year116"/>
      <sheetName val="Regiones_Noviembre_2002114"/>
      <sheetName val="Rat-0297_118"/>
      <sheetName val="Rat-0497_118"/>
      <sheetName val="Rat-0597_118"/>
      <sheetName val="Rat-0697__118"/>
      <sheetName val="Rat-0797_118"/>
      <sheetName val="Rat-0897_118"/>
      <sheetName val="Rat-0997_118"/>
      <sheetName val="Rat-1097_118"/>
      <sheetName val="Rat-1197_118"/>
      <sheetName val="Full_Year118"/>
      <sheetName val="Regiones_Noviembre_2002116"/>
      <sheetName val="Rat-0297_120"/>
      <sheetName val="Rat-0497_120"/>
      <sheetName val="Rat-0597_120"/>
      <sheetName val="Rat-0697__120"/>
      <sheetName val="Rat-0797_120"/>
      <sheetName val="Rat-0897_120"/>
      <sheetName val="Rat-0997_120"/>
      <sheetName val="Rat-1097_120"/>
      <sheetName val="Rat-1197_120"/>
      <sheetName val="Full_Year120"/>
      <sheetName val="Regiones_Noviembre_2002118"/>
      <sheetName val="Rat-0297_119"/>
      <sheetName val="Rat-0497_119"/>
      <sheetName val="Rat-0597_119"/>
      <sheetName val="Rat-0697__119"/>
      <sheetName val="Rat-0797_119"/>
      <sheetName val="Rat-0897_119"/>
      <sheetName val="Rat-0997_119"/>
      <sheetName val="Rat-1097_119"/>
      <sheetName val="Rat-1197_119"/>
      <sheetName val="Full_Year119"/>
      <sheetName val="Regiones_Noviembre_2002117"/>
      <sheetName val="Rat-0297_124"/>
      <sheetName val="Rat-0497_124"/>
      <sheetName val="Rat-0597_124"/>
      <sheetName val="Rat-0697__124"/>
      <sheetName val="Rat-0797_124"/>
      <sheetName val="Rat-0897_124"/>
      <sheetName val="Rat-0997_124"/>
      <sheetName val="Rat-1097_124"/>
      <sheetName val="Rat-1197_124"/>
      <sheetName val="Full_Year124"/>
      <sheetName val="Regiones_Noviembre_2002122"/>
      <sheetName val="Rat-0297_121"/>
      <sheetName val="Rat-0497_121"/>
      <sheetName val="Rat-0597_121"/>
      <sheetName val="Rat-0697__121"/>
      <sheetName val="Rat-0797_121"/>
      <sheetName val="Rat-0897_121"/>
      <sheetName val="Rat-0997_121"/>
      <sheetName val="Rat-1097_121"/>
      <sheetName val="Rat-1197_121"/>
      <sheetName val="Full_Year121"/>
      <sheetName val="Regiones_Noviembre_2002119"/>
      <sheetName val="Rat-0297_122"/>
      <sheetName val="Rat-0497_122"/>
      <sheetName val="Rat-0597_122"/>
      <sheetName val="Rat-0697__122"/>
      <sheetName val="Rat-0797_122"/>
      <sheetName val="Rat-0897_122"/>
      <sheetName val="Rat-0997_122"/>
      <sheetName val="Rat-1097_122"/>
      <sheetName val="Rat-1197_122"/>
      <sheetName val="Full_Year122"/>
      <sheetName val="Regiones_Noviembre_2002120"/>
      <sheetName val="Rat-0297_123"/>
      <sheetName val="Rat-0497_123"/>
      <sheetName val="Rat-0597_123"/>
      <sheetName val="Rat-0697__123"/>
      <sheetName val="Rat-0797_123"/>
      <sheetName val="Rat-0897_123"/>
      <sheetName val="Rat-0997_123"/>
      <sheetName val="Rat-1097_123"/>
      <sheetName val="Rat-1197_123"/>
      <sheetName val="Full_Year123"/>
      <sheetName val="Regiones_Noviembre_2002121"/>
      <sheetName val="Rat-0297_125"/>
      <sheetName val="Rat-0497_125"/>
      <sheetName val="Rat-0597_125"/>
      <sheetName val="Rat-0697__125"/>
      <sheetName val="Rat-0797_125"/>
      <sheetName val="Rat-0897_125"/>
      <sheetName val="Rat-0997_125"/>
      <sheetName val="Rat-1097_125"/>
      <sheetName val="Rat-1197_125"/>
      <sheetName val="Full_Year125"/>
      <sheetName val="Regiones_Noviembre_2002123"/>
      <sheetName val="Rat-0297_126"/>
      <sheetName val="Rat-0497_126"/>
      <sheetName val="Rat-0597_126"/>
      <sheetName val="Rat-0697__126"/>
      <sheetName val="Rat-0797_126"/>
      <sheetName val="Rat-0897_126"/>
      <sheetName val="Rat-0997_126"/>
      <sheetName val="Rat-1097_126"/>
      <sheetName val="Rat-1197_126"/>
      <sheetName val="Full_Year126"/>
      <sheetName val="Regiones_Noviembre_2002124"/>
      <sheetName val="Rat-0297_127"/>
      <sheetName val="Rat-0497_127"/>
      <sheetName val="Rat-0597_127"/>
      <sheetName val="Rat-0697__127"/>
      <sheetName val="Rat-0797_127"/>
      <sheetName val="Rat-0897_127"/>
      <sheetName val="Rat-0997_127"/>
      <sheetName val="Rat-1097_127"/>
      <sheetName val="Rat-1197_127"/>
      <sheetName val="Full_Year127"/>
      <sheetName val="Regiones_Noviembre_2002125"/>
      <sheetName val="Rat-0297_129"/>
      <sheetName val="Rat-0497_129"/>
      <sheetName val="Rat-0597_129"/>
      <sheetName val="Rat-0697__129"/>
      <sheetName val="Rat-0797_129"/>
      <sheetName val="Rat-0897_129"/>
      <sheetName val="Rat-0997_129"/>
      <sheetName val="Rat-1097_129"/>
      <sheetName val="Rat-1197_129"/>
      <sheetName val="Full_Year129"/>
      <sheetName val="Regiones_Noviembre_2002127"/>
      <sheetName val="Rat-0297_128"/>
      <sheetName val="Rat-0497_128"/>
      <sheetName val="Rat-0597_128"/>
      <sheetName val="Rat-0697__128"/>
      <sheetName val="Rat-0797_128"/>
      <sheetName val="Rat-0897_128"/>
      <sheetName val="Rat-0997_128"/>
      <sheetName val="Rat-1097_128"/>
      <sheetName val="Rat-1197_128"/>
      <sheetName val="Full_Year128"/>
      <sheetName val="Regiones_Noviembre_2002126"/>
      <sheetName val="Rat-0297_133"/>
      <sheetName val="Rat-0497_133"/>
      <sheetName val="Rat-0597_133"/>
      <sheetName val="Rat-0697__133"/>
      <sheetName val="Rat-0797_133"/>
      <sheetName val="Rat-0897_133"/>
      <sheetName val="Rat-0997_133"/>
      <sheetName val="Rat-1097_133"/>
      <sheetName val="Rat-1197_133"/>
      <sheetName val="Full_Year133"/>
      <sheetName val="Regiones_Noviembre_2002131"/>
      <sheetName val="Rat-0297_130"/>
      <sheetName val="Rat-0497_130"/>
      <sheetName val="Rat-0597_130"/>
      <sheetName val="Rat-0697__130"/>
      <sheetName val="Rat-0797_130"/>
      <sheetName val="Rat-0897_130"/>
      <sheetName val="Rat-0997_130"/>
      <sheetName val="Rat-1097_130"/>
      <sheetName val="Rat-1197_130"/>
      <sheetName val="Full_Year130"/>
      <sheetName val="Regiones_Noviembre_2002128"/>
      <sheetName val="Rat-0297_131"/>
      <sheetName val="Rat-0497_131"/>
      <sheetName val="Rat-0597_131"/>
      <sheetName val="Rat-0697__131"/>
      <sheetName val="Rat-0797_131"/>
      <sheetName val="Rat-0897_131"/>
      <sheetName val="Rat-0997_131"/>
      <sheetName val="Rat-1097_131"/>
      <sheetName val="Rat-1197_131"/>
      <sheetName val="Full_Year131"/>
      <sheetName val="Regiones_Noviembre_2002129"/>
      <sheetName val="Rat-0297_132"/>
      <sheetName val="Rat-0497_132"/>
      <sheetName val="Rat-0597_132"/>
      <sheetName val="Rat-0697__132"/>
      <sheetName val="Rat-0797_132"/>
      <sheetName val="Rat-0897_132"/>
      <sheetName val="Rat-0997_132"/>
      <sheetName val="Rat-1097_132"/>
      <sheetName val="Rat-1197_132"/>
      <sheetName val="Full_Year132"/>
      <sheetName val="Regiones_Noviembre_2002130"/>
      <sheetName val="Rat-0297_134"/>
      <sheetName val="Rat-0497_134"/>
      <sheetName val="Rat-0597_134"/>
      <sheetName val="Rat-0697__134"/>
      <sheetName val="Rat-0797_134"/>
      <sheetName val="Rat-0897_134"/>
      <sheetName val="Rat-0997_134"/>
      <sheetName val="Rat-1097_134"/>
      <sheetName val="Rat-1197_134"/>
      <sheetName val="Full_Year134"/>
      <sheetName val="Regiones_Noviembre_2002132"/>
      <sheetName val="Rat-0297_136"/>
      <sheetName val="Rat-0497_136"/>
      <sheetName val="Rat-0597_136"/>
      <sheetName val="Rat-0697__136"/>
      <sheetName val="Rat-0797_136"/>
      <sheetName val="Rat-0897_136"/>
      <sheetName val="Rat-0997_136"/>
      <sheetName val="Rat-1097_136"/>
      <sheetName val="Rat-1197_136"/>
      <sheetName val="Full_Year136"/>
      <sheetName val="Regiones_Noviembre_2002134"/>
      <sheetName val="Rat-0297_135"/>
      <sheetName val="Rat-0497_135"/>
      <sheetName val="Rat-0597_135"/>
      <sheetName val="Rat-0697__135"/>
      <sheetName val="Rat-0797_135"/>
      <sheetName val="Rat-0897_135"/>
      <sheetName val="Rat-0997_135"/>
      <sheetName val="Rat-1097_135"/>
      <sheetName val="Rat-1197_135"/>
      <sheetName val="Full_Year135"/>
      <sheetName val="Regiones_Noviembre_2002133"/>
      <sheetName val="Rat-0297_138"/>
      <sheetName val="Rat-0497_138"/>
      <sheetName val="Rat-0597_138"/>
      <sheetName val="Rat-0697__138"/>
      <sheetName val="Rat-0797_138"/>
      <sheetName val="Rat-0897_138"/>
      <sheetName val="Rat-0997_138"/>
      <sheetName val="Rat-1097_138"/>
      <sheetName val="Rat-1197_138"/>
      <sheetName val="Full_Year138"/>
      <sheetName val="Regiones_Noviembre_2002136"/>
      <sheetName val="Rat-0297_137"/>
      <sheetName val="Rat-0497_137"/>
      <sheetName val="Rat-0597_137"/>
      <sheetName val="Rat-0697__137"/>
      <sheetName val="Rat-0797_137"/>
      <sheetName val="Rat-0897_137"/>
      <sheetName val="Rat-0997_137"/>
      <sheetName val="Rat-1097_137"/>
      <sheetName val="Rat-1197_137"/>
      <sheetName val="Full_Year137"/>
      <sheetName val="Regiones_Noviembre_2002135"/>
      <sheetName val="Rat-0297_139"/>
      <sheetName val="Rat-0497_139"/>
      <sheetName val="Rat-0597_139"/>
      <sheetName val="Rat-0697__139"/>
      <sheetName val="Rat-0797_139"/>
      <sheetName val="Rat-0897_139"/>
      <sheetName val="Rat-0997_139"/>
      <sheetName val="Rat-1097_139"/>
      <sheetName val="Rat-1197_139"/>
      <sheetName val="Full_Year139"/>
      <sheetName val="Regiones_Noviembre_2002137"/>
      <sheetName val="Rat-0297_140"/>
      <sheetName val="Rat-0497_140"/>
      <sheetName val="Rat-0597_140"/>
      <sheetName val="Rat-0697__140"/>
      <sheetName val="Rat-0797_140"/>
      <sheetName val="Rat-0897_140"/>
      <sheetName val="Rat-0997_140"/>
      <sheetName val="Rat-1097_140"/>
      <sheetName val="Rat-1197_140"/>
      <sheetName val="Full_Year140"/>
      <sheetName val="Regiones_Noviembre_2002138"/>
      <sheetName val="Rat-0297_147"/>
      <sheetName val="Rat-0497_147"/>
      <sheetName val="Rat-0597_147"/>
      <sheetName val="Rat-0697__147"/>
      <sheetName val="Rat-0797_147"/>
      <sheetName val="Rat-0897_147"/>
      <sheetName val="Rat-0997_147"/>
      <sheetName val="Rat-1097_147"/>
      <sheetName val="Rat-1197_147"/>
      <sheetName val="Full_Year147"/>
      <sheetName val="Regiones_Noviembre_2002145"/>
      <sheetName val="Rat-0297_144"/>
      <sheetName val="Rat-0497_144"/>
      <sheetName val="Rat-0597_144"/>
      <sheetName val="Rat-0697__144"/>
      <sheetName val="Rat-0797_144"/>
      <sheetName val="Rat-0897_144"/>
      <sheetName val="Rat-0997_144"/>
      <sheetName val="Rat-1097_144"/>
      <sheetName val="Rat-1197_144"/>
      <sheetName val="Full_Year144"/>
      <sheetName val="Regiones_Noviembre_2002142"/>
      <sheetName val="Rat-0297_141"/>
      <sheetName val="Rat-0497_141"/>
      <sheetName val="Rat-0597_141"/>
      <sheetName val="Rat-0697__141"/>
      <sheetName val="Rat-0797_141"/>
      <sheetName val="Rat-0897_141"/>
      <sheetName val="Rat-0997_141"/>
      <sheetName val="Rat-1097_141"/>
      <sheetName val="Rat-1197_141"/>
      <sheetName val="Full_Year141"/>
      <sheetName val="Regiones_Noviembre_2002139"/>
      <sheetName val="Rat-0297_142"/>
      <sheetName val="Rat-0497_142"/>
      <sheetName val="Rat-0597_142"/>
      <sheetName val="Rat-0697__142"/>
      <sheetName val="Rat-0797_142"/>
      <sheetName val="Rat-0897_142"/>
      <sheetName val="Rat-0997_142"/>
      <sheetName val="Rat-1097_142"/>
      <sheetName val="Rat-1197_142"/>
      <sheetName val="Full_Year142"/>
      <sheetName val="Regiones_Noviembre_2002140"/>
      <sheetName val="Rat-0297_143"/>
      <sheetName val="Rat-0497_143"/>
      <sheetName val="Rat-0597_143"/>
      <sheetName val="Rat-0697__143"/>
      <sheetName val="Rat-0797_143"/>
      <sheetName val="Rat-0897_143"/>
      <sheetName val="Rat-0997_143"/>
      <sheetName val="Rat-1097_143"/>
      <sheetName val="Rat-1197_143"/>
      <sheetName val="Full_Year143"/>
      <sheetName val="Regiones_Noviembre_2002141"/>
      <sheetName val="Rat-0297_145"/>
      <sheetName val="Rat-0497_145"/>
      <sheetName val="Rat-0597_145"/>
      <sheetName val="Rat-0697__145"/>
      <sheetName val="Rat-0797_145"/>
      <sheetName val="Rat-0897_145"/>
      <sheetName val="Rat-0997_145"/>
      <sheetName val="Rat-1097_145"/>
      <sheetName val="Rat-1197_145"/>
      <sheetName val="Full_Year145"/>
      <sheetName val="Regiones_Noviembre_2002143"/>
      <sheetName val="Rat-0297_146"/>
      <sheetName val="Rat-0497_146"/>
      <sheetName val="Rat-0597_146"/>
      <sheetName val="Rat-0697__146"/>
      <sheetName val="Rat-0797_146"/>
      <sheetName val="Rat-0897_146"/>
      <sheetName val="Rat-0997_146"/>
      <sheetName val="Rat-1097_146"/>
      <sheetName val="Rat-1197_146"/>
      <sheetName val="Full_Year146"/>
      <sheetName val="Regiones_Noviembre_2002144"/>
      <sheetName val="Rat-0297_150"/>
      <sheetName val="Rat-0497_150"/>
      <sheetName val="Rat-0597_150"/>
      <sheetName val="Rat-0697__150"/>
      <sheetName val="Rat-0797_150"/>
      <sheetName val="Rat-0897_150"/>
      <sheetName val="Rat-0997_150"/>
      <sheetName val="Rat-1097_150"/>
      <sheetName val="Rat-1197_150"/>
      <sheetName val="Full_Year150"/>
      <sheetName val="Regiones_Noviembre_2002148"/>
      <sheetName val="Rat-0297_149"/>
      <sheetName val="Rat-0497_149"/>
      <sheetName val="Rat-0597_149"/>
      <sheetName val="Rat-0697__149"/>
      <sheetName val="Rat-0797_149"/>
      <sheetName val="Rat-0897_149"/>
      <sheetName val="Rat-0997_149"/>
      <sheetName val="Rat-1097_149"/>
      <sheetName val="Rat-1197_149"/>
      <sheetName val="Full_Year149"/>
      <sheetName val="Regiones_Noviembre_2002147"/>
      <sheetName val="Rat-0297_148"/>
      <sheetName val="Rat-0497_148"/>
      <sheetName val="Rat-0597_148"/>
      <sheetName val="Rat-0697__148"/>
      <sheetName val="Rat-0797_148"/>
      <sheetName val="Rat-0897_148"/>
      <sheetName val="Rat-0997_148"/>
      <sheetName val="Rat-1097_148"/>
      <sheetName val="Rat-1197_148"/>
      <sheetName val="Full_Year148"/>
      <sheetName val="Regiones_Noviembre_2002146"/>
      <sheetName val="Rat-0297_151"/>
      <sheetName val="Rat-0497_151"/>
      <sheetName val="Rat-0597_151"/>
      <sheetName val="Rat-0697__151"/>
      <sheetName val="Rat-0797_151"/>
      <sheetName val="Rat-0897_151"/>
      <sheetName val="Rat-0997_151"/>
      <sheetName val="Rat-1097_151"/>
      <sheetName val="Rat-1197_151"/>
      <sheetName val="Full_Year151"/>
      <sheetName val="Regiones_Noviembre_2002149"/>
      <sheetName val="Rat-0297_152"/>
      <sheetName val="Rat-0497_152"/>
      <sheetName val="Rat-0597_152"/>
      <sheetName val="Rat-0697__152"/>
      <sheetName val="Rat-0797_152"/>
      <sheetName val="Rat-0897_152"/>
      <sheetName val="Rat-0997_152"/>
      <sheetName val="Rat-1097_152"/>
      <sheetName val="Rat-1197_152"/>
      <sheetName val="Full_Year152"/>
      <sheetName val="Regiones_Noviembre_2002150"/>
      <sheetName val="Rat-0297_153"/>
      <sheetName val="Rat-0497_153"/>
      <sheetName val="Rat-0597_153"/>
      <sheetName val="Rat-0697__153"/>
      <sheetName val="Rat-0797_153"/>
      <sheetName val="Rat-0897_153"/>
      <sheetName val="Rat-0997_153"/>
      <sheetName val="Rat-1097_153"/>
      <sheetName val="Rat-1197_153"/>
      <sheetName val="Full_Year153"/>
      <sheetName val="Regiones_Noviembre_2002151"/>
      <sheetName val="Rat-0297_154"/>
      <sheetName val="Rat-0497_154"/>
      <sheetName val="Rat-0597_154"/>
      <sheetName val="Rat-0697__154"/>
      <sheetName val="Rat-0797_154"/>
      <sheetName val="Rat-0897_154"/>
      <sheetName val="Rat-0997_154"/>
      <sheetName val="Rat-1097_154"/>
      <sheetName val="Rat-1197_154"/>
      <sheetName val="Full_Year154"/>
      <sheetName val="Regiones_Noviembre_2002152"/>
      <sheetName val="Rat-0297_159"/>
      <sheetName val="Rat-0497_159"/>
      <sheetName val="Rat-0597_159"/>
      <sheetName val="Rat-0697__159"/>
      <sheetName val="Rat-0797_159"/>
      <sheetName val="Rat-0897_159"/>
      <sheetName val="Rat-0997_159"/>
      <sheetName val="Rat-1097_159"/>
      <sheetName val="Rat-1197_159"/>
      <sheetName val="Full_Year159"/>
      <sheetName val="Regiones_Noviembre_2002157"/>
      <sheetName val="Rat-0297_158"/>
      <sheetName val="Rat-0497_158"/>
      <sheetName val="Rat-0597_158"/>
      <sheetName val="Rat-0697__158"/>
      <sheetName val="Rat-0797_158"/>
      <sheetName val="Rat-0897_158"/>
      <sheetName val="Rat-0997_158"/>
      <sheetName val="Rat-1097_158"/>
      <sheetName val="Rat-1197_158"/>
      <sheetName val="Full_Year158"/>
      <sheetName val="Regiones_Noviembre_2002156"/>
      <sheetName val="Rat-0297_156"/>
      <sheetName val="Rat-0497_156"/>
      <sheetName val="Rat-0597_156"/>
      <sheetName val="Rat-0697__156"/>
      <sheetName val="Rat-0797_156"/>
      <sheetName val="Rat-0897_156"/>
      <sheetName val="Rat-0997_156"/>
      <sheetName val="Rat-1097_156"/>
      <sheetName val="Rat-1197_156"/>
      <sheetName val="Full_Year156"/>
      <sheetName val="Regiones_Noviembre_2002154"/>
      <sheetName val="Rat-0297_155"/>
      <sheetName val="Rat-0497_155"/>
      <sheetName val="Rat-0597_155"/>
      <sheetName val="Rat-0697__155"/>
      <sheetName val="Rat-0797_155"/>
      <sheetName val="Rat-0897_155"/>
      <sheetName val="Rat-0997_155"/>
      <sheetName val="Rat-1097_155"/>
      <sheetName val="Rat-1197_155"/>
      <sheetName val="Full_Year155"/>
      <sheetName val="Regiones_Noviembre_2002153"/>
      <sheetName val="Rat-0297_157"/>
      <sheetName val="Rat-0497_157"/>
      <sheetName val="Rat-0597_157"/>
      <sheetName val="Rat-0697__157"/>
      <sheetName val="Rat-0797_157"/>
      <sheetName val="Rat-0897_157"/>
      <sheetName val="Rat-0997_157"/>
      <sheetName val="Rat-1097_157"/>
      <sheetName val="Rat-1197_157"/>
      <sheetName val="Full_Year157"/>
      <sheetName val="Regiones_Noviembre_2002155"/>
      <sheetName val="Rat-0297_160"/>
      <sheetName val="Rat-0497_160"/>
      <sheetName val="Rat-0597_160"/>
      <sheetName val="Rat-0697__160"/>
      <sheetName val="Rat-0797_160"/>
      <sheetName val="Rat-0897_160"/>
      <sheetName val="Rat-0997_160"/>
      <sheetName val="Rat-1097_160"/>
      <sheetName val="Rat-1197_160"/>
      <sheetName val="Full_Year160"/>
      <sheetName val="Regiones_Noviembre_2002158"/>
      <sheetName val="Rat-0297_165"/>
      <sheetName val="Rat-0497_165"/>
      <sheetName val="Rat-0597_165"/>
      <sheetName val="Rat-0697__165"/>
      <sheetName val="Rat-0797_165"/>
      <sheetName val="Rat-0897_165"/>
      <sheetName val="Rat-0997_165"/>
      <sheetName val="Rat-1097_165"/>
      <sheetName val="Rat-1197_165"/>
      <sheetName val="Full_Year165"/>
      <sheetName val="Regiones_Noviembre_2002163"/>
      <sheetName val="Rat-0297_164"/>
      <sheetName val="Rat-0497_164"/>
      <sheetName val="Rat-0597_164"/>
      <sheetName val="Rat-0697__164"/>
      <sheetName val="Rat-0797_164"/>
      <sheetName val="Rat-0897_164"/>
      <sheetName val="Rat-0997_164"/>
      <sheetName val="Rat-1097_164"/>
      <sheetName val="Rat-1197_164"/>
      <sheetName val="Full_Year164"/>
      <sheetName val="Regiones_Noviembre_2002162"/>
      <sheetName val="Rat-0297_161"/>
      <sheetName val="Rat-0497_161"/>
      <sheetName val="Rat-0597_161"/>
      <sheetName val="Rat-0697__161"/>
      <sheetName val="Rat-0797_161"/>
      <sheetName val="Rat-0897_161"/>
      <sheetName val="Rat-0997_161"/>
      <sheetName val="Rat-1097_161"/>
      <sheetName val="Rat-1197_161"/>
      <sheetName val="Full_Year161"/>
      <sheetName val="Regiones_Noviembre_2002159"/>
      <sheetName val="Rat-0297_162"/>
      <sheetName val="Rat-0497_162"/>
      <sheetName val="Rat-0597_162"/>
      <sheetName val="Rat-0697__162"/>
      <sheetName val="Rat-0797_162"/>
      <sheetName val="Rat-0897_162"/>
      <sheetName val="Rat-0997_162"/>
      <sheetName val="Rat-1097_162"/>
      <sheetName val="Rat-1197_162"/>
      <sheetName val="Full_Year162"/>
      <sheetName val="Regiones_Noviembre_2002160"/>
      <sheetName val="Rat-0297_163"/>
      <sheetName val="Rat-0497_163"/>
      <sheetName val="Rat-0597_163"/>
      <sheetName val="Rat-0697__163"/>
      <sheetName val="Rat-0797_163"/>
      <sheetName val="Rat-0897_163"/>
      <sheetName val="Rat-0997_163"/>
      <sheetName val="Rat-1097_163"/>
      <sheetName val="Rat-1197_163"/>
      <sheetName val="Full_Year163"/>
      <sheetName val="Regiones_Noviembre_2002161"/>
      <sheetName val="Rat-0297_166"/>
      <sheetName val="Rat-0497_166"/>
      <sheetName val="Rat-0597_166"/>
      <sheetName val="Rat-0697__166"/>
      <sheetName val="Rat-0797_166"/>
      <sheetName val="Rat-0897_166"/>
      <sheetName val="Rat-0997_166"/>
      <sheetName val="Rat-1097_166"/>
      <sheetName val="Rat-1197_166"/>
      <sheetName val="Full_Year166"/>
      <sheetName val="Regiones_Noviembre_2002164"/>
      <sheetName val="Rat-0297_167"/>
      <sheetName val="Rat-0497_167"/>
      <sheetName val="Rat-0597_167"/>
      <sheetName val="Rat-0697__167"/>
      <sheetName val="Rat-0797_167"/>
      <sheetName val="Rat-0897_167"/>
      <sheetName val="Rat-0997_167"/>
      <sheetName val="Rat-1097_167"/>
      <sheetName val="Rat-1197_167"/>
      <sheetName val="Full_Year167"/>
      <sheetName val="Regiones_Noviembre_2002165"/>
      <sheetName val="Rat-0297_168"/>
      <sheetName val="Rat-0497_168"/>
      <sheetName val="Rat-0597_168"/>
      <sheetName val="Rat-0697__168"/>
      <sheetName val="Rat-0797_168"/>
      <sheetName val="Rat-0897_168"/>
      <sheetName val="Rat-0997_168"/>
      <sheetName val="Rat-1097_168"/>
      <sheetName val="Rat-1197_168"/>
      <sheetName val="Full_Year168"/>
      <sheetName val="Regiones_Noviembre_2002166"/>
      <sheetName val="Rat-0297_169"/>
      <sheetName val="Rat-0497_169"/>
      <sheetName val="Rat-0597_169"/>
      <sheetName val="Rat-0697__169"/>
      <sheetName val="Rat-0797_169"/>
      <sheetName val="Rat-0897_169"/>
      <sheetName val="Rat-0997_169"/>
      <sheetName val="Rat-1097_169"/>
      <sheetName val="Rat-1197_169"/>
      <sheetName val="Full_Year169"/>
      <sheetName val="Regiones_Noviembre_2002167"/>
      <sheetName val="Rat-0297_170"/>
      <sheetName val="Rat-0497_170"/>
      <sheetName val="Rat-0597_170"/>
      <sheetName val="Rat-0697__170"/>
      <sheetName val="Rat-0797_170"/>
      <sheetName val="Rat-0897_170"/>
      <sheetName val="Rat-0997_170"/>
      <sheetName val="Rat-1097_170"/>
      <sheetName val="Rat-1197_170"/>
      <sheetName val="Full_Year170"/>
      <sheetName val="Regiones_Noviembre_2002168"/>
      <sheetName val="Rat-0297_171"/>
      <sheetName val="Rat-0497_171"/>
      <sheetName val="Rat-0597_171"/>
      <sheetName val="Rat-0697__171"/>
      <sheetName val="Rat-0797_171"/>
      <sheetName val="Rat-0897_171"/>
      <sheetName val="Rat-0997_171"/>
      <sheetName val="Rat-1097_171"/>
      <sheetName val="Rat-1197_171"/>
      <sheetName val="Full_Year171"/>
      <sheetName val="Regiones_Noviembre_2002169"/>
      <sheetName val="Rat-0297_184"/>
      <sheetName val="Rat-0497_184"/>
      <sheetName val="Rat-0597_184"/>
      <sheetName val="Rat-0697__184"/>
      <sheetName val="Rat-0797_184"/>
      <sheetName val="Rat-0897_184"/>
      <sheetName val="Rat-0997_184"/>
      <sheetName val="Rat-1097_184"/>
      <sheetName val="Rat-1197_184"/>
      <sheetName val="Full_Year184"/>
      <sheetName val="Regiones_Noviembre_2002182"/>
      <sheetName val="Rat-0297_182"/>
      <sheetName val="Rat-0497_182"/>
      <sheetName val="Rat-0597_182"/>
      <sheetName val="Rat-0697__182"/>
      <sheetName val="Rat-0797_182"/>
      <sheetName val="Rat-0897_182"/>
      <sheetName val="Rat-0997_182"/>
      <sheetName val="Rat-1097_182"/>
      <sheetName val="Rat-1197_182"/>
      <sheetName val="Full_Year182"/>
      <sheetName val="Regiones_Noviembre_2002180"/>
      <sheetName val="Rat-0297_181"/>
      <sheetName val="Rat-0497_181"/>
      <sheetName val="Rat-0597_181"/>
      <sheetName val="Rat-0697__181"/>
      <sheetName val="Rat-0797_181"/>
      <sheetName val="Rat-0897_181"/>
      <sheetName val="Rat-0997_181"/>
      <sheetName val="Rat-1097_181"/>
      <sheetName val="Rat-1197_181"/>
      <sheetName val="Full_Year181"/>
      <sheetName val="Regiones_Noviembre_2002179"/>
      <sheetName val="Rat-0297_179"/>
      <sheetName val="Rat-0497_179"/>
      <sheetName val="Rat-0597_179"/>
      <sheetName val="Rat-0697__179"/>
      <sheetName val="Rat-0797_179"/>
      <sheetName val="Rat-0897_179"/>
      <sheetName val="Rat-0997_179"/>
      <sheetName val="Rat-1097_179"/>
      <sheetName val="Rat-1197_179"/>
      <sheetName val="Full_Year179"/>
      <sheetName val="Regiones_Noviembre_2002177"/>
      <sheetName val="Rat-0297_178"/>
      <sheetName val="Rat-0497_178"/>
      <sheetName val="Rat-0597_178"/>
      <sheetName val="Rat-0697__178"/>
      <sheetName val="Rat-0797_178"/>
      <sheetName val="Rat-0897_178"/>
      <sheetName val="Rat-0997_178"/>
      <sheetName val="Rat-1097_178"/>
      <sheetName val="Rat-1197_178"/>
      <sheetName val="Full_Year178"/>
      <sheetName val="Regiones_Noviembre_2002176"/>
      <sheetName val="Rat-0297_177"/>
      <sheetName val="Rat-0497_177"/>
      <sheetName val="Rat-0597_177"/>
      <sheetName val="Rat-0697__177"/>
      <sheetName val="Rat-0797_177"/>
      <sheetName val="Rat-0897_177"/>
      <sheetName val="Rat-0997_177"/>
      <sheetName val="Rat-1097_177"/>
      <sheetName val="Rat-1197_177"/>
      <sheetName val="Full_Year177"/>
      <sheetName val="Regiones_Noviembre_2002175"/>
      <sheetName val="Rat-0297_176"/>
      <sheetName val="Rat-0497_176"/>
      <sheetName val="Rat-0597_176"/>
      <sheetName val="Rat-0697__176"/>
      <sheetName val="Rat-0797_176"/>
      <sheetName val="Rat-0897_176"/>
      <sheetName val="Rat-0997_176"/>
      <sheetName val="Rat-1097_176"/>
      <sheetName val="Rat-1197_176"/>
      <sheetName val="Full_Year176"/>
      <sheetName val="Regiones_Noviembre_2002174"/>
      <sheetName val="Rat-0297_172"/>
      <sheetName val="Rat-0497_172"/>
      <sheetName val="Rat-0597_172"/>
      <sheetName val="Rat-0697__172"/>
      <sheetName val="Rat-0797_172"/>
      <sheetName val="Rat-0897_172"/>
      <sheetName val="Rat-0997_172"/>
      <sheetName val="Rat-1097_172"/>
      <sheetName val="Rat-1197_172"/>
      <sheetName val="Full_Year172"/>
      <sheetName val="Regiones_Noviembre_2002170"/>
      <sheetName val="Rat-0297_173"/>
      <sheetName val="Rat-0497_173"/>
      <sheetName val="Rat-0597_173"/>
      <sheetName val="Rat-0697__173"/>
      <sheetName val="Rat-0797_173"/>
      <sheetName val="Rat-0897_173"/>
      <sheetName val="Rat-0997_173"/>
      <sheetName val="Rat-1097_173"/>
      <sheetName val="Rat-1197_173"/>
      <sheetName val="Full_Year173"/>
      <sheetName val="Regiones_Noviembre_2002171"/>
      <sheetName val="Rat-0297_175"/>
      <sheetName val="Rat-0497_175"/>
      <sheetName val="Rat-0597_175"/>
      <sheetName val="Rat-0697__175"/>
      <sheetName val="Rat-0797_175"/>
      <sheetName val="Rat-0897_175"/>
      <sheetName val="Rat-0997_175"/>
      <sheetName val="Rat-1097_175"/>
      <sheetName val="Rat-1197_175"/>
      <sheetName val="Full_Year175"/>
      <sheetName val="Regiones_Noviembre_2002173"/>
      <sheetName val="Rat-0297_174"/>
      <sheetName val="Rat-0497_174"/>
      <sheetName val="Rat-0597_174"/>
      <sheetName val="Rat-0697__174"/>
      <sheetName val="Rat-0797_174"/>
      <sheetName val="Rat-0897_174"/>
      <sheetName val="Rat-0997_174"/>
      <sheetName val="Rat-1097_174"/>
      <sheetName val="Rat-1197_174"/>
      <sheetName val="Full_Year174"/>
      <sheetName val="Regiones_Noviembre_2002172"/>
      <sheetName val="Rat-0297_180"/>
      <sheetName val="Rat-0497_180"/>
      <sheetName val="Rat-0597_180"/>
      <sheetName val="Rat-0697__180"/>
      <sheetName val="Rat-0797_180"/>
      <sheetName val="Rat-0897_180"/>
      <sheetName val="Rat-0997_180"/>
      <sheetName val="Rat-1097_180"/>
      <sheetName val="Rat-1197_180"/>
      <sheetName val="Full_Year180"/>
      <sheetName val="Regiones_Noviembre_2002178"/>
      <sheetName val="Rat-0297_183"/>
      <sheetName val="Rat-0497_183"/>
      <sheetName val="Rat-0597_183"/>
      <sheetName val="Rat-0697__183"/>
      <sheetName val="Rat-0797_183"/>
      <sheetName val="Rat-0897_183"/>
      <sheetName val="Rat-0997_183"/>
      <sheetName val="Rat-1097_183"/>
      <sheetName val="Rat-1197_183"/>
      <sheetName val="Full_Year183"/>
      <sheetName val="Regiones_Noviembre_2002181"/>
      <sheetName val="Rat-0297_190"/>
      <sheetName val="Rat-0497_190"/>
      <sheetName val="Rat-0597_190"/>
      <sheetName val="Rat-0697__190"/>
      <sheetName val="Rat-0797_190"/>
      <sheetName val="Rat-0897_190"/>
      <sheetName val="Rat-0997_190"/>
      <sheetName val="Rat-1097_190"/>
      <sheetName val="Rat-1197_190"/>
      <sheetName val="Full_Year190"/>
      <sheetName val="Regiones_Noviembre_2002188"/>
      <sheetName val="Rat-0297_188"/>
      <sheetName val="Rat-0497_188"/>
      <sheetName val="Rat-0597_188"/>
      <sheetName val="Rat-0697__188"/>
      <sheetName val="Rat-0797_188"/>
      <sheetName val="Rat-0897_188"/>
      <sheetName val="Rat-0997_188"/>
      <sheetName val="Rat-1097_188"/>
      <sheetName val="Rat-1197_188"/>
      <sheetName val="Full_Year188"/>
      <sheetName val="Regiones_Noviembre_2002186"/>
      <sheetName val="Rat-0297_185"/>
      <sheetName val="Rat-0497_185"/>
      <sheetName val="Rat-0597_185"/>
      <sheetName val="Rat-0697__185"/>
      <sheetName val="Rat-0797_185"/>
      <sheetName val="Rat-0897_185"/>
      <sheetName val="Rat-0997_185"/>
      <sheetName val="Rat-1097_185"/>
      <sheetName val="Rat-1197_185"/>
      <sheetName val="Full_Year185"/>
      <sheetName val="Regiones_Noviembre_2002183"/>
      <sheetName val="Rat-0297_186"/>
      <sheetName val="Rat-0497_186"/>
      <sheetName val="Rat-0597_186"/>
      <sheetName val="Rat-0697__186"/>
      <sheetName val="Rat-0797_186"/>
      <sheetName val="Rat-0897_186"/>
      <sheetName val="Rat-0997_186"/>
      <sheetName val="Rat-1097_186"/>
      <sheetName val="Rat-1197_186"/>
      <sheetName val="Full_Year186"/>
      <sheetName val="Regiones_Noviembre_2002184"/>
      <sheetName val="Rat-0297_187"/>
      <sheetName val="Rat-0497_187"/>
      <sheetName val="Rat-0597_187"/>
      <sheetName val="Rat-0697__187"/>
      <sheetName val="Rat-0797_187"/>
      <sheetName val="Rat-0897_187"/>
      <sheetName val="Rat-0997_187"/>
      <sheetName val="Rat-1097_187"/>
      <sheetName val="Rat-1197_187"/>
      <sheetName val="Full_Year187"/>
      <sheetName val="Regiones_Noviembre_2002185"/>
      <sheetName val="Rat-0297_189"/>
      <sheetName val="Rat-0497_189"/>
      <sheetName val="Rat-0597_189"/>
      <sheetName val="Rat-0697__189"/>
      <sheetName val="Rat-0797_189"/>
      <sheetName val="Rat-0897_189"/>
      <sheetName val="Rat-0997_189"/>
      <sheetName val="Rat-1097_189"/>
      <sheetName val="Rat-1197_189"/>
      <sheetName val="Full_Year189"/>
      <sheetName val="Regiones_Noviembre_2002187"/>
      <sheetName val="Rat-0297_193"/>
      <sheetName val="Rat-0497_193"/>
      <sheetName val="Rat-0597_193"/>
      <sheetName val="Rat-0697__193"/>
      <sheetName val="Rat-0797_193"/>
      <sheetName val="Rat-0897_193"/>
      <sheetName val="Rat-0997_193"/>
      <sheetName val="Rat-1097_193"/>
      <sheetName val="Rat-1197_193"/>
      <sheetName val="Full_Year193"/>
      <sheetName val="Regiones_Noviembre_2002191"/>
      <sheetName val="Rat-0297_192"/>
      <sheetName val="Rat-0497_192"/>
      <sheetName val="Rat-0597_192"/>
      <sheetName val="Rat-0697__192"/>
      <sheetName val="Rat-0797_192"/>
      <sheetName val="Rat-0897_192"/>
      <sheetName val="Rat-0997_192"/>
      <sheetName val="Rat-1097_192"/>
      <sheetName val="Rat-1197_192"/>
      <sheetName val="Full_Year192"/>
      <sheetName val="Regiones_Noviembre_2002190"/>
      <sheetName val="Rat-0297_191"/>
      <sheetName val="Rat-0497_191"/>
      <sheetName val="Rat-0597_191"/>
      <sheetName val="Rat-0697__191"/>
      <sheetName val="Rat-0797_191"/>
      <sheetName val="Rat-0897_191"/>
      <sheetName val="Rat-0997_191"/>
      <sheetName val="Rat-1097_191"/>
      <sheetName val="Rat-1197_191"/>
      <sheetName val="Full_Year191"/>
      <sheetName val="Regiones_Noviembre_2002189"/>
      <sheetName val="Rat-0297_196"/>
      <sheetName val="Rat-0497_196"/>
      <sheetName val="Rat-0597_196"/>
      <sheetName val="Rat-0697__196"/>
      <sheetName val="Rat-0797_196"/>
      <sheetName val="Rat-0897_196"/>
      <sheetName val="Rat-0997_196"/>
      <sheetName val="Rat-1097_196"/>
      <sheetName val="Rat-1197_196"/>
      <sheetName val="Full_Year196"/>
      <sheetName val="Regiones_Noviembre_2002194"/>
      <sheetName val="Rat-0297_194"/>
      <sheetName val="Rat-0497_194"/>
      <sheetName val="Rat-0597_194"/>
      <sheetName val="Rat-0697__194"/>
      <sheetName val="Rat-0797_194"/>
      <sheetName val="Rat-0897_194"/>
      <sheetName val="Rat-0997_194"/>
      <sheetName val="Rat-1097_194"/>
      <sheetName val="Rat-1197_194"/>
      <sheetName val="Full_Year194"/>
      <sheetName val="Regiones_Noviembre_2002192"/>
      <sheetName val="Rat-0297_195"/>
      <sheetName val="Rat-0497_195"/>
      <sheetName val="Rat-0597_195"/>
      <sheetName val="Rat-0697__195"/>
      <sheetName val="Rat-0797_195"/>
      <sheetName val="Rat-0897_195"/>
      <sheetName val="Rat-0997_195"/>
      <sheetName val="Rat-1097_195"/>
      <sheetName val="Rat-1197_195"/>
      <sheetName val="Full_Year195"/>
      <sheetName val="Regiones_Noviembre_2002193"/>
      <sheetName val="Rat-0297_197"/>
      <sheetName val="Rat-0497_197"/>
      <sheetName val="Rat-0597_197"/>
      <sheetName val="Rat-0697__197"/>
      <sheetName val="Rat-0797_197"/>
      <sheetName val="Rat-0897_197"/>
      <sheetName val="Rat-0997_197"/>
      <sheetName val="Rat-1097_197"/>
      <sheetName val="Rat-1197_197"/>
      <sheetName val="Full_Year197"/>
      <sheetName val="Regiones_Noviembre_2002195"/>
      <sheetName val="Rat-0297_198"/>
      <sheetName val="Rat-0497_198"/>
      <sheetName val="Rat-0597_198"/>
      <sheetName val="Rat-0697__198"/>
      <sheetName val="Rat-0797_198"/>
      <sheetName val="Rat-0897_198"/>
      <sheetName val="Rat-0997_198"/>
      <sheetName val="Rat-1097_198"/>
      <sheetName val="Rat-1197_198"/>
      <sheetName val="Full_Year198"/>
      <sheetName val="Regiones_Noviembre_2002196"/>
      <sheetName val="Rat-0297_199"/>
      <sheetName val="Rat-0497_199"/>
      <sheetName val="Rat-0597_199"/>
      <sheetName val="Rat-0697__199"/>
      <sheetName val="Rat-0797_199"/>
      <sheetName val="Rat-0897_199"/>
      <sheetName val="Rat-0997_199"/>
      <sheetName val="Rat-1097_199"/>
      <sheetName val="Rat-1197_199"/>
      <sheetName val="Full_Year199"/>
      <sheetName val="Regiones_Noviembre_2002197"/>
      <sheetName val="Rat-0297_200"/>
      <sheetName val="Rat-0497_200"/>
      <sheetName val="Rat-0597_200"/>
      <sheetName val="Rat-0697__200"/>
      <sheetName val="Rat-0797_200"/>
      <sheetName val="Rat-0897_200"/>
      <sheetName val="Rat-0997_200"/>
      <sheetName val="Rat-1097_200"/>
      <sheetName val="Rat-1197_200"/>
      <sheetName val="Full_Year200"/>
      <sheetName val="Regiones_Noviembre_2002198"/>
      <sheetName val="Rat-0297_201"/>
      <sheetName val="Rat-0497_201"/>
      <sheetName val="Rat-0597_201"/>
      <sheetName val="Rat-0697__201"/>
      <sheetName val="Rat-0797_201"/>
      <sheetName val="Rat-0897_201"/>
      <sheetName val="Rat-0997_201"/>
      <sheetName val="Rat-1097_201"/>
      <sheetName val="Rat-1197_201"/>
      <sheetName val="Full_Year201"/>
      <sheetName val="Regiones_Noviembre_2002199"/>
      <sheetName val="Rat-0297_202"/>
      <sheetName val="Rat-0497_202"/>
      <sheetName val="Rat-0597_202"/>
      <sheetName val="Rat-0697__202"/>
      <sheetName val="Rat-0797_202"/>
      <sheetName val="Rat-0897_202"/>
      <sheetName val="Rat-0997_202"/>
      <sheetName val="Rat-1097_202"/>
      <sheetName val="Rat-1197_202"/>
      <sheetName val="Full_Year202"/>
      <sheetName val="Regiones_Noviembre_2002200"/>
      <sheetName val="Rat-0297_203"/>
      <sheetName val="Rat-0497_203"/>
      <sheetName val="Rat-0597_203"/>
      <sheetName val="Rat-0697__203"/>
      <sheetName val="Rat-0797_203"/>
      <sheetName val="Rat-0897_203"/>
      <sheetName val="Rat-0997_203"/>
      <sheetName val="Rat-1097_203"/>
      <sheetName val="Rat-1197_203"/>
      <sheetName val="Full_Year203"/>
      <sheetName val="Regiones_Noviembre_2002201"/>
      <sheetName val="Rat-0297_204"/>
      <sheetName val="Rat-0497_204"/>
      <sheetName val="Rat-0597_204"/>
      <sheetName val="Rat-0697__204"/>
      <sheetName val="Rat-0797_204"/>
      <sheetName val="Rat-0897_204"/>
      <sheetName val="Rat-0997_204"/>
      <sheetName val="Rat-1097_204"/>
      <sheetName val="Rat-1197_204"/>
      <sheetName val="Full_Year204"/>
      <sheetName val="Regiones_Noviembre_2002202"/>
      <sheetName val="Rat-0297_215"/>
      <sheetName val="Rat-0497_215"/>
      <sheetName val="Rat-0597_215"/>
      <sheetName val="Rat-0697__215"/>
      <sheetName val="Rat-0797_215"/>
      <sheetName val="Rat-0897_215"/>
      <sheetName val="Rat-0997_215"/>
      <sheetName val="Rat-1097_215"/>
      <sheetName val="Rat-1197_215"/>
      <sheetName val="Full_Year215"/>
      <sheetName val="Regiones_Noviembre_2002213"/>
      <sheetName val="Tower_101"/>
      <sheetName val="Rat-0297_214"/>
      <sheetName val="Rat-0497_214"/>
      <sheetName val="Rat-0597_214"/>
      <sheetName val="Rat-0697__214"/>
      <sheetName val="Rat-0797_214"/>
      <sheetName val="Rat-0897_214"/>
      <sheetName val="Rat-0997_214"/>
      <sheetName val="Rat-1097_214"/>
      <sheetName val="Rat-1197_214"/>
      <sheetName val="Full_Year214"/>
      <sheetName val="Regiones_Noviembre_2002212"/>
      <sheetName val="Rat-0297_208"/>
      <sheetName val="Rat-0497_208"/>
      <sheetName val="Rat-0597_208"/>
      <sheetName val="Rat-0697__208"/>
      <sheetName val="Rat-0797_208"/>
      <sheetName val="Rat-0897_208"/>
      <sheetName val="Rat-0997_208"/>
      <sheetName val="Rat-1097_208"/>
      <sheetName val="Rat-1197_208"/>
      <sheetName val="Full_Year208"/>
      <sheetName val="Regiones_Noviembre_2002206"/>
      <sheetName val="Rat-0297_205"/>
      <sheetName val="Rat-0497_205"/>
      <sheetName val="Rat-0597_205"/>
      <sheetName val="Rat-0697__205"/>
      <sheetName val="Rat-0797_205"/>
      <sheetName val="Rat-0897_205"/>
      <sheetName val="Rat-0997_205"/>
      <sheetName val="Rat-1097_205"/>
      <sheetName val="Rat-1197_205"/>
      <sheetName val="Full_Year205"/>
      <sheetName val="Regiones_Noviembre_2002203"/>
      <sheetName val="Rat-0297_207"/>
      <sheetName val="Rat-0497_207"/>
      <sheetName val="Rat-0597_207"/>
      <sheetName val="Rat-0697__207"/>
      <sheetName val="Rat-0797_207"/>
      <sheetName val="Rat-0897_207"/>
      <sheetName val="Rat-0997_207"/>
      <sheetName val="Rat-1097_207"/>
      <sheetName val="Rat-1197_207"/>
      <sheetName val="Full_Year207"/>
      <sheetName val="Regiones_Noviembre_2002205"/>
      <sheetName val="Rat-0297_206"/>
      <sheetName val="Rat-0497_206"/>
      <sheetName val="Rat-0597_206"/>
      <sheetName val="Rat-0697__206"/>
      <sheetName val="Rat-0797_206"/>
      <sheetName val="Rat-0897_206"/>
      <sheetName val="Rat-0997_206"/>
      <sheetName val="Rat-1097_206"/>
      <sheetName val="Rat-1197_206"/>
      <sheetName val="Full_Year206"/>
      <sheetName val="Regiones_Noviembre_2002204"/>
      <sheetName val="Rat-0297_209"/>
      <sheetName val="Rat-0497_209"/>
      <sheetName val="Rat-0597_209"/>
      <sheetName val="Rat-0697__209"/>
      <sheetName val="Rat-0797_209"/>
      <sheetName val="Rat-0897_209"/>
      <sheetName val="Rat-0997_209"/>
      <sheetName val="Rat-1097_209"/>
      <sheetName val="Rat-1197_209"/>
      <sheetName val="Full_Year209"/>
      <sheetName val="Regiones_Noviembre_2002207"/>
      <sheetName val="Rat-0297_213"/>
      <sheetName val="Rat-0497_213"/>
      <sheetName val="Rat-0597_213"/>
      <sheetName val="Rat-0697__213"/>
      <sheetName val="Rat-0797_213"/>
      <sheetName val="Rat-0897_213"/>
      <sheetName val="Rat-0997_213"/>
      <sheetName val="Rat-1097_213"/>
      <sheetName val="Rat-1197_213"/>
      <sheetName val="Full_Year213"/>
      <sheetName val="Regiones_Noviembre_2002211"/>
      <sheetName val="Rat-0297_210"/>
      <sheetName val="Rat-0497_210"/>
      <sheetName val="Rat-0597_210"/>
      <sheetName val="Rat-0697__210"/>
      <sheetName val="Rat-0797_210"/>
      <sheetName val="Rat-0897_210"/>
      <sheetName val="Rat-0997_210"/>
      <sheetName val="Rat-1097_210"/>
      <sheetName val="Rat-1197_210"/>
      <sheetName val="Full_Year210"/>
      <sheetName val="Regiones_Noviembre_2002208"/>
      <sheetName val="Rat-0297_212"/>
      <sheetName val="Rat-0497_212"/>
      <sheetName val="Rat-0597_212"/>
      <sheetName val="Rat-0697__212"/>
      <sheetName val="Rat-0797_212"/>
      <sheetName val="Rat-0897_212"/>
      <sheetName val="Rat-0997_212"/>
      <sheetName val="Rat-1097_212"/>
      <sheetName val="Rat-1197_212"/>
      <sheetName val="Full_Year212"/>
      <sheetName val="Regiones_Noviembre_2002210"/>
      <sheetName val="Rat-0297_211"/>
      <sheetName val="Rat-0497_211"/>
      <sheetName val="Rat-0597_211"/>
      <sheetName val="Rat-0697__211"/>
      <sheetName val="Rat-0797_211"/>
      <sheetName val="Rat-0897_211"/>
      <sheetName val="Rat-0997_211"/>
      <sheetName val="Rat-1097_211"/>
      <sheetName val="Rat-1197_211"/>
      <sheetName val="Full_Year211"/>
      <sheetName val="Regiones_Noviembre_2002209"/>
      <sheetName val="Rat-0297_216"/>
      <sheetName val="Rat-0497_216"/>
      <sheetName val="Rat-0597_216"/>
      <sheetName val="Rat-0697__216"/>
      <sheetName val="Rat-0797_216"/>
      <sheetName val="Rat-0897_216"/>
      <sheetName val="Rat-0997_216"/>
      <sheetName val="Rat-1097_216"/>
      <sheetName val="Rat-1197_216"/>
      <sheetName val="Full_Year216"/>
      <sheetName val="Regiones_Noviembre_2002214"/>
      <sheetName val="Tower_102"/>
      <sheetName val="Rat-0297_217"/>
      <sheetName val="Rat-0497_217"/>
      <sheetName val="Rat-0597_217"/>
      <sheetName val="Rat-0697__217"/>
      <sheetName val="Rat-0797_217"/>
      <sheetName val="Rat-0897_217"/>
      <sheetName val="Rat-0997_217"/>
      <sheetName val="Rat-1097_217"/>
      <sheetName val="Rat-1197_217"/>
      <sheetName val="Full_Year217"/>
      <sheetName val="Regiones_Noviembre_2002215"/>
      <sheetName val="Tower_103"/>
      <sheetName val="Rat-0297_221"/>
      <sheetName val="Rat-0497_221"/>
      <sheetName val="Rat-0597_221"/>
      <sheetName val="Rat-0697__221"/>
      <sheetName val="Rat-0797_221"/>
      <sheetName val="Rat-0897_221"/>
      <sheetName val="Rat-0997_221"/>
      <sheetName val="Rat-1097_221"/>
      <sheetName val="Rat-1197_221"/>
      <sheetName val="Full_Year221"/>
      <sheetName val="Regiones_Noviembre_2002219"/>
      <sheetName val="Tower_106"/>
      <sheetName val="Rat-0297_218"/>
      <sheetName val="Rat-0497_218"/>
      <sheetName val="Rat-0597_218"/>
      <sheetName val="Rat-0697__218"/>
      <sheetName val="Rat-0797_218"/>
      <sheetName val="Rat-0897_218"/>
      <sheetName val="Rat-0997_218"/>
      <sheetName val="Rat-1097_218"/>
      <sheetName val="Rat-1197_218"/>
      <sheetName val="Full_Year218"/>
      <sheetName val="Regiones_Noviembre_2002216"/>
      <sheetName val="Tower_104"/>
      <sheetName val="Rat-0297_219"/>
      <sheetName val="Rat-0497_219"/>
      <sheetName val="Rat-0597_219"/>
      <sheetName val="Rat-0697__219"/>
      <sheetName val="Rat-0797_219"/>
      <sheetName val="Rat-0897_219"/>
      <sheetName val="Rat-0997_219"/>
      <sheetName val="Rat-1097_219"/>
      <sheetName val="Rat-1197_219"/>
      <sheetName val="Full_Year219"/>
      <sheetName val="Regiones_Noviembre_2002217"/>
      <sheetName val="Rat-0297_220"/>
      <sheetName val="Rat-0497_220"/>
      <sheetName val="Rat-0597_220"/>
      <sheetName val="Rat-0697__220"/>
      <sheetName val="Rat-0797_220"/>
      <sheetName val="Rat-0897_220"/>
      <sheetName val="Rat-0997_220"/>
      <sheetName val="Rat-1097_220"/>
      <sheetName val="Rat-1197_220"/>
      <sheetName val="Full_Year220"/>
      <sheetName val="Regiones_Noviembre_2002218"/>
      <sheetName val="Tower_105"/>
      <sheetName val="Rat-0297_222"/>
      <sheetName val="Rat-0497_222"/>
      <sheetName val="Rat-0597_222"/>
      <sheetName val="Rat-0697__222"/>
      <sheetName val="Rat-0797_222"/>
      <sheetName val="Rat-0897_222"/>
      <sheetName val="Rat-0997_222"/>
      <sheetName val="Rat-1097_222"/>
      <sheetName val="Rat-1197_222"/>
      <sheetName val="Full_Year222"/>
      <sheetName val="Regiones_Noviembre_2002220"/>
      <sheetName val="Tower_107"/>
      <sheetName val="Rat-0297_223"/>
      <sheetName val="Rat-0497_223"/>
      <sheetName val="Rat-0597_223"/>
      <sheetName val="Rat-0697__223"/>
      <sheetName val="Rat-0797_223"/>
      <sheetName val="Rat-0897_223"/>
      <sheetName val="Rat-0997_223"/>
      <sheetName val="Rat-1097_223"/>
      <sheetName val="Rat-1197_223"/>
      <sheetName val="Full_Year223"/>
      <sheetName val="Regiones_Noviembre_2002221"/>
      <sheetName val="Rat-0297_224"/>
      <sheetName val="Rat-0497_224"/>
      <sheetName val="Rat-0597_224"/>
      <sheetName val="Rat-0697__224"/>
      <sheetName val="Rat-0797_224"/>
      <sheetName val="Rat-0897_224"/>
      <sheetName val="Rat-0997_224"/>
      <sheetName val="Rat-1097_224"/>
      <sheetName val="Rat-1197_224"/>
      <sheetName val="Full_Year224"/>
      <sheetName val="Regiones_Noviembre_2002222"/>
      <sheetName val="Tower_108"/>
      <sheetName val="Rat-0297_228"/>
      <sheetName val="Rat-0497_228"/>
      <sheetName val="Rat-0597_228"/>
      <sheetName val="Rat-0697__228"/>
      <sheetName val="Rat-0797_228"/>
      <sheetName val="Rat-0897_228"/>
      <sheetName val="Rat-0997_228"/>
      <sheetName val="Rat-1097_228"/>
      <sheetName val="Rat-1197_228"/>
      <sheetName val="Full_Year228"/>
      <sheetName val="Regiones_Noviembre_2002226"/>
      <sheetName val="Tower_1012"/>
      <sheetName val="Rat-0297_226"/>
      <sheetName val="Rat-0497_226"/>
      <sheetName val="Rat-0597_226"/>
      <sheetName val="Rat-0697__226"/>
      <sheetName val="Rat-0797_226"/>
      <sheetName val="Rat-0897_226"/>
      <sheetName val="Rat-0997_226"/>
      <sheetName val="Rat-1097_226"/>
      <sheetName val="Rat-1197_226"/>
      <sheetName val="Full_Year226"/>
      <sheetName val="Regiones_Noviembre_2002224"/>
      <sheetName val="Tower_1010"/>
      <sheetName val="Rat-0297_225"/>
      <sheetName val="Rat-0497_225"/>
      <sheetName val="Rat-0597_225"/>
      <sheetName val="Rat-0697__225"/>
      <sheetName val="Rat-0797_225"/>
      <sheetName val="Rat-0897_225"/>
      <sheetName val="Rat-0997_225"/>
      <sheetName val="Rat-1097_225"/>
      <sheetName val="Rat-1197_225"/>
      <sheetName val="Full_Year225"/>
      <sheetName val="Regiones_Noviembre_2002223"/>
      <sheetName val="Tower_109"/>
      <sheetName val="Rat-0297_227"/>
      <sheetName val="Rat-0497_227"/>
      <sheetName val="Rat-0597_227"/>
      <sheetName val="Rat-0697__227"/>
      <sheetName val="Rat-0797_227"/>
      <sheetName val="Rat-0897_227"/>
      <sheetName val="Rat-0997_227"/>
      <sheetName val="Rat-1097_227"/>
      <sheetName val="Rat-1197_227"/>
      <sheetName val="Full_Year227"/>
      <sheetName val="Regiones_Noviembre_2002225"/>
      <sheetName val="Tower_1011"/>
      <sheetName val="Rat-0297_229"/>
      <sheetName val="Rat-0497_229"/>
      <sheetName val="Rat-0597_229"/>
      <sheetName val="Rat-0697__229"/>
      <sheetName val="Rat-0797_229"/>
      <sheetName val="Rat-0897_229"/>
      <sheetName val="Rat-0997_229"/>
      <sheetName val="Rat-1097_229"/>
      <sheetName val="Rat-1197_229"/>
      <sheetName val="Full_Year229"/>
      <sheetName val="Regiones_Noviembre_2002227"/>
      <sheetName val="Tower_1013"/>
      <sheetName val="Rat-0297_230"/>
      <sheetName val="Rat-0497_230"/>
      <sheetName val="Rat-0597_230"/>
      <sheetName val="Rat-0697__230"/>
      <sheetName val="Rat-0797_230"/>
      <sheetName val="Rat-0897_230"/>
      <sheetName val="Rat-0997_230"/>
      <sheetName val="Rat-1097_230"/>
      <sheetName val="Rat-1197_230"/>
      <sheetName val="Full_Year230"/>
      <sheetName val="Regiones_Noviembre_2002228"/>
      <sheetName val="Tower_1014"/>
      <sheetName val="Rat-0297_232"/>
      <sheetName val="Rat-0497_232"/>
      <sheetName val="Rat-0597_232"/>
      <sheetName val="Rat-0697__232"/>
      <sheetName val="Rat-0797_232"/>
      <sheetName val="Rat-0897_232"/>
      <sheetName val="Rat-0997_232"/>
      <sheetName val="Rat-1097_232"/>
      <sheetName val="Rat-1197_232"/>
      <sheetName val="Full_Year232"/>
      <sheetName val="Regiones_Noviembre_2002230"/>
      <sheetName val="Tower_1016"/>
      <sheetName val="Rat-0297_231"/>
      <sheetName val="Rat-0497_231"/>
      <sheetName val="Rat-0597_231"/>
      <sheetName val="Rat-0697__231"/>
      <sheetName val="Rat-0797_231"/>
      <sheetName val="Rat-0897_231"/>
      <sheetName val="Rat-0997_231"/>
      <sheetName val="Rat-1097_231"/>
      <sheetName val="Rat-1197_231"/>
      <sheetName val="Full_Year231"/>
      <sheetName val="Regiones_Noviembre_2002229"/>
      <sheetName val="Tower_1015"/>
      <sheetName val="Rat-0297_233"/>
      <sheetName val="Rat-0497_233"/>
      <sheetName val="Rat-0597_233"/>
      <sheetName val="Rat-0697__233"/>
      <sheetName val="Rat-0797_233"/>
      <sheetName val="Rat-0897_233"/>
      <sheetName val="Rat-0997_233"/>
      <sheetName val="Rat-1097_233"/>
      <sheetName val="Rat-1197_233"/>
      <sheetName val="Full_Year233"/>
      <sheetName val="Regiones_Noviembre_2002231"/>
      <sheetName val="Tower_1017"/>
      <sheetName val="Rat-0297_234"/>
      <sheetName val="Rat-0497_234"/>
      <sheetName val="Rat-0597_234"/>
      <sheetName val="Rat-0697__234"/>
      <sheetName val="Rat-0797_234"/>
      <sheetName val="Rat-0897_234"/>
      <sheetName val="Rat-0997_234"/>
      <sheetName val="Rat-1097_234"/>
      <sheetName val="Rat-1197_234"/>
      <sheetName val="Full_Year234"/>
      <sheetName val="Regiones_Noviembre_2002232"/>
      <sheetName val="Tower_1018"/>
      <sheetName val="Rat-0297_236"/>
      <sheetName val="Rat-0497_236"/>
      <sheetName val="Rat-0597_236"/>
      <sheetName val="Rat-0697__236"/>
      <sheetName val="Rat-0797_236"/>
      <sheetName val="Rat-0897_236"/>
      <sheetName val="Rat-0997_236"/>
      <sheetName val="Rat-1097_236"/>
      <sheetName val="Rat-1197_236"/>
      <sheetName val="Full_Year236"/>
      <sheetName val="Regiones_Noviembre_2002234"/>
      <sheetName val="Tower_1020"/>
      <sheetName val="Rat-0297_235"/>
      <sheetName val="Rat-0497_235"/>
      <sheetName val="Rat-0597_235"/>
      <sheetName val="Rat-0697__235"/>
      <sheetName val="Rat-0797_235"/>
      <sheetName val="Rat-0897_235"/>
      <sheetName val="Rat-0997_235"/>
      <sheetName val="Rat-1097_235"/>
      <sheetName val="Rat-1197_235"/>
      <sheetName val="Full_Year235"/>
      <sheetName val="Regiones_Noviembre_2002233"/>
      <sheetName val="Tower_1019"/>
      <sheetName val="Rat-0297_237"/>
      <sheetName val="Rat-0497_237"/>
      <sheetName val="Rat-0597_237"/>
      <sheetName val="Rat-0697__237"/>
      <sheetName val="Rat-0797_237"/>
      <sheetName val="Rat-0897_237"/>
      <sheetName val="Rat-0997_237"/>
      <sheetName val="Rat-1097_237"/>
      <sheetName val="Rat-1197_237"/>
      <sheetName val="Full_Year237"/>
      <sheetName val="Regiones_Noviembre_2002235"/>
      <sheetName val="Tower_1021"/>
      <sheetName val="Rat-0297_239"/>
      <sheetName val="Rat-0497_239"/>
      <sheetName val="Rat-0597_239"/>
      <sheetName val="Rat-0697__239"/>
      <sheetName val="Rat-0797_239"/>
      <sheetName val="Rat-0897_239"/>
      <sheetName val="Rat-0997_239"/>
      <sheetName val="Rat-1097_239"/>
      <sheetName val="Rat-1197_239"/>
      <sheetName val="Full_Year239"/>
      <sheetName val="Regiones_Noviembre_2002237"/>
      <sheetName val="Rat-0297_238"/>
      <sheetName val="Rat-0497_238"/>
      <sheetName val="Rat-0597_238"/>
      <sheetName val="Rat-0697__238"/>
      <sheetName val="Rat-0797_238"/>
      <sheetName val="Rat-0897_238"/>
      <sheetName val="Rat-0997_238"/>
      <sheetName val="Rat-1097_238"/>
      <sheetName val="Rat-1197_238"/>
      <sheetName val="Full_Year238"/>
      <sheetName val="Regiones_Noviembre_2002236"/>
      <sheetName val="Rat-0297_240"/>
      <sheetName val="Rat-0497_240"/>
      <sheetName val="Rat-0597_240"/>
      <sheetName val="Rat-0697__240"/>
      <sheetName val="Rat-0797_240"/>
      <sheetName val="Rat-0897_240"/>
      <sheetName val="Rat-0997_240"/>
      <sheetName val="Rat-1097_240"/>
      <sheetName val="Rat-1197_240"/>
      <sheetName val="Full_Year240"/>
      <sheetName val="Regiones_Noviembre_2002238"/>
      <sheetName val="Tower_1022"/>
      <sheetName val="Rat-0297_241"/>
      <sheetName val="Rat-0497_241"/>
      <sheetName val="Rat-0597_241"/>
      <sheetName val="Rat-0697__241"/>
      <sheetName val="Rat-0797_241"/>
      <sheetName val="Rat-0897_241"/>
      <sheetName val="Rat-0997_241"/>
      <sheetName val="Rat-1097_241"/>
      <sheetName val="Rat-1197_241"/>
      <sheetName val="Full_Year241"/>
      <sheetName val="Regiones_Noviembre_2002239"/>
      <sheetName val="Tower_1023"/>
      <sheetName val="Rat-0297_242"/>
      <sheetName val="Rat-0497_242"/>
      <sheetName val="Rat-0597_242"/>
      <sheetName val="Rat-0697__242"/>
      <sheetName val="Rat-0797_242"/>
      <sheetName val="Rat-0897_242"/>
      <sheetName val="Rat-0997_242"/>
      <sheetName val="Rat-1097_242"/>
      <sheetName val="Rat-1197_242"/>
      <sheetName val="Full_Year242"/>
      <sheetName val="Regiones_Noviembre_2002240"/>
      <sheetName val="Tower_1024"/>
      <sheetName val="Tower_1025"/>
      <sheetName val="Tower_1026"/>
      <sheetName val="Rat-0297_243"/>
      <sheetName val="Rat-0497_243"/>
      <sheetName val="Rat-0597_243"/>
      <sheetName val="Rat-0697__243"/>
      <sheetName val="Rat-0797_243"/>
      <sheetName val="Rat-0897_243"/>
      <sheetName val="Rat-0997_243"/>
      <sheetName val="Rat-1097_243"/>
      <sheetName val="Rat-1197_243"/>
      <sheetName val="Full_Year243"/>
      <sheetName val="Regiones_Noviembre_2002241"/>
      <sheetName val="Tower_1027"/>
      <sheetName val="Rat-0297_244"/>
      <sheetName val="Rat-0497_244"/>
      <sheetName val="Rat-0597_244"/>
      <sheetName val="Rat-0697__244"/>
      <sheetName val="Rat-0797_244"/>
      <sheetName val="Rat-0897_244"/>
      <sheetName val="Rat-0997_244"/>
      <sheetName val="Rat-1097_244"/>
      <sheetName val="Rat-1197_244"/>
      <sheetName val="Full_Year244"/>
      <sheetName val="Regiones_Noviembre_2002242"/>
      <sheetName val="Tower_1028"/>
      <sheetName val="Rat-0297_245"/>
      <sheetName val="Rat-0497_245"/>
      <sheetName val="Rat-0597_245"/>
      <sheetName val="Rat-0697__245"/>
      <sheetName val="Rat-0797_245"/>
      <sheetName val="Rat-0897_245"/>
      <sheetName val="Rat-0997_245"/>
      <sheetName val="Rat-1097_245"/>
      <sheetName val="Rat-1197_245"/>
      <sheetName val="Full_Year245"/>
      <sheetName val="Regiones_Noviembre_2002243"/>
      <sheetName val="Tower_1029"/>
      <sheetName val="Rat-0297_246"/>
      <sheetName val="Rat-0497_246"/>
      <sheetName val="Rat-0597_246"/>
      <sheetName val="Rat-0697__246"/>
      <sheetName val="Rat-0797_246"/>
      <sheetName val="Rat-0897_246"/>
      <sheetName val="Rat-0997_246"/>
      <sheetName val="Rat-1097_246"/>
      <sheetName val="Rat-1197_246"/>
      <sheetName val="Full_Year246"/>
      <sheetName val="Regiones_Noviembre_2002244"/>
      <sheetName val="Tower_1030"/>
      <sheetName val="Rat-0297_247"/>
      <sheetName val="Rat-0497_247"/>
      <sheetName val="Rat-0597_247"/>
      <sheetName val="Rat-0697__247"/>
      <sheetName val="Rat-0797_247"/>
      <sheetName val="Rat-0897_247"/>
      <sheetName val="Rat-0997_247"/>
      <sheetName val="Rat-1097_247"/>
      <sheetName val="Rat-1197_247"/>
      <sheetName val="Full_Year247"/>
      <sheetName val="Regiones_Noviembre_2002245"/>
      <sheetName val="Tower_1031"/>
      <sheetName val="Rat-0297_249"/>
      <sheetName val="Rat-0497_249"/>
      <sheetName val="Rat-0597_249"/>
      <sheetName val="Rat-0697__249"/>
      <sheetName val="Rat-0797_249"/>
      <sheetName val="Rat-0897_249"/>
      <sheetName val="Rat-0997_249"/>
      <sheetName val="Rat-1097_249"/>
      <sheetName val="Rat-1197_249"/>
      <sheetName val="Full_Year249"/>
      <sheetName val="Regiones_Noviembre_2002247"/>
      <sheetName val="Tower_1033"/>
      <sheetName val="Rat-0297_248"/>
      <sheetName val="Rat-0497_248"/>
      <sheetName val="Rat-0597_248"/>
      <sheetName val="Rat-0697__248"/>
      <sheetName val="Rat-0797_248"/>
      <sheetName val="Rat-0897_248"/>
      <sheetName val="Rat-0997_248"/>
      <sheetName val="Rat-1097_248"/>
      <sheetName val="Rat-1197_248"/>
      <sheetName val="Full_Year248"/>
      <sheetName val="Regiones_Noviembre_2002246"/>
      <sheetName val="Tower_1032"/>
      <sheetName val="Rat-0297_250"/>
      <sheetName val="Rat-0497_250"/>
      <sheetName val="Rat-0597_250"/>
      <sheetName val="Rat-0697__250"/>
      <sheetName val="Rat-0797_250"/>
      <sheetName val="Rat-0897_250"/>
      <sheetName val="Rat-0997_250"/>
      <sheetName val="Rat-1097_250"/>
      <sheetName val="Rat-1197_250"/>
      <sheetName val="Full_Year250"/>
      <sheetName val="Regiones_Noviembre_2002248"/>
      <sheetName val="Tower_1034"/>
      <sheetName val="Rat-0297_251"/>
      <sheetName val="Rat-0497_251"/>
      <sheetName val="Rat-0597_251"/>
      <sheetName val="Rat-0697__251"/>
      <sheetName val="Rat-0797_251"/>
      <sheetName val="Rat-0897_251"/>
      <sheetName val="Rat-0997_251"/>
      <sheetName val="Rat-1097_251"/>
      <sheetName val="Rat-1197_251"/>
      <sheetName val="Full_Year251"/>
      <sheetName val="Regiones_Noviembre_2002249"/>
      <sheetName val="Tower_1035"/>
      <sheetName val="Rat-0297_252"/>
      <sheetName val="Rat-0497_252"/>
      <sheetName val="Rat-0597_252"/>
      <sheetName val="Rat-0697__252"/>
      <sheetName val="Rat-0797_252"/>
      <sheetName val="Rat-0897_252"/>
      <sheetName val="Rat-0997_252"/>
      <sheetName val="Rat-1097_252"/>
      <sheetName val="Rat-1197_252"/>
      <sheetName val="Full_Year252"/>
      <sheetName val="Regiones_Noviembre_2002250"/>
      <sheetName val="Tower_1036"/>
      <sheetName val="Rat-0297_266"/>
      <sheetName val="Rat-0497_266"/>
      <sheetName val="Rat-0597_266"/>
      <sheetName val="Rat-0697__266"/>
      <sheetName val="Rat-0797_266"/>
      <sheetName val="Rat-0897_266"/>
      <sheetName val="Rat-0997_266"/>
      <sheetName val="Rat-1097_266"/>
      <sheetName val="Rat-1197_266"/>
      <sheetName val="Full_Year266"/>
      <sheetName val="Regiones_Noviembre_2002264"/>
      <sheetName val="Tower_1050"/>
      <sheetName val="Rat-0297_264"/>
      <sheetName val="Rat-0497_264"/>
      <sheetName val="Rat-0597_264"/>
      <sheetName val="Rat-0697__264"/>
      <sheetName val="Rat-0797_264"/>
      <sheetName val="Rat-0897_264"/>
      <sheetName val="Rat-0997_264"/>
      <sheetName val="Rat-1097_264"/>
      <sheetName val="Rat-1197_264"/>
      <sheetName val="Full_Year264"/>
      <sheetName val="Regiones_Noviembre_2002262"/>
      <sheetName val="Tower_1048"/>
      <sheetName val="Rat-0297_263"/>
      <sheetName val="Rat-0497_263"/>
      <sheetName val="Rat-0597_263"/>
      <sheetName val="Rat-0697__263"/>
      <sheetName val="Rat-0797_263"/>
      <sheetName val="Rat-0897_263"/>
      <sheetName val="Rat-0997_263"/>
      <sheetName val="Rat-1097_263"/>
      <sheetName val="Rat-1197_263"/>
      <sheetName val="Full_Year263"/>
      <sheetName val="Regiones_Noviembre_2002261"/>
      <sheetName val="Tower_1047"/>
      <sheetName val="Rat-0297_262"/>
      <sheetName val="Rat-0497_262"/>
      <sheetName val="Rat-0597_262"/>
      <sheetName val="Rat-0697__262"/>
      <sheetName val="Rat-0797_262"/>
      <sheetName val="Rat-0897_262"/>
      <sheetName val="Rat-0997_262"/>
      <sheetName val="Rat-1097_262"/>
      <sheetName val="Rat-1197_262"/>
      <sheetName val="Full_Year262"/>
      <sheetName val="Regiones_Noviembre_2002260"/>
      <sheetName val="Tower_1046"/>
      <sheetName val="Rat-0297_261"/>
      <sheetName val="Rat-0497_261"/>
      <sheetName val="Rat-0597_261"/>
      <sheetName val="Rat-0697__261"/>
      <sheetName val="Rat-0797_261"/>
      <sheetName val="Rat-0897_261"/>
      <sheetName val="Rat-0997_261"/>
      <sheetName val="Rat-1097_261"/>
      <sheetName val="Rat-1197_261"/>
      <sheetName val="Full_Year261"/>
      <sheetName val="Regiones_Noviembre_2002259"/>
      <sheetName val="Tower_1045"/>
      <sheetName val="Rat-0297_253"/>
      <sheetName val="Rat-0497_253"/>
      <sheetName val="Rat-0597_253"/>
      <sheetName val="Rat-0697__253"/>
      <sheetName val="Rat-0797_253"/>
      <sheetName val="Rat-0897_253"/>
      <sheetName val="Rat-0997_253"/>
      <sheetName val="Rat-1097_253"/>
      <sheetName val="Rat-1197_253"/>
      <sheetName val="Full_Year253"/>
      <sheetName val="Regiones_Noviembre_2002251"/>
      <sheetName val="Tower_1037"/>
      <sheetName val="Rat-0297_257"/>
      <sheetName val="Rat-0497_257"/>
      <sheetName val="Rat-0597_257"/>
      <sheetName val="Rat-0697__257"/>
      <sheetName val="Rat-0797_257"/>
      <sheetName val="Rat-0897_257"/>
      <sheetName val="Rat-0997_257"/>
      <sheetName val="Rat-1097_257"/>
      <sheetName val="Rat-1197_257"/>
      <sheetName val="Full_Year257"/>
      <sheetName val="Regiones_Noviembre_2002255"/>
      <sheetName val="Tower_1041"/>
      <sheetName val="Rat-0297_256"/>
      <sheetName val="Rat-0497_256"/>
      <sheetName val="Rat-0597_256"/>
      <sheetName val="Rat-0697__256"/>
      <sheetName val="Rat-0797_256"/>
      <sheetName val="Rat-0897_256"/>
      <sheetName val="Rat-0997_256"/>
      <sheetName val="Rat-1097_256"/>
      <sheetName val="Rat-1197_256"/>
      <sheetName val="Full_Year256"/>
      <sheetName val="Regiones_Noviembre_2002254"/>
      <sheetName val="Tower_1040"/>
      <sheetName val="Rat-0297_255"/>
      <sheetName val="Rat-0497_255"/>
      <sheetName val="Rat-0597_255"/>
      <sheetName val="Rat-0697__255"/>
      <sheetName val="Rat-0797_255"/>
      <sheetName val="Rat-0897_255"/>
      <sheetName val="Rat-0997_255"/>
      <sheetName val="Rat-1097_255"/>
      <sheetName val="Rat-1197_255"/>
      <sheetName val="Full_Year255"/>
      <sheetName val="Regiones_Noviembre_2002253"/>
      <sheetName val="Tower_1039"/>
      <sheetName val="Rat-0297_254"/>
      <sheetName val="Rat-0497_254"/>
      <sheetName val="Rat-0597_254"/>
      <sheetName val="Rat-0697__254"/>
      <sheetName val="Rat-0797_254"/>
      <sheetName val="Rat-0897_254"/>
      <sheetName val="Rat-0997_254"/>
      <sheetName val="Rat-1097_254"/>
      <sheetName val="Rat-1197_254"/>
      <sheetName val="Full_Year254"/>
      <sheetName val="Regiones_Noviembre_2002252"/>
      <sheetName val="Tower_1038"/>
      <sheetName val="Rat-0297_258"/>
      <sheetName val="Rat-0497_258"/>
      <sheetName val="Rat-0597_258"/>
      <sheetName val="Rat-0697__258"/>
      <sheetName val="Rat-0797_258"/>
      <sheetName val="Rat-0897_258"/>
      <sheetName val="Rat-0997_258"/>
      <sheetName val="Rat-1097_258"/>
      <sheetName val="Rat-1197_258"/>
      <sheetName val="Full_Year258"/>
      <sheetName val="Regiones_Noviembre_2002256"/>
      <sheetName val="Tower_1042"/>
      <sheetName val="Rat-0297_259"/>
      <sheetName val="Rat-0497_259"/>
      <sheetName val="Rat-0597_259"/>
      <sheetName val="Rat-0697__259"/>
      <sheetName val="Rat-0797_259"/>
      <sheetName val="Rat-0897_259"/>
      <sheetName val="Rat-0997_259"/>
      <sheetName val="Rat-1097_259"/>
      <sheetName val="Rat-1197_259"/>
      <sheetName val="Full_Year259"/>
      <sheetName val="Regiones_Noviembre_2002257"/>
      <sheetName val="Tower_1043"/>
      <sheetName val="Rat-0297_260"/>
      <sheetName val="Rat-0497_260"/>
      <sheetName val="Rat-0597_260"/>
      <sheetName val="Rat-0697__260"/>
      <sheetName val="Rat-0797_260"/>
      <sheetName val="Rat-0897_260"/>
      <sheetName val="Rat-0997_260"/>
      <sheetName val="Rat-1097_260"/>
      <sheetName val="Rat-1197_260"/>
      <sheetName val="Full_Year260"/>
      <sheetName val="Regiones_Noviembre_2002258"/>
      <sheetName val="Tower_1044"/>
      <sheetName val="Rat-0297_265"/>
      <sheetName val="Rat-0497_265"/>
      <sheetName val="Rat-0597_265"/>
      <sheetName val="Rat-0697__265"/>
      <sheetName val="Rat-0797_265"/>
      <sheetName val="Rat-0897_265"/>
      <sheetName val="Rat-0997_265"/>
      <sheetName val="Rat-1097_265"/>
      <sheetName val="Rat-1197_265"/>
      <sheetName val="Full_Year265"/>
      <sheetName val="Regiones_Noviembre_2002263"/>
      <sheetName val="Tower_1049"/>
      <sheetName val="Rat-0297_267"/>
      <sheetName val="Rat-0497_267"/>
      <sheetName val="Rat-0597_267"/>
      <sheetName val="Rat-0697__267"/>
      <sheetName val="Rat-0797_267"/>
      <sheetName val="Rat-0897_267"/>
      <sheetName val="Rat-0997_267"/>
      <sheetName val="Rat-1097_267"/>
      <sheetName val="Rat-1197_267"/>
      <sheetName val="Full_Year267"/>
      <sheetName val="Regiones_Noviembre_2002265"/>
      <sheetName val="Tower_1051"/>
      <sheetName val="Rat-0297_269"/>
      <sheetName val="Rat-0497_269"/>
      <sheetName val="Rat-0597_269"/>
      <sheetName val="Rat-0697__269"/>
      <sheetName val="Rat-0797_269"/>
      <sheetName val="Rat-0897_269"/>
      <sheetName val="Rat-0997_269"/>
      <sheetName val="Rat-1097_269"/>
      <sheetName val="Rat-1197_269"/>
      <sheetName val="Full_Year269"/>
      <sheetName val="Regiones_Noviembre_2002267"/>
      <sheetName val="Rat-0297_268"/>
      <sheetName val="Rat-0497_268"/>
      <sheetName val="Rat-0597_268"/>
      <sheetName val="Rat-0697__268"/>
      <sheetName val="Rat-0797_268"/>
      <sheetName val="Rat-0897_268"/>
      <sheetName val="Rat-0997_268"/>
      <sheetName val="Rat-1097_268"/>
      <sheetName val="Rat-1197_268"/>
      <sheetName val="Full_Year268"/>
      <sheetName val="Regiones_Noviembre_2002266"/>
      <sheetName val="Tower_1052"/>
      <sheetName val="Rat-0297_270"/>
      <sheetName val="Rat-0497_270"/>
      <sheetName val="Rat-0597_270"/>
      <sheetName val="Rat-0697__270"/>
      <sheetName val="Rat-0797_270"/>
      <sheetName val="Rat-0897_270"/>
      <sheetName val="Rat-0997_270"/>
      <sheetName val="Rat-1097_270"/>
      <sheetName val="Rat-1197_270"/>
      <sheetName val="Full_Year270"/>
      <sheetName val="Regiones_Noviembre_2002268"/>
      <sheetName val="Tower_1053"/>
      <sheetName val="Bayer Aspirina"/>
      <sheetName val="Rat-0297_286"/>
      <sheetName val="Rat-0497_286"/>
      <sheetName val="Rat-0597_286"/>
      <sheetName val="Rat-0697__286"/>
      <sheetName val="Rat-0797_286"/>
      <sheetName val="Rat-0897_286"/>
      <sheetName val="Rat-0997_286"/>
      <sheetName val="Rat-1097_286"/>
      <sheetName val="Rat-1197_286"/>
      <sheetName val="Full_Year286"/>
      <sheetName val="Regiones_Noviembre_2002284"/>
      <sheetName val="Tower_1069"/>
      <sheetName val="Rat-0297_271"/>
      <sheetName val="Rat-0497_271"/>
      <sheetName val="Rat-0597_271"/>
      <sheetName val="Rat-0697__271"/>
      <sheetName val="Rat-0797_271"/>
      <sheetName val="Rat-0897_271"/>
      <sheetName val="Rat-0997_271"/>
      <sheetName val="Rat-1097_271"/>
      <sheetName val="Rat-1197_271"/>
      <sheetName val="Full_Year271"/>
      <sheetName val="Regiones_Noviembre_2002269"/>
      <sheetName val="Tower_1054"/>
      <sheetName val="Rat-0297_272"/>
      <sheetName val="Rat-0497_272"/>
      <sheetName val="Rat-0597_272"/>
      <sheetName val="Rat-0697__272"/>
      <sheetName val="Rat-0797_272"/>
      <sheetName val="Rat-0897_272"/>
      <sheetName val="Rat-0997_272"/>
      <sheetName val="Rat-1097_272"/>
      <sheetName val="Rat-1197_272"/>
      <sheetName val="Full_Year272"/>
      <sheetName val="Regiones_Noviembre_2002270"/>
      <sheetName val="Tower_1055"/>
      <sheetName val="Rat-0297_273"/>
      <sheetName val="Rat-0497_273"/>
      <sheetName val="Rat-0597_273"/>
      <sheetName val="Rat-0697__273"/>
      <sheetName val="Rat-0797_273"/>
      <sheetName val="Rat-0897_273"/>
      <sheetName val="Rat-0997_273"/>
      <sheetName val="Rat-1097_273"/>
      <sheetName val="Rat-1197_273"/>
      <sheetName val="Full_Year273"/>
      <sheetName val="Regiones_Noviembre_2002271"/>
      <sheetName val="Tower_1056"/>
      <sheetName val="Rat-0297_275"/>
      <sheetName val="Rat-0497_275"/>
      <sheetName val="Rat-0597_275"/>
      <sheetName val="Rat-0697__275"/>
      <sheetName val="Rat-0797_275"/>
      <sheetName val="Rat-0897_275"/>
      <sheetName val="Rat-0997_275"/>
      <sheetName val="Rat-1097_275"/>
      <sheetName val="Rat-1197_275"/>
      <sheetName val="Full_Year275"/>
      <sheetName val="Regiones_Noviembre_2002273"/>
      <sheetName val="Tower_1058"/>
      <sheetName val="Rat-0297_274"/>
      <sheetName val="Rat-0497_274"/>
      <sheetName val="Rat-0597_274"/>
      <sheetName val="Rat-0697__274"/>
      <sheetName val="Rat-0797_274"/>
      <sheetName val="Rat-0897_274"/>
      <sheetName val="Rat-0997_274"/>
      <sheetName val="Rat-1097_274"/>
      <sheetName val="Rat-1197_274"/>
      <sheetName val="Full_Year274"/>
      <sheetName val="Regiones_Noviembre_2002272"/>
      <sheetName val="Tower_1057"/>
      <sheetName val="Rat-0297_276"/>
      <sheetName val="Rat-0497_276"/>
      <sheetName val="Rat-0597_276"/>
      <sheetName val="Rat-0697__276"/>
      <sheetName val="Rat-0797_276"/>
      <sheetName val="Rat-0897_276"/>
      <sheetName val="Rat-0997_276"/>
      <sheetName val="Rat-1097_276"/>
      <sheetName val="Rat-1197_276"/>
      <sheetName val="Full_Year276"/>
      <sheetName val="Regiones_Noviembre_2002274"/>
      <sheetName val="Tower_1059"/>
      <sheetName val="Rat-0297_277"/>
      <sheetName val="Rat-0497_277"/>
      <sheetName val="Rat-0597_277"/>
      <sheetName val="Rat-0697__277"/>
      <sheetName val="Rat-0797_277"/>
      <sheetName val="Rat-0897_277"/>
      <sheetName val="Rat-0997_277"/>
      <sheetName val="Rat-1097_277"/>
      <sheetName val="Rat-1197_277"/>
      <sheetName val="Full_Year277"/>
      <sheetName val="Regiones_Noviembre_2002275"/>
      <sheetName val="Tower_1060"/>
      <sheetName val="Rat-0297_278"/>
      <sheetName val="Rat-0497_278"/>
      <sheetName val="Rat-0597_278"/>
      <sheetName val="Rat-0697__278"/>
      <sheetName val="Rat-0797_278"/>
      <sheetName val="Rat-0897_278"/>
      <sheetName val="Rat-0997_278"/>
      <sheetName val="Rat-1097_278"/>
      <sheetName val="Rat-1197_278"/>
      <sheetName val="Full_Year278"/>
      <sheetName val="Regiones_Noviembre_2002276"/>
      <sheetName val="Tower_1061"/>
      <sheetName val="Rat-0297_279"/>
      <sheetName val="Rat-0497_279"/>
      <sheetName val="Rat-0597_279"/>
      <sheetName val="Rat-0697__279"/>
      <sheetName val="Rat-0797_279"/>
      <sheetName val="Rat-0897_279"/>
      <sheetName val="Rat-0997_279"/>
      <sheetName val="Rat-1097_279"/>
      <sheetName val="Rat-1197_279"/>
      <sheetName val="Full_Year279"/>
      <sheetName val="Regiones_Noviembre_2002277"/>
      <sheetName val="Tower_1062"/>
      <sheetName val="Rat-0297_281"/>
      <sheetName val="Rat-0497_281"/>
      <sheetName val="Rat-0597_281"/>
      <sheetName val="Rat-0697__281"/>
      <sheetName val="Rat-0797_281"/>
      <sheetName val="Rat-0897_281"/>
      <sheetName val="Rat-0997_281"/>
      <sheetName val="Rat-1097_281"/>
      <sheetName val="Rat-1197_281"/>
      <sheetName val="Full_Year281"/>
      <sheetName val="Regiones_Noviembre_2002279"/>
      <sheetName val="Tower_1064"/>
      <sheetName val="Rat-0297_280"/>
      <sheetName val="Rat-0497_280"/>
      <sheetName val="Rat-0597_280"/>
      <sheetName val="Rat-0697__280"/>
      <sheetName val="Rat-0797_280"/>
      <sheetName val="Rat-0897_280"/>
      <sheetName val="Rat-0997_280"/>
      <sheetName val="Rat-1097_280"/>
      <sheetName val="Rat-1197_280"/>
      <sheetName val="Full_Year280"/>
      <sheetName val="Regiones_Noviembre_2002278"/>
      <sheetName val="Tower_1063"/>
      <sheetName val="Rat-0297_283"/>
      <sheetName val="Rat-0497_283"/>
      <sheetName val="Rat-0597_283"/>
      <sheetName val="Rat-0697__283"/>
      <sheetName val="Rat-0797_283"/>
      <sheetName val="Rat-0897_283"/>
      <sheetName val="Rat-0997_283"/>
      <sheetName val="Rat-1097_283"/>
      <sheetName val="Rat-1197_283"/>
      <sheetName val="Full_Year283"/>
      <sheetName val="Regiones_Noviembre_2002281"/>
      <sheetName val="Tower_1066"/>
      <sheetName val="Rat-0297_282"/>
      <sheetName val="Rat-0497_282"/>
      <sheetName val="Rat-0597_282"/>
      <sheetName val="Rat-0697__282"/>
      <sheetName val="Rat-0797_282"/>
      <sheetName val="Rat-0897_282"/>
      <sheetName val="Rat-0997_282"/>
      <sheetName val="Rat-1097_282"/>
      <sheetName val="Rat-1197_282"/>
      <sheetName val="Full_Year282"/>
      <sheetName val="Regiones_Noviembre_2002280"/>
      <sheetName val="Tower_1065"/>
      <sheetName val="Rat-0297_285"/>
      <sheetName val="Rat-0497_285"/>
      <sheetName val="Rat-0597_285"/>
      <sheetName val="Rat-0697__285"/>
      <sheetName val="Rat-0797_285"/>
      <sheetName val="Rat-0897_285"/>
      <sheetName val="Rat-0997_285"/>
      <sheetName val="Rat-1097_285"/>
      <sheetName val="Rat-1197_285"/>
      <sheetName val="Full_Year285"/>
      <sheetName val="Regiones_Noviembre_2002283"/>
      <sheetName val="Tower_1068"/>
      <sheetName val="Rat-0297_284"/>
      <sheetName val="Rat-0497_284"/>
      <sheetName val="Rat-0597_284"/>
      <sheetName val="Rat-0697__284"/>
      <sheetName val="Rat-0797_284"/>
      <sheetName val="Rat-0897_284"/>
      <sheetName val="Rat-0997_284"/>
      <sheetName val="Rat-1097_284"/>
      <sheetName val="Rat-1197_284"/>
      <sheetName val="Full_Year284"/>
      <sheetName val="Regiones_Noviembre_2002282"/>
      <sheetName val="Tower_1067"/>
      <sheetName val="Rat-0297_287"/>
      <sheetName val="Rat-0497_287"/>
      <sheetName val="Rat-0597_287"/>
      <sheetName val="Rat-0697__287"/>
      <sheetName val="Rat-0797_287"/>
      <sheetName val="Rat-0897_287"/>
      <sheetName val="Rat-0997_287"/>
      <sheetName val="Rat-1097_287"/>
      <sheetName val="Rat-1197_287"/>
      <sheetName val="Full_Year287"/>
      <sheetName val="Regiones_Noviembre_2002285"/>
      <sheetName val="Tower_1070"/>
      <sheetName val="Rat-0297_288"/>
      <sheetName val="Rat-0497_288"/>
      <sheetName val="Rat-0597_288"/>
      <sheetName val="Rat-0697__288"/>
      <sheetName val="Rat-0797_288"/>
      <sheetName val="Rat-0897_288"/>
      <sheetName val="Rat-0997_288"/>
      <sheetName val="Rat-1097_288"/>
      <sheetName val="Rat-1197_288"/>
      <sheetName val="Full_Year288"/>
      <sheetName val="Regiones_Noviembre_2002286"/>
      <sheetName val="Tower_1071"/>
      <sheetName val="Rat-0297_290"/>
      <sheetName val="Rat-0497_290"/>
      <sheetName val="Rat-0597_290"/>
      <sheetName val="Rat-0697__290"/>
      <sheetName val="Rat-0797_290"/>
      <sheetName val="Rat-0897_290"/>
      <sheetName val="Rat-0997_290"/>
      <sheetName val="Rat-1097_290"/>
      <sheetName val="Rat-1197_290"/>
      <sheetName val="Full_Year290"/>
      <sheetName val="Regiones_Noviembre_2002288"/>
      <sheetName val="Tower_1073"/>
      <sheetName val="Rat-0297_289"/>
      <sheetName val="Rat-0497_289"/>
      <sheetName val="Rat-0597_289"/>
      <sheetName val="Rat-0697__289"/>
      <sheetName val="Rat-0797_289"/>
      <sheetName val="Rat-0897_289"/>
      <sheetName val="Rat-0997_289"/>
      <sheetName val="Rat-1097_289"/>
      <sheetName val="Rat-1197_289"/>
      <sheetName val="Full_Year289"/>
      <sheetName val="Regiones_Noviembre_2002287"/>
      <sheetName val="Tower_1072"/>
      <sheetName val="Rat-0297_292"/>
      <sheetName val="Rat-0497_292"/>
      <sheetName val="Rat-0597_292"/>
      <sheetName val="Rat-0697__292"/>
      <sheetName val="Rat-0797_292"/>
      <sheetName val="Rat-0897_292"/>
      <sheetName val="Rat-0997_292"/>
      <sheetName val="Rat-1097_292"/>
      <sheetName val="Rat-1197_292"/>
      <sheetName val="Full_Year292"/>
      <sheetName val="Regiones_Noviembre_2002290"/>
      <sheetName val="Tower_1075"/>
      <sheetName val="Rat-0297_291"/>
      <sheetName val="Rat-0497_291"/>
      <sheetName val="Rat-0597_291"/>
      <sheetName val="Rat-0697__291"/>
      <sheetName val="Rat-0797_291"/>
      <sheetName val="Rat-0897_291"/>
      <sheetName val="Rat-0997_291"/>
      <sheetName val="Rat-1097_291"/>
      <sheetName val="Rat-1197_291"/>
      <sheetName val="Full_Year291"/>
      <sheetName val="Regiones_Noviembre_2002289"/>
      <sheetName val="Tower_1074"/>
      <sheetName val="Rat-0297_295"/>
      <sheetName val="Rat-0497_295"/>
      <sheetName val="Rat-0597_295"/>
      <sheetName val="Rat-0697__295"/>
      <sheetName val="Rat-0797_295"/>
      <sheetName val="Rat-0897_295"/>
      <sheetName val="Rat-0997_295"/>
      <sheetName val="Rat-1097_295"/>
      <sheetName val="Rat-1197_295"/>
      <sheetName val="Full_Year295"/>
      <sheetName val="Regiones_Noviembre_2002293"/>
      <sheetName val="Tower_1078"/>
      <sheetName val="Rat-0297_294"/>
      <sheetName val="Rat-0497_294"/>
      <sheetName val="Rat-0597_294"/>
      <sheetName val="Rat-0697__294"/>
      <sheetName val="Rat-0797_294"/>
      <sheetName val="Rat-0897_294"/>
      <sheetName val="Rat-0997_294"/>
      <sheetName val="Rat-1097_294"/>
      <sheetName val="Rat-1197_294"/>
      <sheetName val="Full_Year294"/>
      <sheetName val="Regiones_Noviembre_2002292"/>
      <sheetName val="Tower_1077"/>
      <sheetName val="Rat-0297_293"/>
      <sheetName val="Rat-0497_293"/>
      <sheetName val="Rat-0597_293"/>
      <sheetName val="Rat-0697__293"/>
      <sheetName val="Rat-0797_293"/>
      <sheetName val="Rat-0897_293"/>
      <sheetName val="Rat-0997_293"/>
      <sheetName val="Rat-1097_293"/>
      <sheetName val="Rat-1197_293"/>
      <sheetName val="Full_Year293"/>
      <sheetName val="Regiones_Noviembre_2002291"/>
      <sheetName val="Tower_1076"/>
      <sheetName val="Rat-0297_296"/>
      <sheetName val="Rat-0497_296"/>
      <sheetName val="Rat-0597_296"/>
      <sheetName val="Rat-0697__296"/>
      <sheetName val="Rat-0797_296"/>
      <sheetName val="Rat-0897_296"/>
      <sheetName val="Rat-0997_296"/>
      <sheetName val="Rat-1097_296"/>
      <sheetName val="Rat-1197_296"/>
      <sheetName val="Full_Year296"/>
      <sheetName val="Regiones_Noviembre_2002294"/>
      <sheetName val="Tower_1079"/>
      <sheetName val="CANAL_4"/>
      <sheetName val="Rat-0297_297"/>
      <sheetName val="Rat-0497_297"/>
      <sheetName val="Rat-0597_297"/>
      <sheetName val="Rat-0697__297"/>
      <sheetName val="Rat-0797_297"/>
      <sheetName val="Rat-0897_297"/>
      <sheetName val="Rat-0997_297"/>
      <sheetName val="Rat-1097_297"/>
      <sheetName val="Rat-1197_297"/>
      <sheetName val="Full_Year297"/>
      <sheetName val="Regiones_Noviembre_2002295"/>
      <sheetName val="Tower_1080"/>
      <sheetName val="Rat-0297_298"/>
      <sheetName val="Rat-0497_298"/>
      <sheetName val="Rat-0597_298"/>
      <sheetName val="Rat-0697__298"/>
      <sheetName val="Rat-0797_298"/>
      <sheetName val="Rat-0897_298"/>
      <sheetName val="Rat-0997_298"/>
      <sheetName val="Rat-1097_298"/>
      <sheetName val="Rat-1197_298"/>
      <sheetName val="Full_Year298"/>
      <sheetName val="Regiones_Noviembre_2002296"/>
      <sheetName val="Tower_1081"/>
      <sheetName val="Rat-0297_299"/>
      <sheetName val="Rat-0497_299"/>
      <sheetName val="Rat-0597_299"/>
      <sheetName val="Rat-0697__299"/>
      <sheetName val="Rat-0797_299"/>
      <sheetName val="Rat-0897_299"/>
      <sheetName val="Rat-0997_299"/>
      <sheetName val="Rat-1097_299"/>
      <sheetName val="Rat-1197_299"/>
      <sheetName val="Full_Year299"/>
      <sheetName val="Regiones_Noviembre_2002297"/>
      <sheetName val="Tower_1082"/>
      <sheetName val="Rat-0297_300"/>
      <sheetName val="Rat-0497_300"/>
      <sheetName val="Rat-0597_300"/>
      <sheetName val="Rat-0697__300"/>
      <sheetName val="Rat-0797_300"/>
      <sheetName val="Rat-0897_300"/>
      <sheetName val="Rat-0997_300"/>
      <sheetName val="Rat-1097_300"/>
      <sheetName val="Rat-1197_300"/>
      <sheetName val="Full_Year300"/>
      <sheetName val="Regiones_Noviembre_2002298"/>
      <sheetName val="Tower_1083"/>
      <sheetName val="Rat-0297_301"/>
      <sheetName val="Rat-0497_301"/>
      <sheetName val="Rat-0597_301"/>
      <sheetName val="Rat-0697__301"/>
      <sheetName val="Rat-0797_301"/>
      <sheetName val="Rat-0897_301"/>
      <sheetName val="Rat-0997_301"/>
      <sheetName val="Rat-1097_301"/>
      <sheetName val="Rat-1197_301"/>
      <sheetName val="Full_Year301"/>
      <sheetName val="Regiones_Noviembre_2002299"/>
      <sheetName val="Tower_1084"/>
      <sheetName val="Ranking_Cable"/>
      <sheetName val="Main"/>
      <sheetName val="Ranking_TV"/>
      <sheetName val="Ranking_TV2"/>
      <sheetName val="Ranking_Cable2"/>
      <sheetName val="CANAL_42"/>
      <sheetName val="Ranking_TV1"/>
      <sheetName val="Ranking_Cable1"/>
      <sheetName val="CANAL_41"/>
      <sheetName val="Ranking_TV4"/>
      <sheetName val="Ranking_Cable4"/>
      <sheetName val="CANAL_44"/>
      <sheetName val="Ranking_TV3"/>
      <sheetName val="Ranking_Cable3"/>
      <sheetName val="CANAL_43"/>
      <sheetName val="Ranking_TV5"/>
      <sheetName val="Ranking_Cable5"/>
      <sheetName val="CANAL_45"/>
      <sheetName val="Ranking_TV6"/>
      <sheetName val="Ranking_Cable6"/>
      <sheetName val="CANAL_46"/>
      <sheetName val="Diccionario"/>
      <sheetName val="Valorización TV"/>
      <sheetName val="AUTOBUSES"/>
      <sheetName val="Rat-0697__4`"/>
      <sheetName val="Rat-0697__4_x001c_"/>
      <sheetName val="Rat-0697__4("/>
      <sheetName val="LISTA"/>
      <sheetName val="Rat-0297_302"/>
      <sheetName val="Rat-0497_302"/>
      <sheetName val="Rat-0597_302"/>
      <sheetName val="Rat-0697__302"/>
      <sheetName val="Rat-0797_302"/>
      <sheetName val="Rat-0897_302"/>
      <sheetName val="Rat-0997_302"/>
      <sheetName val="Rat-1097_302"/>
      <sheetName val="Rat-1197_302"/>
      <sheetName val="Full_Year302"/>
      <sheetName val="Regiones_Noviembre_2002300"/>
      <sheetName val="Ranking_TV7"/>
      <sheetName val="Ranking_Cable7"/>
      <sheetName val="Tower_1085"/>
      <sheetName val="CANAL_47"/>
      <sheetName val="Bayer_Aspirina"/>
      <sheetName val="Resumo"/>
      <sheetName val="Flow"/>
      <sheetName val="CHRY3"/>
      <sheetName val="Data"/>
      <sheetName val="Participacion Septiembre"/>
      <sheetName val="NEWS PREV"/>
      <sheetName val="Detailed Plan"/>
      <sheetName val="Pauta con 24 x seg"/>
      <sheetName val="flow. pren P.F."/>
      <sheetName val="Rat-0297_303"/>
      <sheetName val="Rat-0497_303"/>
      <sheetName val="Rat-0597_303"/>
      <sheetName val="Rat-0697__303"/>
      <sheetName val="Rat-0797_303"/>
      <sheetName val="Rat-0897_303"/>
      <sheetName val="Rat-0997_303"/>
      <sheetName val="Rat-1097_303"/>
      <sheetName val="Rat-1197_303"/>
      <sheetName val="Full_Year303"/>
      <sheetName val="Regiones_Noviembre_2002301"/>
      <sheetName val="Tower_1086"/>
      <sheetName val="Bayer_Aspirina1"/>
      <sheetName val="FLOW REVISTAS"/>
      <sheetName val="OF 2001"/>
      <sheetName val="PAUTA ANTERIOR"/>
      <sheetName val="Hoja3"/>
      <sheetName val="plamarc"/>
      <sheetName val="List"/>
      <sheetName val="Operating Profit"/>
      <sheetName val="Summary"/>
      <sheetName val=" FLOW  Campaign"/>
      <sheetName val="Media Plan"/>
      <sheetName val="Hoja1"/>
      <sheetName val="MAMA"/>
      <sheetName val="Tower1"/>
      <sheetName val="Sheet16"/>
      <sheetName val="PRE96@01.XLS"/>
      <sheetName val="Resumen-Digital"/>
      <sheetName val="Total Medios"/>
      <sheetName val="Rk"/>
      <sheetName val="TENDENCIAS "/>
      <sheetName val="CUADRO RESUMEN"/>
      <sheetName val="LINEA DE TIEMPO"/>
      <sheetName val="OPTIMIZACION"/>
      <sheetName val="TV LOCAL"/>
      <sheetName val="RADIO"/>
      <sheetName val="PRENSA"/>
      <sheetName val="REVISTA"/>
      <sheetName val="DIGITAL"/>
      <sheetName val="Sheet2"/>
      <sheetName val="tgi consumo "/>
      <sheetName val="OOH"/>
      <sheetName val="REVISTAS"/>
      <sheetName val="REVISTAS DE PRENSA"/>
      <sheetName val="ePromotions Roll-Up"/>
      <sheetName val="Executive Summary Feb7-19"/>
      <sheetName val="Executive Summary "/>
      <sheetName val="Data Acumulada"/>
      <sheetName val="Pivot Analysis 2"/>
      <sheetName val="Pivot Analysis"/>
      <sheetName val="Executive Summary Feb 20-Mar 4"/>
      <sheetName val="Executive Summary"/>
      <sheetName val="Executive Summary Mar2-Mar16"/>
      <sheetName val="Executive Summary Feb23-Mar5"/>
      <sheetName val="Sources_Uses"/>
      <sheetName val="Ficha Técnica"/>
      <sheetName val="BL4"/>
      <sheetName val="Região Sul"/>
      <sheetName val="Hoja2"/>
      <sheetName val="C-4"/>
      <sheetName val="Participacion_Septiembre"/>
      <sheetName val="ePromotions_Roll-Up"/>
      <sheetName val="Bayer_Aspirina2"/>
    </sheetNames>
    <sheetDataSet>
      <sheetData sheetId="0" refreshError="1">
        <row r="13">
          <cell r="B13">
            <v>28235</v>
          </cell>
        </row>
        <row r="14">
          <cell r="B14">
            <v>1976</v>
          </cell>
        </row>
        <row r="15">
          <cell r="B15">
            <v>12424</v>
          </cell>
        </row>
        <row r="16">
          <cell r="B16">
            <v>13835</v>
          </cell>
        </row>
        <row r="17">
          <cell r="B17">
            <v>24324</v>
          </cell>
        </row>
        <row r="18">
          <cell r="B18">
            <v>11630</v>
          </cell>
        </row>
        <row r="19">
          <cell r="B19">
            <v>12694</v>
          </cell>
        </row>
        <row r="21">
          <cell r="B21">
            <v>6559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13">
          <cell r="B13" t="str">
            <v>AHORA NOTICIAS TARDE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 refreshError="1"/>
      <sheetData sheetId="576"/>
      <sheetData sheetId="577"/>
      <sheetData sheetId="578"/>
      <sheetData sheetId="579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 refreshError="1"/>
      <sheetData sheetId="3099"/>
      <sheetData sheetId="3100"/>
      <sheetData sheetId="3101" refreshError="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/>
      <sheetData sheetId="3547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>
        <row r="13">
          <cell r="B13">
            <v>0</v>
          </cell>
        </row>
      </sheetData>
      <sheetData sheetId="3572"/>
      <sheetData sheetId="3573">
        <row r="13">
          <cell r="B13" t="str">
            <v>1. 7Feb - 19Feb</v>
          </cell>
        </row>
      </sheetData>
      <sheetData sheetId="3574">
        <row r="13">
          <cell r="B13">
            <v>478.67999999999995</v>
          </cell>
        </row>
      </sheetData>
      <sheetData sheetId="3575"/>
      <sheetData sheetId="3576"/>
      <sheetData sheetId="3577" refreshError="1"/>
      <sheetData sheetId="3578" refreshError="1"/>
      <sheetData sheetId="3579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/>
      <sheetData sheetId="3588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GENERAL"/>
      <sheetName val="Bayer Aspirina"/>
      <sheetName val="Parámetros"/>
      <sheetName val="AUT-HOG"/>
      <sheetName val="Valorización TV"/>
      <sheetName val="Rk"/>
      <sheetName val="Resumen"/>
      <sheetName val="01_2000"/>
      <sheetName val="ENERO 2008"/>
      <sheetName val="DATA BASE"/>
      <sheetName val="Share"/>
      <sheetName val="M1735AB"/>
      <sheetName val="DATA_BASE"/>
      <sheetName val="DatosTP"/>
      <sheetName val="VPR"/>
      <sheetName val="PMODA1"/>
      <sheetName val="Bayer_Aspirina"/>
      <sheetName val="Valorización_TV"/>
      <sheetName val="Bayer_Aspirina1"/>
      <sheetName val="Valorización_TV1"/>
      <sheetName val="01_1999"/>
      <sheetName val="Hoja1"/>
      <sheetName val="DATA_BASE1"/>
      <sheetName val="Tarifas"/>
      <sheetName val="TARIFA"/>
      <sheetName val="Ranking Tv"/>
      <sheetName val="latest 3-18"/>
      <sheetName val="2000 BS"/>
      <sheetName val="Revista Mes Tipo (2)"/>
      <sheetName val="TV Nacional"/>
      <sheetName val="Regiones Noviembre 2002"/>
      <sheetName val="ADS"/>
      <sheetName val="Capacity-24 Hrs"/>
      <sheetName val="an-r"/>
      <sheetName val="DATA_BASE2"/>
      <sheetName val="Bayer_Aspirina2"/>
      <sheetName val="Valorización_TV2"/>
      <sheetName val="ENERO_2008"/>
      <sheetName val="Ranking_Tv"/>
      <sheetName val="latest_3-18"/>
      <sheetName val="2000_BS"/>
      <sheetName val="Revista_Mes_Tipo_(2)"/>
      <sheetName val="Regiones_Noviembre_2002"/>
      <sheetName val="plan"/>
      <sheetName val="TV_Nacional"/>
      <sheetName val="Workings"/>
      <sheetName val="Bayer_Aspirina3"/>
      <sheetName val="Valorización_TV3"/>
      <sheetName val="DATA_BASE3"/>
      <sheetName val="ENERO_20081"/>
      <sheetName val="Ranking_Tv1"/>
      <sheetName val="latest_3-181"/>
      <sheetName val="2000_BS1"/>
      <sheetName val="Revista_Mes_Tipo_(2)1"/>
      <sheetName val="TV_Nacional1"/>
      <sheetName val="Regiones_Noviembre_20021"/>
      <sheetName val="Capacity-24_Hrs"/>
      <sheetName val="Resumen SOI"/>
      <sheetName val="Resumen_SOI"/>
      <sheetName val="base"/>
      <sheetName val="Cable"/>
      <sheetName val="rk radios truj"/>
      <sheetName val="DATA_BASE4"/>
      <sheetName val="ENERO_20082"/>
      <sheetName val="Ranking_Tv2"/>
      <sheetName val="latest_3-182"/>
      <sheetName val="2000_BS2"/>
      <sheetName val="Revista_Mes_Tipo_(2)2"/>
      <sheetName val="TV_Nacional2"/>
      <sheetName val="Resumen_SOI1"/>
      <sheetName val="#G.O."/>
    </sheetNames>
    <sheetDataSet>
      <sheetData sheetId="0" refreshError="1">
        <row r="144">
          <cell r="AH144">
            <v>1524375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77B1-903D-426B-B428-F00CC81E9C2C}">
  <sheetPr>
    <pageSetUpPr autoPageBreaks="0"/>
  </sheetPr>
  <dimension ref="A1:AY692"/>
  <sheetViews>
    <sheetView showGridLines="0" tabSelected="1" topLeftCell="A5" zoomScale="50" zoomScaleNormal="50" workbookViewId="0">
      <selection activeCell="U47" sqref="U47"/>
    </sheetView>
  </sheetViews>
  <sheetFormatPr baseColWidth="10" defaultColWidth="14.453125" defaultRowHeight="15.75" customHeight="1" outlineLevelCol="1" x14ac:dyDescent="0.35"/>
  <cols>
    <col min="1" max="1" width="1.26953125" style="6" customWidth="1"/>
    <col min="2" max="2" width="13.453125" style="6" customWidth="1"/>
    <col min="3" max="3" width="31" style="53" customWidth="1"/>
    <col min="4" max="4" width="12.7265625" style="53" customWidth="1"/>
    <col min="5" max="5" width="10.1796875" style="53" customWidth="1"/>
    <col min="6" max="6" width="10.453125" style="53" customWidth="1"/>
    <col min="7" max="8" width="10.54296875" style="53" customWidth="1"/>
    <col min="9" max="9" width="9.7265625" style="53" bestFit="1" customWidth="1"/>
    <col min="10" max="39" width="5.1796875" style="6" customWidth="1" outlineLevel="1"/>
    <col min="40" max="40" width="11" style="6" customWidth="1" outlineLevel="1"/>
    <col min="41" max="41" width="7.81640625" style="6" customWidth="1" outlineLevel="1"/>
    <col min="42" max="42" width="11.81640625" style="53" bestFit="1" customWidth="1"/>
    <col min="43" max="43" width="11.26953125" style="53" bestFit="1" customWidth="1"/>
    <col min="44" max="44" width="13.81640625" style="6" bestFit="1" customWidth="1"/>
    <col min="45" max="45" width="15" style="55" bestFit="1" customWidth="1"/>
    <col min="46" max="46" width="18.7265625" style="6" bestFit="1" customWidth="1"/>
    <col min="47" max="47" width="16.1796875" style="6" bestFit="1" customWidth="1"/>
    <col min="48" max="48" width="16.1796875" style="6" customWidth="1"/>
    <col min="49" max="49" width="14.81640625" style="6" customWidth="1"/>
    <col min="50" max="50" width="14.453125" style="19"/>
    <col min="51" max="16384" width="14.453125" style="6"/>
  </cols>
  <sheetData>
    <row r="1" spans="1:47" ht="15.75" hidden="1" customHeight="1" x14ac:dyDescent="0.35">
      <c r="A1" s="1"/>
      <c r="B1" s="2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4"/>
      <c r="AQ1" s="4"/>
      <c r="AR1" s="2"/>
      <c r="AS1" s="5"/>
    </row>
    <row r="2" spans="1:47" ht="15.75" hidden="1" customHeight="1" x14ac:dyDescent="0.35">
      <c r="A2" s="1"/>
      <c r="B2" s="2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4"/>
      <c r="AQ2" s="4"/>
      <c r="AR2" s="2"/>
      <c r="AS2" s="5"/>
    </row>
    <row r="3" spans="1:47" ht="15.75" hidden="1" customHeight="1" x14ac:dyDescent="0.35">
      <c r="A3" s="1"/>
      <c r="B3" s="2"/>
      <c r="C3" s="3"/>
      <c r="D3" s="3"/>
      <c r="E3" s="3"/>
      <c r="F3" s="3"/>
      <c r="G3" s="3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"/>
      <c r="AQ3" s="4"/>
      <c r="AR3" s="2"/>
      <c r="AS3" s="5"/>
    </row>
    <row r="4" spans="1:47" ht="15.75" hidden="1" customHeight="1" x14ac:dyDescent="0.35">
      <c r="A4" s="1"/>
      <c r="B4" s="2"/>
      <c r="C4" s="3"/>
      <c r="D4" s="3"/>
      <c r="E4" s="3"/>
      <c r="F4" s="3"/>
      <c r="G4" s="3"/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"/>
      <c r="AQ4" s="4"/>
      <c r="AR4" s="2"/>
      <c r="AS4" s="5"/>
    </row>
    <row r="5" spans="1:47" ht="15.75" customHeight="1" x14ac:dyDescent="0.35">
      <c r="A5" s="1"/>
      <c r="B5" s="1"/>
      <c r="C5" s="4"/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4"/>
      <c r="AQ5" s="4"/>
      <c r="AR5" s="1"/>
      <c r="AS5" s="7"/>
    </row>
    <row r="6" spans="1:47" ht="15.75" customHeight="1" x14ac:dyDescent="0.35">
      <c r="A6" s="1"/>
      <c r="B6" s="1"/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4"/>
      <c r="AQ6" s="4"/>
      <c r="AR6" s="1"/>
      <c r="AS6" s="7"/>
    </row>
    <row r="7" spans="1:47" ht="15.75" customHeight="1" x14ac:dyDescent="0.35">
      <c r="A7" s="1"/>
      <c r="B7" s="1"/>
      <c r="C7" s="4"/>
      <c r="D7" s="4"/>
      <c r="E7" s="4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4"/>
      <c r="AQ7" s="4"/>
      <c r="AR7" s="1"/>
      <c r="AS7" s="7"/>
    </row>
    <row r="8" spans="1:47" ht="15.75" customHeight="1" x14ac:dyDescent="0.35">
      <c r="A8" s="1"/>
      <c r="B8" s="1"/>
      <c r="C8" s="4"/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4"/>
      <c r="AQ8" s="4"/>
      <c r="AR8" s="1"/>
      <c r="AS8" s="7"/>
    </row>
    <row r="9" spans="1:47" ht="15.75" customHeight="1" x14ac:dyDescent="0.35">
      <c r="A9" s="1"/>
      <c r="B9" s="1"/>
      <c r="C9" s="4"/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8"/>
      <c r="AP9" s="4">
        <v>3</v>
      </c>
      <c r="AQ9" s="4">
        <v>1</v>
      </c>
      <c r="AR9" s="1"/>
      <c r="AS9" s="7"/>
    </row>
    <row r="10" spans="1:47" ht="15.75" customHeight="1" x14ac:dyDescent="0.35">
      <c r="A10" s="1"/>
      <c r="B10" s="9" t="s">
        <v>30</v>
      </c>
      <c r="C10" s="9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8"/>
      <c r="AP10" s="4"/>
      <c r="AQ10" s="4"/>
      <c r="AR10" s="8"/>
      <c r="AS10" s="10"/>
      <c r="AT10" s="11"/>
    </row>
    <row r="11" spans="1:47" ht="15.65" customHeight="1" x14ac:dyDescent="0.35">
      <c r="A11" s="1"/>
      <c r="B11" s="9" t="s">
        <v>0</v>
      </c>
      <c r="C11" s="9"/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2"/>
      <c r="AO11" s="2"/>
      <c r="AP11" s="4"/>
      <c r="AQ11" s="4"/>
      <c r="AR11" s="8"/>
      <c r="AS11" s="7"/>
    </row>
    <row r="12" spans="1:47" ht="15.75" customHeight="1" x14ac:dyDescent="0.35">
      <c r="A12" s="1"/>
      <c r="B12" s="9" t="s">
        <v>31</v>
      </c>
      <c r="C12" s="12"/>
      <c r="D12" s="4"/>
      <c r="E12" s="4"/>
      <c r="F12" s="13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4"/>
      <c r="AQ12" s="4"/>
      <c r="AR12" s="1"/>
      <c r="AS12" s="7"/>
    </row>
    <row r="13" spans="1:47" ht="15.5" x14ac:dyDescent="0.35">
      <c r="A13" s="1"/>
      <c r="B13" s="9" t="s">
        <v>1</v>
      </c>
      <c r="C13" s="9"/>
      <c r="D13" s="4"/>
      <c r="E13" s="4"/>
      <c r="F13" s="13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4"/>
      <c r="AQ13" s="4"/>
      <c r="AR13" s="1"/>
      <c r="AS13" s="7"/>
    </row>
    <row r="14" spans="1:47" ht="15.5" x14ac:dyDescent="0.35">
      <c r="A14" s="1"/>
      <c r="B14" s="14"/>
      <c r="C14" s="9"/>
      <c r="D14" s="4"/>
      <c r="E14" s="4"/>
      <c r="F14" s="4"/>
      <c r="G14" s="4"/>
      <c r="H14" s="4"/>
      <c r="I14" s="4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15"/>
      <c r="AO14" s="16"/>
      <c r="AP14" s="4"/>
      <c r="AQ14" s="4"/>
      <c r="AR14" s="1"/>
      <c r="AS14" s="7"/>
    </row>
    <row r="15" spans="1:47" ht="15.65" customHeight="1" x14ac:dyDescent="0.35">
      <c r="A15" s="1"/>
      <c r="B15" s="62" t="s">
        <v>33</v>
      </c>
      <c r="C15" s="64" t="s">
        <v>2</v>
      </c>
      <c r="D15" s="67" t="s">
        <v>3</v>
      </c>
      <c r="E15" s="64" t="s">
        <v>4</v>
      </c>
      <c r="F15" s="64" t="s">
        <v>5</v>
      </c>
      <c r="G15" s="64" t="s">
        <v>6</v>
      </c>
      <c r="H15" s="64" t="s">
        <v>7</v>
      </c>
      <c r="I15" s="64" t="s">
        <v>8</v>
      </c>
      <c r="J15" s="78" t="s">
        <v>32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70"/>
      <c r="AN15" s="71" t="s">
        <v>9</v>
      </c>
      <c r="AO15" s="59" t="s">
        <v>10</v>
      </c>
      <c r="AP15" s="61" t="s">
        <v>11</v>
      </c>
      <c r="AQ15" s="74" t="s">
        <v>12</v>
      </c>
      <c r="AR15" s="61" t="s">
        <v>13</v>
      </c>
      <c r="AS15" s="61" t="s">
        <v>14</v>
      </c>
      <c r="AT15" s="74" t="s">
        <v>15</v>
      </c>
      <c r="AU15" s="74" t="s">
        <v>16</v>
      </c>
    </row>
    <row r="16" spans="1:47" ht="15.5" x14ac:dyDescent="0.35">
      <c r="A16" s="1"/>
      <c r="B16" s="63"/>
      <c r="C16" s="65"/>
      <c r="D16" s="68"/>
      <c r="E16" s="65"/>
      <c r="F16" s="65"/>
      <c r="G16" s="65"/>
      <c r="H16" s="65"/>
      <c r="I16" s="65"/>
      <c r="J16" s="17" t="s">
        <v>17</v>
      </c>
      <c r="K16" s="17" t="s">
        <v>18</v>
      </c>
      <c r="L16" s="17" t="s">
        <v>19</v>
      </c>
      <c r="M16" s="17" t="s">
        <v>20</v>
      </c>
      <c r="N16" s="17" t="s">
        <v>21</v>
      </c>
      <c r="O16" s="17" t="s">
        <v>22</v>
      </c>
      <c r="P16" s="17" t="s">
        <v>23</v>
      </c>
      <c r="Q16" s="17" t="s">
        <v>17</v>
      </c>
      <c r="R16" s="17" t="s">
        <v>18</v>
      </c>
      <c r="S16" s="17" t="s">
        <v>19</v>
      </c>
      <c r="T16" s="17" t="s">
        <v>20</v>
      </c>
      <c r="U16" s="17" t="s">
        <v>21</v>
      </c>
      <c r="V16" s="17" t="s">
        <v>22</v>
      </c>
      <c r="W16" s="17" t="s">
        <v>23</v>
      </c>
      <c r="X16" s="17" t="s">
        <v>17</v>
      </c>
      <c r="Y16" s="17" t="s">
        <v>18</v>
      </c>
      <c r="Z16" s="17" t="s">
        <v>19</v>
      </c>
      <c r="AA16" s="17" t="s">
        <v>20</v>
      </c>
      <c r="AB16" s="17" t="s">
        <v>21</v>
      </c>
      <c r="AC16" s="17" t="s">
        <v>22</v>
      </c>
      <c r="AD16" s="17" t="s">
        <v>23</v>
      </c>
      <c r="AE16" s="17" t="s">
        <v>17</v>
      </c>
      <c r="AF16" s="17" t="s">
        <v>18</v>
      </c>
      <c r="AG16" s="17" t="s">
        <v>19</v>
      </c>
      <c r="AH16" s="17" t="s">
        <v>20</v>
      </c>
      <c r="AI16" s="17" t="s">
        <v>21</v>
      </c>
      <c r="AJ16" s="17" t="s">
        <v>22</v>
      </c>
      <c r="AK16" s="17" t="s">
        <v>23</v>
      </c>
      <c r="AL16" s="17" t="s">
        <v>17</v>
      </c>
      <c r="AM16" s="17" t="s">
        <v>18</v>
      </c>
      <c r="AN16" s="72"/>
      <c r="AO16" s="60"/>
      <c r="AP16" s="61"/>
      <c r="AQ16" s="74"/>
      <c r="AR16" s="76"/>
      <c r="AS16" s="76"/>
      <c r="AT16" s="74"/>
      <c r="AU16" s="74"/>
    </row>
    <row r="17" spans="1:50" ht="15.5" x14ac:dyDescent="0.35">
      <c r="A17" s="1"/>
      <c r="B17" s="63"/>
      <c r="C17" s="66"/>
      <c r="D17" s="68"/>
      <c r="E17" s="66"/>
      <c r="F17" s="66"/>
      <c r="G17" s="66"/>
      <c r="H17" s="66"/>
      <c r="I17" s="66"/>
      <c r="J17" s="18">
        <v>1</v>
      </c>
      <c r="K17" s="18">
        <f>+J17+1</f>
        <v>2</v>
      </c>
      <c r="L17" s="18">
        <f t="shared" ref="L17:AM17" si="0">+K17+1</f>
        <v>3</v>
      </c>
      <c r="M17" s="18">
        <f t="shared" si="0"/>
        <v>4</v>
      </c>
      <c r="N17" s="18">
        <f t="shared" si="0"/>
        <v>5</v>
      </c>
      <c r="O17" s="18">
        <f t="shared" si="0"/>
        <v>6</v>
      </c>
      <c r="P17" s="18">
        <f t="shared" si="0"/>
        <v>7</v>
      </c>
      <c r="Q17" s="18">
        <f t="shared" si="0"/>
        <v>8</v>
      </c>
      <c r="R17" s="18">
        <f t="shared" si="0"/>
        <v>9</v>
      </c>
      <c r="S17" s="18">
        <f t="shared" si="0"/>
        <v>10</v>
      </c>
      <c r="T17" s="18">
        <f t="shared" si="0"/>
        <v>11</v>
      </c>
      <c r="U17" s="18">
        <f t="shared" si="0"/>
        <v>12</v>
      </c>
      <c r="V17" s="18">
        <f t="shared" si="0"/>
        <v>13</v>
      </c>
      <c r="W17" s="18">
        <f t="shared" si="0"/>
        <v>14</v>
      </c>
      <c r="X17" s="18">
        <f t="shared" si="0"/>
        <v>15</v>
      </c>
      <c r="Y17" s="18">
        <f t="shared" si="0"/>
        <v>16</v>
      </c>
      <c r="Z17" s="18">
        <f t="shared" si="0"/>
        <v>17</v>
      </c>
      <c r="AA17" s="18">
        <f t="shared" si="0"/>
        <v>18</v>
      </c>
      <c r="AB17" s="18">
        <f t="shared" si="0"/>
        <v>19</v>
      </c>
      <c r="AC17" s="18">
        <f t="shared" si="0"/>
        <v>20</v>
      </c>
      <c r="AD17" s="18">
        <f t="shared" si="0"/>
        <v>21</v>
      </c>
      <c r="AE17" s="18">
        <f t="shared" si="0"/>
        <v>22</v>
      </c>
      <c r="AF17" s="18">
        <f t="shared" si="0"/>
        <v>23</v>
      </c>
      <c r="AG17" s="18">
        <f t="shared" si="0"/>
        <v>24</v>
      </c>
      <c r="AH17" s="18">
        <f t="shared" si="0"/>
        <v>25</v>
      </c>
      <c r="AI17" s="18">
        <f t="shared" si="0"/>
        <v>26</v>
      </c>
      <c r="AJ17" s="18">
        <f t="shared" si="0"/>
        <v>27</v>
      </c>
      <c r="AK17" s="18">
        <f t="shared" si="0"/>
        <v>28</v>
      </c>
      <c r="AL17" s="18">
        <f t="shared" si="0"/>
        <v>29</v>
      </c>
      <c r="AM17" s="18">
        <f t="shared" si="0"/>
        <v>30</v>
      </c>
      <c r="AN17" s="73"/>
      <c r="AO17" s="60"/>
      <c r="AP17" s="59"/>
      <c r="AQ17" s="75"/>
      <c r="AR17" s="77"/>
      <c r="AS17" s="77"/>
      <c r="AT17" s="75"/>
      <c r="AU17" s="75"/>
      <c r="AX17" s="19">
        <f>SUM(AX19:AX43)</f>
        <v>0</v>
      </c>
    </row>
    <row r="18" spans="1:50" ht="15.5" x14ac:dyDescent="0.35">
      <c r="B18" s="79"/>
      <c r="C18" s="30"/>
      <c r="D18" s="31"/>
      <c r="E18" s="20"/>
      <c r="F18" s="30"/>
      <c r="G18" s="32"/>
      <c r="H18" s="32"/>
      <c r="I18" s="33"/>
      <c r="J18" s="24"/>
      <c r="K18" s="24"/>
      <c r="L18" s="24"/>
      <c r="M18" s="24"/>
      <c r="N18" s="24"/>
      <c r="O18" s="25"/>
      <c r="P18" s="25"/>
      <c r="Q18" s="24"/>
      <c r="R18" s="24"/>
      <c r="S18" s="24"/>
      <c r="T18" s="24"/>
      <c r="U18" s="24"/>
      <c r="V18" s="25"/>
      <c r="W18" s="25"/>
      <c r="X18" s="24"/>
      <c r="Y18" s="24"/>
      <c r="Z18" s="24"/>
      <c r="AA18" s="24"/>
      <c r="AB18" s="24"/>
      <c r="AC18" s="25"/>
      <c r="AD18" s="25"/>
      <c r="AE18" s="24"/>
      <c r="AF18" s="24"/>
      <c r="AG18" s="24"/>
      <c r="AH18" s="24"/>
      <c r="AI18" s="24"/>
      <c r="AJ18" s="25"/>
      <c r="AK18" s="25"/>
      <c r="AL18" s="24"/>
      <c r="AM18" s="24"/>
      <c r="AN18" s="34">
        <f>SUM(J18:AM18)</f>
        <v>0</v>
      </c>
      <c r="AO18" s="34"/>
      <c r="AP18" s="35"/>
      <c r="AQ18" s="35">
        <f t="shared" ref="AQ18:AQ42" si="1">+AP18*AN18</f>
        <v>0</v>
      </c>
      <c r="AR18" s="56"/>
      <c r="AS18" s="36">
        <f t="shared" ref="AS18:AS42" si="2">AR18*AN18</f>
        <v>0</v>
      </c>
      <c r="AT18" s="37" t="e">
        <f t="shared" ref="AT18:AT43" si="3">+AS18/AQ18</f>
        <v>#DIV/0!</v>
      </c>
      <c r="AU18" s="38"/>
      <c r="AX18" s="40"/>
    </row>
    <row r="19" spans="1:50" ht="15.5" x14ac:dyDescent="0.35">
      <c r="B19" s="79"/>
      <c r="C19" s="20"/>
      <c r="D19" s="21"/>
      <c r="E19" s="20"/>
      <c r="F19" s="20"/>
      <c r="G19" s="22"/>
      <c r="H19" s="22"/>
      <c r="I19" s="23"/>
      <c r="J19" s="24"/>
      <c r="K19" s="24"/>
      <c r="L19" s="24"/>
      <c r="M19" s="24"/>
      <c r="N19" s="24"/>
      <c r="O19" s="25"/>
      <c r="P19" s="25"/>
      <c r="Q19" s="24"/>
      <c r="R19" s="24"/>
      <c r="S19" s="24"/>
      <c r="T19" s="24"/>
      <c r="U19" s="24"/>
      <c r="V19" s="25"/>
      <c r="W19" s="25"/>
      <c r="X19" s="24"/>
      <c r="Y19" s="24"/>
      <c r="Z19" s="24"/>
      <c r="AA19" s="24"/>
      <c r="AB19" s="24"/>
      <c r="AC19" s="25"/>
      <c r="AD19" s="25"/>
      <c r="AE19" s="24"/>
      <c r="AF19" s="24"/>
      <c r="AG19" s="24"/>
      <c r="AH19" s="24"/>
      <c r="AI19" s="24"/>
      <c r="AJ19" s="25"/>
      <c r="AK19" s="25"/>
      <c r="AL19" s="24"/>
      <c r="AM19" s="24"/>
      <c r="AN19" s="24">
        <f t="shared" ref="AN19:AN39" si="4">SUM(J19:AM19)</f>
        <v>0</v>
      </c>
      <c r="AO19" s="24"/>
      <c r="AP19" s="26"/>
      <c r="AQ19" s="26">
        <f t="shared" si="1"/>
        <v>0</v>
      </c>
      <c r="AR19" s="52"/>
      <c r="AS19" s="27">
        <f t="shared" si="2"/>
        <v>0</v>
      </c>
      <c r="AT19" s="28" t="e">
        <f t="shared" si="3"/>
        <v>#DIV/0!</v>
      </c>
      <c r="AU19" s="29"/>
      <c r="AX19" s="40"/>
    </row>
    <row r="20" spans="1:50" ht="15.5" x14ac:dyDescent="0.35">
      <c r="B20" s="79"/>
      <c r="C20" s="20"/>
      <c r="D20" s="21"/>
      <c r="E20" s="20"/>
      <c r="F20" s="20"/>
      <c r="G20" s="22"/>
      <c r="H20" s="22"/>
      <c r="I20" s="23"/>
      <c r="J20" s="24"/>
      <c r="K20" s="24"/>
      <c r="L20" s="24"/>
      <c r="M20" s="24"/>
      <c r="N20" s="24"/>
      <c r="O20" s="25"/>
      <c r="P20" s="25"/>
      <c r="Q20" s="24"/>
      <c r="R20" s="24"/>
      <c r="S20" s="24"/>
      <c r="T20" s="24"/>
      <c r="U20" s="24"/>
      <c r="V20" s="25"/>
      <c r="W20" s="25"/>
      <c r="X20" s="24"/>
      <c r="Y20" s="24"/>
      <c r="Z20" s="24"/>
      <c r="AA20" s="24"/>
      <c r="AB20" s="24"/>
      <c r="AC20" s="25"/>
      <c r="AD20" s="25"/>
      <c r="AE20" s="24"/>
      <c r="AF20" s="24"/>
      <c r="AG20" s="24"/>
      <c r="AH20" s="24"/>
      <c r="AI20" s="24"/>
      <c r="AJ20" s="25"/>
      <c r="AK20" s="25"/>
      <c r="AL20" s="24"/>
      <c r="AM20" s="24"/>
      <c r="AN20" s="24">
        <f t="shared" si="4"/>
        <v>0</v>
      </c>
      <c r="AO20" s="24"/>
      <c r="AP20" s="26"/>
      <c r="AQ20" s="26">
        <f t="shared" si="1"/>
        <v>0</v>
      </c>
      <c r="AR20" s="52"/>
      <c r="AS20" s="27">
        <f t="shared" si="2"/>
        <v>0</v>
      </c>
      <c r="AT20" s="28" t="e">
        <f t="shared" si="3"/>
        <v>#DIV/0!</v>
      </c>
      <c r="AU20" s="29"/>
      <c r="AX20" s="40"/>
    </row>
    <row r="21" spans="1:50" ht="15.5" x14ac:dyDescent="0.35">
      <c r="B21" s="79"/>
      <c r="C21" s="20"/>
      <c r="D21" s="21"/>
      <c r="E21" s="20"/>
      <c r="F21" s="20"/>
      <c r="G21" s="22"/>
      <c r="H21" s="22"/>
      <c r="I21" s="23"/>
      <c r="J21" s="24"/>
      <c r="K21" s="24"/>
      <c r="L21" s="24"/>
      <c r="M21" s="24"/>
      <c r="N21" s="24"/>
      <c r="O21" s="25"/>
      <c r="P21" s="25"/>
      <c r="Q21" s="24"/>
      <c r="R21" s="24"/>
      <c r="S21" s="24"/>
      <c r="T21" s="24"/>
      <c r="U21" s="24"/>
      <c r="V21" s="25"/>
      <c r="W21" s="25"/>
      <c r="X21" s="24"/>
      <c r="Y21" s="24"/>
      <c r="Z21" s="24"/>
      <c r="AA21" s="24"/>
      <c r="AB21" s="24"/>
      <c r="AC21" s="25"/>
      <c r="AD21" s="25"/>
      <c r="AE21" s="24"/>
      <c r="AF21" s="24"/>
      <c r="AG21" s="24"/>
      <c r="AH21" s="24"/>
      <c r="AI21" s="24"/>
      <c r="AJ21" s="25"/>
      <c r="AK21" s="25"/>
      <c r="AL21" s="24"/>
      <c r="AM21" s="24"/>
      <c r="AN21" s="24">
        <f t="shared" si="4"/>
        <v>0</v>
      </c>
      <c r="AO21" s="24"/>
      <c r="AP21" s="26"/>
      <c r="AQ21" s="26">
        <f t="shared" si="1"/>
        <v>0</v>
      </c>
      <c r="AR21" s="52"/>
      <c r="AS21" s="27">
        <f t="shared" si="2"/>
        <v>0</v>
      </c>
      <c r="AT21" s="28" t="e">
        <f t="shared" si="3"/>
        <v>#DIV/0!</v>
      </c>
      <c r="AU21" s="29"/>
      <c r="AX21" s="40"/>
    </row>
    <row r="22" spans="1:50" ht="15.5" x14ac:dyDescent="0.35">
      <c r="B22" s="79"/>
      <c r="C22" s="20"/>
      <c r="D22" s="21"/>
      <c r="E22" s="20"/>
      <c r="F22" s="20"/>
      <c r="G22" s="22"/>
      <c r="H22" s="22"/>
      <c r="I22" s="23"/>
      <c r="J22" s="24"/>
      <c r="K22" s="24"/>
      <c r="L22" s="24"/>
      <c r="M22" s="24"/>
      <c r="N22" s="24"/>
      <c r="O22" s="25"/>
      <c r="P22" s="25"/>
      <c r="Q22" s="24"/>
      <c r="R22" s="24"/>
      <c r="S22" s="24"/>
      <c r="T22" s="24"/>
      <c r="U22" s="24"/>
      <c r="V22" s="25"/>
      <c r="W22" s="25"/>
      <c r="X22" s="24"/>
      <c r="Y22" s="24"/>
      <c r="Z22" s="24"/>
      <c r="AA22" s="24"/>
      <c r="AB22" s="24"/>
      <c r="AC22" s="25"/>
      <c r="AD22" s="25"/>
      <c r="AE22" s="24"/>
      <c r="AF22" s="24"/>
      <c r="AG22" s="24"/>
      <c r="AH22" s="24"/>
      <c r="AI22" s="24"/>
      <c r="AJ22" s="25"/>
      <c r="AK22" s="25"/>
      <c r="AL22" s="24"/>
      <c r="AM22" s="24"/>
      <c r="AN22" s="24">
        <f t="shared" si="4"/>
        <v>0</v>
      </c>
      <c r="AO22" s="24"/>
      <c r="AP22" s="26"/>
      <c r="AQ22" s="26">
        <f t="shared" si="1"/>
        <v>0</v>
      </c>
      <c r="AR22" s="52"/>
      <c r="AS22" s="27">
        <f t="shared" si="2"/>
        <v>0</v>
      </c>
      <c r="AT22" s="28" t="e">
        <f t="shared" si="3"/>
        <v>#DIV/0!</v>
      </c>
      <c r="AU22" s="29"/>
      <c r="AX22" s="40"/>
    </row>
    <row r="23" spans="1:50" ht="15.5" x14ac:dyDescent="0.35">
      <c r="B23" s="79"/>
      <c r="C23" s="20"/>
      <c r="D23" s="21"/>
      <c r="E23" s="20"/>
      <c r="F23" s="20"/>
      <c r="G23" s="22"/>
      <c r="H23" s="22"/>
      <c r="I23" s="23"/>
      <c r="J23" s="24"/>
      <c r="K23" s="24"/>
      <c r="L23" s="24"/>
      <c r="M23" s="24"/>
      <c r="N23" s="24"/>
      <c r="O23" s="25"/>
      <c r="P23" s="25"/>
      <c r="Q23" s="24"/>
      <c r="R23" s="24"/>
      <c r="S23" s="24"/>
      <c r="T23" s="24"/>
      <c r="U23" s="24"/>
      <c r="V23" s="25"/>
      <c r="W23" s="25"/>
      <c r="X23" s="24"/>
      <c r="Y23" s="24"/>
      <c r="Z23" s="24"/>
      <c r="AA23" s="24"/>
      <c r="AB23" s="24"/>
      <c r="AC23" s="25"/>
      <c r="AD23" s="25"/>
      <c r="AE23" s="24"/>
      <c r="AF23" s="24"/>
      <c r="AG23" s="24"/>
      <c r="AH23" s="24"/>
      <c r="AI23" s="24"/>
      <c r="AJ23" s="25"/>
      <c r="AK23" s="25"/>
      <c r="AL23" s="24"/>
      <c r="AM23" s="24"/>
      <c r="AN23" s="24">
        <f t="shared" si="4"/>
        <v>0</v>
      </c>
      <c r="AO23" s="24"/>
      <c r="AP23" s="26"/>
      <c r="AQ23" s="26">
        <f t="shared" si="1"/>
        <v>0</v>
      </c>
      <c r="AR23" s="52"/>
      <c r="AS23" s="27">
        <f t="shared" si="2"/>
        <v>0</v>
      </c>
      <c r="AT23" s="28" t="e">
        <f t="shared" si="3"/>
        <v>#DIV/0!</v>
      </c>
      <c r="AU23" s="29"/>
      <c r="AX23" s="40"/>
    </row>
    <row r="24" spans="1:50" ht="15.5" x14ac:dyDescent="0.35">
      <c r="B24" s="79"/>
      <c r="C24" s="20"/>
      <c r="D24" s="21"/>
      <c r="E24" s="20"/>
      <c r="F24" s="20"/>
      <c r="G24" s="22"/>
      <c r="H24" s="22"/>
      <c r="I24" s="23"/>
      <c r="J24" s="24"/>
      <c r="K24" s="24"/>
      <c r="L24" s="24"/>
      <c r="M24" s="24"/>
      <c r="N24" s="24"/>
      <c r="O24" s="25"/>
      <c r="P24" s="25"/>
      <c r="Q24" s="24"/>
      <c r="R24" s="24"/>
      <c r="S24" s="24"/>
      <c r="T24" s="24"/>
      <c r="U24" s="24"/>
      <c r="V24" s="25"/>
      <c r="W24" s="25"/>
      <c r="X24" s="24"/>
      <c r="Y24" s="24"/>
      <c r="Z24" s="24"/>
      <c r="AA24" s="24"/>
      <c r="AB24" s="24"/>
      <c r="AC24" s="25"/>
      <c r="AD24" s="25"/>
      <c r="AE24" s="24"/>
      <c r="AF24" s="24"/>
      <c r="AG24" s="24"/>
      <c r="AH24" s="24"/>
      <c r="AI24" s="24"/>
      <c r="AJ24" s="25"/>
      <c r="AK24" s="25"/>
      <c r="AL24" s="24"/>
      <c r="AM24" s="24"/>
      <c r="AN24" s="24">
        <f t="shared" si="4"/>
        <v>0</v>
      </c>
      <c r="AO24" s="24"/>
      <c r="AP24" s="26"/>
      <c r="AQ24" s="26">
        <f t="shared" si="1"/>
        <v>0</v>
      </c>
      <c r="AR24" s="52"/>
      <c r="AS24" s="27">
        <f t="shared" si="2"/>
        <v>0</v>
      </c>
      <c r="AT24" s="28" t="e">
        <f t="shared" si="3"/>
        <v>#DIV/0!</v>
      </c>
      <c r="AU24" s="29"/>
      <c r="AX24" s="40"/>
    </row>
    <row r="25" spans="1:50" ht="15.5" x14ac:dyDescent="0.35">
      <c r="B25" s="79"/>
      <c r="C25" s="20"/>
      <c r="D25" s="21"/>
      <c r="E25" s="20"/>
      <c r="F25" s="20"/>
      <c r="G25" s="22"/>
      <c r="H25" s="22"/>
      <c r="I25" s="23"/>
      <c r="J25" s="24"/>
      <c r="K25" s="24"/>
      <c r="L25" s="24"/>
      <c r="M25" s="24"/>
      <c r="N25" s="24"/>
      <c r="O25" s="39"/>
      <c r="P25" s="39"/>
      <c r="Q25" s="24"/>
      <c r="R25" s="24"/>
      <c r="S25" s="24"/>
      <c r="T25" s="24"/>
      <c r="U25" s="24"/>
      <c r="V25" s="39"/>
      <c r="W25" s="39"/>
      <c r="X25" s="24"/>
      <c r="Y25" s="24"/>
      <c r="Z25" s="24"/>
      <c r="AA25" s="24"/>
      <c r="AB25" s="24"/>
      <c r="AC25" s="39"/>
      <c r="AD25" s="39"/>
      <c r="AE25" s="24"/>
      <c r="AF25" s="24"/>
      <c r="AG25" s="24"/>
      <c r="AH25" s="24"/>
      <c r="AI25" s="24"/>
      <c r="AJ25" s="39"/>
      <c r="AK25" s="39"/>
      <c r="AL25" s="24"/>
      <c r="AM25" s="24"/>
      <c r="AN25" s="24">
        <f t="shared" si="4"/>
        <v>0</v>
      </c>
      <c r="AO25" s="24"/>
      <c r="AP25" s="26"/>
      <c r="AQ25" s="26">
        <f t="shared" si="1"/>
        <v>0</v>
      </c>
      <c r="AR25" s="52"/>
      <c r="AS25" s="27">
        <f t="shared" si="2"/>
        <v>0</v>
      </c>
      <c r="AT25" s="28" t="e">
        <f t="shared" si="3"/>
        <v>#DIV/0!</v>
      </c>
      <c r="AU25" s="29"/>
    </row>
    <row r="26" spans="1:50" ht="15.5" x14ac:dyDescent="0.35">
      <c r="B26" s="79"/>
      <c r="C26" s="20"/>
      <c r="D26" s="21"/>
      <c r="E26" s="20"/>
      <c r="F26" s="20"/>
      <c r="G26" s="22"/>
      <c r="H26" s="22"/>
      <c r="I26" s="23"/>
      <c r="J26" s="24"/>
      <c r="K26" s="24"/>
      <c r="L26" s="24"/>
      <c r="M26" s="24"/>
      <c r="N26" s="24"/>
      <c r="O26" s="39"/>
      <c r="P26" s="39"/>
      <c r="Q26" s="24"/>
      <c r="R26" s="24"/>
      <c r="S26" s="24"/>
      <c r="T26" s="24"/>
      <c r="U26" s="24"/>
      <c r="V26" s="39"/>
      <c r="W26" s="39"/>
      <c r="X26" s="24"/>
      <c r="Y26" s="24"/>
      <c r="Z26" s="24"/>
      <c r="AA26" s="24"/>
      <c r="AB26" s="24"/>
      <c r="AC26" s="39"/>
      <c r="AD26" s="39"/>
      <c r="AE26" s="24"/>
      <c r="AF26" s="24"/>
      <c r="AG26" s="24"/>
      <c r="AH26" s="24"/>
      <c r="AI26" s="24"/>
      <c r="AJ26" s="39"/>
      <c r="AK26" s="39"/>
      <c r="AL26" s="24"/>
      <c r="AM26" s="24"/>
      <c r="AN26" s="24">
        <f t="shared" si="4"/>
        <v>0</v>
      </c>
      <c r="AO26" s="24"/>
      <c r="AP26" s="26"/>
      <c r="AQ26" s="26">
        <f t="shared" si="1"/>
        <v>0</v>
      </c>
      <c r="AR26" s="52"/>
      <c r="AS26" s="27">
        <f t="shared" si="2"/>
        <v>0</v>
      </c>
      <c r="AT26" s="28" t="e">
        <f t="shared" si="3"/>
        <v>#DIV/0!</v>
      </c>
      <c r="AU26" s="29"/>
    </row>
    <row r="27" spans="1:50" ht="15.5" x14ac:dyDescent="0.35">
      <c r="B27" s="79"/>
      <c r="C27" s="20"/>
      <c r="D27" s="41"/>
      <c r="E27" s="20"/>
      <c r="F27" s="20"/>
      <c r="G27" s="22"/>
      <c r="H27" s="22"/>
      <c r="I27" s="23"/>
      <c r="J27" s="24"/>
      <c r="K27" s="24"/>
      <c r="L27" s="24"/>
      <c r="M27" s="24"/>
      <c r="N27" s="24"/>
      <c r="O27" s="25"/>
      <c r="P27" s="25"/>
      <c r="Q27" s="24"/>
      <c r="R27" s="24"/>
      <c r="S27" s="24"/>
      <c r="T27" s="24"/>
      <c r="U27" s="24"/>
      <c r="V27" s="25"/>
      <c r="W27" s="25"/>
      <c r="X27" s="24"/>
      <c r="Y27" s="24"/>
      <c r="Z27" s="24"/>
      <c r="AA27" s="24"/>
      <c r="AB27" s="24"/>
      <c r="AC27" s="25"/>
      <c r="AD27" s="25"/>
      <c r="AE27" s="24"/>
      <c r="AF27" s="24"/>
      <c r="AG27" s="24"/>
      <c r="AH27" s="24"/>
      <c r="AI27" s="24"/>
      <c r="AJ27" s="25"/>
      <c r="AK27" s="25"/>
      <c r="AL27" s="24"/>
      <c r="AM27" s="24"/>
      <c r="AN27" s="24">
        <f t="shared" si="4"/>
        <v>0</v>
      </c>
      <c r="AO27" s="24"/>
      <c r="AP27" s="26"/>
      <c r="AQ27" s="26">
        <f t="shared" si="1"/>
        <v>0</v>
      </c>
      <c r="AR27" s="52"/>
      <c r="AS27" s="27">
        <f t="shared" si="2"/>
        <v>0</v>
      </c>
      <c r="AT27" s="28" t="e">
        <f t="shared" si="3"/>
        <v>#DIV/0!</v>
      </c>
      <c r="AU27" s="29"/>
    </row>
    <row r="28" spans="1:50" ht="15.5" x14ac:dyDescent="0.35">
      <c r="B28" s="79"/>
      <c r="C28" s="20"/>
      <c r="D28" s="41"/>
      <c r="E28" s="20"/>
      <c r="F28" s="20"/>
      <c r="G28" s="22"/>
      <c r="H28" s="22"/>
      <c r="I28" s="23"/>
      <c r="J28" s="24"/>
      <c r="K28" s="24"/>
      <c r="L28" s="24"/>
      <c r="M28" s="24"/>
      <c r="N28" s="24"/>
      <c r="O28" s="25"/>
      <c r="P28" s="25"/>
      <c r="Q28" s="24"/>
      <c r="R28" s="24"/>
      <c r="S28" s="24"/>
      <c r="T28" s="24"/>
      <c r="U28" s="24"/>
      <c r="V28" s="25"/>
      <c r="W28" s="25"/>
      <c r="X28" s="24"/>
      <c r="Y28" s="24"/>
      <c r="Z28" s="24"/>
      <c r="AA28" s="24"/>
      <c r="AB28" s="24"/>
      <c r="AC28" s="25"/>
      <c r="AD28" s="25"/>
      <c r="AE28" s="24"/>
      <c r="AF28" s="24"/>
      <c r="AG28" s="24"/>
      <c r="AH28" s="24"/>
      <c r="AI28" s="24"/>
      <c r="AJ28" s="25"/>
      <c r="AK28" s="25"/>
      <c r="AL28" s="24"/>
      <c r="AM28" s="24"/>
      <c r="AN28" s="24">
        <f t="shared" si="4"/>
        <v>0</v>
      </c>
      <c r="AO28" s="24"/>
      <c r="AP28" s="26"/>
      <c r="AQ28" s="26">
        <f t="shared" si="1"/>
        <v>0</v>
      </c>
      <c r="AR28" s="52"/>
      <c r="AS28" s="27">
        <f t="shared" si="2"/>
        <v>0</v>
      </c>
      <c r="AT28" s="28" t="e">
        <f t="shared" si="3"/>
        <v>#DIV/0!</v>
      </c>
      <c r="AU28" s="29"/>
    </row>
    <row r="29" spans="1:50" ht="15.5" x14ac:dyDescent="0.35">
      <c r="B29" s="79"/>
      <c r="C29" s="20"/>
      <c r="D29" s="41"/>
      <c r="E29" s="20"/>
      <c r="F29" s="20"/>
      <c r="G29" s="22"/>
      <c r="H29" s="22"/>
      <c r="I29" s="23"/>
      <c r="J29" s="24"/>
      <c r="K29" s="24"/>
      <c r="L29" s="24"/>
      <c r="M29" s="24"/>
      <c r="N29" s="24"/>
      <c r="O29" s="25"/>
      <c r="P29" s="25"/>
      <c r="Q29" s="24"/>
      <c r="R29" s="24"/>
      <c r="S29" s="24"/>
      <c r="T29" s="24"/>
      <c r="U29" s="24"/>
      <c r="V29" s="25"/>
      <c r="W29" s="25"/>
      <c r="X29" s="24"/>
      <c r="Y29" s="24"/>
      <c r="Z29" s="24"/>
      <c r="AA29" s="24"/>
      <c r="AB29" s="24"/>
      <c r="AC29" s="25"/>
      <c r="AD29" s="25"/>
      <c r="AE29" s="24"/>
      <c r="AF29" s="24"/>
      <c r="AG29" s="24"/>
      <c r="AH29" s="24"/>
      <c r="AI29" s="24"/>
      <c r="AJ29" s="25"/>
      <c r="AK29" s="25"/>
      <c r="AL29" s="24"/>
      <c r="AM29" s="24"/>
      <c r="AN29" s="24">
        <f t="shared" si="4"/>
        <v>0</v>
      </c>
      <c r="AO29" s="24"/>
      <c r="AP29" s="26"/>
      <c r="AQ29" s="26">
        <f t="shared" si="1"/>
        <v>0</v>
      </c>
      <c r="AR29" s="52"/>
      <c r="AS29" s="27">
        <f t="shared" si="2"/>
        <v>0</v>
      </c>
      <c r="AT29" s="28" t="e">
        <f t="shared" si="3"/>
        <v>#DIV/0!</v>
      </c>
      <c r="AU29" s="29"/>
    </row>
    <row r="30" spans="1:50" ht="15.5" x14ac:dyDescent="0.35">
      <c r="B30" s="79"/>
      <c r="C30" s="20"/>
      <c r="D30" s="41"/>
      <c r="E30" s="20"/>
      <c r="F30" s="20"/>
      <c r="G30" s="22"/>
      <c r="H30" s="22"/>
      <c r="I30" s="23"/>
      <c r="J30" s="24"/>
      <c r="K30" s="24"/>
      <c r="L30" s="24"/>
      <c r="M30" s="24"/>
      <c r="N30" s="24"/>
      <c r="O30" s="25"/>
      <c r="P30" s="25"/>
      <c r="Q30" s="24"/>
      <c r="R30" s="24"/>
      <c r="S30" s="24"/>
      <c r="T30" s="24"/>
      <c r="U30" s="24"/>
      <c r="V30" s="25"/>
      <c r="W30" s="25"/>
      <c r="X30" s="24"/>
      <c r="Y30" s="24"/>
      <c r="Z30" s="24"/>
      <c r="AA30" s="24"/>
      <c r="AB30" s="24"/>
      <c r="AC30" s="25"/>
      <c r="AD30" s="25"/>
      <c r="AE30" s="24"/>
      <c r="AF30" s="24"/>
      <c r="AG30" s="24"/>
      <c r="AH30" s="24"/>
      <c r="AI30" s="24"/>
      <c r="AJ30" s="25"/>
      <c r="AK30" s="25"/>
      <c r="AL30" s="24"/>
      <c r="AM30" s="24"/>
      <c r="AN30" s="24">
        <f t="shared" si="4"/>
        <v>0</v>
      </c>
      <c r="AO30" s="24"/>
      <c r="AP30" s="26"/>
      <c r="AQ30" s="26">
        <f t="shared" si="1"/>
        <v>0</v>
      </c>
      <c r="AR30" s="52"/>
      <c r="AS30" s="27">
        <f t="shared" si="2"/>
        <v>0</v>
      </c>
      <c r="AT30" s="28" t="e">
        <f t="shared" si="3"/>
        <v>#DIV/0!</v>
      </c>
      <c r="AU30" s="29"/>
    </row>
    <row r="31" spans="1:50" ht="15.5" x14ac:dyDescent="0.35">
      <c r="B31" s="79"/>
      <c r="C31" s="20"/>
      <c r="D31" s="41"/>
      <c r="E31" s="20"/>
      <c r="F31" s="20"/>
      <c r="G31" s="22"/>
      <c r="H31" s="22"/>
      <c r="I31" s="23"/>
      <c r="J31" s="24"/>
      <c r="K31" s="24"/>
      <c r="L31" s="24"/>
      <c r="M31" s="24"/>
      <c r="N31" s="24"/>
      <c r="O31" s="25"/>
      <c r="P31" s="25"/>
      <c r="Q31" s="24"/>
      <c r="R31" s="24"/>
      <c r="S31" s="24"/>
      <c r="T31" s="24"/>
      <c r="U31" s="24"/>
      <c r="V31" s="25"/>
      <c r="W31" s="25"/>
      <c r="X31" s="24"/>
      <c r="Y31" s="24"/>
      <c r="Z31" s="24"/>
      <c r="AA31" s="24"/>
      <c r="AB31" s="24"/>
      <c r="AC31" s="25"/>
      <c r="AD31" s="25"/>
      <c r="AE31" s="24"/>
      <c r="AF31" s="24"/>
      <c r="AG31" s="24"/>
      <c r="AH31" s="24"/>
      <c r="AI31" s="24"/>
      <c r="AJ31" s="25"/>
      <c r="AK31" s="25"/>
      <c r="AL31" s="24"/>
      <c r="AM31" s="24"/>
      <c r="AN31" s="24">
        <f t="shared" si="4"/>
        <v>0</v>
      </c>
      <c r="AO31" s="24"/>
      <c r="AP31" s="26"/>
      <c r="AQ31" s="26">
        <f t="shared" si="1"/>
        <v>0</v>
      </c>
      <c r="AR31" s="52"/>
      <c r="AS31" s="27">
        <f t="shared" si="2"/>
        <v>0</v>
      </c>
      <c r="AT31" s="28" t="e">
        <f t="shared" si="3"/>
        <v>#DIV/0!</v>
      </c>
      <c r="AU31" s="29"/>
    </row>
    <row r="32" spans="1:50" ht="15.5" x14ac:dyDescent="0.35">
      <c r="B32" s="79"/>
      <c r="C32" s="20"/>
      <c r="D32" s="41"/>
      <c r="E32" s="20"/>
      <c r="F32" s="20"/>
      <c r="G32" s="22"/>
      <c r="H32" s="22"/>
      <c r="I32" s="23"/>
      <c r="J32" s="24"/>
      <c r="K32" s="24"/>
      <c r="L32" s="24"/>
      <c r="M32" s="24"/>
      <c r="N32" s="24"/>
      <c r="O32" s="25"/>
      <c r="P32" s="25"/>
      <c r="Q32" s="24"/>
      <c r="R32" s="24"/>
      <c r="S32" s="24"/>
      <c r="T32" s="24"/>
      <c r="U32" s="24"/>
      <c r="V32" s="25"/>
      <c r="W32" s="25"/>
      <c r="X32" s="24"/>
      <c r="Y32" s="24"/>
      <c r="Z32" s="24"/>
      <c r="AA32" s="24"/>
      <c r="AB32" s="24"/>
      <c r="AC32" s="25"/>
      <c r="AD32" s="25"/>
      <c r="AE32" s="24"/>
      <c r="AF32" s="24"/>
      <c r="AG32" s="24"/>
      <c r="AH32" s="24"/>
      <c r="AI32" s="24"/>
      <c r="AJ32" s="25"/>
      <c r="AK32" s="25"/>
      <c r="AL32" s="24"/>
      <c r="AM32" s="24"/>
      <c r="AN32" s="24">
        <f t="shared" si="4"/>
        <v>0</v>
      </c>
      <c r="AO32" s="24"/>
      <c r="AP32" s="26"/>
      <c r="AQ32" s="26">
        <f t="shared" si="1"/>
        <v>0</v>
      </c>
      <c r="AR32" s="52"/>
      <c r="AS32" s="27">
        <f t="shared" si="2"/>
        <v>0</v>
      </c>
      <c r="AT32" s="28" t="e">
        <f t="shared" si="3"/>
        <v>#DIV/0!</v>
      </c>
      <c r="AU32" s="29"/>
    </row>
    <row r="33" spans="2:51" ht="15.5" x14ac:dyDescent="0.35">
      <c r="B33" s="79"/>
      <c r="C33" s="20"/>
      <c r="D33" s="41"/>
      <c r="E33" s="20"/>
      <c r="F33" s="20"/>
      <c r="G33" s="22"/>
      <c r="H33" s="22"/>
      <c r="I33" s="23"/>
      <c r="J33" s="24"/>
      <c r="K33" s="24"/>
      <c r="L33" s="24"/>
      <c r="M33" s="24"/>
      <c r="N33" s="24"/>
      <c r="O33" s="25"/>
      <c r="P33" s="25"/>
      <c r="Q33" s="24"/>
      <c r="R33" s="24"/>
      <c r="S33" s="24"/>
      <c r="T33" s="24"/>
      <c r="U33" s="24"/>
      <c r="V33" s="25"/>
      <c r="W33" s="25"/>
      <c r="X33" s="24"/>
      <c r="Y33" s="24"/>
      <c r="Z33" s="24"/>
      <c r="AA33" s="24"/>
      <c r="AB33" s="24"/>
      <c r="AC33" s="25"/>
      <c r="AD33" s="25"/>
      <c r="AE33" s="24"/>
      <c r="AF33" s="24"/>
      <c r="AG33" s="24"/>
      <c r="AH33" s="24"/>
      <c r="AI33" s="24"/>
      <c r="AJ33" s="25"/>
      <c r="AK33" s="25"/>
      <c r="AL33" s="24"/>
      <c r="AM33" s="24"/>
      <c r="AN33" s="24">
        <f t="shared" si="4"/>
        <v>0</v>
      </c>
      <c r="AO33" s="24"/>
      <c r="AP33" s="26"/>
      <c r="AQ33" s="26">
        <f t="shared" si="1"/>
        <v>0</v>
      </c>
      <c r="AR33" s="52"/>
      <c r="AS33" s="27">
        <f t="shared" si="2"/>
        <v>0</v>
      </c>
      <c r="AT33" s="28" t="e">
        <f t="shared" si="3"/>
        <v>#DIV/0!</v>
      </c>
      <c r="AU33" s="29"/>
    </row>
    <row r="34" spans="2:51" ht="15.5" x14ac:dyDescent="0.35">
      <c r="B34" s="79"/>
      <c r="C34" s="20"/>
      <c r="D34" s="41"/>
      <c r="E34" s="20"/>
      <c r="F34" s="20"/>
      <c r="G34" s="22"/>
      <c r="H34" s="22"/>
      <c r="I34" s="23"/>
      <c r="J34" s="24"/>
      <c r="K34" s="24"/>
      <c r="L34" s="24"/>
      <c r="M34" s="24"/>
      <c r="N34" s="24"/>
      <c r="O34" s="25"/>
      <c r="P34" s="25"/>
      <c r="Q34" s="24"/>
      <c r="R34" s="24"/>
      <c r="S34" s="24"/>
      <c r="T34" s="24"/>
      <c r="U34" s="24"/>
      <c r="V34" s="25"/>
      <c r="W34" s="25"/>
      <c r="X34" s="24"/>
      <c r="Y34" s="24"/>
      <c r="Z34" s="24"/>
      <c r="AA34" s="24"/>
      <c r="AB34" s="24"/>
      <c r="AC34" s="25"/>
      <c r="AD34" s="25"/>
      <c r="AE34" s="24"/>
      <c r="AF34" s="24"/>
      <c r="AG34" s="24"/>
      <c r="AH34" s="24"/>
      <c r="AI34" s="24"/>
      <c r="AJ34" s="25"/>
      <c r="AK34" s="25"/>
      <c r="AL34" s="24"/>
      <c r="AM34" s="24"/>
      <c r="AN34" s="24">
        <f t="shared" si="4"/>
        <v>0</v>
      </c>
      <c r="AO34" s="24"/>
      <c r="AP34" s="26"/>
      <c r="AQ34" s="26">
        <f t="shared" si="1"/>
        <v>0</v>
      </c>
      <c r="AR34" s="52"/>
      <c r="AS34" s="27">
        <f t="shared" si="2"/>
        <v>0</v>
      </c>
      <c r="AT34" s="28" t="e">
        <f t="shared" si="3"/>
        <v>#DIV/0!</v>
      </c>
      <c r="AU34" s="29"/>
    </row>
    <row r="35" spans="2:51" ht="15.5" x14ac:dyDescent="0.35">
      <c r="B35" s="79"/>
      <c r="C35" s="20"/>
      <c r="D35" s="41"/>
      <c r="E35" s="20"/>
      <c r="F35" s="20"/>
      <c r="G35" s="22"/>
      <c r="H35" s="22"/>
      <c r="I35" s="23"/>
      <c r="J35" s="24"/>
      <c r="K35" s="24"/>
      <c r="L35" s="24"/>
      <c r="M35" s="24"/>
      <c r="N35" s="24"/>
      <c r="O35" s="25"/>
      <c r="P35" s="25"/>
      <c r="Q35" s="24"/>
      <c r="R35" s="24"/>
      <c r="S35" s="24"/>
      <c r="T35" s="24"/>
      <c r="U35" s="24"/>
      <c r="V35" s="25"/>
      <c r="W35" s="25"/>
      <c r="X35" s="24"/>
      <c r="Y35" s="24"/>
      <c r="Z35" s="24"/>
      <c r="AA35" s="24"/>
      <c r="AB35" s="24"/>
      <c r="AC35" s="25"/>
      <c r="AD35" s="25"/>
      <c r="AE35" s="24"/>
      <c r="AF35" s="24"/>
      <c r="AG35" s="24"/>
      <c r="AH35" s="24"/>
      <c r="AI35" s="24"/>
      <c r="AJ35" s="25"/>
      <c r="AK35" s="25"/>
      <c r="AL35" s="24"/>
      <c r="AM35" s="24"/>
      <c r="AN35" s="24">
        <f t="shared" si="4"/>
        <v>0</v>
      </c>
      <c r="AO35" s="24"/>
      <c r="AP35" s="26"/>
      <c r="AQ35" s="26">
        <f t="shared" si="1"/>
        <v>0</v>
      </c>
      <c r="AR35" s="52"/>
      <c r="AS35" s="27">
        <f t="shared" si="2"/>
        <v>0</v>
      </c>
      <c r="AT35" s="28" t="e">
        <f t="shared" si="3"/>
        <v>#DIV/0!</v>
      </c>
      <c r="AU35" s="29"/>
    </row>
    <row r="36" spans="2:51" ht="15.5" x14ac:dyDescent="0.35">
      <c r="B36" s="79"/>
      <c r="C36" s="20"/>
      <c r="D36" s="41"/>
      <c r="E36" s="20"/>
      <c r="F36" s="20"/>
      <c r="G36" s="22"/>
      <c r="H36" s="22"/>
      <c r="I36" s="23"/>
      <c r="J36" s="24"/>
      <c r="K36" s="24"/>
      <c r="L36" s="24"/>
      <c r="M36" s="24"/>
      <c r="N36" s="24"/>
      <c r="O36" s="25"/>
      <c r="P36" s="25"/>
      <c r="Q36" s="24"/>
      <c r="R36" s="24"/>
      <c r="S36" s="24"/>
      <c r="T36" s="24"/>
      <c r="U36" s="24"/>
      <c r="V36" s="25"/>
      <c r="W36" s="25"/>
      <c r="X36" s="24"/>
      <c r="Y36" s="24"/>
      <c r="Z36" s="24"/>
      <c r="AA36" s="24"/>
      <c r="AB36" s="24"/>
      <c r="AC36" s="25"/>
      <c r="AD36" s="25"/>
      <c r="AE36" s="24"/>
      <c r="AF36" s="24"/>
      <c r="AG36" s="24"/>
      <c r="AH36" s="24"/>
      <c r="AI36" s="24"/>
      <c r="AJ36" s="25"/>
      <c r="AK36" s="25"/>
      <c r="AL36" s="24"/>
      <c r="AM36" s="24"/>
      <c r="AN36" s="24">
        <f t="shared" si="4"/>
        <v>0</v>
      </c>
      <c r="AO36" s="24"/>
      <c r="AP36" s="26"/>
      <c r="AQ36" s="26">
        <f t="shared" si="1"/>
        <v>0</v>
      </c>
      <c r="AR36" s="52"/>
      <c r="AS36" s="27">
        <f t="shared" si="2"/>
        <v>0</v>
      </c>
      <c r="AT36" s="28" t="e">
        <f t="shared" si="3"/>
        <v>#DIV/0!</v>
      </c>
      <c r="AU36" s="29"/>
    </row>
    <row r="37" spans="2:51" ht="15.5" x14ac:dyDescent="0.35">
      <c r="B37" s="79"/>
      <c r="C37" s="20"/>
      <c r="D37" s="41"/>
      <c r="E37" s="20"/>
      <c r="F37" s="20"/>
      <c r="G37" s="22"/>
      <c r="H37" s="22"/>
      <c r="I37" s="23"/>
      <c r="J37" s="24"/>
      <c r="K37" s="24"/>
      <c r="L37" s="24"/>
      <c r="M37" s="24"/>
      <c r="N37" s="24"/>
      <c r="O37" s="25"/>
      <c r="P37" s="25"/>
      <c r="Q37" s="24"/>
      <c r="R37" s="24"/>
      <c r="S37" s="24"/>
      <c r="T37" s="24"/>
      <c r="U37" s="24"/>
      <c r="V37" s="25"/>
      <c r="W37" s="25"/>
      <c r="X37" s="24"/>
      <c r="Y37" s="24"/>
      <c r="Z37" s="24"/>
      <c r="AA37" s="24"/>
      <c r="AB37" s="24"/>
      <c r="AC37" s="25"/>
      <c r="AD37" s="25"/>
      <c r="AE37" s="24"/>
      <c r="AF37" s="24"/>
      <c r="AG37" s="24"/>
      <c r="AH37" s="24"/>
      <c r="AI37" s="24"/>
      <c r="AJ37" s="25"/>
      <c r="AK37" s="25"/>
      <c r="AL37" s="24"/>
      <c r="AM37" s="24"/>
      <c r="AN37" s="24">
        <f t="shared" si="4"/>
        <v>0</v>
      </c>
      <c r="AO37" s="24"/>
      <c r="AP37" s="26"/>
      <c r="AQ37" s="26">
        <f t="shared" si="1"/>
        <v>0</v>
      </c>
      <c r="AR37" s="52"/>
      <c r="AS37" s="27">
        <f t="shared" si="2"/>
        <v>0</v>
      </c>
      <c r="AT37" s="28" t="e">
        <f t="shared" si="3"/>
        <v>#DIV/0!</v>
      </c>
      <c r="AU37" s="29"/>
    </row>
    <row r="38" spans="2:51" ht="15.5" x14ac:dyDescent="0.35">
      <c r="B38" s="79"/>
      <c r="C38" s="20"/>
      <c r="D38" s="41"/>
      <c r="E38" s="20"/>
      <c r="F38" s="20"/>
      <c r="G38" s="22"/>
      <c r="H38" s="22"/>
      <c r="I38" s="23"/>
      <c r="J38" s="24"/>
      <c r="K38" s="24"/>
      <c r="L38" s="24"/>
      <c r="M38" s="24"/>
      <c r="N38" s="24"/>
      <c r="O38" s="25"/>
      <c r="P38" s="25"/>
      <c r="Q38" s="24"/>
      <c r="R38" s="24"/>
      <c r="S38" s="24"/>
      <c r="T38" s="24"/>
      <c r="U38" s="24"/>
      <c r="V38" s="25"/>
      <c r="W38" s="25"/>
      <c r="X38" s="24"/>
      <c r="Y38" s="24"/>
      <c r="Z38" s="24"/>
      <c r="AA38" s="24"/>
      <c r="AB38" s="24"/>
      <c r="AC38" s="25"/>
      <c r="AD38" s="25"/>
      <c r="AE38" s="24"/>
      <c r="AF38" s="24"/>
      <c r="AG38" s="24"/>
      <c r="AH38" s="24"/>
      <c r="AI38" s="24"/>
      <c r="AJ38" s="25"/>
      <c r="AK38" s="25"/>
      <c r="AL38" s="24"/>
      <c r="AM38" s="24"/>
      <c r="AN38" s="24">
        <f t="shared" si="4"/>
        <v>0</v>
      </c>
      <c r="AO38" s="24"/>
      <c r="AP38" s="26"/>
      <c r="AQ38" s="26">
        <f t="shared" si="1"/>
        <v>0</v>
      </c>
      <c r="AR38" s="52"/>
      <c r="AS38" s="27">
        <f t="shared" si="2"/>
        <v>0</v>
      </c>
      <c r="AT38" s="28" t="e">
        <f t="shared" si="3"/>
        <v>#DIV/0!</v>
      </c>
      <c r="AU38" s="29"/>
    </row>
    <row r="39" spans="2:51" ht="15.5" x14ac:dyDescent="0.35">
      <c r="B39" s="79"/>
      <c r="C39" s="20"/>
      <c r="D39" s="41"/>
      <c r="E39" s="20"/>
      <c r="F39" s="20"/>
      <c r="G39" s="22"/>
      <c r="H39" s="22"/>
      <c r="I39" s="23"/>
      <c r="J39" s="24"/>
      <c r="K39" s="24"/>
      <c r="L39" s="24"/>
      <c r="M39" s="24"/>
      <c r="N39" s="24"/>
      <c r="O39" s="25"/>
      <c r="P39" s="25"/>
      <c r="Q39" s="24"/>
      <c r="R39" s="24"/>
      <c r="S39" s="24"/>
      <c r="T39" s="24"/>
      <c r="U39" s="24"/>
      <c r="V39" s="25"/>
      <c r="W39" s="25"/>
      <c r="X39" s="24"/>
      <c r="Y39" s="24"/>
      <c r="Z39" s="24"/>
      <c r="AA39" s="24"/>
      <c r="AB39" s="24"/>
      <c r="AC39" s="25"/>
      <c r="AD39" s="25"/>
      <c r="AE39" s="24"/>
      <c r="AF39" s="24"/>
      <c r="AG39" s="24"/>
      <c r="AH39" s="24"/>
      <c r="AI39" s="24"/>
      <c r="AJ39" s="25"/>
      <c r="AK39" s="25"/>
      <c r="AL39" s="24"/>
      <c r="AM39" s="24"/>
      <c r="AN39" s="24">
        <f t="shared" si="4"/>
        <v>0</v>
      </c>
      <c r="AO39" s="24"/>
      <c r="AP39" s="26"/>
      <c r="AQ39" s="26">
        <f t="shared" si="1"/>
        <v>0</v>
      </c>
      <c r="AR39" s="52"/>
      <c r="AS39" s="27">
        <f t="shared" si="2"/>
        <v>0</v>
      </c>
      <c r="AT39" s="28" t="e">
        <f t="shared" si="3"/>
        <v>#DIV/0!</v>
      </c>
      <c r="AU39" s="29"/>
    </row>
    <row r="40" spans="2:51" ht="15.5" hidden="1" customHeight="1" x14ac:dyDescent="0.35">
      <c r="B40" s="79"/>
      <c r="C40" s="20" t="s">
        <v>27</v>
      </c>
      <c r="D40" s="41" t="s">
        <v>25</v>
      </c>
      <c r="E40" s="20" t="s">
        <v>23</v>
      </c>
      <c r="F40" s="20" t="s">
        <v>24</v>
      </c>
      <c r="G40" s="22">
        <v>0.79861111111111116</v>
      </c>
      <c r="H40" s="22">
        <v>0.875</v>
      </c>
      <c r="I40" s="23">
        <v>5</v>
      </c>
      <c r="J40" s="24"/>
      <c r="K40" s="24"/>
      <c r="L40" s="24"/>
      <c r="M40" s="24"/>
      <c r="N40" s="24"/>
      <c r="O40" s="25"/>
      <c r="P40" s="25"/>
      <c r="Q40" s="24"/>
      <c r="R40" s="24"/>
      <c r="S40" s="24"/>
      <c r="T40" s="24"/>
      <c r="U40" s="24"/>
      <c r="V40" s="25"/>
      <c r="W40" s="25"/>
      <c r="X40" s="24"/>
      <c r="Y40" s="24"/>
      <c r="Z40" s="24"/>
      <c r="AA40" s="24"/>
      <c r="AB40" s="24"/>
      <c r="AC40" s="25"/>
      <c r="AD40" s="25"/>
      <c r="AE40" s="24"/>
      <c r="AF40" s="24"/>
      <c r="AG40" s="24"/>
      <c r="AH40" s="24"/>
      <c r="AI40" s="24"/>
      <c r="AJ40" s="25"/>
      <c r="AK40" s="25"/>
      <c r="AL40" s="24"/>
      <c r="AM40" s="24"/>
      <c r="AN40" s="24">
        <f>SUM(J40:P40)</f>
        <v>0</v>
      </c>
      <c r="AO40" s="24">
        <v>1</v>
      </c>
      <c r="AP40" s="26">
        <v>0.7</v>
      </c>
      <c r="AQ40" s="26">
        <f t="shared" si="1"/>
        <v>0</v>
      </c>
      <c r="AR40" s="52">
        <v>52500</v>
      </c>
      <c r="AS40" s="27">
        <f t="shared" si="2"/>
        <v>0</v>
      </c>
      <c r="AT40" s="28" t="e">
        <f t="shared" si="3"/>
        <v>#DIV/0!</v>
      </c>
      <c r="AU40" s="29"/>
    </row>
    <row r="41" spans="2:51" ht="15.5" hidden="1" customHeight="1" x14ac:dyDescent="0.35">
      <c r="B41" s="79"/>
      <c r="C41" s="20" t="s">
        <v>28</v>
      </c>
      <c r="D41" s="41" t="s">
        <v>26</v>
      </c>
      <c r="E41" s="20" t="s">
        <v>23</v>
      </c>
      <c r="F41" s="20" t="s">
        <v>24</v>
      </c>
      <c r="G41" s="22">
        <v>0.79861111111111116</v>
      </c>
      <c r="H41" s="22">
        <v>0.875</v>
      </c>
      <c r="I41" s="23">
        <v>5</v>
      </c>
      <c r="J41" s="24"/>
      <c r="K41" s="24"/>
      <c r="L41" s="24"/>
      <c r="M41" s="24"/>
      <c r="N41" s="24"/>
      <c r="O41" s="25"/>
      <c r="P41" s="25"/>
      <c r="Q41" s="24"/>
      <c r="R41" s="24"/>
      <c r="S41" s="24"/>
      <c r="T41" s="24"/>
      <c r="U41" s="24"/>
      <c r="V41" s="25"/>
      <c r="W41" s="25"/>
      <c r="X41" s="24"/>
      <c r="Y41" s="24"/>
      <c r="Z41" s="24"/>
      <c r="AA41" s="24"/>
      <c r="AB41" s="24"/>
      <c r="AC41" s="25"/>
      <c r="AD41" s="25"/>
      <c r="AE41" s="24"/>
      <c r="AF41" s="24"/>
      <c r="AG41" s="24"/>
      <c r="AH41" s="24"/>
      <c r="AI41" s="24"/>
      <c r="AJ41" s="25"/>
      <c r="AK41" s="25"/>
      <c r="AL41" s="24"/>
      <c r="AM41" s="24"/>
      <c r="AN41" s="24">
        <f>SUM(J41:P41)</f>
        <v>0</v>
      </c>
      <c r="AO41" s="24">
        <v>1</v>
      </c>
      <c r="AP41" s="26">
        <v>1.3</v>
      </c>
      <c r="AQ41" s="26">
        <f t="shared" si="1"/>
        <v>0</v>
      </c>
      <c r="AR41" s="52">
        <v>78750</v>
      </c>
      <c r="AS41" s="27">
        <f t="shared" si="2"/>
        <v>0</v>
      </c>
      <c r="AT41" s="28" t="e">
        <f t="shared" si="3"/>
        <v>#DIV/0!</v>
      </c>
      <c r="AU41" s="29"/>
    </row>
    <row r="42" spans="2:51" ht="15.5" hidden="1" customHeight="1" x14ac:dyDescent="0.35">
      <c r="B42" s="79"/>
      <c r="C42" s="20" t="s">
        <v>28</v>
      </c>
      <c r="D42" s="41" t="s">
        <v>26</v>
      </c>
      <c r="E42" s="20" t="s">
        <v>23</v>
      </c>
      <c r="F42" s="20" t="s">
        <v>24</v>
      </c>
      <c r="G42" s="22">
        <v>0.79861111111111116</v>
      </c>
      <c r="H42" s="22">
        <v>0.875</v>
      </c>
      <c r="I42" s="23">
        <v>5</v>
      </c>
      <c r="J42" s="24"/>
      <c r="K42" s="24"/>
      <c r="L42" s="24"/>
      <c r="M42" s="24"/>
      <c r="N42" s="24"/>
      <c r="O42" s="25"/>
      <c r="P42" s="25"/>
      <c r="Q42" s="24"/>
      <c r="R42" s="24"/>
      <c r="S42" s="24"/>
      <c r="T42" s="24"/>
      <c r="U42" s="24"/>
      <c r="V42" s="25"/>
      <c r="W42" s="25"/>
      <c r="X42" s="24"/>
      <c r="Y42" s="24"/>
      <c r="Z42" s="24"/>
      <c r="AA42" s="24"/>
      <c r="AB42" s="24"/>
      <c r="AC42" s="25"/>
      <c r="AD42" s="25"/>
      <c r="AE42" s="24"/>
      <c r="AF42" s="24"/>
      <c r="AG42" s="24"/>
      <c r="AH42" s="24"/>
      <c r="AI42" s="24"/>
      <c r="AJ42" s="25"/>
      <c r="AK42" s="25"/>
      <c r="AL42" s="24"/>
      <c r="AM42" s="24"/>
      <c r="AN42" s="24">
        <f>SUM(J42:P42)</f>
        <v>0</v>
      </c>
      <c r="AO42" s="24">
        <v>1</v>
      </c>
      <c r="AP42" s="26">
        <v>1.3</v>
      </c>
      <c r="AQ42" s="26">
        <f t="shared" si="1"/>
        <v>0</v>
      </c>
      <c r="AR42" s="52">
        <v>78750</v>
      </c>
      <c r="AS42" s="27">
        <f t="shared" si="2"/>
        <v>0</v>
      </c>
      <c r="AT42" s="28" t="e">
        <f t="shared" si="3"/>
        <v>#DIV/0!</v>
      </c>
      <c r="AU42" s="29"/>
    </row>
    <row r="43" spans="2:51" ht="15.5" x14ac:dyDescent="0.35">
      <c r="B43" s="42" t="s">
        <v>29</v>
      </c>
      <c r="C43" s="43"/>
      <c r="D43" s="43"/>
      <c r="E43" s="43"/>
      <c r="F43" s="43"/>
      <c r="G43" s="43"/>
      <c r="H43" s="43"/>
      <c r="I43" s="43"/>
      <c r="J43" s="44">
        <f t="shared" ref="J43:P43" si="5">SUMPRODUCT(J18:J42,$AP$18:$AP$42)</f>
        <v>0</v>
      </c>
      <c r="K43" s="44">
        <f t="shared" si="5"/>
        <v>0</v>
      </c>
      <c r="L43" s="44">
        <f t="shared" si="5"/>
        <v>0</v>
      </c>
      <c r="M43" s="44">
        <f t="shared" si="5"/>
        <v>0</v>
      </c>
      <c r="N43" s="44">
        <f t="shared" si="5"/>
        <v>0</v>
      </c>
      <c r="O43" s="44">
        <f t="shared" si="5"/>
        <v>0</v>
      </c>
      <c r="P43" s="44">
        <f t="shared" si="5"/>
        <v>0</v>
      </c>
      <c r="Q43" s="44">
        <f t="shared" ref="Q43:AD43" si="6">SUMPRODUCT(Q18:Q42,$AP$18:$AP$42)</f>
        <v>0</v>
      </c>
      <c r="R43" s="44">
        <f t="shared" si="6"/>
        <v>0</v>
      </c>
      <c r="S43" s="44">
        <f t="shared" si="6"/>
        <v>0</v>
      </c>
      <c r="T43" s="44">
        <f t="shared" si="6"/>
        <v>0</v>
      </c>
      <c r="U43" s="44">
        <f t="shared" si="6"/>
        <v>0</v>
      </c>
      <c r="V43" s="44">
        <f t="shared" si="6"/>
        <v>0</v>
      </c>
      <c r="W43" s="44">
        <f t="shared" si="6"/>
        <v>0</v>
      </c>
      <c r="X43" s="44">
        <f t="shared" si="6"/>
        <v>0</v>
      </c>
      <c r="Y43" s="44">
        <f t="shared" si="6"/>
        <v>0</v>
      </c>
      <c r="Z43" s="44">
        <f t="shared" si="6"/>
        <v>0</v>
      </c>
      <c r="AA43" s="44">
        <f t="shared" si="6"/>
        <v>0</v>
      </c>
      <c r="AB43" s="44">
        <f t="shared" si="6"/>
        <v>0</v>
      </c>
      <c r="AC43" s="44">
        <f t="shared" si="6"/>
        <v>0</v>
      </c>
      <c r="AD43" s="44">
        <f t="shared" si="6"/>
        <v>0</v>
      </c>
      <c r="AE43" s="44">
        <f t="shared" ref="AE43:AK43" si="7">SUMPRODUCT(AE18:AE42,$AP$18:$AP$42)</f>
        <v>0</v>
      </c>
      <c r="AF43" s="44">
        <f t="shared" si="7"/>
        <v>0</v>
      </c>
      <c r="AG43" s="44">
        <f t="shared" si="7"/>
        <v>0</v>
      </c>
      <c r="AH43" s="44">
        <f t="shared" si="7"/>
        <v>0</v>
      </c>
      <c r="AI43" s="44">
        <f t="shared" si="7"/>
        <v>0</v>
      </c>
      <c r="AJ43" s="44">
        <f t="shared" si="7"/>
        <v>0</v>
      </c>
      <c r="AK43" s="44">
        <f t="shared" si="7"/>
        <v>0</v>
      </c>
      <c r="AL43" s="44">
        <f t="shared" ref="AL43:AM43" si="8">SUMPRODUCT(AL18:AL42,$AP$18:$AP$42)</f>
        <v>0</v>
      </c>
      <c r="AM43" s="44">
        <f t="shared" si="8"/>
        <v>0</v>
      </c>
      <c r="AN43" s="45" t="e">
        <f>SUM(#REF!)</f>
        <v>#REF!</v>
      </c>
      <c r="AO43" s="46"/>
      <c r="AP43" s="47"/>
      <c r="AQ43" s="48">
        <f>SUM(AQ18:AQ42)</f>
        <v>0</v>
      </c>
      <c r="AR43" s="47"/>
      <c r="AS43" s="49">
        <f>SUM(AS18:AS42)</f>
        <v>0</v>
      </c>
      <c r="AT43" s="50" t="e">
        <f t="shared" si="3"/>
        <v>#DIV/0!</v>
      </c>
      <c r="AU43" s="51">
        <f>SUM(AU19:AU42)</f>
        <v>0</v>
      </c>
      <c r="AX43" s="40"/>
      <c r="AY43" s="11"/>
    </row>
    <row r="44" spans="2:51" ht="15.5" x14ac:dyDescent="0.35">
      <c r="AQ44" s="58"/>
      <c r="AS44" s="54"/>
    </row>
    <row r="45" spans="2:51" ht="15.5" x14ac:dyDescent="0.35"/>
    <row r="46" spans="2:51" ht="15.5" x14ac:dyDescent="0.35"/>
    <row r="47" spans="2:51" ht="15.5" x14ac:dyDescent="0.35"/>
    <row r="48" spans="2:51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  <row r="68" ht="15.5" x14ac:dyDescent="0.35"/>
    <row r="69" ht="15.5" x14ac:dyDescent="0.35"/>
    <row r="70" ht="15.5" x14ac:dyDescent="0.35"/>
    <row r="71" ht="15.5" x14ac:dyDescent="0.35"/>
    <row r="72" ht="15.5" x14ac:dyDescent="0.35"/>
    <row r="73" ht="15.5" x14ac:dyDescent="0.35"/>
    <row r="74" ht="15.5" x14ac:dyDescent="0.35"/>
    <row r="75" ht="15.5" x14ac:dyDescent="0.35"/>
    <row r="76" ht="15.5" x14ac:dyDescent="0.35"/>
    <row r="77" ht="15.5" x14ac:dyDescent="0.35"/>
    <row r="78" ht="15.5" x14ac:dyDescent="0.35"/>
    <row r="79" ht="15.5" x14ac:dyDescent="0.35"/>
    <row r="80" ht="15.5" x14ac:dyDescent="0.35"/>
    <row r="81" ht="15.5" x14ac:dyDescent="0.35"/>
    <row r="82" ht="15.5" x14ac:dyDescent="0.35"/>
    <row r="83" ht="15.5" x14ac:dyDescent="0.35"/>
    <row r="84" ht="15.5" x14ac:dyDescent="0.35"/>
    <row r="85" ht="15.5" x14ac:dyDescent="0.35"/>
    <row r="86" ht="15.5" x14ac:dyDescent="0.35"/>
    <row r="87" ht="15.5" x14ac:dyDescent="0.35"/>
    <row r="88" ht="15.5" x14ac:dyDescent="0.35"/>
    <row r="89" ht="15.5" x14ac:dyDescent="0.35"/>
    <row r="90" ht="15.5" x14ac:dyDescent="0.35"/>
    <row r="91" ht="15.5" x14ac:dyDescent="0.35"/>
    <row r="92" ht="15.5" x14ac:dyDescent="0.35"/>
    <row r="93" ht="15.5" x14ac:dyDescent="0.35"/>
    <row r="94" ht="15.5" x14ac:dyDescent="0.35"/>
    <row r="95" ht="15.5" x14ac:dyDescent="0.35"/>
    <row r="96" ht="15.5" x14ac:dyDescent="0.35"/>
    <row r="97" ht="15.5" x14ac:dyDescent="0.35"/>
    <row r="98" ht="15.5" x14ac:dyDescent="0.35"/>
    <row r="99" ht="15.5" x14ac:dyDescent="0.35"/>
    <row r="100" ht="15.5" x14ac:dyDescent="0.35"/>
    <row r="101" ht="15.5" x14ac:dyDescent="0.35"/>
    <row r="102" ht="15.5" x14ac:dyDescent="0.35"/>
    <row r="103" ht="15.5" x14ac:dyDescent="0.35"/>
    <row r="104" ht="15.5" x14ac:dyDescent="0.35"/>
    <row r="105" ht="15.5" x14ac:dyDescent="0.35"/>
    <row r="106" ht="15.5" x14ac:dyDescent="0.35"/>
    <row r="107" ht="15.5" x14ac:dyDescent="0.35"/>
    <row r="108" ht="15.5" x14ac:dyDescent="0.35"/>
    <row r="109" ht="15.5" x14ac:dyDescent="0.35"/>
    <row r="110" ht="15.5" x14ac:dyDescent="0.35"/>
    <row r="111" ht="15.5" x14ac:dyDescent="0.35"/>
    <row r="112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  <row r="483" ht="15.5" x14ac:dyDescent="0.35"/>
    <row r="484" ht="15.5" x14ac:dyDescent="0.35"/>
    <row r="485" ht="15.5" x14ac:dyDescent="0.35"/>
    <row r="486" ht="15.5" x14ac:dyDescent="0.35"/>
    <row r="487" ht="15.5" x14ac:dyDescent="0.35"/>
    <row r="488" ht="15.5" x14ac:dyDescent="0.35"/>
    <row r="489" ht="15.5" x14ac:dyDescent="0.35"/>
    <row r="490" ht="15.5" x14ac:dyDescent="0.35"/>
    <row r="491" ht="15.5" x14ac:dyDescent="0.35"/>
    <row r="492" ht="15.5" x14ac:dyDescent="0.35"/>
    <row r="493" ht="15.5" x14ac:dyDescent="0.35"/>
    <row r="494" ht="15.5" x14ac:dyDescent="0.35"/>
    <row r="495" ht="15.5" x14ac:dyDescent="0.35"/>
    <row r="496" ht="15.5" x14ac:dyDescent="0.35"/>
    <row r="497" ht="15.5" x14ac:dyDescent="0.35"/>
    <row r="498" ht="15.5" x14ac:dyDescent="0.35"/>
    <row r="499" ht="15.5" x14ac:dyDescent="0.35"/>
    <row r="500" ht="15.5" x14ac:dyDescent="0.35"/>
    <row r="501" ht="15.5" x14ac:dyDescent="0.35"/>
    <row r="502" ht="15.5" x14ac:dyDescent="0.35"/>
    <row r="503" ht="15.5" x14ac:dyDescent="0.35"/>
    <row r="504" ht="15.5" x14ac:dyDescent="0.35"/>
    <row r="505" ht="15.5" x14ac:dyDescent="0.35"/>
    <row r="506" ht="15.5" x14ac:dyDescent="0.35"/>
    <row r="507" ht="15.5" x14ac:dyDescent="0.35"/>
    <row r="508" ht="15.5" x14ac:dyDescent="0.35"/>
    <row r="509" ht="15.5" x14ac:dyDescent="0.35"/>
    <row r="510" ht="15.5" x14ac:dyDescent="0.35"/>
    <row r="511" ht="15.5" x14ac:dyDescent="0.35"/>
    <row r="512" ht="15.5" x14ac:dyDescent="0.35"/>
    <row r="513" ht="15.5" x14ac:dyDescent="0.35"/>
    <row r="514" ht="15.5" x14ac:dyDescent="0.35"/>
    <row r="515" ht="15.5" x14ac:dyDescent="0.35"/>
    <row r="516" ht="15.5" x14ac:dyDescent="0.35"/>
    <row r="517" ht="15.5" x14ac:dyDescent="0.35"/>
    <row r="518" ht="15.5" x14ac:dyDescent="0.35"/>
    <row r="519" ht="15.5" x14ac:dyDescent="0.35"/>
    <row r="520" ht="15.5" x14ac:dyDescent="0.35"/>
    <row r="521" ht="15.5" x14ac:dyDescent="0.35"/>
    <row r="522" ht="15.5" x14ac:dyDescent="0.35"/>
    <row r="523" ht="15.5" x14ac:dyDescent="0.35"/>
    <row r="524" ht="15.5" x14ac:dyDescent="0.35"/>
    <row r="525" ht="15.5" x14ac:dyDescent="0.35"/>
    <row r="526" ht="15.5" x14ac:dyDescent="0.35"/>
    <row r="527" ht="15.5" x14ac:dyDescent="0.35"/>
    <row r="528" ht="15.5" x14ac:dyDescent="0.35"/>
    <row r="529" ht="15.5" x14ac:dyDescent="0.35"/>
    <row r="530" ht="15.5" x14ac:dyDescent="0.35"/>
    <row r="531" ht="15.5" x14ac:dyDescent="0.35"/>
    <row r="532" ht="15.5" x14ac:dyDescent="0.35"/>
    <row r="533" ht="15.5" x14ac:dyDescent="0.35"/>
    <row r="534" ht="15.5" x14ac:dyDescent="0.35"/>
    <row r="535" ht="15.5" x14ac:dyDescent="0.35"/>
    <row r="536" ht="15.5" x14ac:dyDescent="0.35"/>
    <row r="537" ht="15.5" x14ac:dyDescent="0.35"/>
    <row r="538" ht="15.5" x14ac:dyDescent="0.35"/>
    <row r="539" ht="15.5" x14ac:dyDescent="0.35"/>
    <row r="540" ht="15.5" x14ac:dyDescent="0.35"/>
    <row r="541" ht="15.5" x14ac:dyDescent="0.35"/>
    <row r="542" ht="15.5" x14ac:dyDescent="0.35"/>
    <row r="543" ht="15.5" x14ac:dyDescent="0.35"/>
    <row r="544" ht="15.5" x14ac:dyDescent="0.35"/>
    <row r="545" ht="15.5" x14ac:dyDescent="0.35"/>
    <row r="546" ht="15.5" x14ac:dyDescent="0.35"/>
    <row r="547" ht="15.5" x14ac:dyDescent="0.35"/>
    <row r="548" ht="15.5" x14ac:dyDescent="0.35"/>
    <row r="549" ht="15.5" x14ac:dyDescent="0.35"/>
    <row r="550" ht="15.5" x14ac:dyDescent="0.35"/>
    <row r="551" ht="15.5" x14ac:dyDescent="0.35"/>
    <row r="552" ht="15.5" x14ac:dyDescent="0.35"/>
    <row r="553" ht="15.5" x14ac:dyDescent="0.35"/>
    <row r="554" ht="15.5" x14ac:dyDescent="0.35"/>
    <row r="555" ht="15.5" x14ac:dyDescent="0.35"/>
    <row r="556" ht="15.5" x14ac:dyDescent="0.35"/>
    <row r="557" ht="15.5" x14ac:dyDescent="0.35"/>
    <row r="558" ht="15.5" x14ac:dyDescent="0.35"/>
    <row r="559" ht="15.5" x14ac:dyDescent="0.35"/>
    <row r="560" ht="15.5" x14ac:dyDescent="0.35"/>
    <row r="561" ht="15.5" x14ac:dyDescent="0.35"/>
    <row r="562" ht="15.5" x14ac:dyDescent="0.35"/>
    <row r="563" ht="15.5" x14ac:dyDescent="0.35"/>
    <row r="564" ht="15.5" x14ac:dyDescent="0.35"/>
    <row r="565" ht="15.5" x14ac:dyDescent="0.35"/>
    <row r="566" ht="15.5" x14ac:dyDescent="0.35"/>
    <row r="567" ht="15.5" x14ac:dyDescent="0.35"/>
    <row r="568" ht="15.5" x14ac:dyDescent="0.35"/>
    <row r="569" ht="15.5" x14ac:dyDescent="0.35"/>
    <row r="570" ht="15.5" x14ac:dyDescent="0.35"/>
    <row r="571" ht="15.5" x14ac:dyDescent="0.35"/>
    <row r="572" ht="15.5" x14ac:dyDescent="0.35"/>
    <row r="573" ht="15.5" x14ac:dyDescent="0.35"/>
    <row r="574" ht="15.5" x14ac:dyDescent="0.35"/>
    <row r="575" ht="15.5" x14ac:dyDescent="0.35"/>
    <row r="576" ht="15.5" x14ac:dyDescent="0.35"/>
    <row r="577" ht="15.5" x14ac:dyDescent="0.35"/>
    <row r="578" ht="15.5" x14ac:dyDescent="0.35"/>
    <row r="579" ht="15.5" x14ac:dyDescent="0.35"/>
    <row r="580" ht="15.5" x14ac:dyDescent="0.35"/>
    <row r="581" ht="15.5" x14ac:dyDescent="0.35"/>
    <row r="582" ht="15.5" x14ac:dyDescent="0.35"/>
    <row r="583" ht="15.5" x14ac:dyDescent="0.35"/>
    <row r="584" ht="15.5" x14ac:dyDescent="0.35"/>
    <row r="585" ht="15.5" x14ac:dyDescent="0.35"/>
    <row r="586" ht="15.5" x14ac:dyDescent="0.35"/>
    <row r="587" ht="15.5" x14ac:dyDescent="0.35"/>
    <row r="588" ht="15.5" x14ac:dyDescent="0.35"/>
    <row r="589" ht="15.5" x14ac:dyDescent="0.35"/>
    <row r="590" ht="15.5" x14ac:dyDescent="0.35"/>
    <row r="591" ht="15.5" x14ac:dyDescent="0.35"/>
    <row r="592" ht="15.5" x14ac:dyDescent="0.35"/>
    <row r="593" ht="15.5" x14ac:dyDescent="0.35"/>
    <row r="594" ht="15.5" x14ac:dyDescent="0.35"/>
    <row r="595" ht="15.5" x14ac:dyDescent="0.35"/>
    <row r="596" ht="15.5" x14ac:dyDescent="0.35"/>
    <row r="597" ht="15.5" x14ac:dyDescent="0.35"/>
    <row r="598" ht="15.5" x14ac:dyDescent="0.35"/>
    <row r="599" ht="15.5" x14ac:dyDescent="0.35"/>
    <row r="600" ht="15.5" x14ac:dyDescent="0.35"/>
    <row r="601" ht="15.5" x14ac:dyDescent="0.35"/>
    <row r="602" ht="15.5" x14ac:dyDescent="0.35"/>
    <row r="603" ht="15.5" x14ac:dyDescent="0.35"/>
    <row r="604" ht="15.5" x14ac:dyDescent="0.35"/>
    <row r="605" ht="15.5" x14ac:dyDescent="0.35"/>
    <row r="606" ht="15.5" x14ac:dyDescent="0.35"/>
    <row r="607" ht="15.5" x14ac:dyDescent="0.35"/>
    <row r="608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  <row r="632" ht="15.5" x14ac:dyDescent="0.35"/>
    <row r="633" ht="15.5" x14ac:dyDescent="0.35"/>
    <row r="634" ht="15.5" x14ac:dyDescent="0.35"/>
    <row r="635" ht="15.5" x14ac:dyDescent="0.35"/>
    <row r="636" ht="15.5" x14ac:dyDescent="0.35"/>
    <row r="637" ht="15.5" x14ac:dyDescent="0.35"/>
    <row r="638" ht="15.5" x14ac:dyDescent="0.35"/>
    <row r="639" ht="15.5" x14ac:dyDescent="0.35"/>
    <row r="640" ht="15.5" x14ac:dyDescent="0.35"/>
    <row r="641" ht="15.5" x14ac:dyDescent="0.35"/>
    <row r="642" ht="15.5" x14ac:dyDescent="0.35"/>
    <row r="643" ht="15.5" x14ac:dyDescent="0.35"/>
    <row r="644" ht="15.5" x14ac:dyDescent="0.35"/>
    <row r="645" ht="15.5" x14ac:dyDescent="0.35"/>
    <row r="646" ht="15.5" x14ac:dyDescent="0.35"/>
    <row r="647" ht="15.5" x14ac:dyDescent="0.35"/>
    <row r="648" ht="15.5" x14ac:dyDescent="0.35"/>
    <row r="649" ht="15.5" x14ac:dyDescent="0.35"/>
    <row r="650" ht="15.5" x14ac:dyDescent="0.35"/>
    <row r="651" ht="15.5" x14ac:dyDescent="0.35"/>
    <row r="652" ht="15.5" x14ac:dyDescent="0.35"/>
    <row r="653" ht="15.5" x14ac:dyDescent="0.35"/>
    <row r="654" ht="15.5" x14ac:dyDescent="0.35"/>
    <row r="655" ht="15.5" x14ac:dyDescent="0.35"/>
    <row r="656" ht="15.5" x14ac:dyDescent="0.35"/>
    <row r="657" ht="15.5" x14ac:dyDescent="0.35"/>
    <row r="658" ht="15.5" x14ac:dyDescent="0.35"/>
    <row r="659" ht="15.5" x14ac:dyDescent="0.35"/>
    <row r="660" ht="15.5" x14ac:dyDescent="0.35"/>
    <row r="661" ht="15.5" x14ac:dyDescent="0.35"/>
    <row r="662" ht="15.5" x14ac:dyDescent="0.35"/>
    <row r="663" ht="15.5" x14ac:dyDescent="0.35"/>
    <row r="664" ht="15.5" x14ac:dyDescent="0.35"/>
    <row r="665" ht="15.5" x14ac:dyDescent="0.35"/>
    <row r="666" ht="15.5" x14ac:dyDescent="0.35"/>
    <row r="667" ht="15.5" x14ac:dyDescent="0.35"/>
    <row r="668" ht="15.5" x14ac:dyDescent="0.35"/>
    <row r="669" ht="15.5" x14ac:dyDescent="0.35"/>
    <row r="670" ht="15.5" x14ac:dyDescent="0.35"/>
    <row r="671" ht="15.5" x14ac:dyDescent="0.35"/>
    <row r="672" ht="15.5" x14ac:dyDescent="0.35"/>
    <row r="673" ht="15.5" x14ac:dyDescent="0.35"/>
    <row r="674" ht="15.5" x14ac:dyDescent="0.35"/>
    <row r="675" ht="15.5" x14ac:dyDescent="0.35"/>
    <row r="676" ht="15.5" x14ac:dyDescent="0.35"/>
    <row r="677" ht="15.5" x14ac:dyDescent="0.35"/>
    <row r="678" ht="15.5" x14ac:dyDescent="0.35"/>
    <row r="679" ht="15.5" x14ac:dyDescent="0.35"/>
    <row r="680" ht="15.5" x14ac:dyDescent="0.35"/>
    <row r="681" ht="15.5" x14ac:dyDescent="0.35"/>
    <row r="682" ht="15.5" x14ac:dyDescent="0.35"/>
    <row r="683" ht="15.5" x14ac:dyDescent="0.35"/>
    <row r="684" ht="15.5" x14ac:dyDescent="0.35"/>
    <row r="685" ht="15.5" x14ac:dyDescent="0.35"/>
    <row r="686" ht="15.5" x14ac:dyDescent="0.35"/>
    <row r="687" ht="15.5" x14ac:dyDescent="0.35"/>
    <row r="688" ht="15.5" x14ac:dyDescent="0.35"/>
    <row r="689" ht="15.5" x14ac:dyDescent="0.35"/>
    <row r="690" ht="15.5" x14ac:dyDescent="0.35"/>
    <row r="691" ht="15.5" x14ac:dyDescent="0.35"/>
    <row r="692" ht="15.5" x14ac:dyDescent="0.35"/>
  </sheetData>
  <mergeCells count="17">
    <mergeCell ref="AQ15:AQ17"/>
    <mergeCell ref="AR15:AR17"/>
    <mergeCell ref="AS15:AS17"/>
    <mergeCell ref="AT15:AT17"/>
    <mergeCell ref="AU15:AU17"/>
    <mergeCell ref="H15:H17"/>
    <mergeCell ref="I15:I17"/>
    <mergeCell ref="AN15:AN17"/>
    <mergeCell ref="J15:AM15"/>
    <mergeCell ref="AO15:AO17"/>
    <mergeCell ref="AP15:AP17"/>
    <mergeCell ref="B15:B17"/>
    <mergeCell ref="C15:C17"/>
    <mergeCell ref="D15:D17"/>
    <mergeCell ref="E15:E17"/>
    <mergeCell ref="F15:F17"/>
    <mergeCell ref="G15:G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Pauta mes 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Padilla - Media Planner</dc:creator>
  <cp:lastModifiedBy>Sebastián Padilla - Senior Media Planner</cp:lastModifiedBy>
  <dcterms:created xsi:type="dcterms:W3CDTF">2026-05-27T14:38:29Z</dcterms:created>
  <dcterms:modified xsi:type="dcterms:W3CDTF">2026-09-27T02:45:08Z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verageOTS" linkTarget="prop_AverageOTS">
    <vt:lpwstr>#¡REF!</vt:lpwstr>
  </property>
  <property fmtid="{D5CDD505-2E9C-101B-9397-08002B2CF9AE}" pid="3" name="Campaign" linkTarget="prop_Campaign">
    <vt:lpwstr>#¡REF!</vt:lpwstr>
  </property>
  <property fmtid="{D5CDD505-2E9C-101B-9397-08002B2CF9AE}" pid="4" name="Client" linkTarget="prop_Client">
    <vt:lpwstr>#¡REF!</vt:lpwstr>
  </property>
  <property fmtid="{D5CDD505-2E9C-101B-9397-08002B2CF9AE}" pid="5" name="ClientDivision" linkTarget="prop_ClientDivision">
    <vt:lpwstr>#¡REF!</vt:lpwstr>
  </property>
  <property fmtid="{D5CDD505-2E9C-101B-9397-08002B2CF9AE}" pid="6" name="Country" linkTarget="prop_Country">
    <vt:lpwstr>#¡REF!</vt:lpwstr>
  </property>
  <property fmtid="{D5CDD505-2E9C-101B-9397-08002B2CF9AE}" pid="7" name="Currency" linkTarget="prop_Currency">
    <vt:lpwstr>#¡REF!</vt:lpwstr>
  </property>
  <property fmtid="{D5CDD505-2E9C-101B-9397-08002B2CF9AE}" pid="8" name="Date" linkTarget="prop_Date">
    <vt:lpwstr>#¡REF!</vt:lpwstr>
  </property>
  <property fmtid="{D5CDD505-2E9C-101B-9397-08002B2CF9AE}" pid="9" name="ExchangeRate" linkTarget="prop_ExchangeRate">
    <vt:lpwstr>#¡REF!</vt:lpwstr>
  </property>
  <property fmtid="{D5CDD505-2E9C-101B-9397-08002B2CF9AE}" pid="10" name="IndirectExchangeRate" linkTarget="prop_IndirectExchangeRate">
    <vt:lpwstr>#¡REF!</vt:lpwstr>
  </property>
  <property fmtid="{D5CDD505-2E9C-101B-9397-08002B2CF9AE}" pid="11" name="MediaBuyingTarget" linkTarget="prop_MediaBuyingTarget">
    <vt:lpwstr>#¡REF!</vt:lpwstr>
  </property>
  <property fmtid="{D5CDD505-2E9C-101B-9397-08002B2CF9AE}" pid="12" name="MediaType" linkTarget="prop_MediaType">
    <vt:lpwstr>#¡REF!</vt:lpwstr>
  </property>
  <property fmtid="{D5CDD505-2E9C-101B-9397-08002B2CF9AE}" pid="13" name="PercentageCover" linkTarget="prop_PercentageCover">
    <vt:lpwstr>#¡REF!</vt:lpwstr>
  </property>
  <property fmtid="{D5CDD505-2E9C-101B-9397-08002B2CF9AE}" pid="14" name="PlanNumber" linkTarget="prop_PlanNumber">
    <vt:lpwstr>#¡REF!</vt:lpwstr>
  </property>
  <property fmtid="{D5CDD505-2E9C-101B-9397-08002B2CF9AE}" pid="15" name="ProductArea" linkTarget="prop_ProductArea">
    <vt:lpwstr>#¡REF!</vt:lpwstr>
  </property>
  <property fmtid="{D5CDD505-2E9C-101B-9397-08002B2CF9AE}" pid="16" name="Quotation" linkTarget="prop_Quotation">
    <vt:lpwstr>#¡REF!</vt:lpwstr>
  </property>
  <property fmtid="{D5CDD505-2E9C-101B-9397-08002B2CF9AE}" pid="17" name="Source" linkTarget="prop_Source">
    <vt:lpwstr>#¡REF!</vt:lpwstr>
  </property>
  <property fmtid="{D5CDD505-2E9C-101B-9397-08002B2CF9AE}" pid="18" name="UniverseSize" linkTarget="prop_UniverseSize">
    <vt:lpwstr>#¡REF!</vt:lpwstr>
  </property>
  <property fmtid="{D5CDD505-2E9C-101B-9397-08002B2CF9AE}" pid="19" name="Year" linkTarget="prop_Year">
    <vt:lpwstr>#¡REF!</vt:lpwstr>
  </property>
</Properties>
</file>